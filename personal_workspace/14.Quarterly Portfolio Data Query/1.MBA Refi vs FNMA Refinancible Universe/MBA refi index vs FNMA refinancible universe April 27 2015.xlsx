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95" yWindow="615" windowWidth="20130" windowHeight="12885"/>
  </bookViews>
  <sheets>
    <sheet name="Chart" sheetId="4" r:id="rId1"/>
    <sheet name="all FNCL" sheetId="1" r:id="rId2"/>
    <sheet name="projection" sheetId="2" r:id="rId3"/>
    <sheet name="Bloomberg" sheetId="9" r:id="rId4"/>
  </sheets>
  <calcPr calcId="145621"/>
</workbook>
</file>

<file path=xl/calcChain.xml><?xml version="1.0" encoding="utf-8"?>
<calcChain xmlns="http://schemas.openxmlformats.org/spreadsheetml/2006/main">
  <c r="H403" i="1" l="1"/>
  <c r="E4" i="1"/>
  <c r="A4" i="1"/>
  <c r="L180" i="1"/>
  <c r="E5" i="1"/>
  <c r="A5" i="1"/>
  <c r="E6" i="1"/>
  <c r="A6" i="1"/>
  <c r="E7" i="1"/>
  <c r="A7" i="1"/>
  <c r="E8" i="1"/>
  <c r="A8" i="1"/>
  <c r="E9" i="1"/>
  <c r="A9" i="1"/>
  <c r="E10" i="1"/>
  <c r="A10" i="1"/>
  <c r="E11" i="1"/>
  <c r="A11" i="1"/>
  <c r="E12" i="1"/>
  <c r="A12" i="1"/>
  <c r="E13" i="1"/>
  <c r="A13" i="1"/>
  <c r="E14" i="1"/>
  <c r="A14" i="1"/>
  <c r="E15" i="1"/>
  <c r="A15" i="1"/>
  <c r="E16" i="1"/>
  <c r="A16" i="1"/>
  <c r="F16" i="1"/>
  <c r="E17" i="1"/>
  <c r="A17" i="1"/>
  <c r="E18" i="1"/>
  <c r="A18" i="1"/>
  <c r="E19" i="1"/>
  <c r="A19" i="1"/>
  <c r="E20" i="1"/>
  <c r="A20" i="1"/>
  <c r="E21" i="1"/>
  <c r="A21" i="1"/>
  <c r="E22" i="1"/>
  <c r="A22" i="1"/>
  <c r="E23" i="1"/>
  <c r="A23" i="1"/>
  <c r="E24" i="1"/>
  <c r="A24" i="1"/>
  <c r="E25" i="1"/>
  <c r="A25" i="1"/>
  <c r="E26" i="1"/>
  <c r="A26" i="1"/>
  <c r="E27" i="1"/>
  <c r="A27" i="1"/>
  <c r="E28" i="1"/>
  <c r="A28" i="1"/>
  <c r="E29" i="1"/>
  <c r="A29" i="1"/>
  <c r="E30" i="1"/>
  <c r="A30" i="1"/>
  <c r="E31" i="1"/>
  <c r="A31" i="1"/>
  <c r="E32" i="1"/>
  <c r="A32" i="1"/>
  <c r="E33" i="1"/>
  <c r="A33" i="1"/>
  <c r="E34" i="1"/>
  <c r="A34" i="1"/>
  <c r="E35" i="1"/>
  <c r="A35" i="1"/>
  <c r="E36" i="1"/>
  <c r="A36" i="1"/>
  <c r="E37" i="1"/>
  <c r="A37" i="1"/>
  <c r="E38" i="1"/>
  <c r="A38" i="1"/>
  <c r="E39" i="1"/>
  <c r="A39" i="1"/>
  <c r="E40" i="1"/>
  <c r="A40" i="1"/>
  <c r="E41" i="1"/>
  <c r="A41" i="1"/>
  <c r="E42" i="1"/>
  <c r="A42" i="1"/>
  <c r="E43" i="1"/>
  <c r="A43" i="1"/>
  <c r="E44" i="1"/>
  <c r="A44" i="1"/>
  <c r="E45" i="1"/>
  <c r="A45" i="1"/>
  <c r="E46" i="1"/>
  <c r="A46" i="1"/>
  <c r="E47" i="1"/>
  <c r="A47" i="1"/>
  <c r="E48" i="1"/>
  <c r="A48" i="1"/>
  <c r="E49" i="1"/>
  <c r="A49" i="1"/>
  <c r="E50" i="1"/>
  <c r="A50" i="1"/>
  <c r="E51" i="1"/>
  <c r="A51" i="1"/>
  <c r="E52" i="1"/>
  <c r="A52" i="1"/>
  <c r="E53" i="1"/>
  <c r="A53" i="1"/>
  <c r="E54" i="1"/>
  <c r="A54" i="1"/>
  <c r="E55" i="1"/>
  <c r="A55" i="1"/>
  <c r="E56" i="1"/>
  <c r="A56" i="1"/>
  <c r="E57" i="1"/>
  <c r="A57" i="1"/>
  <c r="E58" i="1"/>
  <c r="A58" i="1"/>
  <c r="E59" i="1"/>
  <c r="A59" i="1"/>
  <c r="E60" i="1"/>
  <c r="A60" i="1"/>
  <c r="E61" i="1"/>
  <c r="A61" i="1"/>
  <c r="E62" i="1"/>
  <c r="A62" i="1"/>
  <c r="E63" i="1"/>
  <c r="A63" i="1"/>
  <c r="E64" i="1"/>
  <c r="A64" i="1"/>
  <c r="E65" i="1"/>
  <c r="A65" i="1"/>
  <c r="E66" i="1"/>
  <c r="A66" i="1"/>
  <c r="E67" i="1"/>
  <c r="A67" i="1"/>
  <c r="E68" i="1"/>
  <c r="A68" i="1"/>
  <c r="E69" i="1"/>
  <c r="A69" i="1"/>
  <c r="E70" i="1"/>
  <c r="A70" i="1"/>
  <c r="E71" i="1"/>
  <c r="A71" i="1"/>
  <c r="E72" i="1"/>
  <c r="A72" i="1"/>
  <c r="E73" i="1"/>
  <c r="A73" i="1"/>
  <c r="E74" i="1"/>
  <c r="A74" i="1"/>
  <c r="E75" i="1"/>
  <c r="A75" i="1"/>
  <c r="E76" i="1"/>
  <c r="A76" i="1"/>
  <c r="E77" i="1"/>
  <c r="A77" i="1"/>
  <c r="E78" i="1"/>
  <c r="A78" i="1"/>
  <c r="E79" i="1"/>
  <c r="A79" i="1"/>
  <c r="E80" i="1"/>
  <c r="A80" i="1"/>
  <c r="E81" i="1"/>
  <c r="A81" i="1"/>
  <c r="E82" i="1"/>
  <c r="A82" i="1"/>
  <c r="E83" i="1"/>
  <c r="A83" i="1"/>
  <c r="E84" i="1"/>
  <c r="A84" i="1"/>
  <c r="E85" i="1"/>
  <c r="A85" i="1"/>
  <c r="E86" i="1"/>
  <c r="A86" i="1"/>
  <c r="E87" i="1"/>
  <c r="A87" i="1"/>
  <c r="E88" i="1"/>
  <c r="A88" i="1"/>
  <c r="E89" i="1"/>
  <c r="A89" i="1"/>
  <c r="E90" i="1"/>
  <c r="A90" i="1"/>
  <c r="E91" i="1"/>
  <c r="A91" i="1"/>
  <c r="E92" i="1"/>
  <c r="A92" i="1"/>
  <c r="E93" i="1"/>
  <c r="A93" i="1"/>
  <c r="E94" i="1"/>
  <c r="A94" i="1"/>
  <c r="E95" i="1"/>
  <c r="A95" i="1"/>
  <c r="E96" i="1"/>
  <c r="A96" i="1"/>
  <c r="E97" i="1"/>
  <c r="A97" i="1"/>
  <c r="E98" i="1"/>
  <c r="A98" i="1"/>
  <c r="E99" i="1"/>
  <c r="A99" i="1"/>
  <c r="E100" i="1"/>
  <c r="A100" i="1"/>
  <c r="E101" i="1"/>
  <c r="A101" i="1"/>
  <c r="E102" i="1"/>
  <c r="A102" i="1"/>
  <c r="E103" i="1"/>
  <c r="A103" i="1"/>
  <c r="E104" i="1"/>
  <c r="A104" i="1"/>
  <c r="E105" i="1"/>
  <c r="A105" i="1"/>
  <c r="E106" i="1"/>
  <c r="A106" i="1"/>
  <c r="E107" i="1"/>
  <c r="A107" i="1"/>
  <c r="E108" i="1"/>
  <c r="A108" i="1"/>
  <c r="E109" i="1"/>
  <c r="A109" i="1"/>
  <c r="E110" i="1"/>
  <c r="A110" i="1"/>
  <c r="E111" i="1"/>
  <c r="A111" i="1"/>
  <c r="E112" i="1"/>
  <c r="A112" i="1"/>
  <c r="E113" i="1"/>
  <c r="A113" i="1"/>
  <c r="E114" i="1"/>
  <c r="A114" i="1"/>
  <c r="E115" i="1"/>
  <c r="A115" i="1"/>
  <c r="E116" i="1"/>
  <c r="A116" i="1"/>
  <c r="E117" i="1"/>
  <c r="A117" i="1"/>
  <c r="E118" i="1"/>
  <c r="A118" i="1"/>
  <c r="E119" i="1"/>
  <c r="A119" i="1"/>
  <c r="E120" i="1"/>
  <c r="A120" i="1"/>
  <c r="E121" i="1"/>
  <c r="A121" i="1"/>
  <c r="E122" i="1"/>
  <c r="A122" i="1"/>
  <c r="E123" i="1"/>
  <c r="A123" i="1"/>
  <c r="E124" i="1"/>
  <c r="A124" i="1"/>
  <c r="E125" i="1"/>
  <c r="A125" i="1"/>
  <c r="E126" i="1"/>
  <c r="A126" i="1"/>
  <c r="E127" i="1"/>
  <c r="A127" i="1"/>
  <c r="E128" i="1"/>
  <c r="A128" i="1"/>
  <c r="E129" i="1"/>
  <c r="A129" i="1"/>
  <c r="E130" i="1"/>
  <c r="A130" i="1"/>
  <c r="E131" i="1"/>
  <c r="A131" i="1"/>
  <c r="E132" i="1"/>
  <c r="A132" i="1"/>
  <c r="E133" i="1"/>
  <c r="A133" i="1"/>
  <c r="E134" i="1"/>
  <c r="A134" i="1"/>
  <c r="E135" i="1"/>
  <c r="A135" i="1"/>
  <c r="E136" i="1"/>
  <c r="A136" i="1"/>
  <c r="E137" i="1"/>
  <c r="A137" i="1"/>
  <c r="E138" i="1"/>
  <c r="A138" i="1"/>
  <c r="E139" i="1"/>
  <c r="A139" i="1"/>
  <c r="E140" i="1"/>
  <c r="A140" i="1"/>
  <c r="E141" i="1"/>
  <c r="A141" i="1"/>
  <c r="E142" i="1"/>
  <c r="A142" i="1"/>
  <c r="E143" i="1"/>
  <c r="A143" i="1"/>
  <c r="E144" i="1"/>
  <c r="A144" i="1"/>
  <c r="E145" i="1"/>
  <c r="A145" i="1"/>
  <c r="E146" i="1"/>
  <c r="A146" i="1"/>
  <c r="E147" i="1"/>
  <c r="A147" i="1"/>
  <c r="E148" i="1"/>
  <c r="A148" i="1"/>
  <c r="E149" i="1"/>
  <c r="A149" i="1"/>
  <c r="E150" i="1"/>
  <c r="A150" i="1"/>
  <c r="E151" i="1"/>
  <c r="A151" i="1"/>
  <c r="E152" i="1"/>
  <c r="A152" i="1"/>
  <c r="E153" i="1"/>
  <c r="A153" i="1"/>
  <c r="E154" i="1"/>
  <c r="A154" i="1"/>
  <c r="E155" i="1"/>
  <c r="A155" i="1"/>
  <c r="E156" i="1"/>
  <c r="A156" i="1"/>
  <c r="E157" i="1"/>
  <c r="A157" i="1"/>
  <c r="E158" i="1"/>
  <c r="A158" i="1"/>
  <c r="E159" i="1"/>
  <c r="A159" i="1"/>
  <c r="E160" i="1"/>
  <c r="A160" i="1"/>
  <c r="E161" i="1"/>
  <c r="A161" i="1"/>
  <c r="E162" i="1"/>
  <c r="A162" i="1"/>
  <c r="E163" i="1"/>
  <c r="A163" i="1"/>
  <c r="E164" i="1"/>
  <c r="A164" i="1"/>
  <c r="E165" i="1"/>
  <c r="A165" i="1"/>
  <c r="E166" i="1"/>
  <c r="A166" i="1"/>
  <c r="E167" i="1"/>
  <c r="A167" i="1"/>
  <c r="E168" i="1"/>
  <c r="A168" i="1"/>
  <c r="E169" i="1"/>
  <c r="A169" i="1"/>
  <c r="E170" i="1"/>
  <c r="A170" i="1"/>
  <c r="E171" i="1"/>
  <c r="A171" i="1"/>
  <c r="E172" i="1"/>
  <c r="A172" i="1"/>
  <c r="E173" i="1"/>
  <c r="A173" i="1"/>
  <c r="E174" i="1"/>
  <c r="A174" i="1"/>
  <c r="E175" i="1"/>
  <c r="A175" i="1"/>
  <c r="E176" i="1"/>
  <c r="A176" i="1"/>
  <c r="E177" i="1"/>
  <c r="A177" i="1"/>
  <c r="E178" i="1"/>
  <c r="A178" i="1"/>
  <c r="E179" i="1"/>
  <c r="A179" i="1"/>
  <c r="E180" i="1"/>
  <c r="A180" i="1"/>
  <c r="E181" i="1"/>
  <c r="A181" i="1"/>
  <c r="E182" i="1"/>
  <c r="A182" i="1"/>
  <c r="E183" i="1"/>
  <c r="A183" i="1"/>
  <c r="E184" i="1"/>
  <c r="A184" i="1"/>
  <c r="E185" i="1"/>
  <c r="A185" i="1"/>
  <c r="E186" i="1"/>
  <c r="A186" i="1"/>
  <c r="E187" i="1"/>
  <c r="A187" i="1"/>
  <c r="E188" i="1"/>
  <c r="A188" i="1"/>
  <c r="E189" i="1"/>
  <c r="A189" i="1"/>
  <c r="E190" i="1"/>
  <c r="A190" i="1"/>
  <c r="E191" i="1"/>
  <c r="A191" i="1"/>
  <c r="E192" i="1"/>
  <c r="A192" i="1"/>
  <c r="E193" i="1"/>
  <c r="A193" i="1"/>
  <c r="E194" i="1"/>
  <c r="A194" i="1"/>
  <c r="E195" i="1"/>
  <c r="A195" i="1"/>
  <c r="E196" i="1"/>
  <c r="A196" i="1"/>
  <c r="E197" i="1"/>
  <c r="A197" i="1"/>
  <c r="E198" i="1"/>
  <c r="A198" i="1"/>
  <c r="E199" i="1"/>
  <c r="A199" i="1"/>
  <c r="E200" i="1"/>
  <c r="A200" i="1"/>
  <c r="E201" i="1"/>
  <c r="A201" i="1"/>
  <c r="E202" i="1"/>
  <c r="A202" i="1"/>
  <c r="E203" i="1"/>
  <c r="A203" i="1"/>
  <c r="E204" i="1"/>
  <c r="A204" i="1"/>
  <c r="E205" i="1"/>
  <c r="A205" i="1"/>
  <c r="E206" i="1"/>
  <c r="A206" i="1"/>
  <c r="E207" i="1"/>
  <c r="A207" i="1"/>
  <c r="E208" i="1"/>
  <c r="A208" i="1"/>
  <c r="E209" i="1"/>
  <c r="A209" i="1"/>
  <c r="E210" i="1"/>
  <c r="A210" i="1"/>
  <c r="E211" i="1"/>
  <c r="A211" i="1"/>
  <c r="E212" i="1"/>
  <c r="A212" i="1"/>
  <c r="E213" i="1"/>
  <c r="A213" i="1"/>
  <c r="E214" i="1"/>
  <c r="A214" i="1"/>
  <c r="E215" i="1"/>
  <c r="A215" i="1"/>
  <c r="E216" i="1"/>
  <c r="A216" i="1"/>
  <c r="E217" i="1"/>
  <c r="A217" i="1"/>
  <c r="E218" i="1"/>
  <c r="A218" i="1"/>
  <c r="E219" i="1"/>
  <c r="A219" i="1"/>
  <c r="E220" i="1"/>
  <c r="A220" i="1"/>
  <c r="E221" i="1"/>
  <c r="A221" i="1"/>
  <c r="E222" i="1"/>
  <c r="A222" i="1"/>
  <c r="E223" i="1"/>
  <c r="A223" i="1"/>
  <c r="E224" i="1"/>
  <c r="A224" i="1"/>
  <c r="E225" i="1"/>
  <c r="A225" i="1"/>
  <c r="E226" i="1"/>
  <c r="A226" i="1"/>
  <c r="E227" i="1"/>
  <c r="A227" i="1"/>
  <c r="E228" i="1"/>
  <c r="A228" i="1"/>
  <c r="H400" i="1"/>
  <c r="H401" i="1"/>
  <c r="H402" i="1"/>
  <c r="H399" i="1"/>
  <c r="K400" i="1"/>
  <c r="K401" i="1"/>
  <c r="K402" i="1"/>
  <c r="K403" i="1"/>
  <c r="H395" i="1"/>
  <c r="H396" i="1"/>
  <c r="H397" i="1"/>
  <c r="H398" i="1"/>
  <c r="H394" i="1"/>
  <c r="K395" i="1"/>
  <c r="K396" i="1"/>
  <c r="K397" i="1"/>
  <c r="K398" i="1"/>
  <c r="K399" i="1"/>
  <c r="K391" i="1"/>
  <c r="K392" i="1"/>
  <c r="K393" i="1"/>
  <c r="K394" i="1"/>
  <c r="H391" i="1"/>
  <c r="H392" i="1"/>
  <c r="H393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390" i="1"/>
  <c r="L181" i="1"/>
  <c r="AG501" i="1"/>
  <c r="AE501" i="1"/>
  <c r="AF501" i="1"/>
  <c r="AG500" i="1"/>
  <c r="AE500" i="1"/>
  <c r="AF500" i="1"/>
  <c r="AG499" i="1"/>
  <c r="AE499" i="1"/>
  <c r="AF499" i="1"/>
  <c r="AG498" i="1"/>
  <c r="AE498" i="1"/>
  <c r="AF498" i="1"/>
  <c r="AG497" i="1"/>
  <c r="AE497" i="1"/>
  <c r="AF497" i="1"/>
  <c r="AG496" i="1"/>
  <c r="AE496" i="1"/>
  <c r="AF496" i="1"/>
  <c r="AG495" i="1"/>
  <c r="AE495" i="1"/>
  <c r="AF495" i="1"/>
  <c r="AG494" i="1"/>
  <c r="AE494" i="1"/>
  <c r="AF494" i="1"/>
  <c r="AG493" i="1"/>
  <c r="AE493" i="1"/>
  <c r="AF493" i="1"/>
  <c r="AG492" i="1"/>
  <c r="AE492" i="1"/>
  <c r="AF492" i="1"/>
  <c r="AG491" i="1"/>
  <c r="AE491" i="1"/>
  <c r="AF491" i="1"/>
  <c r="AG490" i="1"/>
  <c r="AE490" i="1"/>
  <c r="AF490" i="1"/>
  <c r="AG489" i="1"/>
  <c r="AE489" i="1"/>
  <c r="AF489" i="1"/>
  <c r="AG488" i="1"/>
  <c r="AE488" i="1"/>
  <c r="AF488" i="1"/>
  <c r="AG487" i="1"/>
  <c r="AE487" i="1"/>
  <c r="AF487" i="1"/>
  <c r="AG486" i="1"/>
  <c r="AE486" i="1"/>
  <c r="AF486" i="1"/>
  <c r="AG485" i="1"/>
  <c r="AE485" i="1"/>
  <c r="AF485" i="1"/>
  <c r="AG484" i="1"/>
  <c r="AE484" i="1"/>
  <c r="AF484" i="1"/>
  <c r="AG483" i="1"/>
  <c r="AE483" i="1"/>
  <c r="AF483" i="1"/>
  <c r="AG482" i="1"/>
  <c r="AE482" i="1"/>
  <c r="AF482" i="1"/>
  <c r="AG481" i="1"/>
  <c r="AE481" i="1"/>
  <c r="AF481" i="1"/>
  <c r="AG480" i="1"/>
  <c r="AE480" i="1"/>
  <c r="AF480" i="1"/>
  <c r="AG479" i="1"/>
  <c r="AE479" i="1"/>
  <c r="AF479" i="1"/>
  <c r="AG478" i="1"/>
  <c r="AE478" i="1"/>
  <c r="AF478" i="1"/>
  <c r="AG477" i="1"/>
  <c r="AE477" i="1"/>
  <c r="AF477" i="1"/>
  <c r="AG476" i="1"/>
  <c r="AE476" i="1"/>
  <c r="AF476" i="1"/>
  <c r="AG475" i="1"/>
  <c r="AE475" i="1"/>
  <c r="AF475" i="1"/>
  <c r="AG474" i="1"/>
  <c r="AE474" i="1"/>
  <c r="AF474" i="1"/>
  <c r="AG473" i="1"/>
  <c r="AE473" i="1"/>
  <c r="AF473" i="1"/>
  <c r="AG472" i="1"/>
  <c r="AE472" i="1"/>
  <c r="AF472" i="1"/>
  <c r="AG471" i="1"/>
  <c r="AE471" i="1"/>
  <c r="AF471" i="1"/>
  <c r="AG470" i="1"/>
  <c r="AE470" i="1"/>
  <c r="AF470" i="1"/>
  <c r="AG469" i="1"/>
  <c r="AE469" i="1"/>
  <c r="AF469" i="1"/>
  <c r="AG468" i="1"/>
  <c r="AE468" i="1"/>
  <c r="AF468" i="1"/>
  <c r="AG467" i="1"/>
  <c r="AE467" i="1"/>
  <c r="AF467" i="1"/>
  <c r="AG466" i="1"/>
  <c r="AE466" i="1"/>
  <c r="AF466" i="1"/>
  <c r="AG465" i="1"/>
  <c r="AE465" i="1"/>
  <c r="AF465" i="1"/>
  <c r="AG464" i="1"/>
  <c r="AE464" i="1"/>
  <c r="AF464" i="1"/>
  <c r="AG463" i="1"/>
  <c r="AE463" i="1"/>
  <c r="AF463" i="1"/>
  <c r="AG462" i="1"/>
  <c r="AE462" i="1"/>
  <c r="AF462" i="1"/>
  <c r="AG461" i="1"/>
  <c r="AE461" i="1"/>
  <c r="AF461" i="1"/>
  <c r="AG460" i="1"/>
  <c r="AE460" i="1"/>
  <c r="AF460" i="1"/>
  <c r="AG459" i="1"/>
  <c r="AE459" i="1"/>
  <c r="AF459" i="1"/>
  <c r="AG458" i="1"/>
  <c r="AE458" i="1"/>
  <c r="AF458" i="1"/>
  <c r="AG457" i="1"/>
  <c r="AE457" i="1"/>
  <c r="AF457" i="1"/>
  <c r="AG456" i="1"/>
  <c r="AE456" i="1"/>
  <c r="AF456" i="1"/>
  <c r="AG455" i="1"/>
  <c r="AE455" i="1"/>
  <c r="AF455" i="1"/>
  <c r="AG454" i="1"/>
  <c r="AE454" i="1"/>
  <c r="AF454" i="1"/>
  <c r="AG453" i="1"/>
  <c r="AE453" i="1"/>
  <c r="AF453" i="1"/>
  <c r="AG452" i="1"/>
  <c r="AE452" i="1"/>
  <c r="AF452" i="1"/>
  <c r="AG451" i="1"/>
  <c r="AE451" i="1"/>
  <c r="AF451" i="1"/>
  <c r="AG450" i="1"/>
  <c r="AE450" i="1"/>
  <c r="AF450" i="1"/>
  <c r="AG449" i="1"/>
  <c r="AE449" i="1"/>
  <c r="AF449" i="1"/>
  <c r="AG448" i="1"/>
  <c r="AE448" i="1"/>
  <c r="AF448" i="1"/>
  <c r="AG447" i="1"/>
  <c r="AE447" i="1"/>
  <c r="AF447" i="1"/>
  <c r="AG446" i="1"/>
  <c r="AE446" i="1"/>
  <c r="AF446" i="1"/>
  <c r="AG445" i="1"/>
  <c r="AE445" i="1"/>
  <c r="AF445" i="1"/>
  <c r="AG444" i="1"/>
  <c r="AE444" i="1"/>
  <c r="AF444" i="1"/>
  <c r="AG443" i="1"/>
  <c r="AE443" i="1"/>
  <c r="AF443" i="1"/>
  <c r="AG442" i="1"/>
  <c r="AE442" i="1"/>
  <c r="AF442" i="1"/>
  <c r="AG441" i="1"/>
  <c r="AE441" i="1"/>
  <c r="AF441" i="1"/>
  <c r="AG440" i="1"/>
  <c r="AE440" i="1"/>
  <c r="AF440" i="1"/>
  <c r="AG439" i="1"/>
  <c r="AE439" i="1"/>
  <c r="AF439" i="1"/>
  <c r="AG438" i="1"/>
  <c r="AE438" i="1"/>
  <c r="AF438" i="1"/>
  <c r="AG437" i="1"/>
  <c r="AE437" i="1"/>
  <c r="AF437" i="1"/>
  <c r="AG436" i="1"/>
  <c r="AE436" i="1"/>
  <c r="AF436" i="1"/>
  <c r="AG435" i="1"/>
  <c r="AE435" i="1"/>
  <c r="AF435" i="1"/>
  <c r="AG434" i="1"/>
  <c r="AE434" i="1"/>
  <c r="AF434" i="1"/>
  <c r="AG433" i="1"/>
  <c r="AE433" i="1"/>
  <c r="AF433" i="1"/>
  <c r="AG432" i="1"/>
  <c r="AE432" i="1"/>
  <c r="AF432" i="1"/>
  <c r="AG431" i="1"/>
  <c r="AE431" i="1"/>
  <c r="AF431" i="1"/>
  <c r="AG430" i="1"/>
  <c r="AE430" i="1"/>
  <c r="AF430" i="1"/>
  <c r="AG429" i="1"/>
  <c r="AE429" i="1"/>
  <c r="AF429" i="1"/>
  <c r="AG428" i="1"/>
  <c r="AE428" i="1"/>
  <c r="AF428" i="1"/>
  <c r="AG427" i="1"/>
  <c r="AE427" i="1"/>
  <c r="AF427" i="1"/>
  <c r="AG426" i="1"/>
  <c r="AE426" i="1"/>
  <c r="AF426" i="1"/>
  <c r="AG425" i="1"/>
  <c r="AE425" i="1"/>
  <c r="AF425" i="1"/>
  <c r="AG424" i="1"/>
  <c r="AE424" i="1"/>
  <c r="AF424" i="1"/>
  <c r="AG423" i="1"/>
  <c r="AE423" i="1"/>
  <c r="AF423" i="1"/>
  <c r="AG422" i="1"/>
  <c r="AE422" i="1"/>
  <c r="AF422" i="1"/>
  <c r="AG421" i="1"/>
  <c r="AE421" i="1"/>
  <c r="AF421" i="1"/>
  <c r="AG420" i="1"/>
  <c r="AE420" i="1"/>
  <c r="AF420" i="1"/>
  <c r="AG419" i="1"/>
  <c r="AE419" i="1"/>
  <c r="AF419" i="1"/>
  <c r="AG418" i="1"/>
  <c r="AE418" i="1"/>
  <c r="AF418" i="1"/>
  <c r="AG417" i="1"/>
  <c r="AE417" i="1"/>
  <c r="AF417" i="1"/>
  <c r="AG416" i="1"/>
  <c r="AE416" i="1"/>
  <c r="AF416" i="1"/>
  <c r="AG415" i="1"/>
  <c r="AE415" i="1"/>
  <c r="AF415" i="1"/>
  <c r="AG414" i="1"/>
  <c r="AE414" i="1"/>
  <c r="AF414" i="1"/>
  <c r="AG413" i="1"/>
  <c r="AE413" i="1"/>
  <c r="AF413" i="1"/>
  <c r="AG412" i="1"/>
  <c r="AE412" i="1"/>
  <c r="AF412" i="1"/>
  <c r="AG411" i="1"/>
  <c r="AE411" i="1"/>
  <c r="AF411" i="1"/>
  <c r="AG410" i="1"/>
  <c r="AE410" i="1"/>
  <c r="AF410" i="1"/>
  <c r="AG409" i="1"/>
  <c r="AE409" i="1"/>
  <c r="AF409" i="1"/>
  <c r="AG408" i="1"/>
  <c r="AE408" i="1"/>
  <c r="AF408" i="1"/>
  <c r="AG407" i="1"/>
  <c r="AE407" i="1"/>
  <c r="AF407" i="1"/>
  <c r="AG406" i="1"/>
  <c r="AE406" i="1"/>
  <c r="AF406" i="1"/>
  <c r="AG405" i="1"/>
  <c r="AE405" i="1"/>
  <c r="AF405" i="1"/>
  <c r="AG404" i="1"/>
  <c r="AE404" i="1"/>
  <c r="AF404" i="1"/>
  <c r="AG403" i="1"/>
  <c r="AE403" i="1"/>
  <c r="AF403" i="1"/>
  <c r="AG402" i="1"/>
  <c r="AE402" i="1"/>
  <c r="AF402" i="1"/>
  <c r="AG401" i="1"/>
  <c r="AE401" i="1"/>
  <c r="AF401" i="1"/>
  <c r="AG400" i="1"/>
  <c r="AE400" i="1"/>
  <c r="AF400" i="1"/>
  <c r="AG399" i="1"/>
  <c r="AE399" i="1"/>
  <c r="AF399" i="1"/>
  <c r="AG398" i="1"/>
  <c r="AE398" i="1"/>
  <c r="AF398" i="1"/>
  <c r="AG397" i="1"/>
  <c r="AE397" i="1"/>
  <c r="AF397" i="1"/>
  <c r="AG396" i="1"/>
  <c r="AE396" i="1"/>
  <c r="AF396" i="1"/>
  <c r="AG395" i="1"/>
  <c r="AE395" i="1"/>
  <c r="AF395" i="1"/>
  <c r="AG394" i="1"/>
  <c r="AE394" i="1"/>
  <c r="AF394" i="1"/>
  <c r="AG393" i="1"/>
  <c r="AE393" i="1"/>
  <c r="AF393" i="1"/>
  <c r="AG392" i="1"/>
  <c r="AE392" i="1"/>
  <c r="AF392" i="1"/>
  <c r="AG391" i="1"/>
  <c r="AE391" i="1"/>
  <c r="AF391" i="1"/>
  <c r="AG390" i="1"/>
  <c r="AE390" i="1"/>
  <c r="AF390" i="1"/>
  <c r="AG389" i="1"/>
  <c r="AE389" i="1"/>
  <c r="AF389" i="1"/>
  <c r="AG388" i="1"/>
  <c r="AE388" i="1"/>
  <c r="AF388" i="1"/>
  <c r="AG387" i="1"/>
  <c r="AE387" i="1"/>
  <c r="AF387" i="1"/>
  <c r="AG386" i="1"/>
  <c r="AE386" i="1"/>
  <c r="AF386" i="1"/>
  <c r="AG385" i="1"/>
  <c r="AE385" i="1"/>
  <c r="AF385" i="1"/>
  <c r="AG384" i="1"/>
  <c r="AE384" i="1"/>
  <c r="AF384" i="1"/>
  <c r="AG383" i="1"/>
  <c r="AE383" i="1"/>
  <c r="AF383" i="1"/>
  <c r="AG382" i="1"/>
  <c r="AE382" i="1"/>
  <c r="AF382" i="1"/>
  <c r="AG381" i="1"/>
  <c r="AE381" i="1"/>
  <c r="AF381" i="1"/>
  <c r="AG380" i="1"/>
  <c r="AE380" i="1"/>
  <c r="AF380" i="1"/>
  <c r="AG379" i="1"/>
  <c r="AE379" i="1"/>
  <c r="AF379" i="1"/>
  <c r="AG378" i="1"/>
  <c r="AE378" i="1"/>
  <c r="AF378" i="1"/>
  <c r="AG377" i="1"/>
  <c r="AE377" i="1"/>
  <c r="AF377" i="1"/>
  <c r="AG376" i="1"/>
  <c r="AE376" i="1"/>
  <c r="AF376" i="1"/>
  <c r="AG375" i="1"/>
  <c r="AE375" i="1"/>
  <c r="AF375" i="1"/>
  <c r="AG374" i="1"/>
  <c r="AE374" i="1"/>
  <c r="AF374" i="1"/>
  <c r="AG373" i="1"/>
  <c r="AE373" i="1"/>
  <c r="AF373" i="1"/>
  <c r="AG372" i="1"/>
  <c r="AE372" i="1"/>
  <c r="AF372" i="1"/>
  <c r="AG371" i="1"/>
  <c r="AE371" i="1"/>
  <c r="AF371" i="1"/>
  <c r="AG370" i="1"/>
  <c r="AE370" i="1"/>
  <c r="AF370" i="1"/>
  <c r="AG369" i="1"/>
  <c r="AE369" i="1"/>
  <c r="AF369" i="1"/>
  <c r="AG368" i="1"/>
  <c r="AE368" i="1"/>
  <c r="AF368" i="1"/>
  <c r="AG367" i="1"/>
  <c r="AE367" i="1"/>
  <c r="AF367" i="1"/>
  <c r="AG366" i="1"/>
  <c r="AE366" i="1"/>
  <c r="AF366" i="1"/>
  <c r="AG365" i="1"/>
  <c r="AE365" i="1"/>
  <c r="AF365" i="1"/>
  <c r="AG364" i="1"/>
  <c r="AE364" i="1"/>
  <c r="AF364" i="1"/>
  <c r="AG363" i="1"/>
  <c r="AE363" i="1"/>
  <c r="AF363" i="1"/>
  <c r="AG362" i="1"/>
  <c r="AE362" i="1"/>
  <c r="AF362" i="1"/>
  <c r="AG361" i="1"/>
  <c r="AE361" i="1"/>
  <c r="AF361" i="1"/>
  <c r="AG360" i="1"/>
  <c r="AE360" i="1"/>
  <c r="AF360" i="1"/>
  <c r="AG359" i="1"/>
  <c r="AE359" i="1"/>
  <c r="AF359" i="1"/>
  <c r="AG358" i="1"/>
  <c r="AE358" i="1"/>
  <c r="AF358" i="1"/>
  <c r="AG357" i="1"/>
  <c r="AE357" i="1"/>
  <c r="AF357" i="1"/>
  <c r="AG356" i="1"/>
  <c r="AE356" i="1"/>
  <c r="AF356" i="1"/>
  <c r="AG355" i="1"/>
  <c r="AE355" i="1"/>
  <c r="AF355" i="1"/>
  <c r="AG354" i="1"/>
  <c r="AE354" i="1"/>
  <c r="AF354" i="1"/>
  <c r="AG353" i="1"/>
  <c r="AE353" i="1"/>
  <c r="AF353" i="1"/>
  <c r="AG352" i="1"/>
  <c r="AE352" i="1"/>
  <c r="AF352" i="1"/>
  <c r="AG351" i="1"/>
  <c r="AE351" i="1"/>
  <c r="AF351" i="1"/>
  <c r="AG350" i="1"/>
  <c r="AE350" i="1"/>
  <c r="AF350" i="1"/>
  <c r="AG349" i="1"/>
  <c r="AE349" i="1"/>
  <c r="AF349" i="1"/>
  <c r="AG348" i="1"/>
  <c r="AE348" i="1"/>
  <c r="AF348" i="1"/>
  <c r="AG347" i="1"/>
  <c r="AE347" i="1"/>
  <c r="AF347" i="1"/>
  <c r="AG346" i="1"/>
  <c r="AE346" i="1"/>
  <c r="AF346" i="1"/>
  <c r="AG345" i="1"/>
  <c r="AE345" i="1"/>
  <c r="AF345" i="1"/>
  <c r="AG344" i="1"/>
  <c r="AE344" i="1"/>
  <c r="AF344" i="1"/>
  <c r="AG343" i="1"/>
  <c r="AE343" i="1"/>
  <c r="AF343" i="1"/>
  <c r="AG342" i="1"/>
  <c r="AE342" i="1"/>
  <c r="AF342" i="1"/>
  <c r="AG341" i="1"/>
  <c r="AE341" i="1"/>
  <c r="AF341" i="1"/>
  <c r="AG340" i="1"/>
  <c r="AE340" i="1"/>
  <c r="AF340" i="1"/>
  <c r="AG339" i="1"/>
  <c r="AE339" i="1"/>
  <c r="AF339" i="1"/>
  <c r="AG338" i="1"/>
  <c r="AE338" i="1"/>
  <c r="AF338" i="1"/>
  <c r="AG337" i="1"/>
  <c r="AE337" i="1"/>
  <c r="AF337" i="1"/>
  <c r="AG336" i="1"/>
  <c r="AE336" i="1"/>
  <c r="AF336" i="1"/>
  <c r="AG335" i="1"/>
  <c r="AE335" i="1"/>
  <c r="AF335" i="1"/>
  <c r="AG334" i="1"/>
  <c r="AE334" i="1"/>
  <c r="AF334" i="1"/>
  <c r="AG333" i="1"/>
  <c r="AE333" i="1"/>
  <c r="AF333" i="1"/>
  <c r="AG332" i="1"/>
  <c r="AE332" i="1"/>
  <c r="AF332" i="1"/>
  <c r="AG331" i="1"/>
  <c r="AE331" i="1"/>
  <c r="AF331" i="1"/>
  <c r="AG330" i="1"/>
  <c r="AE330" i="1"/>
  <c r="AF330" i="1"/>
  <c r="AG329" i="1"/>
  <c r="AE329" i="1"/>
  <c r="AF329" i="1"/>
  <c r="AG328" i="1"/>
  <c r="AE328" i="1"/>
  <c r="AF328" i="1"/>
  <c r="AG327" i="1"/>
  <c r="AE327" i="1"/>
  <c r="AF327" i="1"/>
  <c r="AG326" i="1"/>
  <c r="AE326" i="1"/>
  <c r="AF326" i="1"/>
  <c r="AG325" i="1"/>
  <c r="AE325" i="1"/>
  <c r="AF325" i="1"/>
  <c r="AG324" i="1"/>
  <c r="AE324" i="1"/>
  <c r="AF324" i="1"/>
  <c r="AG323" i="1"/>
  <c r="AE323" i="1"/>
  <c r="AF323" i="1"/>
  <c r="AG322" i="1"/>
  <c r="AE322" i="1"/>
  <c r="AF322" i="1"/>
  <c r="AG321" i="1"/>
  <c r="AE321" i="1"/>
  <c r="AF321" i="1"/>
  <c r="AG320" i="1"/>
  <c r="AE320" i="1"/>
  <c r="AF320" i="1"/>
  <c r="AG319" i="1"/>
  <c r="AE319" i="1"/>
  <c r="AF319" i="1"/>
  <c r="AG318" i="1"/>
  <c r="AE318" i="1"/>
  <c r="AF318" i="1"/>
  <c r="AG317" i="1"/>
  <c r="AE317" i="1"/>
  <c r="AF317" i="1"/>
  <c r="AG316" i="1"/>
  <c r="AE316" i="1"/>
  <c r="AF316" i="1"/>
  <c r="AG315" i="1"/>
  <c r="AE315" i="1"/>
  <c r="AF315" i="1"/>
  <c r="AG314" i="1"/>
  <c r="AE314" i="1"/>
  <c r="AF314" i="1"/>
  <c r="AG313" i="1"/>
  <c r="AE313" i="1"/>
  <c r="AF313" i="1"/>
  <c r="AG312" i="1"/>
  <c r="AE312" i="1"/>
  <c r="AF312" i="1"/>
  <c r="AG311" i="1"/>
  <c r="AE311" i="1"/>
  <c r="AF311" i="1"/>
  <c r="AG310" i="1"/>
  <c r="AE310" i="1"/>
  <c r="AF310" i="1"/>
  <c r="AG309" i="1"/>
  <c r="AE309" i="1"/>
  <c r="AF309" i="1"/>
  <c r="AG308" i="1"/>
  <c r="AE308" i="1"/>
  <c r="AF308" i="1"/>
  <c r="AG307" i="1"/>
  <c r="AE307" i="1"/>
  <c r="AF307" i="1"/>
  <c r="AG306" i="1"/>
  <c r="AE306" i="1"/>
  <c r="AF306" i="1"/>
  <c r="AG305" i="1"/>
  <c r="AE305" i="1"/>
  <c r="AF305" i="1"/>
  <c r="AG304" i="1"/>
  <c r="AE304" i="1"/>
  <c r="AF304" i="1"/>
  <c r="AG303" i="1"/>
  <c r="AE303" i="1"/>
  <c r="AF303" i="1"/>
  <c r="AG302" i="1"/>
  <c r="AE302" i="1"/>
  <c r="AF302" i="1"/>
  <c r="AG301" i="1"/>
  <c r="AE301" i="1"/>
  <c r="AF301" i="1"/>
  <c r="AG300" i="1"/>
  <c r="AE300" i="1"/>
  <c r="AF300" i="1"/>
  <c r="AG299" i="1"/>
  <c r="AE299" i="1"/>
  <c r="AF299" i="1"/>
  <c r="AG298" i="1"/>
  <c r="AE298" i="1"/>
  <c r="AF298" i="1"/>
  <c r="AG297" i="1"/>
  <c r="AE297" i="1"/>
  <c r="AF297" i="1"/>
  <c r="AG296" i="1"/>
  <c r="AE296" i="1"/>
  <c r="AF296" i="1"/>
  <c r="AG295" i="1"/>
  <c r="AE295" i="1"/>
  <c r="AF295" i="1"/>
  <c r="AG294" i="1"/>
  <c r="AE294" i="1"/>
  <c r="AF294" i="1"/>
  <c r="AG293" i="1"/>
  <c r="AE293" i="1"/>
  <c r="AF293" i="1"/>
  <c r="AG292" i="1"/>
  <c r="AE292" i="1"/>
  <c r="AF292" i="1"/>
  <c r="AG291" i="1"/>
  <c r="AE291" i="1"/>
  <c r="AF291" i="1"/>
  <c r="AG290" i="1"/>
  <c r="AE290" i="1"/>
  <c r="AF290" i="1"/>
  <c r="AG289" i="1"/>
  <c r="AE289" i="1"/>
  <c r="AF289" i="1"/>
  <c r="AG288" i="1"/>
  <c r="AE288" i="1"/>
  <c r="AF288" i="1"/>
  <c r="AG287" i="1"/>
  <c r="AE287" i="1"/>
  <c r="AF287" i="1"/>
  <c r="AG286" i="1"/>
  <c r="AE286" i="1"/>
  <c r="AF286" i="1"/>
  <c r="AG285" i="1"/>
  <c r="AE285" i="1"/>
  <c r="AF285" i="1"/>
  <c r="AG284" i="1"/>
  <c r="AE284" i="1"/>
  <c r="AF284" i="1"/>
  <c r="AG283" i="1"/>
  <c r="AE283" i="1"/>
  <c r="AF283" i="1"/>
  <c r="AG282" i="1"/>
  <c r="AE282" i="1"/>
  <c r="AF282" i="1"/>
  <c r="AG281" i="1"/>
  <c r="AE281" i="1"/>
  <c r="AF281" i="1"/>
  <c r="AG280" i="1"/>
  <c r="AE280" i="1"/>
  <c r="AF280" i="1"/>
  <c r="AG279" i="1"/>
  <c r="AE279" i="1"/>
  <c r="AF279" i="1"/>
  <c r="AG278" i="1"/>
  <c r="AE278" i="1"/>
  <c r="AF278" i="1"/>
  <c r="AG277" i="1"/>
  <c r="AE277" i="1"/>
  <c r="AF277" i="1"/>
  <c r="AG276" i="1"/>
  <c r="AE276" i="1"/>
  <c r="AF276" i="1"/>
  <c r="AG275" i="1"/>
  <c r="AE275" i="1"/>
  <c r="AF275" i="1"/>
  <c r="AG274" i="1"/>
  <c r="AE274" i="1"/>
  <c r="AF274" i="1"/>
  <c r="AG273" i="1"/>
  <c r="AE273" i="1"/>
  <c r="AF273" i="1"/>
  <c r="AG272" i="1"/>
  <c r="AE272" i="1"/>
  <c r="AF272" i="1"/>
  <c r="AG271" i="1"/>
  <c r="AE271" i="1"/>
  <c r="AF271" i="1"/>
  <c r="AG270" i="1"/>
  <c r="AE270" i="1"/>
  <c r="AF270" i="1"/>
  <c r="AG269" i="1"/>
  <c r="AE269" i="1"/>
  <c r="AF269" i="1"/>
  <c r="AG268" i="1"/>
  <c r="AE268" i="1"/>
  <c r="AF268" i="1"/>
  <c r="AG267" i="1"/>
  <c r="AE267" i="1"/>
  <c r="AF267" i="1"/>
  <c r="AG266" i="1"/>
  <c r="AE266" i="1"/>
  <c r="AF266" i="1"/>
  <c r="AG265" i="1"/>
  <c r="AE265" i="1"/>
  <c r="AF265" i="1"/>
  <c r="AG264" i="1"/>
  <c r="AE264" i="1"/>
  <c r="AF264" i="1"/>
  <c r="AG263" i="1"/>
  <c r="AE263" i="1"/>
  <c r="AF263" i="1"/>
  <c r="AG262" i="1"/>
  <c r="AE262" i="1"/>
  <c r="AF262" i="1"/>
  <c r="AG261" i="1"/>
  <c r="AE261" i="1"/>
  <c r="AF261" i="1"/>
  <c r="AG260" i="1"/>
  <c r="AE260" i="1"/>
  <c r="AF260" i="1"/>
  <c r="AG259" i="1"/>
  <c r="AE259" i="1"/>
  <c r="AF259" i="1"/>
  <c r="AG258" i="1"/>
  <c r="AE258" i="1"/>
  <c r="AF258" i="1"/>
  <c r="AG257" i="1"/>
  <c r="AE257" i="1"/>
  <c r="AF257" i="1"/>
  <c r="AG256" i="1"/>
  <c r="AE256" i="1"/>
  <c r="AF256" i="1"/>
  <c r="AG255" i="1"/>
  <c r="AE255" i="1"/>
  <c r="AF255" i="1"/>
  <c r="AG254" i="1"/>
  <c r="AE254" i="1"/>
  <c r="AF254" i="1"/>
  <c r="AG253" i="1"/>
  <c r="AE253" i="1"/>
  <c r="AF253" i="1"/>
  <c r="AG252" i="1"/>
  <c r="AE252" i="1"/>
  <c r="AF252" i="1"/>
  <c r="AG251" i="1"/>
  <c r="AE251" i="1"/>
  <c r="AF251" i="1"/>
  <c r="AG250" i="1"/>
  <c r="AE250" i="1"/>
  <c r="AF250" i="1"/>
  <c r="AG249" i="1"/>
  <c r="AE249" i="1"/>
  <c r="AF249" i="1"/>
  <c r="AG248" i="1"/>
  <c r="AE248" i="1"/>
  <c r="AF248" i="1"/>
  <c r="AG247" i="1"/>
  <c r="AE247" i="1"/>
  <c r="AF247" i="1"/>
  <c r="AG246" i="1"/>
  <c r="AE246" i="1"/>
  <c r="AF246" i="1"/>
  <c r="AG245" i="1"/>
  <c r="AE245" i="1"/>
  <c r="AF245" i="1"/>
  <c r="AG244" i="1"/>
  <c r="AE244" i="1"/>
  <c r="AF244" i="1"/>
  <c r="AG243" i="1"/>
  <c r="AE243" i="1"/>
  <c r="AF243" i="1"/>
  <c r="AG242" i="1"/>
  <c r="AE242" i="1"/>
  <c r="AF242" i="1"/>
  <c r="AG241" i="1"/>
  <c r="AE241" i="1"/>
  <c r="AF241" i="1"/>
  <c r="AG240" i="1"/>
  <c r="AE240" i="1"/>
  <c r="AF240" i="1"/>
  <c r="AG239" i="1"/>
  <c r="AE239" i="1"/>
  <c r="AF239" i="1"/>
  <c r="AG238" i="1"/>
  <c r="AE238" i="1"/>
  <c r="AF238" i="1"/>
  <c r="AG237" i="1"/>
  <c r="AE237" i="1"/>
  <c r="AF237" i="1"/>
  <c r="AG236" i="1"/>
  <c r="AE236" i="1"/>
  <c r="AF236" i="1"/>
  <c r="AG235" i="1"/>
  <c r="AE235" i="1"/>
  <c r="AF235" i="1"/>
  <c r="AG234" i="1"/>
  <c r="AE234" i="1"/>
  <c r="AF234" i="1"/>
  <c r="AG233" i="1"/>
  <c r="AE233" i="1"/>
  <c r="AF233" i="1"/>
  <c r="AG232" i="1"/>
  <c r="AE232" i="1"/>
  <c r="AF232" i="1"/>
  <c r="AG231" i="1"/>
  <c r="AE231" i="1"/>
  <c r="AF231" i="1"/>
  <c r="AG230" i="1"/>
  <c r="AE230" i="1"/>
  <c r="AF230" i="1"/>
  <c r="AG229" i="1"/>
  <c r="AE229" i="1"/>
  <c r="AF229" i="1"/>
  <c r="AG228" i="1"/>
  <c r="AE228" i="1"/>
  <c r="AF228" i="1"/>
  <c r="AG227" i="1"/>
  <c r="AE227" i="1"/>
  <c r="AF227" i="1"/>
  <c r="AG226" i="1"/>
  <c r="AE226" i="1"/>
  <c r="AF226" i="1"/>
  <c r="AG225" i="1"/>
  <c r="AE225" i="1"/>
  <c r="AF225" i="1"/>
  <c r="AG224" i="1"/>
  <c r="AE224" i="1"/>
  <c r="AF224" i="1"/>
  <c r="AG223" i="1"/>
  <c r="AE223" i="1"/>
  <c r="AF223" i="1"/>
  <c r="AG222" i="1"/>
  <c r="AE222" i="1"/>
  <c r="AF222" i="1"/>
  <c r="AG221" i="1"/>
  <c r="AE221" i="1"/>
  <c r="AF221" i="1"/>
  <c r="AG220" i="1"/>
  <c r="AE220" i="1"/>
  <c r="AF220" i="1"/>
  <c r="AG219" i="1"/>
  <c r="AE219" i="1"/>
  <c r="AF219" i="1"/>
  <c r="AG218" i="1"/>
  <c r="AE218" i="1"/>
  <c r="AF218" i="1"/>
  <c r="AG217" i="1"/>
  <c r="AE217" i="1"/>
  <c r="AF217" i="1"/>
  <c r="AG216" i="1"/>
  <c r="AE216" i="1"/>
  <c r="AF216" i="1"/>
  <c r="AG215" i="1"/>
  <c r="AE215" i="1"/>
  <c r="AF215" i="1"/>
  <c r="AG214" i="1"/>
  <c r="AE214" i="1"/>
  <c r="AF214" i="1"/>
  <c r="AG213" i="1"/>
  <c r="AE213" i="1"/>
  <c r="AF213" i="1"/>
  <c r="AG212" i="1"/>
  <c r="AE212" i="1"/>
  <c r="AF212" i="1"/>
  <c r="AG211" i="1"/>
  <c r="AE211" i="1"/>
  <c r="AF211" i="1"/>
  <c r="AG210" i="1"/>
  <c r="AE210" i="1"/>
  <c r="AF210" i="1"/>
  <c r="AG209" i="1"/>
  <c r="AE209" i="1"/>
  <c r="AF209" i="1"/>
  <c r="AG208" i="1"/>
  <c r="AE208" i="1"/>
  <c r="AF208" i="1"/>
  <c r="AG207" i="1"/>
  <c r="AE207" i="1"/>
  <c r="AF207" i="1"/>
  <c r="AG206" i="1"/>
  <c r="AE206" i="1"/>
  <c r="AF206" i="1"/>
  <c r="AG205" i="1"/>
  <c r="AE205" i="1"/>
  <c r="AF205" i="1"/>
  <c r="AG204" i="1"/>
  <c r="AE204" i="1"/>
  <c r="AF204" i="1"/>
  <c r="AG203" i="1"/>
  <c r="AE203" i="1"/>
  <c r="AF203" i="1"/>
  <c r="AG202" i="1"/>
  <c r="AE202" i="1"/>
  <c r="AF202" i="1"/>
  <c r="AG201" i="1"/>
  <c r="AE201" i="1"/>
  <c r="AF201" i="1"/>
  <c r="AG200" i="1"/>
  <c r="AE200" i="1"/>
  <c r="AF200" i="1"/>
  <c r="AG199" i="1"/>
  <c r="AE199" i="1"/>
  <c r="AF199" i="1"/>
  <c r="AG198" i="1"/>
  <c r="AE198" i="1"/>
  <c r="AF198" i="1"/>
  <c r="AG197" i="1"/>
  <c r="AE197" i="1"/>
  <c r="AF197" i="1"/>
  <c r="AG196" i="1"/>
  <c r="AE196" i="1"/>
  <c r="AF196" i="1"/>
  <c r="AG195" i="1"/>
  <c r="AE195" i="1"/>
  <c r="AF195" i="1"/>
  <c r="AG194" i="1"/>
  <c r="AE194" i="1"/>
  <c r="AF194" i="1"/>
  <c r="AG193" i="1"/>
  <c r="AE193" i="1"/>
  <c r="AF193" i="1"/>
  <c r="AG192" i="1"/>
  <c r="AE192" i="1"/>
  <c r="AF192" i="1"/>
  <c r="AG191" i="1"/>
  <c r="AE191" i="1"/>
  <c r="AF191" i="1"/>
  <c r="AG190" i="1"/>
  <c r="AE190" i="1"/>
  <c r="AF190" i="1"/>
  <c r="AG189" i="1"/>
  <c r="AE189" i="1"/>
  <c r="AF189" i="1"/>
  <c r="AG188" i="1"/>
  <c r="AE188" i="1"/>
  <c r="AF188" i="1"/>
  <c r="AG187" i="1"/>
  <c r="AE187" i="1"/>
  <c r="AF187" i="1"/>
  <c r="AG186" i="1"/>
  <c r="AE186" i="1"/>
  <c r="AF186" i="1"/>
  <c r="AG185" i="1"/>
  <c r="AE185" i="1"/>
  <c r="AF185" i="1"/>
  <c r="AG184" i="1"/>
  <c r="AE184" i="1"/>
  <c r="AF184" i="1"/>
  <c r="AG183" i="1"/>
  <c r="AE183" i="1"/>
  <c r="AF183" i="1"/>
  <c r="AG182" i="1"/>
  <c r="AE182" i="1"/>
  <c r="AF182" i="1"/>
  <c r="AG181" i="1"/>
  <c r="AE181" i="1"/>
  <c r="AF181" i="1"/>
  <c r="AG180" i="1"/>
  <c r="AE180" i="1"/>
  <c r="AF180" i="1"/>
  <c r="AG179" i="1"/>
  <c r="AE179" i="1"/>
  <c r="AF179" i="1"/>
  <c r="AG178" i="1"/>
  <c r="AE178" i="1"/>
  <c r="AF178" i="1"/>
  <c r="AG177" i="1"/>
  <c r="AE177" i="1"/>
  <c r="AF177" i="1"/>
  <c r="AG176" i="1"/>
  <c r="AE176" i="1"/>
  <c r="AF176" i="1"/>
  <c r="AG175" i="1"/>
  <c r="AE175" i="1"/>
  <c r="AF175" i="1"/>
  <c r="AG174" i="1"/>
  <c r="AE174" i="1"/>
  <c r="AF174" i="1"/>
  <c r="AG173" i="1"/>
  <c r="AE173" i="1"/>
  <c r="AF173" i="1"/>
  <c r="AG172" i="1"/>
  <c r="AE172" i="1"/>
  <c r="AF172" i="1"/>
  <c r="AG171" i="1"/>
  <c r="AE171" i="1"/>
  <c r="AF171" i="1"/>
  <c r="AG170" i="1"/>
  <c r="AE170" i="1"/>
  <c r="AF170" i="1"/>
  <c r="AG169" i="1"/>
  <c r="AE169" i="1"/>
  <c r="AF169" i="1"/>
  <c r="AG168" i="1"/>
  <c r="AE168" i="1"/>
  <c r="AF168" i="1"/>
  <c r="AG167" i="1"/>
  <c r="AE167" i="1"/>
  <c r="AF167" i="1"/>
  <c r="AG166" i="1"/>
  <c r="AE166" i="1"/>
  <c r="AF166" i="1"/>
  <c r="AG165" i="1"/>
  <c r="AE165" i="1"/>
  <c r="AF165" i="1"/>
  <c r="AG164" i="1"/>
  <c r="AE164" i="1"/>
  <c r="AF164" i="1"/>
  <c r="AG163" i="1"/>
  <c r="AE163" i="1"/>
  <c r="AF163" i="1"/>
  <c r="AG162" i="1"/>
  <c r="AE162" i="1"/>
  <c r="AF162" i="1"/>
  <c r="AG161" i="1"/>
  <c r="AE161" i="1"/>
  <c r="AF161" i="1"/>
  <c r="AG160" i="1"/>
  <c r="AE160" i="1"/>
  <c r="AF160" i="1"/>
  <c r="AG159" i="1"/>
  <c r="AE159" i="1"/>
  <c r="AF159" i="1"/>
  <c r="AG158" i="1"/>
  <c r="AE158" i="1"/>
  <c r="AF158" i="1"/>
  <c r="AG157" i="1"/>
  <c r="AE157" i="1"/>
  <c r="AF157" i="1"/>
  <c r="AG156" i="1"/>
  <c r="AE156" i="1"/>
  <c r="AF156" i="1"/>
  <c r="AG155" i="1"/>
  <c r="AE155" i="1"/>
  <c r="AF155" i="1"/>
  <c r="AG154" i="1"/>
  <c r="AE154" i="1"/>
  <c r="AF154" i="1"/>
  <c r="AG153" i="1"/>
  <c r="AE153" i="1"/>
  <c r="AF153" i="1"/>
  <c r="AG152" i="1"/>
  <c r="AE152" i="1"/>
  <c r="AF152" i="1"/>
  <c r="AG151" i="1"/>
  <c r="AE151" i="1"/>
  <c r="AF151" i="1"/>
  <c r="AG150" i="1"/>
  <c r="AE150" i="1"/>
  <c r="AF150" i="1"/>
  <c r="AG149" i="1"/>
  <c r="AE149" i="1"/>
  <c r="AF149" i="1"/>
  <c r="AG148" i="1"/>
  <c r="AE148" i="1"/>
  <c r="AF148" i="1"/>
  <c r="AG147" i="1"/>
  <c r="AE147" i="1"/>
  <c r="AF147" i="1"/>
  <c r="AG146" i="1"/>
  <c r="AE146" i="1"/>
  <c r="AF146" i="1"/>
  <c r="AG145" i="1"/>
  <c r="AE145" i="1"/>
  <c r="AF145" i="1"/>
  <c r="AG144" i="1"/>
  <c r="AE144" i="1"/>
  <c r="AF144" i="1"/>
  <c r="AG143" i="1"/>
  <c r="AE143" i="1"/>
  <c r="AF143" i="1"/>
  <c r="AG142" i="1"/>
  <c r="AE142" i="1"/>
  <c r="AF142" i="1"/>
  <c r="AG141" i="1"/>
  <c r="AE141" i="1"/>
  <c r="AF141" i="1"/>
  <c r="AG140" i="1"/>
  <c r="AE140" i="1"/>
  <c r="AF140" i="1"/>
  <c r="AG139" i="1"/>
  <c r="AE139" i="1"/>
  <c r="AF139" i="1"/>
  <c r="AG138" i="1"/>
  <c r="AE138" i="1"/>
  <c r="AF138" i="1"/>
  <c r="AG137" i="1"/>
  <c r="AE137" i="1"/>
  <c r="AF137" i="1"/>
  <c r="AG136" i="1"/>
  <c r="AE136" i="1"/>
  <c r="AF136" i="1"/>
  <c r="AG135" i="1"/>
  <c r="AE135" i="1"/>
  <c r="AF135" i="1"/>
  <c r="AG134" i="1"/>
  <c r="AE134" i="1"/>
  <c r="AF134" i="1"/>
  <c r="AG133" i="1"/>
  <c r="AE133" i="1"/>
  <c r="AF133" i="1"/>
  <c r="AG132" i="1"/>
  <c r="AE132" i="1"/>
  <c r="AF132" i="1"/>
  <c r="AG131" i="1"/>
  <c r="AE131" i="1"/>
  <c r="AF131" i="1"/>
  <c r="AG130" i="1"/>
  <c r="AE130" i="1"/>
  <c r="AF130" i="1"/>
  <c r="AG129" i="1"/>
  <c r="AE129" i="1"/>
  <c r="AF129" i="1"/>
  <c r="AG128" i="1"/>
  <c r="AE128" i="1"/>
  <c r="AF128" i="1"/>
  <c r="AG127" i="1"/>
  <c r="AE127" i="1"/>
  <c r="AF127" i="1"/>
  <c r="AG126" i="1"/>
  <c r="AE126" i="1"/>
  <c r="AF126" i="1"/>
  <c r="AG125" i="1"/>
  <c r="AE125" i="1"/>
  <c r="AF125" i="1"/>
  <c r="AG124" i="1"/>
  <c r="AE124" i="1"/>
  <c r="AF124" i="1"/>
  <c r="AG123" i="1"/>
  <c r="AE123" i="1"/>
  <c r="AF123" i="1"/>
  <c r="AG122" i="1"/>
  <c r="AE122" i="1"/>
  <c r="AF122" i="1"/>
  <c r="AG121" i="1"/>
  <c r="AE121" i="1"/>
  <c r="AF121" i="1"/>
  <c r="AG120" i="1"/>
  <c r="AE120" i="1"/>
  <c r="AF120" i="1"/>
  <c r="AG119" i="1"/>
  <c r="AE119" i="1"/>
  <c r="AF119" i="1"/>
  <c r="AG118" i="1"/>
  <c r="AE118" i="1"/>
  <c r="AF118" i="1"/>
  <c r="AG117" i="1"/>
  <c r="AE117" i="1"/>
  <c r="AF117" i="1"/>
  <c r="AG116" i="1"/>
  <c r="AE116" i="1"/>
  <c r="AF116" i="1"/>
  <c r="AG115" i="1"/>
  <c r="AE115" i="1"/>
  <c r="AF115" i="1"/>
  <c r="AG114" i="1"/>
  <c r="AE114" i="1"/>
  <c r="AF114" i="1"/>
  <c r="AG113" i="1"/>
  <c r="AE113" i="1"/>
  <c r="AF113" i="1"/>
  <c r="AG112" i="1"/>
  <c r="AE112" i="1"/>
  <c r="AF112" i="1"/>
  <c r="AG111" i="1"/>
  <c r="AE111" i="1"/>
  <c r="AF111" i="1"/>
  <c r="AG110" i="1"/>
  <c r="AE110" i="1"/>
  <c r="AF110" i="1"/>
  <c r="AG109" i="1"/>
  <c r="AE109" i="1"/>
  <c r="AF109" i="1"/>
  <c r="AG108" i="1"/>
  <c r="AE108" i="1"/>
  <c r="AF108" i="1"/>
  <c r="AG107" i="1"/>
  <c r="AE107" i="1"/>
  <c r="AF107" i="1"/>
  <c r="AG106" i="1"/>
  <c r="AE106" i="1"/>
  <c r="AF106" i="1"/>
  <c r="AG105" i="1"/>
  <c r="AE105" i="1"/>
  <c r="AF105" i="1"/>
  <c r="AG104" i="1"/>
  <c r="AE104" i="1"/>
  <c r="AF104" i="1"/>
  <c r="AG103" i="1"/>
  <c r="AE103" i="1"/>
  <c r="AF103" i="1"/>
  <c r="AG102" i="1"/>
  <c r="AE102" i="1"/>
  <c r="AF102" i="1"/>
  <c r="AG101" i="1"/>
  <c r="AE101" i="1"/>
  <c r="AF101" i="1"/>
  <c r="AG100" i="1"/>
  <c r="AE100" i="1"/>
  <c r="AF100" i="1"/>
  <c r="AG99" i="1"/>
  <c r="AE99" i="1"/>
  <c r="AF99" i="1"/>
  <c r="AG98" i="1"/>
  <c r="AE98" i="1"/>
  <c r="AF98" i="1"/>
  <c r="AG97" i="1"/>
  <c r="AE97" i="1"/>
  <c r="AF97" i="1"/>
  <c r="AG96" i="1"/>
  <c r="AE96" i="1"/>
  <c r="AF96" i="1"/>
  <c r="AG95" i="1"/>
  <c r="AE95" i="1"/>
  <c r="AF95" i="1"/>
  <c r="AG94" i="1"/>
  <c r="AE94" i="1"/>
  <c r="AF94" i="1"/>
  <c r="AG93" i="1"/>
  <c r="AE93" i="1"/>
  <c r="AF93" i="1"/>
  <c r="AG92" i="1"/>
  <c r="AE92" i="1"/>
  <c r="AF92" i="1"/>
  <c r="AG91" i="1"/>
  <c r="AE91" i="1"/>
  <c r="AF91" i="1"/>
  <c r="AG90" i="1"/>
  <c r="AE90" i="1"/>
  <c r="AF90" i="1"/>
  <c r="AG89" i="1"/>
  <c r="AE89" i="1"/>
  <c r="AF89" i="1"/>
  <c r="AG88" i="1"/>
  <c r="AE88" i="1"/>
  <c r="AF88" i="1"/>
  <c r="AG87" i="1"/>
  <c r="AE87" i="1"/>
  <c r="AF87" i="1"/>
  <c r="AG86" i="1"/>
  <c r="AE86" i="1"/>
  <c r="AF86" i="1"/>
  <c r="AG85" i="1"/>
  <c r="AE85" i="1"/>
  <c r="AF85" i="1"/>
  <c r="AG84" i="1"/>
  <c r="AE84" i="1"/>
  <c r="AF84" i="1"/>
  <c r="AG83" i="1"/>
  <c r="AE83" i="1"/>
  <c r="AF83" i="1"/>
  <c r="AG82" i="1"/>
  <c r="AE82" i="1"/>
  <c r="AF82" i="1"/>
  <c r="AG81" i="1"/>
  <c r="AE81" i="1"/>
  <c r="AF81" i="1"/>
  <c r="AG80" i="1"/>
  <c r="AE80" i="1"/>
  <c r="AF80" i="1"/>
  <c r="AG79" i="1"/>
  <c r="AE79" i="1"/>
  <c r="AF79" i="1"/>
  <c r="AG78" i="1"/>
  <c r="AE78" i="1"/>
  <c r="AF78" i="1"/>
  <c r="AG77" i="1"/>
  <c r="AE77" i="1"/>
  <c r="AF77" i="1"/>
  <c r="AG76" i="1"/>
  <c r="AE76" i="1"/>
  <c r="AF76" i="1"/>
  <c r="AG75" i="1"/>
  <c r="AE75" i="1"/>
  <c r="AF75" i="1"/>
  <c r="AG74" i="1"/>
  <c r="AE74" i="1"/>
  <c r="AF74" i="1"/>
  <c r="AG73" i="1"/>
  <c r="AE73" i="1"/>
  <c r="AF73" i="1"/>
  <c r="AG72" i="1"/>
  <c r="AE72" i="1"/>
  <c r="AF72" i="1"/>
  <c r="AG71" i="1"/>
  <c r="AE71" i="1"/>
  <c r="AF71" i="1"/>
  <c r="AG70" i="1"/>
  <c r="AE70" i="1"/>
  <c r="AF70" i="1"/>
  <c r="AG69" i="1"/>
  <c r="AE69" i="1"/>
  <c r="AF69" i="1"/>
  <c r="AG68" i="1"/>
  <c r="AE68" i="1"/>
  <c r="AF68" i="1"/>
  <c r="AG67" i="1"/>
  <c r="AE67" i="1"/>
  <c r="AF67" i="1"/>
  <c r="AG66" i="1"/>
  <c r="AE66" i="1"/>
  <c r="AF66" i="1"/>
  <c r="AG65" i="1"/>
  <c r="AE65" i="1"/>
  <c r="AF65" i="1"/>
  <c r="AG64" i="1"/>
  <c r="AE64" i="1"/>
  <c r="AF64" i="1"/>
  <c r="AG63" i="1"/>
  <c r="AE63" i="1"/>
  <c r="AF63" i="1"/>
  <c r="AG62" i="1"/>
  <c r="AE62" i="1"/>
  <c r="AF62" i="1"/>
  <c r="AG61" i="1"/>
  <c r="AE61" i="1"/>
  <c r="AF61" i="1"/>
  <c r="AG60" i="1"/>
  <c r="AE60" i="1"/>
  <c r="AF60" i="1"/>
  <c r="AG59" i="1"/>
  <c r="AE59" i="1"/>
  <c r="AF59" i="1"/>
  <c r="AG58" i="1"/>
  <c r="AE58" i="1"/>
  <c r="AF58" i="1"/>
  <c r="AG57" i="1"/>
  <c r="AE57" i="1"/>
  <c r="AF57" i="1"/>
  <c r="AG56" i="1"/>
  <c r="AE56" i="1"/>
  <c r="AF56" i="1"/>
  <c r="AG55" i="1"/>
  <c r="AE55" i="1"/>
  <c r="AF55" i="1"/>
  <c r="AG54" i="1"/>
  <c r="AE54" i="1"/>
  <c r="AF54" i="1"/>
  <c r="AG53" i="1"/>
  <c r="AE53" i="1"/>
  <c r="AF53" i="1"/>
  <c r="AG52" i="1"/>
  <c r="AE52" i="1"/>
  <c r="AF52" i="1"/>
  <c r="AG51" i="1"/>
  <c r="AE51" i="1"/>
  <c r="AF51" i="1"/>
  <c r="AG50" i="1"/>
  <c r="AE50" i="1"/>
  <c r="AF50" i="1"/>
  <c r="AG49" i="1"/>
  <c r="AE49" i="1"/>
  <c r="AF49" i="1"/>
  <c r="AG48" i="1"/>
  <c r="AE48" i="1"/>
  <c r="AF48" i="1"/>
  <c r="AG47" i="1"/>
  <c r="AE47" i="1"/>
  <c r="AF47" i="1"/>
  <c r="AG46" i="1"/>
  <c r="AE46" i="1"/>
  <c r="AF46" i="1"/>
  <c r="AG45" i="1"/>
  <c r="AE45" i="1"/>
  <c r="AF45" i="1"/>
  <c r="AG44" i="1"/>
  <c r="AE44" i="1"/>
  <c r="AF44" i="1"/>
  <c r="AG43" i="1"/>
  <c r="AE43" i="1"/>
  <c r="AF43" i="1"/>
  <c r="AG42" i="1"/>
  <c r="AE42" i="1"/>
  <c r="AF42" i="1"/>
  <c r="AG41" i="1"/>
  <c r="AE41" i="1"/>
  <c r="AF41" i="1"/>
  <c r="AG40" i="1"/>
  <c r="AE40" i="1"/>
  <c r="AF40" i="1"/>
  <c r="AG39" i="1"/>
  <c r="AE39" i="1"/>
  <c r="AF39" i="1"/>
  <c r="AG38" i="1"/>
  <c r="AE38" i="1"/>
  <c r="AF38" i="1"/>
  <c r="AG37" i="1"/>
  <c r="AE37" i="1"/>
  <c r="AF37" i="1"/>
  <c r="AG36" i="1"/>
  <c r="AE36" i="1"/>
  <c r="AF36" i="1"/>
  <c r="AG35" i="1"/>
  <c r="AE35" i="1"/>
  <c r="AF35" i="1"/>
  <c r="AG34" i="1"/>
  <c r="AE34" i="1"/>
  <c r="AF34" i="1"/>
  <c r="AG33" i="1"/>
  <c r="AE33" i="1"/>
  <c r="AF33" i="1"/>
  <c r="AG32" i="1"/>
  <c r="AE32" i="1"/>
  <c r="AF32" i="1"/>
  <c r="AG31" i="1"/>
  <c r="AE31" i="1"/>
  <c r="AF31" i="1"/>
  <c r="AG30" i="1"/>
  <c r="AE30" i="1"/>
  <c r="AF30" i="1"/>
  <c r="AG29" i="1"/>
  <c r="AE29" i="1"/>
  <c r="AF29" i="1"/>
  <c r="AG28" i="1"/>
  <c r="AE28" i="1"/>
  <c r="AF28" i="1"/>
  <c r="AG27" i="1"/>
  <c r="AE27" i="1"/>
  <c r="AF27" i="1"/>
  <c r="AG26" i="1"/>
  <c r="AE26" i="1"/>
  <c r="AF26" i="1"/>
  <c r="AG25" i="1"/>
  <c r="AE25" i="1"/>
  <c r="AF25" i="1"/>
  <c r="AG24" i="1"/>
  <c r="AE24" i="1"/>
  <c r="AF24" i="1"/>
  <c r="AG23" i="1"/>
  <c r="AE23" i="1"/>
  <c r="AF23" i="1"/>
  <c r="AG22" i="1"/>
  <c r="AE22" i="1"/>
  <c r="AF22" i="1"/>
  <c r="AG21" i="1"/>
  <c r="AE21" i="1"/>
  <c r="AF21" i="1"/>
  <c r="AG20" i="1"/>
  <c r="AE20" i="1"/>
  <c r="AF20" i="1"/>
  <c r="AG19" i="1"/>
  <c r="AE19" i="1"/>
  <c r="AF19" i="1"/>
  <c r="AG18" i="1"/>
  <c r="AE18" i="1"/>
  <c r="AF18" i="1"/>
  <c r="AG17" i="1"/>
  <c r="AE17" i="1"/>
  <c r="AF17" i="1"/>
  <c r="AG16" i="1"/>
  <c r="AE16" i="1"/>
  <c r="AF16" i="1"/>
  <c r="AG15" i="1"/>
  <c r="AE15" i="1"/>
  <c r="AF15" i="1"/>
  <c r="AG14" i="1"/>
  <c r="AE14" i="1"/>
  <c r="AF14" i="1"/>
  <c r="AG13" i="1"/>
  <c r="AE13" i="1"/>
  <c r="AF13" i="1"/>
  <c r="AG12" i="1"/>
  <c r="AE12" i="1"/>
  <c r="AF12" i="1"/>
  <c r="AG11" i="1"/>
  <c r="AE11" i="1"/>
  <c r="AF11" i="1"/>
  <c r="AG10" i="1"/>
  <c r="AE10" i="1"/>
  <c r="AF10" i="1"/>
  <c r="AG9" i="1"/>
  <c r="AE9" i="1"/>
  <c r="AF9" i="1"/>
  <c r="AG8" i="1"/>
  <c r="AE8" i="1"/>
  <c r="AF8" i="1"/>
  <c r="AG7" i="1"/>
  <c r="AE7" i="1"/>
  <c r="AF7" i="1"/>
  <c r="AG6" i="1"/>
  <c r="AE6" i="1"/>
  <c r="AF6" i="1"/>
  <c r="AG5" i="1"/>
  <c r="AE5" i="1"/>
  <c r="AF5" i="1"/>
  <c r="AG4" i="1"/>
  <c r="AE4" i="1"/>
  <c r="AF4" i="1"/>
  <c r="AG3" i="1"/>
  <c r="AE3" i="1"/>
  <c r="AF3" i="1"/>
  <c r="AG2" i="1"/>
  <c r="AE2" i="1"/>
  <c r="AF2" i="1"/>
  <c r="AG992" i="1"/>
  <c r="AE992" i="1"/>
  <c r="AF992" i="1"/>
  <c r="AG991" i="1"/>
  <c r="AE991" i="1"/>
  <c r="AF991" i="1"/>
  <c r="AG990" i="1"/>
  <c r="AE990" i="1"/>
  <c r="AF990" i="1"/>
  <c r="AG989" i="1"/>
  <c r="AE989" i="1"/>
  <c r="AF989" i="1"/>
  <c r="AG988" i="1"/>
  <c r="AE988" i="1"/>
  <c r="AF988" i="1"/>
  <c r="AG987" i="1"/>
  <c r="AE987" i="1"/>
  <c r="AF987" i="1"/>
  <c r="AG986" i="1"/>
  <c r="AE986" i="1"/>
  <c r="AF986" i="1"/>
  <c r="AG985" i="1"/>
  <c r="AE985" i="1"/>
  <c r="AF985" i="1"/>
  <c r="AG984" i="1"/>
  <c r="AE984" i="1"/>
  <c r="AF984" i="1"/>
  <c r="AG983" i="1"/>
  <c r="AE983" i="1"/>
  <c r="AF983" i="1"/>
  <c r="AG982" i="1"/>
  <c r="AE982" i="1"/>
  <c r="AF982" i="1"/>
  <c r="AG981" i="1"/>
  <c r="AE981" i="1"/>
  <c r="AF981" i="1"/>
  <c r="AG980" i="1"/>
  <c r="AE980" i="1"/>
  <c r="AF980" i="1"/>
  <c r="AG979" i="1"/>
  <c r="AE979" i="1"/>
  <c r="AF979" i="1"/>
  <c r="AG978" i="1"/>
  <c r="AE978" i="1"/>
  <c r="AF978" i="1"/>
  <c r="AG977" i="1"/>
  <c r="AE977" i="1"/>
  <c r="AF977" i="1"/>
  <c r="AG976" i="1"/>
  <c r="AE976" i="1"/>
  <c r="AF976" i="1"/>
  <c r="AG975" i="1"/>
  <c r="AE975" i="1"/>
  <c r="AF975" i="1"/>
  <c r="AG974" i="1"/>
  <c r="AE974" i="1"/>
  <c r="AF974" i="1"/>
  <c r="AG973" i="1"/>
  <c r="AE973" i="1"/>
  <c r="AF973" i="1"/>
  <c r="AG972" i="1"/>
  <c r="AE972" i="1"/>
  <c r="AF972" i="1"/>
  <c r="AG971" i="1"/>
  <c r="AE971" i="1"/>
  <c r="AF971" i="1"/>
  <c r="AG970" i="1"/>
  <c r="AE970" i="1"/>
  <c r="AF970" i="1"/>
  <c r="AG969" i="1"/>
  <c r="AE969" i="1"/>
  <c r="AF969" i="1"/>
  <c r="AG968" i="1"/>
  <c r="AE968" i="1"/>
  <c r="AF968" i="1"/>
  <c r="AG967" i="1"/>
  <c r="AE967" i="1"/>
  <c r="AF967" i="1"/>
  <c r="AG966" i="1"/>
  <c r="AE966" i="1"/>
  <c r="AF966" i="1"/>
  <c r="AG965" i="1"/>
  <c r="AE965" i="1"/>
  <c r="AF965" i="1"/>
  <c r="AG964" i="1"/>
  <c r="AE964" i="1"/>
  <c r="AF964" i="1"/>
  <c r="AG963" i="1"/>
  <c r="AE963" i="1"/>
  <c r="AF963" i="1"/>
  <c r="AG962" i="1"/>
  <c r="AE962" i="1"/>
  <c r="AF962" i="1"/>
  <c r="AG961" i="1"/>
  <c r="AE961" i="1"/>
  <c r="AF961" i="1"/>
  <c r="AG960" i="1"/>
  <c r="AE960" i="1"/>
  <c r="AF960" i="1"/>
  <c r="AG959" i="1"/>
  <c r="AE959" i="1"/>
  <c r="AF959" i="1"/>
  <c r="AG958" i="1"/>
  <c r="AE958" i="1"/>
  <c r="AF958" i="1"/>
  <c r="AG957" i="1"/>
  <c r="AE957" i="1"/>
  <c r="AF957" i="1"/>
  <c r="AG956" i="1"/>
  <c r="AE956" i="1"/>
  <c r="AF956" i="1"/>
  <c r="AG955" i="1"/>
  <c r="AE955" i="1"/>
  <c r="AF955" i="1"/>
  <c r="AG954" i="1"/>
  <c r="AE954" i="1"/>
  <c r="AF954" i="1"/>
  <c r="AG953" i="1"/>
  <c r="AE953" i="1"/>
  <c r="AF953" i="1"/>
  <c r="AG952" i="1"/>
  <c r="AE952" i="1"/>
  <c r="AF952" i="1"/>
  <c r="AG951" i="1"/>
  <c r="AE951" i="1"/>
  <c r="AF951" i="1"/>
  <c r="AG950" i="1"/>
  <c r="AE950" i="1"/>
  <c r="AF950" i="1"/>
  <c r="AG949" i="1"/>
  <c r="AE949" i="1"/>
  <c r="AF949" i="1"/>
  <c r="AG948" i="1"/>
  <c r="AE948" i="1"/>
  <c r="AF948" i="1"/>
  <c r="AG947" i="1"/>
  <c r="AE947" i="1"/>
  <c r="AF947" i="1"/>
  <c r="AG946" i="1"/>
  <c r="AE946" i="1"/>
  <c r="AF946" i="1"/>
  <c r="AG945" i="1"/>
  <c r="AE945" i="1"/>
  <c r="AF945" i="1"/>
  <c r="AG944" i="1"/>
  <c r="AE944" i="1"/>
  <c r="AF944" i="1"/>
  <c r="AG943" i="1"/>
  <c r="AE943" i="1"/>
  <c r="AF943" i="1"/>
  <c r="AG942" i="1"/>
  <c r="AE942" i="1"/>
  <c r="AF942" i="1"/>
  <c r="AG941" i="1"/>
  <c r="AE941" i="1"/>
  <c r="AF941" i="1"/>
  <c r="AG940" i="1"/>
  <c r="AE940" i="1"/>
  <c r="AF940" i="1"/>
  <c r="AG939" i="1"/>
  <c r="AE939" i="1"/>
  <c r="AF939" i="1"/>
  <c r="AG938" i="1"/>
  <c r="AE938" i="1"/>
  <c r="AF938" i="1"/>
  <c r="AG937" i="1"/>
  <c r="AE937" i="1"/>
  <c r="AF937" i="1"/>
  <c r="AG936" i="1"/>
  <c r="AE936" i="1"/>
  <c r="AF936" i="1"/>
  <c r="AG935" i="1"/>
  <c r="AE935" i="1"/>
  <c r="AF935" i="1"/>
  <c r="AG934" i="1"/>
  <c r="AE934" i="1"/>
  <c r="AF934" i="1"/>
  <c r="AG933" i="1"/>
  <c r="AE933" i="1"/>
  <c r="AF933" i="1"/>
  <c r="AG932" i="1"/>
  <c r="AE932" i="1"/>
  <c r="AF932" i="1"/>
  <c r="AG931" i="1"/>
  <c r="AE931" i="1"/>
  <c r="AF931" i="1"/>
  <c r="AG930" i="1"/>
  <c r="AE930" i="1"/>
  <c r="AF930" i="1"/>
  <c r="AG929" i="1"/>
  <c r="AE929" i="1"/>
  <c r="AF929" i="1"/>
  <c r="AG928" i="1"/>
  <c r="AE928" i="1"/>
  <c r="AF928" i="1"/>
  <c r="AG927" i="1"/>
  <c r="AE927" i="1"/>
  <c r="AF927" i="1"/>
  <c r="AG926" i="1"/>
  <c r="AE926" i="1"/>
  <c r="AF926" i="1"/>
  <c r="AG925" i="1"/>
  <c r="AE925" i="1"/>
  <c r="AF925" i="1"/>
  <c r="AG924" i="1"/>
  <c r="AE924" i="1"/>
  <c r="AF924" i="1"/>
  <c r="AG923" i="1"/>
  <c r="AE923" i="1"/>
  <c r="AF923" i="1"/>
  <c r="AG922" i="1"/>
  <c r="AE922" i="1"/>
  <c r="AF922" i="1"/>
  <c r="AG921" i="1"/>
  <c r="AE921" i="1"/>
  <c r="AF921" i="1"/>
  <c r="AG920" i="1"/>
  <c r="AE920" i="1"/>
  <c r="AF920" i="1"/>
  <c r="AG919" i="1"/>
  <c r="AE919" i="1"/>
  <c r="AF919" i="1"/>
  <c r="AG918" i="1"/>
  <c r="AE918" i="1"/>
  <c r="AF918" i="1"/>
  <c r="AG917" i="1"/>
  <c r="AE917" i="1"/>
  <c r="AF917" i="1"/>
  <c r="AG916" i="1"/>
  <c r="AE916" i="1"/>
  <c r="AF916" i="1"/>
  <c r="AG915" i="1"/>
  <c r="AE915" i="1"/>
  <c r="AF915" i="1"/>
  <c r="AG914" i="1"/>
  <c r="AE914" i="1"/>
  <c r="AF914" i="1"/>
  <c r="AG913" i="1"/>
  <c r="AE913" i="1"/>
  <c r="AF913" i="1"/>
  <c r="AG912" i="1"/>
  <c r="AE912" i="1"/>
  <c r="AF912" i="1"/>
  <c r="AG911" i="1"/>
  <c r="AE911" i="1"/>
  <c r="AF911" i="1"/>
  <c r="AG910" i="1"/>
  <c r="AE910" i="1"/>
  <c r="AF910" i="1"/>
  <c r="AG909" i="1"/>
  <c r="AE909" i="1"/>
  <c r="AF909" i="1"/>
  <c r="AG908" i="1"/>
  <c r="AE908" i="1"/>
  <c r="AF908" i="1"/>
  <c r="AG907" i="1"/>
  <c r="AE907" i="1"/>
  <c r="AF907" i="1"/>
  <c r="AG906" i="1"/>
  <c r="AE906" i="1"/>
  <c r="AF906" i="1"/>
  <c r="AG905" i="1"/>
  <c r="AE905" i="1"/>
  <c r="AF905" i="1"/>
  <c r="AG904" i="1"/>
  <c r="AE904" i="1"/>
  <c r="AF904" i="1"/>
  <c r="AG903" i="1"/>
  <c r="AE903" i="1"/>
  <c r="AF903" i="1"/>
  <c r="AG902" i="1"/>
  <c r="AE902" i="1"/>
  <c r="AF902" i="1"/>
  <c r="AG901" i="1"/>
  <c r="AE901" i="1"/>
  <c r="AF901" i="1"/>
  <c r="AG900" i="1"/>
  <c r="AE900" i="1"/>
  <c r="AF900" i="1"/>
  <c r="AG899" i="1"/>
  <c r="AE899" i="1"/>
  <c r="AF899" i="1"/>
  <c r="AG898" i="1"/>
  <c r="AE898" i="1"/>
  <c r="AF898" i="1"/>
  <c r="AG897" i="1"/>
  <c r="AE897" i="1"/>
  <c r="AF897" i="1"/>
  <c r="AG896" i="1"/>
  <c r="AE896" i="1"/>
  <c r="AF896" i="1"/>
  <c r="AG895" i="1"/>
  <c r="AE895" i="1"/>
  <c r="AF895" i="1"/>
  <c r="AG894" i="1"/>
  <c r="AE894" i="1"/>
  <c r="AF894" i="1"/>
  <c r="AG893" i="1"/>
  <c r="AE893" i="1"/>
  <c r="AF893" i="1"/>
  <c r="AG892" i="1"/>
  <c r="AE892" i="1"/>
  <c r="AF892" i="1"/>
  <c r="AG891" i="1"/>
  <c r="AE891" i="1"/>
  <c r="AF891" i="1"/>
  <c r="AG890" i="1"/>
  <c r="AE890" i="1"/>
  <c r="AF890" i="1"/>
  <c r="AG889" i="1"/>
  <c r="AE889" i="1"/>
  <c r="AF889" i="1"/>
  <c r="AG888" i="1"/>
  <c r="AE888" i="1"/>
  <c r="AF888" i="1"/>
  <c r="AG887" i="1"/>
  <c r="AE887" i="1"/>
  <c r="AF887" i="1"/>
  <c r="AG886" i="1"/>
  <c r="AE886" i="1"/>
  <c r="AF886" i="1"/>
  <c r="AG885" i="1"/>
  <c r="AE885" i="1"/>
  <c r="AF885" i="1"/>
  <c r="AG884" i="1"/>
  <c r="AE884" i="1"/>
  <c r="AF884" i="1"/>
  <c r="AG883" i="1"/>
  <c r="AE883" i="1"/>
  <c r="AF883" i="1"/>
  <c r="AG882" i="1"/>
  <c r="AE882" i="1"/>
  <c r="AF882" i="1"/>
  <c r="AG881" i="1"/>
  <c r="AE881" i="1"/>
  <c r="AF881" i="1"/>
  <c r="AG880" i="1"/>
  <c r="AE880" i="1"/>
  <c r="AF880" i="1"/>
  <c r="AG879" i="1"/>
  <c r="AE879" i="1"/>
  <c r="AF879" i="1"/>
  <c r="AG878" i="1"/>
  <c r="AE878" i="1"/>
  <c r="AF878" i="1"/>
  <c r="AG877" i="1"/>
  <c r="AE877" i="1"/>
  <c r="AF877" i="1"/>
  <c r="AG876" i="1"/>
  <c r="AE876" i="1"/>
  <c r="AF876" i="1"/>
  <c r="AG875" i="1"/>
  <c r="AE875" i="1"/>
  <c r="AF875" i="1"/>
  <c r="AG874" i="1"/>
  <c r="AE874" i="1"/>
  <c r="AF874" i="1"/>
  <c r="AG873" i="1"/>
  <c r="AE873" i="1"/>
  <c r="AF873" i="1"/>
  <c r="AG872" i="1"/>
  <c r="AE872" i="1"/>
  <c r="AF872" i="1"/>
  <c r="AG871" i="1"/>
  <c r="AE871" i="1"/>
  <c r="AF871" i="1"/>
  <c r="AG870" i="1"/>
  <c r="AE870" i="1"/>
  <c r="AF870" i="1"/>
  <c r="AG869" i="1"/>
  <c r="AE869" i="1"/>
  <c r="AF869" i="1"/>
  <c r="AG868" i="1"/>
  <c r="AE868" i="1"/>
  <c r="AF868" i="1"/>
  <c r="AG867" i="1"/>
  <c r="AE867" i="1"/>
  <c r="AF867" i="1"/>
  <c r="AG866" i="1"/>
  <c r="AE866" i="1"/>
  <c r="AF866" i="1"/>
  <c r="AG865" i="1"/>
  <c r="AE865" i="1"/>
  <c r="AF865" i="1"/>
  <c r="AG864" i="1"/>
  <c r="AE864" i="1"/>
  <c r="AF864" i="1"/>
  <c r="AG863" i="1"/>
  <c r="AE863" i="1"/>
  <c r="AF863" i="1"/>
  <c r="AG862" i="1"/>
  <c r="AE862" i="1"/>
  <c r="AF862" i="1"/>
  <c r="AG861" i="1"/>
  <c r="AE861" i="1"/>
  <c r="AF861" i="1"/>
  <c r="AG860" i="1"/>
  <c r="AE860" i="1"/>
  <c r="AF860" i="1"/>
  <c r="AG859" i="1"/>
  <c r="AE859" i="1"/>
  <c r="AF859" i="1"/>
  <c r="AG858" i="1"/>
  <c r="AE858" i="1"/>
  <c r="AF858" i="1"/>
  <c r="AG857" i="1"/>
  <c r="AE857" i="1"/>
  <c r="AF857" i="1"/>
  <c r="AG856" i="1"/>
  <c r="AE856" i="1"/>
  <c r="AF856" i="1"/>
  <c r="AG855" i="1"/>
  <c r="AE855" i="1"/>
  <c r="AF855" i="1"/>
  <c r="AG854" i="1"/>
  <c r="AE854" i="1"/>
  <c r="AF854" i="1"/>
  <c r="AG853" i="1"/>
  <c r="AE853" i="1"/>
  <c r="AF853" i="1"/>
  <c r="AG852" i="1"/>
  <c r="AE852" i="1"/>
  <c r="AF852" i="1"/>
  <c r="AG851" i="1"/>
  <c r="AE851" i="1"/>
  <c r="AF851" i="1"/>
  <c r="AG850" i="1"/>
  <c r="AE850" i="1"/>
  <c r="AF850" i="1"/>
  <c r="AG849" i="1"/>
  <c r="AE849" i="1"/>
  <c r="AF849" i="1"/>
  <c r="AG848" i="1"/>
  <c r="AE848" i="1"/>
  <c r="AF848" i="1"/>
  <c r="AG847" i="1"/>
  <c r="AE847" i="1"/>
  <c r="AF847" i="1"/>
  <c r="AG846" i="1"/>
  <c r="AE846" i="1"/>
  <c r="AF846" i="1"/>
  <c r="AG845" i="1"/>
  <c r="AE845" i="1"/>
  <c r="AF845" i="1"/>
  <c r="AG844" i="1"/>
  <c r="AE844" i="1"/>
  <c r="AF844" i="1"/>
  <c r="AG843" i="1"/>
  <c r="AE843" i="1"/>
  <c r="AF843" i="1"/>
  <c r="AG842" i="1"/>
  <c r="AE842" i="1"/>
  <c r="AF842" i="1"/>
  <c r="AG841" i="1"/>
  <c r="AE841" i="1"/>
  <c r="AF841" i="1"/>
  <c r="AG840" i="1"/>
  <c r="AE840" i="1"/>
  <c r="AF840" i="1"/>
  <c r="AG839" i="1"/>
  <c r="AE839" i="1"/>
  <c r="AF839" i="1"/>
  <c r="AG838" i="1"/>
  <c r="AE838" i="1"/>
  <c r="AF838" i="1"/>
  <c r="AG837" i="1"/>
  <c r="AE837" i="1"/>
  <c r="AF837" i="1"/>
  <c r="AG836" i="1"/>
  <c r="AE836" i="1"/>
  <c r="AF836" i="1"/>
  <c r="AG835" i="1"/>
  <c r="AE835" i="1"/>
  <c r="AF835" i="1"/>
  <c r="AG834" i="1"/>
  <c r="AE834" i="1"/>
  <c r="AF834" i="1"/>
  <c r="AG833" i="1"/>
  <c r="AE833" i="1"/>
  <c r="AF833" i="1"/>
  <c r="AG832" i="1"/>
  <c r="AE832" i="1"/>
  <c r="AF832" i="1"/>
  <c r="AG831" i="1"/>
  <c r="AE831" i="1"/>
  <c r="AF831" i="1"/>
  <c r="AG830" i="1"/>
  <c r="AE830" i="1"/>
  <c r="AF830" i="1"/>
  <c r="AG829" i="1"/>
  <c r="AE829" i="1"/>
  <c r="AF829" i="1"/>
  <c r="AG828" i="1"/>
  <c r="AE828" i="1"/>
  <c r="AF828" i="1"/>
  <c r="AG827" i="1"/>
  <c r="AE827" i="1"/>
  <c r="AF827" i="1"/>
  <c r="AG826" i="1"/>
  <c r="AE826" i="1"/>
  <c r="AF826" i="1"/>
  <c r="AG825" i="1"/>
  <c r="AE825" i="1"/>
  <c r="AF825" i="1"/>
  <c r="AG824" i="1"/>
  <c r="AE824" i="1"/>
  <c r="AF824" i="1"/>
  <c r="AG823" i="1"/>
  <c r="AE823" i="1"/>
  <c r="AF823" i="1"/>
  <c r="AG822" i="1"/>
  <c r="AE822" i="1"/>
  <c r="AF822" i="1"/>
  <c r="AG821" i="1"/>
  <c r="AE821" i="1"/>
  <c r="AF821" i="1"/>
  <c r="AG820" i="1"/>
  <c r="AE820" i="1"/>
  <c r="AF820" i="1"/>
  <c r="AG819" i="1"/>
  <c r="AE819" i="1"/>
  <c r="AF819" i="1"/>
  <c r="AG818" i="1"/>
  <c r="AE818" i="1"/>
  <c r="AF818" i="1"/>
  <c r="AG817" i="1"/>
  <c r="AE817" i="1"/>
  <c r="AF817" i="1"/>
  <c r="AG816" i="1"/>
  <c r="AE816" i="1"/>
  <c r="AF816" i="1"/>
  <c r="AG815" i="1"/>
  <c r="AE815" i="1"/>
  <c r="AF815" i="1"/>
  <c r="AG814" i="1"/>
  <c r="AE814" i="1"/>
  <c r="AF814" i="1"/>
  <c r="AG813" i="1"/>
  <c r="AE813" i="1"/>
  <c r="AF813" i="1"/>
  <c r="AG812" i="1"/>
  <c r="AE812" i="1"/>
  <c r="AF812" i="1"/>
  <c r="AG811" i="1"/>
  <c r="AE811" i="1"/>
  <c r="AF811" i="1"/>
  <c r="AG810" i="1"/>
  <c r="AE810" i="1"/>
  <c r="AF810" i="1"/>
  <c r="AG809" i="1"/>
  <c r="AE809" i="1"/>
  <c r="AF809" i="1"/>
  <c r="AG808" i="1"/>
  <c r="AE808" i="1"/>
  <c r="AF808" i="1"/>
  <c r="AG807" i="1"/>
  <c r="AE807" i="1"/>
  <c r="AF807" i="1"/>
  <c r="AG806" i="1"/>
  <c r="AE806" i="1"/>
  <c r="AF806" i="1"/>
  <c r="AG805" i="1"/>
  <c r="AE805" i="1"/>
  <c r="AF805" i="1"/>
  <c r="AG804" i="1"/>
  <c r="AE804" i="1"/>
  <c r="AF804" i="1"/>
  <c r="AG803" i="1"/>
  <c r="AE803" i="1"/>
  <c r="AF803" i="1"/>
  <c r="AG802" i="1"/>
  <c r="AE802" i="1"/>
  <c r="AF802" i="1"/>
  <c r="AG801" i="1"/>
  <c r="AE801" i="1"/>
  <c r="AF801" i="1"/>
  <c r="AG800" i="1"/>
  <c r="AE800" i="1"/>
  <c r="AF800" i="1"/>
  <c r="AG799" i="1"/>
  <c r="AE799" i="1"/>
  <c r="AF799" i="1"/>
  <c r="AG798" i="1"/>
  <c r="AE798" i="1"/>
  <c r="AF798" i="1"/>
  <c r="AG797" i="1"/>
  <c r="AE797" i="1"/>
  <c r="AF797" i="1"/>
  <c r="AG796" i="1"/>
  <c r="AE796" i="1"/>
  <c r="AF796" i="1"/>
  <c r="AG795" i="1"/>
  <c r="AE795" i="1"/>
  <c r="AF795" i="1"/>
  <c r="AG794" i="1"/>
  <c r="AE794" i="1"/>
  <c r="AF794" i="1"/>
  <c r="AG793" i="1"/>
  <c r="AE793" i="1"/>
  <c r="AF793" i="1"/>
  <c r="AG792" i="1"/>
  <c r="AE792" i="1"/>
  <c r="AF792" i="1"/>
  <c r="AG791" i="1"/>
  <c r="AE791" i="1"/>
  <c r="AF791" i="1"/>
  <c r="AG790" i="1"/>
  <c r="AE790" i="1"/>
  <c r="AF790" i="1"/>
  <c r="AG789" i="1"/>
  <c r="AE789" i="1"/>
  <c r="AF789" i="1"/>
  <c r="AG788" i="1"/>
  <c r="AE788" i="1"/>
  <c r="AF788" i="1"/>
  <c r="AG787" i="1"/>
  <c r="AE787" i="1"/>
  <c r="AF787" i="1"/>
  <c r="AG786" i="1"/>
  <c r="AE786" i="1"/>
  <c r="AF786" i="1"/>
  <c r="AG785" i="1"/>
  <c r="AE785" i="1"/>
  <c r="AF785" i="1"/>
  <c r="AG784" i="1"/>
  <c r="AE784" i="1"/>
  <c r="AF784" i="1"/>
  <c r="AG783" i="1"/>
  <c r="AE783" i="1"/>
  <c r="AF783" i="1"/>
  <c r="AG782" i="1"/>
  <c r="AE782" i="1"/>
  <c r="AF782" i="1"/>
  <c r="AG781" i="1"/>
  <c r="AE781" i="1"/>
  <c r="AF781" i="1"/>
  <c r="AG780" i="1"/>
  <c r="AE780" i="1"/>
  <c r="AF780" i="1"/>
  <c r="AG779" i="1"/>
  <c r="AE779" i="1"/>
  <c r="AF779" i="1"/>
  <c r="AG778" i="1"/>
  <c r="AE778" i="1"/>
  <c r="AF778" i="1"/>
  <c r="AG777" i="1"/>
  <c r="AE777" i="1"/>
  <c r="AF777" i="1"/>
  <c r="AG776" i="1"/>
  <c r="AE776" i="1"/>
  <c r="AF776" i="1"/>
  <c r="AG775" i="1"/>
  <c r="AE775" i="1"/>
  <c r="AF775" i="1"/>
  <c r="AG774" i="1"/>
  <c r="AE774" i="1"/>
  <c r="AF774" i="1"/>
  <c r="AG773" i="1"/>
  <c r="AE773" i="1"/>
  <c r="AF773" i="1"/>
  <c r="AG772" i="1"/>
  <c r="AE772" i="1"/>
  <c r="AF772" i="1"/>
  <c r="AG771" i="1"/>
  <c r="AE771" i="1"/>
  <c r="AF771" i="1"/>
  <c r="AG770" i="1"/>
  <c r="AE770" i="1"/>
  <c r="AF770" i="1"/>
  <c r="AG769" i="1"/>
  <c r="AE769" i="1"/>
  <c r="AF769" i="1"/>
  <c r="AG768" i="1"/>
  <c r="AE768" i="1"/>
  <c r="AF768" i="1"/>
  <c r="AG767" i="1"/>
  <c r="AE767" i="1"/>
  <c r="AF767" i="1"/>
  <c r="AG766" i="1"/>
  <c r="AE766" i="1"/>
  <c r="AF766" i="1"/>
  <c r="AG765" i="1"/>
  <c r="AE765" i="1"/>
  <c r="AF765" i="1"/>
  <c r="AG764" i="1"/>
  <c r="AE764" i="1"/>
  <c r="AF764" i="1"/>
  <c r="AG763" i="1"/>
  <c r="AE763" i="1"/>
  <c r="AF763" i="1"/>
  <c r="AG762" i="1"/>
  <c r="AE762" i="1"/>
  <c r="AF762" i="1"/>
  <c r="AG761" i="1"/>
  <c r="AE761" i="1"/>
  <c r="AF761" i="1"/>
  <c r="AG760" i="1"/>
  <c r="AE760" i="1"/>
  <c r="AF760" i="1"/>
  <c r="AG759" i="1"/>
  <c r="AE759" i="1"/>
  <c r="AF759" i="1"/>
  <c r="AG758" i="1"/>
  <c r="AE758" i="1"/>
  <c r="AF758" i="1"/>
  <c r="AG757" i="1"/>
  <c r="AE757" i="1"/>
  <c r="AF757" i="1"/>
  <c r="AG756" i="1"/>
  <c r="AE756" i="1"/>
  <c r="AF756" i="1"/>
  <c r="AG755" i="1"/>
  <c r="AE755" i="1"/>
  <c r="AF755" i="1"/>
  <c r="AG754" i="1"/>
  <c r="AE754" i="1"/>
  <c r="AF754" i="1"/>
  <c r="AG753" i="1"/>
  <c r="AE753" i="1"/>
  <c r="AF753" i="1"/>
  <c r="AG752" i="1"/>
  <c r="AE752" i="1"/>
  <c r="AF752" i="1"/>
  <c r="AG751" i="1"/>
  <c r="AE751" i="1"/>
  <c r="AF751" i="1"/>
  <c r="AG750" i="1"/>
  <c r="AE750" i="1"/>
  <c r="AF750" i="1"/>
  <c r="AG749" i="1"/>
  <c r="AE749" i="1"/>
  <c r="AF749" i="1"/>
  <c r="AG748" i="1"/>
  <c r="AE748" i="1"/>
  <c r="AF748" i="1"/>
  <c r="AG747" i="1"/>
  <c r="AE747" i="1"/>
  <c r="AF747" i="1"/>
  <c r="AG746" i="1"/>
  <c r="AE746" i="1"/>
  <c r="AF746" i="1"/>
  <c r="AG745" i="1"/>
  <c r="AE745" i="1"/>
  <c r="AF745" i="1"/>
  <c r="AG744" i="1"/>
  <c r="AE744" i="1"/>
  <c r="AF744" i="1"/>
  <c r="AG743" i="1"/>
  <c r="AE743" i="1"/>
  <c r="AF743" i="1"/>
  <c r="AG742" i="1"/>
  <c r="AE742" i="1"/>
  <c r="AF742" i="1"/>
  <c r="AG741" i="1"/>
  <c r="AE741" i="1"/>
  <c r="AF741" i="1"/>
  <c r="AG740" i="1"/>
  <c r="AE740" i="1"/>
  <c r="AF740" i="1"/>
  <c r="AG739" i="1"/>
  <c r="AE739" i="1"/>
  <c r="AF739" i="1"/>
  <c r="AG738" i="1"/>
  <c r="AE738" i="1"/>
  <c r="AF738" i="1"/>
  <c r="AG737" i="1"/>
  <c r="AE737" i="1"/>
  <c r="AF737" i="1"/>
  <c r="AG736" i="1"/>
  <c r="AE736" i="1"/>
  <c r="AF736" i="1"/>
  <c r="AG735" i="1"/>
  <c r="AE735" i="1"/>
  <c r="AF735" i="1"/>
  <c r="AG734" i="1"/>
  <c r="AE734" i="1"/>
  <c r="AF734" i="1"/>
  <c r="AG733" i="1"/>
  <c r="AE733" i="1"/>
  <c r="AF733" i="1"/>
  <c r="AG732" i="1"/>
  <c r="AE732" i="1"/>
  <c r="AF732" i="1"/>
  <c r="AG731" i="1"/>
  <c r="AE731" i="1"/>
  <c r="AF731" i="1"/>
  <c r="AG730" i="1"/>
  <c r="AE730" i="1"/>
  <c r="AF730" i="1"/>
  <c r="AG729" i="1"/>
  <c r="AE729" i="1"/>
  <c r="AF729" i="1"/>
  <c r="AG728" i="1"/>
  <c r="AE728" i="1"/>
  <c r="AF728" i="1"/>
  <c r="AG727" i="1"/>
  <c r="AE727" i="1"/>
  <c r="AF727" i="1"/>
  <c r="AG726" i="1"/>
  <c r="AE726" i="1"/>
  <c r="AF726" i="1"/>
  <c r="AG725" i="1"/>
  <c r="AE725" i="1"/>
  <c r="AF725" i="1"/>
  <c r="AG724" i="1"/>
  <c r="AE724" i="1"/>
  <c r="AF724" i="1"/>
  <c r="AG723" i="1"/>
  <c r="AE723" i="1"/>
  <c r="AF723" i="1"/>
  <c r="AG722" i="1"/>
  <c r="AE722" i="1"/>
  <c r="AF722" i="1"/>
  <c r="AG721" i="1"/>
  <c r="AE721" i="1"/>
  <c r="AF721" i="1"/>
  <c r="AG720" i="1"/>
  <c r="AE720" i="1"/>
  <c r="AF720" i="1"/>
  <c r="AG719" i="1"/>
  <c r="AE719" i="1"/>
  <c r="AF719" i="1"/>
  <c r="AG718" i="1"/>
  <c r="AE718" i="1"/>
  <c r="AF718" i="1"/>
  <c r="AG717" i="1"/>
  <c r="AE717" i="1"/>
  <c r="AF717" i="1"/>
  <c r="AG716" i="1"/>
  <c r="AE716" i="1"/>
  <c r="AF716" i="1"/>
  <c r="AG715" i="1"/>
  <c r="AE715" i="1"/>
  <c r="AF715" i="1"/>
  <c r="AG714" i="1"/>
  <c r="AE714" i="1"/>
  <c r="AF714" i="1"/>
  <c r="AG713" i="1"/>
  <c r="AE713" i="1"/>
  <c r="AF713" i="1"/>
  <c r="AG712" i="1"/>
  <c r="AE712" i="1"/>
  <c r="AF712" i="1"/>
  <c r="AG711" i="1"/>
  <c r="AE711" i="1"/>
  <c r="AF711" i="1"/>
  <c r="AG710" i="1"/>
  <c r="AE710" i="1"/>
  <c r="AF710" i="1"/>
  <c r="AG709" i="1"/>
  <c r="AE709" i="1"/>
  <c r="AF709" i="1"/>
  <c r="AG708" i="1"/>
  <c r="AE708" i="1"/>
  <c r="AF708" i="1"/>
  <c r="AG707" i="1"/>
  <c r="AE707" i="1"/>
  <c r="AF707" i="1"/>
  <c r="AG706" i="1"/>
  <c r="AE706" i="1"/>
  <c r="AF706" i="1"/>
  <c r="AG705" i="1"/>
  <c r="AE705" i="1"/>
  <c r="AF705" i="1"/>
  <c r="AG704" i="1"/>
  <c r="AE704" i="1"/>
  <c r="AF704" i="1"/>
  <c r="AG703" i="1"/>
  <c r="AE703" i="1"/>
  <c r="AF703" i="1"/>
  <c r="AG702" i="1"/>
  <c r="AE702" i="1"/>
  <c r="AF702" i="1"/>
  <c r="AG701" i="1"/>
  <c r="AE701" i="1"/>
  <c r="AF701" i="1"/>
  <c r="AG700" i="1"/>
  <c r="AE700" i="1"/>
  <c r="AF700" i="1"/>
  <c r="AG699" i="1"/>
  <c r="AE699" i="1"/>
  <c r="AF699" i="1"/>
  <c r="AG698" i="1"/>
  <c r="AE698" i="1"/>
  <c r="AF698" i="1"/>
  <c r="AG697" i="1"/>
  <c r="AE697" i="1"/>
  <c r="AF697" i="1"/>
  <c r="AG696" i="1"/>
  <c r="AE696" i="1"/>
  <c r="AF696" i="1"/>
  <c r="AG695" i="1"/>
  <c r="AE695" i="1"/>
  <c r="AF695" i="1"/>
  <c r="AG694" i="1"/>
  <c r="AE694" i="1"/>
  <c r="AF694" i="1"/>
  <c r="AG693" i="1"/>
  <c r="AE693" i="1"/>
  <c r="AF693" i="1"/>
  <c r="AG692" i="1"/>
  <c r="AE692" i="1"/>
  <c r="AF692" i="1"/>
  <c r="AG691" i="1"/>
  <c r="AE691" i="1"/>
  <c r="AF691" i="1"/>
  <c r="AG690" i="1"/>
  <c r="AE690" i="1"/>
  <c r="AF690" i="1"/>
  <c r="AG689" i="1"/>
  <c r="AE689" i="1"/>
  <c r="AF689" i="1"/>
  <c r="AG688" i="1"/>
  <c r="AE688" i="1"/>
  <c r="AF688" i="1"/>
  <c r="AG687" i="1"/>
  <c r="AE687" i="1"/>
  <c r="AF687" i="1"/>
  <c r="AG686" i="1"/>
  <c r="AE686" i="1"/>
  <c r="AF686" i="1"/>
  <c r="AG685" i="1"/>
  <c r="AE685" i="1"/>
  <c r="AF685" i="1"/>
  <c r="AG684" i="1"/>
  <c r="AE684" i="1"/>
  <c r="AF684" i="1"/>
  <c r="AG683" i="1"/>
  <c r="AE683" i="1"/>
  <c r="AF683" i="1"/>
  <c r="AG682" i="1"/>
  <c r="AE682" i="1"/>
  <c r="AF682" i="1"/>
  <c r="AG681" i="1"/>
  <c r="AE681" i="1"/>
  <c r="AF681" i="1"/>
  <c r="AG680" i="1"/>
  <c r="AE680" i="1"/>
  <c r="AF680" i="1"/>
  <c r="AG679" i="1"/>
  <c r="AE679" i="1"/>
  <c r="AF679" i="1"/>
  <c r="AG678" i="1"/>
  <c r="AE678" i="1"/>
  <c r="AF678" i="1"/>
  <c r="AG677" i="1"/>
  <c r="AE677" i="1"/>
  <c r="AF677" i="1"/>
  <c r="AG676" i="1"/>
  <c r="AE676" i="1"/>
  <c r="AF676" i="1"/>
  <c r="AG675" i="1"/>
  <c r="AE675" i="1"/>
  <c r="AF675" i="1"/>
  <c r="AG674" i="1"/>
  <c r="AE674" i="1"/>
  <c r="AF674" i="1"/>
  <c r="AG673" i="1"/>
  <c r="AE673" i="1"/>
  <c r="AF673" i="1"/>
  <c r="AG672" i="1"/>
  <c r="AE672" i="1"/>
  <c r="AF672" i="1"/>
  <c r="AG671" i="1"/>
  <c r="AE671" i="1"/>
  <c r="AF671" i="1"/>
  <c r="AG670" i="1"/>
  <c r="AE670" i="1"/>
  <c r="AF670" i="1"/>
  <c r="AG669" i="1"/>
  <c r="AE669" i="1"/>
  <c r="AF669" i="1"/>
  <c r="AG668" i="1"/>
  <c r="AE668" i="1"/>
  <c r="AF668" i="1"/>
  <c r="AG667" i="1"/>
  <c r="AE667" i="1"/>
  <c r="AF667" i="1"/>
  <c r="AG666" i="1"/>
  <c r="AE666" i="1"/>
  <c r="AF666" i="1"/>
  <c r="AG665" i="1"/>
  <c r="AE665" i="1"/>
  <c r="AF665" i="1"/>
  <c r="AG664" i="1"/>
  <c r="AE664" i="1"/>
  <c r="AF664" i="1"/>
  <c r="AG663" i="1"/>
  <c r="AE663" i="1"/>
  <c r="AF663" i="1"/>
  <c r="AG662" i="1"/>
  <c r="AE662" i="1"/>
  <c r="AF662" i="1"/>
  <c r="AG661" i="1"/>
  <c r="AE661" i="1"/>
  <c r="AF661" i="1"/>
  <c r="AG660" i="1"/>
  <c r="AE660" i="1"/>
  <c r="AF660" i="1"/>
  <c r="AG659" i="1"/>
  <c r="AE659" i="1"/>
  <c r="AF659" i="1"/>
  <c r="AG658" i="1"/>
  <c r="AE658" i="1"/>
  <c r="AF658" i="1"/>
  <c r="AG657" i="1"/>
  <c r="AE657" i="1"/>
  <c r="AF657" i="1"/>
  <c r="AG656" i="1"/>
  <c r="AE656" i="1"/>
  <c r="AF656" i="1"/>
  <c r="AG655" i="1"/>
  <c r="AE655" i="1"/>
  <c r="AF655" i="1"/>
  <c r="AG654" i="1"/>
  <c r="AE654" i="1"/>
  <c r="AF654" i="1"/>
  <c r="AG653" i="1"/>
  <c r="AE653" i="1"/>
  <c r="AF653" i="1"/>
  <c r="AG652" i="1"/>
  <c r="AE652" i="1"/>
  <c r="AF652" i="1"/>
  <c r="AG651" i="1"/>
  <c r="AE651" i="1"/>
  <c r="AF651" i="1"/>
  <c r="AG650" i="1"/>
  <c r="AE650" i="1"/>
  <c r="AF650" i="1"/>
  <c r="AG649" i="1"/>
  <c r="AE649" i="1"/>
  <c r="AF649" i="1"/>
  <c r="AG648" i="1"/>
  <c r="AE648" i="1"/>
  <c r="AF648" i="1"/>
  <c r="AG647" i="1"/>
  <c r="AE647" i="1"/>
  <c r="AF647" i="1"/>
  <c r="AG646" i="1"/>
  <c r="AE646" i="1"/>
  <c r="AF646" i="1"/>
  <c r="AG645" i="1"/>
  <c r="AE645" i="1"/>
  <c r="AF645" i="1"/>
  <c r="AG644" i="1"/>
  <c r="AE644" i="1"/>
  <c r="AF644" i="1"/>
  <c r="AG643" i="1"/>
  <c r="AE643" i="1"/>
  <c r="AF643" i="1"/>
  <c r="AG642" i="1"/>
  <c r="AE642" i="1"/>
  <c r="AF642" i="1"/>
  <c r="AG641" i="1"/>
  <c r="AE641" i="1"/>
  <c r="AF641" i="1"/>
  <c r="AG640" i="1"/>
  <c r="AE640" i="1"/>
  <c r="AF640" i="1"/>
  <c r="AG639" i="1"/>
  <c r="AE639" i="1"/>
  <c r="AF639" i="1"/>
  <c r="AG638" i="1"/>
  <c r="AE638" i="1"/>
  <c r="AF638" i="1"/>
  <c r="AG637" i="1"/>
  <c r="AE637" i="1"/>
  <c r="AF637" i="1"/>
  <c r="AG636" i="1"/>
  <c r="AE636" i="1"/>
  <c r="AF636" i="1"/>
  <c r="AG635" i="1"/>
  <c r="AE635" i="1"/>
  <c r="AF635" i="1"/>
  <c r="AG634" i="1"/>
  <c r="AE634" i="1"/>
  <c r="AF634" i="1"/>
  <c r="AG633" i="1"/>
  <c r="AE633" i="1"/>
  <c r="AF633" i="1"/>
  <c r="AG632" i="1"/>
  <c r="AE632" i="1"/>
  <c r="AF632" i="1"/>
  <c r="AG631" i="1"/>
  <c r="AE631" i="1"/>
  <c r="AF631" i="1"/>
  <c r="AG630" i="1"/>
  <c r="AE630" i="1"/>
  <c r="AF630" i="1"/>
  <c r="AG629" i="1"/>
  <c r="AE629" i="1"/>
  <c r="AF629" i="1"/>
  <c r="AG628" i="1"/>
  <c r="AE628" i="1"/>
  <c r="AF628" i="1"/>
  <c r="AG627" i="1"/>
  <c r="AE627" i="1"/>
  <c r="AF627" i="1"/>
  <c r="AG626" i="1"/>
  <c r="AE626" i="1"/>
  <c r="AF626" i="1"/>
  <c r="AG625" i="1"/>
  <c r="AE625" i="1"/>
  <c r="AF625" i="1"/>
  <c r="AG624" i="1"/>
  <c r="AE624" i="1"/>
  <c r="AF624" i="1"/>
  <c r="AG623" i="1"/>
  <c r="AE623" i="1"/>
  <c r="AF623" i="1"/>
  <c r="AG622" i="1"/>
  <c r="AE622" i="1"/>
  <c r="AF622" i="1"/>
  <c r="AG621" i="1"/>
  <c r="AE621" i="1"/>
  <c r="AF621" i="1"/>
  <c r="AG620" i="1"/>
  <c r="AE620" i="1"/>
  <c r="AF620" i="1"/>
  <c r="AG619" i="1"/>
  <c r="AE619" i="1"/>
  <c r="AF619" i="1"/>
  <c r="AG618" i="1"/>
  <c r="AE618" i="1"/>
  <c r="AF618" i="1"/>
  <c r="AG617" i="1"/>
  <c r="AE617" i="1"/>
  <c r="AF617" i="1"/>
  <c r="AG616" i="1"/>
  <c r="AE616" i="1"/>
  <c r="AF616" i="1"/>
  <c r="AG615" i="1"/>
  <c r="AE615" i="1"/>
  <c r="AF615" i="1"/>
  <c r="AG614" i="1"/>
  <c r="AE614" i="1"/>
  <c r="AF614" i="1"/>
  <c r="AG613" i="1"/>
  <c r="AE613" i="1"/>
  <c r="AF613" i="1"/>
  <c r="AG612" i="1"/>
  <c r="AE612" i="1"/>
  <c r="AF612" i="1"/>
  <c r="AG611" i="1"/>
  <c r="AE611" i="1"/>
  <c r="AF611" i="1"/>
  <c r="AG610" i="1"/>
  <c r="AE610" i="1"/>
  <c r="AF610" i="1"/>
  <c r="AG609" i="1"/>
  <c r="AE609" i="1"/>
  <c r="AF609" i="1"/>
  <c r="AG608" i="1"/>
  <c r="AE608" i="1"/>
  <c r="AF608" i="1"/>
  <c r="AG607" i="1"/>
  <c r="AE607" i="1"/>
  <c r="AF607" i="1"/>
  <c r="AG606" i="1"/>
  <c r="AE606" i="1"/>
  <c r="AF606" i="1"/>
  <c r="AG605" i="1"/>
  <c r="AE605" i="1"/>
  <c r="AF605" i="1"/>
  <c r="AG604" i="1"/>
  <c r="AE604" i="1"/>
  <c r="AF604" i="1"/>
  <c r="AG603" i="1"/>
  <c r="AE603" i="1"/>
  <c r="AF603" i="1"/>
  <c r="AG602" i="1"/>
  <c r="AE602" i="1"/>
  <c r="AF602" i="1"/>
  <c r="AG601" i="1"/>
  <c r="AE601" i="1"/>
  <c r="AF601" i="1"/>
  <c r="AG600" i="1"/>
  <c r="AE600" i="1"/>
  <c r="AF600" i="1"/>
  <c r="AG599" i="1"/>
  <c r="AE599" i="1"/>
  <c r="AF599" i="1"/>
  <c r="AG598" i="1"/>
  <c r="AE598" i="1"/>
  <c r="AF598" i="1"/>
  <c r="AG597" i="1"/>
  <c r="AE597" i="1"/>
  <c r="AF597" i="1"/>
  <c r="AG596" i="1"/>
  <c r="AE596" i="1"/>
  <c r="AF596" i="1"/>
  <c r="AG595" i="1"/>
  <c r="AE595" i="1"/>
  <c r="AF595" i="1"/>
  <c r="AG594" i="1"/>
  <c r="AE594" i="1"/>
  <c r="AF594" i="1"/>
  <c r="AG593" i="1"/>
  <c r="AE593" i="1"/>
  <c r="AF593" i="1"/>
  <c r="AG592" i="1"/>
  <c r="AE592" i="1"/>
  <c r="AF592" i="1"/>
  <c r="AG591" i="1"/>
  <c r="AE591" i="1"/>
  <c r="AF591" i="1"/>
  <c r="AG590" i="1"/>
  <c r="AE590" i="1"/>
  <c r="AF590" i="1"/>
  <c r="AG589" i="1"/>
  <c r="AE589" i="1"/>
  <c r="AF589" i="1"/>
  <c r="AG588" i="1"/>
  <c r="AE588" i="1"/>
  <c r="AF588" i="1"/>
  <c r="AG587" i="1"/>
  <c r="AE587" i="1"/>
  <c r="AF587" i="1"/>
  <c r="AG586" i="1"/>
  <c r="AE586" i="1"/>
  <c r="AF586" i="1"/>
  <c r="AG585" i="1"/>
  <c r="AE585" i="1"/>
  <c r="AF585" i="1"/>
  <c r="AG584" i="1"/>
  <c r="AE584" i="1"/>
  <c r="AF584" i="1"/>
  <c r="AG583" i="1"/>
  <c r="AE583" i="1"/>
  <c r="AF583" i="1"/>
  <c r="AG582" i="1"/>
  <c r="AE582" i="1"/>
  <c r="AF582" i="1"/>
  <c r="AG581" i="1"/>
  <c r="AE581" i="1"/>
  <c r="AF581" i="1"/>
  <c r="AG580" i="1"/>
  <c r="AE580" i="1"/>
  <c r="AF580" i="1"/>
  <c r="AG579" i="1"/>
  <c r="AE579" i="1"/>
  <c r="AF579" i="1"/>
  <c r="AG578" i="1"/>
  <c r="AE578" i="1"/>
  <c r="AF578" i="1"/>
  <c r="AG577" i="1"/>
  <c r="AE577" i="1"/>
  <c r="AF577" i="1"/>
  <c r="AG576" i="1"/>
  <c r="AE576" i="1"/>
  <c r="AF576" i="1"/>
  <c r="AG575" i="1"/>
  <c r="AE575" i="1"/>
  <c r="AF575" i="1"/>
  <c r="AG574" i="1"/>
  <c r="AE574" i="1"/>
  <c r="AF574" i="1"/>
  <c r="AG573" i="1"/>
  <c r="AE573" i="1"/>
  <c r="AF573" i="1"/>
  <c r="AG572" i="1"/>
  <c r="AE572" i="1"/>
  <c r="AF572" i="1"/>
  <c r="AG571" i="1"/>
  <c r="AE571" i="1"/>
  <c r="AF571" i="1"/>
  <c r="AG570" i="1"/>
  <c r="AE570" i="1"/>
  <c r="AF570" i="1"/>
  <c r="AG569" i="1"/>
  <c r="AE569" i="1"/>
  <c r="AF569" i="1"/>
  <c r="AG568" i="1"/>
  <c r="AE568" i="1"/>
  <c r="AF568" i="1"/>
  <c r="AG567" i="1"/>
  <c r="AE567" i="1"/>
  <c r="AF567" i="1"/>
  <c r="AG566" i="1"/>
  <c r="AE566" i="1"/>
  <c r="AF566" i="1"/>
  <c r="AG565" i="1"/>
  <c r="AE565" i="1"/>
  <c r="AF565" i="1"/>
  <c r="AG564" i="1"/>
  <c r="AE564" i="1"/>
  <c r="AF564" i="1"/>
  <c r="AG563" i="1"/>
  <c r="AE563" i="1"/>
  <c r="AF563" i="1"/>
  <c r="AG562" i="1"/>
  <c r="AE562" i="1"/>
  <c r="AF562" i="1"/>
  <c r="AG561" i="1"/>
  <c r="AE561" i="1"/>
  <c r="AF561" i="1"/>
  <c r="AG560" i="1"/>
  <c r="AE560" i="1"/>
  <c r="AF560" i="1"/>
  <c r="AG559" i="1"/>
  <c r="AE559" i="1"/>
  <c r="AF559" i="1"/>
  <c r="AG558" i="1"/>
  <c r="AE558" i="1"/>
  <c r="AF558" i="1"/>
  <c r="AG557" i="1"/>
  <c r="AE557" i="1"/>
  <c r="AF557" i="1"/>
  <c r="AG556" i="1"/>
  <c r="AE556" i="1"/>
  <c r="AF556" i="1"/>
  <c r="AG555" i="1"/>
  <c r="AE555" i="1"/>
  <c r="AF555" i="1"/>
  <c r="AG554" i="1"/>
  <c r="AE554" i="1"/>
  <c r="AF554" i="1"/>
  <c r="AG553" i="1"/>
  <c r="AE553" i="1"/>
  <c r="AF553" i="1"/>
  <c r="AG552" i="1"/>
  <c r="AE552" i="1"/>
  <c r="AF552" i="1"/>
  <c r="AG551" i="1"/>
  <c r="AE551" i="1"/>
  <c r="AF551" i="1"/>
  <c r="AG550" i="1"/>
  <c r="AE550" i="1"/>
  <c r="AF550" i="1"/>
  <c r="AG549" i="1"/>
  <c r="AE549" i="1"/>
  <c r="AF549" i="1"/>
  <c r="AG548" i="1"/>
  <c r="AE548" i="1"/>
  <c r="AF548" i="1"/>
  <c r="AG547" i="1"/>
  <c r="AE547" i="1"/>
  <c r="AF547" i="1"/>
  <c r="AG546" i="1"/>
  <c r="AE546" i="1"/>
  <c r="AF546" i="1"/>
  <c r="AG545" i="1"/>
  <c r="AE545" i="1"/>
  <c r="AF545" i="1"/>
  <c r="AG544" i="1"/>
  <c r="AE544" i="1"/>
  <c r="AF544" i="1"/>
  <c r="AG543" i="1"/>
  <c r="AE543" i="1"/>
  <c r="AF543" i="1"/>
  <c r="AG542" i="1"/>
  <c r="AE542" i="1"/>
  <c r="AF542" i="1"/>
  <c r="AG541" i="1"/>
  <c r="AE541" i="1"/>
  <c r="AF541" i="1"/>
  <c r="AG540" i="1"/>
  <c r="AE540" i="1"/>
  <c r="AF540" i="1"/>
  <c r="AG539" i="1"/>
  <c r="AE539" i="1"/>
  <c r="AF539" i="1"/>
  <c r="AG538" i="1"/>
  <c r="AE538" i="1"/>
  <c r="AF538" i="1"/>
  <c r="AG537" i="1"/>
  <c r="AE537" i="1"/>
  <c r="AF537" i="1"/>
  <c r="AG536" i="1"/>
  <c r="AE536" i="1"/>
  <c r="AF536" i="1"/>
  <c r="AG535" i="1"/>
  <c r="AE535" i="1"/>
  <c r="AF535" i="1"/>
  <c r="AG534" i="1"/>
  <c r="AE534" i="1"/>
  <c r="AF534" i="1"/>
  <c r="AG533" i="1"/>
  <c r="AE533" i="1"/>
  <c r="AF533" i="1"/>
  <c r="AG532" i="1"/>
  <c r="AE532" i="1"/>
  <c r="AF532" i="1"/>
  <c r="AG531" i="1"/>
  <c r="AE531" i="1"/>
  <c r="AF531" i="1"/>
  <c r="AG530" i="1"/>
  <c r="AE530" i="1"/>
  <c r="AF530" i="1"/>
  <c r="AG529" i="1"/>
  <c r="AE529" i="1"/>
  <c r="AF529" i="1"/>
  <c r="AG528" i="1"/>
  <c r="AE528" i="1"/>
  <c r="AF528" i="1"/>
  <c r="AG527" i="1"/>
  <c r="AE527" i="1"/>
  <c r="AF527" i="1"/>
  <c r="AG526" i="1"/>
  <c r="AE526" i="1"/>
  <c r="AF526" i="1"/>
  <c r="AG525" i="1"/>
  <c r="AE525" i="1"/>
  <c r="AF525" i="1"/>
  <c r="AG524" i="1"/>
  <c r="AE524" i="1"/>
  <c r="AF524" i="1"/>
  <c r="AG523" i="1"/>
  <c r="AE523" i="1"/>
  <c r="AF523" i="1"/>
  <c r="AG522" i="1"/>
  <c r="AE522" i="1"/>
  <c r="AF522" i="1"/>
  <c r="AG521" i="1"/>
  <c r="AE521" i="1"/>
  <c r="AF521" i="1"/>
  <c r="AG520" i="1"/>
  <c r="AE520" i="1"/>
  <c r="AF520" i="1"/>
  <c r="AG519" i="1"/>
  <c r="AE519" i="1"/>
  <c r="AF519" i="1"/>
  <c r="AG518" i="1"/>
  <c r="AE518" i="1"/>
  <c r="AF518" i="1"/>
  <c r="AG517" i="1"/>
  <c r="AE517" i="1"/>
  <c r="AF517" i="1"/>
  <c r="AG516" i="1"/>
  <c r="AE516" i="1"/>
  <c r="AF516" i="1"/>
  <c r="AG515" i="1"/>
  <c r="AE515" i="1"/>
  <c r="AF515" i="1"/>
  <c r="AG514" i="1"/>
  <c r="AE514" i="1"/>
  <c r="AF514" i="1"/>
  <c r="AG513" i="1"/>
  <c r="AE513" i="1"/>
  <c r="AF513" i="1"/>
  <c r="AG512" i="1"/>
  <c r="AE512" i="1"/>
  <c r="AF512" i="1"/>
  <c r="AG511" i="1"/>
  <c r="AE511" i="1"/>
  <c r="AF511" i="1"/>
  <c r="AG510" i="1"/>
  <c r="AE510" i="1"/>
  <c r="AF510" i="1"/>
  <c r="AG509" i="1"/>
  <c r="AE509" i="1"/>
  <c r="AF509" i="1"/>
  <c r="AG508" i="1"/>
  <c r="AE508" i="1"/>
  <c r="AF508" i="1"/>
  <c r="AG507" i="1"/>
  <c r="AE507" i="1"/>
  <c r="AF507" i="1"/>
  <c r="AG506" i="1"/>
  <c r="AE506" i="1"/>
  <c r="AF506" i="1"/>
  <c r="AG505" i="1"/>
  <c r="AE505" i="1"/>
  <c r="AF505" i="1"/>
  <c r="AG504" i="1"/>
  <c r="AE504" i="1"/>
  <c r="AF504" i="1"/>
  <c r="AG503" i="1"/>
  <c r="AE503" i="1"/>
  <c r="AF503" i="1"/>
  <c r="AG502" i="1"/>
  <c r="AE502" i="1"/>
  <c r="AF502" i="1"/>
  <c r="K390" i="1"/>
  <c r="K387" i="1"/>
  <c r="K388" i="1"/>
  <c r="K389" i="1"/>
  <c r="K377" i="1"/>
  <c r="K378" i="1"/>
  <c r="K379" i="1"/>
  <c r="K380" i="1"/>
  <c r="K381" i="1"/>
  <c r="K382" i="1"/>
  <c r="K383" i="1"/>
  <c r="K384" i="1"/>
  <c r="K385" i="1"/>
  <c r="K386" i="1"/>
  <c r="K374" i="1"/>
  <c r="K375" i="1"/>
  <c r="K376" i="1"/>
  <c r="C7" i="2"/>
  <c r="C8" i="2"/>
  <c r="C9" i="2"/>
  <c r="C10" i="2"/>
  <c r="C11" i="2"/>
  <c r="C12" i="2"/>
  <c r="C13" i="2"/>
  <c r="C14" i="2"/>
  <c r="C5" i="2"/>
  <c r="C4" i="2"/>
  <c r="C3" i="2"/>
  <c r="C2" i="2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2" i="1"/>
  <c r="C18" i="2"/>
  <c r="C19" i="2"/>
  <c r="C20" i="2"/>
  <c r="C21" i="2"/>
  <c r="C22" i="2"/>
  <c r="C23" i="2"/>
  <c r="C24" i="2"/>
  <c r="C25" i="2"/>
  <c r="L347" i="1"/>
  <c r="F23" i="1"/>
  <c r="L236" i="1"/>
  <c r="L303" i="1"/>
  <c r="F22" i="1"/>
  <c r="L112" i="1"/>
  <c r="L229" i="1"/>
  <c r="L163" i="1"/>
  <c r="L27" i="1"/>
  <c r="L374" i="1"/>
  <c r="L5" i="1"/>
  <c r="L55" i="1"/>
  <c r="L361" i="1"/>
  <c r="L36" i="1"/>
  <c r="L2" i="1"/>
  <c r="L143" i="1"/>
  <c r="L320" i="1"/>
  <c r="L64" i="1"/>
  <c r="F6" i="1"/>
  <c r="L216" i="1"/>
  <c r="L316" i="1"/>
  <c r="L9" i="1"/>
  <c r="L317" i="1"/>
  <c r="L288" i="1"/>
  <c r="L69" i="1"/>
  <c r="L21" i="1"/>
  <c r="L153" i="1"/>
  <c r="L265" i="1"/>
  <c r="L369" i="1"/>
  <c r="L62" i="1"/>
  <c r="L170" i="1"/>
  <c r="L42" i="1"/>
  <c r="L154" i="1"/>
  <c r="L240" i="1"/>
  <c r="L348" i="1"/>
  <c r="L61" i="1"/>
  <c r="L213" i="1"/>
  <c r="L373" i="1"/>
  <c r="L84" i="1"/>
  <c r="L196" i="1"/>
  <c r="L312" i="1"/>
  <c r="L73" i="1"/>
  <c r="L177" i="1"/>
  <c r="L297" i="1"/>
  <c r="L37" i="1"/>
  <c r="L82" i="1"/>
  <c r="L17" i="1"/>
  <c r="L78" i="1"/>
  <c r="L227" i="1"/>
  <c r="L283" i="1"/>
  <c r="L256" i="1"/>
  <c r="L364" i="1"/>
  <c r="L117" i="1"/>
  <c r="L269" i="1"/>
  <c r="L165" i="1"/>
  <c r="L108" i="1"/>
  <c r="L228" i="1"/>
  <c r="L340" i="1"/>
  <c r="L105" i="1"/>
  <c r="L217" i="1"/>
  <c r="L329" i="1"/>
  <c r="L106" i="1"/>
  <c r="L98" i="1"/>
  <c r="L299" i="1"/>
  <c r="L355" i="1"/>
  <c r="L402" i="1"/>
  <c r="L4" i="1"/>
  <c r="L356" i="1"/>
  <c r="L173" i="1"/>
  <c r="L381" i="1"/>
  <c r="L148" i="1"/>
  <c r="L352" i="1"/>
  <c r="L45" i="1"/>
  <c r="L241" i="1"/>
  <c r="L158" i="1"/>
  <c r="L126" i="1"/>
  <c r="L251" i="1"/>
  <c r="L224" i="1"/>
  <c r="L261" i="1"/>
  <c r="L189" i="1"/>
  <c r="L212" i="1"/>
  <c r="L380" i="1"/>
  <c r="L113" i="1"/>
  <c r="L281" i="1"/>
  <c r="L30" i="1"/>
  <c r="L6" i="1"/>
  <c r="L174" i="1"/>
  <c r="L400" i="1"/>
  <c r="L276" i="1"/>
  <c r="L13" i="1"/>
  <c r="L277" i="1"/>
  <c r="L76" i="1"/>
  <c r="L244" i="1"/>
  <c r="L145" i="1"/>
  <c r="L337" i="1"/>
  <c r="L70" i="1"/>
  <c r="L26" i="1"/>
  <c r="L291" i="1"/>
  <c r="L325" i="1"/>
  <c r="L248" i="1"/>
  <c r="L141" i="1"/>
  <c r="L92" i="1"/>
  <c r="L372" i="1"/>
  <c r="L209" i="1"/>
  <c r="L38" i="1"/>
  <c r="L50" i="1"/>
  <c r="L219" i="1"/>
  <c r="L363" i="1"/>
  <c r="L401" i="1"/>
  <c r="L357" i="1"/>
  <c r="L292" i="1"/>
  <c r="L116" i="1"/>
  <c r="L7" i="1"/>
  <c r="L225" i="1"/>
  <c r="L102" i="1"/>
  <c r="L90" i="1"/>
  <c r="L231" i="1"/>
  <c r="L32" i="1"/>
  <c r="L308" i="1"/>
  <c r="L237" i="1"/>
  <c r="L124" i="1"/>
  <c r="L47" i="1"/>
  <c r="L249" i="1"/>
  <c r="L114" i="1"/>
  <c r="L334" i="1"/>
  <c r="L118" i="1"/>
  <c r="L255" i="1"/>
  <c r="L324" i="1"/>
  <c r="L285" i="1"/>
  <c r="L188" i="1"/>
  <c r="L101" i="1"/>
  <c r="L313" i="1"/>
  <c r="L130" i="1"/>
  <c r="L134" i="1"/>
  <c r="L271" i="1"/>
  <c r="L168" i="1"/>
  <c r="L341" i="1"/>
  <c r="L81" i="1"/>
  <c r="L230" i="1"/>
  <c r="L311" i="1"/>
  <c r="L200" i="1"/>
  <c r="L8" i="1"/>
  <c r="L137" i="1"/>
  <c r="L319" i="1"/>
  <c r="L125" i="1"/>
  <c r="L304" i="1"/>
  <c r="L25" i="1"/>
  <c r="L195" i="1"/>
  <c r="L85" i="1"/>
  <c r="L169" i="1"/>
  <c r="L14" i="1"/>
  <c r="L394" i="1"/>
  <c r="L353" i="1"/>
  <c r="L194" i="1"/>
  <c r="L136" i="1"/>
  <c r="L280" i="1"/>
  <c r="L278" i="1"/>
  <c r="L207" i="1"/>
  <c r="L370" i="1"/>
  <c r="L309" i="1"/>
  <c r="L178" i="1"/>
  <c r="L79" i="1"/>
  <c r="L135" i="1"/>
  <c r="L366" i="1"/>
  <c r="F18" i="1"/>
  <c r="F5" i="1"/>
  <c r="L3" i="1"/>
  <c r="L11" i="1"/>
  <c r="F11" i="1"/>
  <c r="F8" i="1"/>
  <c r="F19" i="1"/>
  <c r="F21" i="1"/>
  <c r="L19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71" i="1"/>
  <c r="L179" i="1"/>
  <c r="L186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0" i="1"/>
  <c r="L338" i="1"/>
  <c r="L346" i="1"/>
  <c r="L354" i="1"/>
  <c r="L362" i="1"/>
  <c r="L378" i="1"/>
  <c r="L386" i="1"/>
  <c r="F13" i="1"/>
  <c r="F10" i="1"/>
  <c r="F20" i="1"/>
  <c r="F9" i="1"/>
  <c r="F17" i="1"/>
  <c r="L15" i="1"/>
  <c r="F15" i="1"/>
  <c r="L23" i="1"/>
  <c r="L31" i="1"/>
  <c r="L39" i="1"/>
  <c r="L63" i="1"/>
  <c r="L71" i="1"/>
  <c r="L87" i="1"/>
  <c r="L95" i="1"/>
  <c r="L103" i="1"/>
  <c r="L111" i="1"/>
  <c r="L119" i="1"/>
  <c r="L127" i="1"/>
  <c r="L151" i="1"/>
  <c r="L159" i="1"/>
  <c r="L167" i="1"/>
  <c r="L175" i="1"/>
  <c r="L182" i="1"/>
  <c r="L190" i="1"/>
  <c r="L198" i="1"/>
  <c r="L206" i="1"/>
  <c r="L214" i="1"/>
  <c r="L222" i="1"/>
  <c r="L238" i="1"/>
  <c r="L246" i="1"/>
  <c r="L254" i="1"/>
  <c r="L262" i="1"/>
  <c r="L270" i="1"/>
  <c r="L286" i="1"/>
  <c r="L294" i="1"/>
  <c r="L302" i="1"/>
  <c r="L310" i="1"/>
  <c r="L318" i="1"/>
  <c r="L326" i="1"/>
  <c r="L342" i="1"/>
  <c r="L350" i="1"/>
  <c r="L358" i="1"/>
  <c r="L382" i="1"/>
  <c r="L393" i="1"/>
  <c r="L396" i="1"/>
  <c r="L16" i="1"/>
  <c r="L24" i="1"/>
  <c r="L40" i="1"/>
  <c r="L48" i="1"/>
  <c r="L56" i="1"/>
  <c r="L72" i="1"/>
  <c r="L80" i="1"/>
  <c r="L88" i="1"/>
  <c r="L96" i="1"/>
  <c r="L104" i="1"/>
  <c r="L120" i="1"/>
  <c r="L128" i="1"/>
  <c r="L144" i="1"/>
  <c r="L152" i="1"/>
  <c r="L160" i="1"/>
  <c r="L176" i="1"/>
  <c r="L183" i="1"/>
  <c r="L191" i="1"/>
  <c r="L199" i="1"/>
  <c r="L215" i="1"/>
  <c r="L223" i="1"/>
  <c r="L239" i="1"/>
  <c r="L247" i="1"/>
  <c r="L263" i="1"/>
  <c r="L279" i="1"/>
  <c r="L287" i="1"/>
  <c r="L295" i="1"/>
  <c r="L327" i="1"/>
  <c r="L335" i="1"/>
  <c r="L343" i="1"/>
  <c r="L351" i="1"/>
  <c r="L359" i="1"/>
  <c r="L367" i="1"/>
  <c r="L375" i="1"/>
  <c r="L383" i="1"/>
  <c r="L392" i="1"/>
  <c r="L395" i="1"/>
  <c r="L398" i="1"/>
  <c r="F12" i="1"/>
  <c r="L44" i="1"/>
  <c r="L164" i="1"/>
  <c r="L267" i="1"/>
  <c r="L323" i="1"/>
  <c r="L379" i="1"/>
  <c r="L397" i="1"/>
  <c r="F14" i="1"/>
  <c r="L66" i="1"/>
  <c r="L122" i="1"/>
  <c r="L138" i="1"/>
  <c r="L201" i="1"/>
  <c r="L273" i="1"/>
  <c r="L12" i="1"/>
  <c r="L20" i="1"/>
  <c r="L28" i="1"/>
  <c r="L52" i="1"/>
  <c r="L60" i="1"/>
  <c r="L68" i="1"/>
  <c r="L100" i="1"/>
  <c r="L132" i="1"/>
  <c r="L140" i="1"/>
  <c r="L156" i="1"/>
  <c r="L172" i="1"/>
  <c r="L187" i="1"/>
  <c r="L203" i="1"/>
  <c r="L211" i="1"/>
  <c r="L235" i="1"/>
  <c r="L243" i="1"/>
  <c r="L259" i="1"/>
  <c r="L275" i="1"/>
  <c r="L307" i="1"/>
  <c r="L315" i="1"/>
  <c r="L331" i="1"/>
  <c r="L339" i="1"/>
  <c r="L371" i="1"/>
  <c r="L387" i="1"/>
  <c r="L399" i="1"/>
  <c r="L162" i="1"/>
  <c r="L58" i="1"/>
  <c r="L57" i="1"/>
  <c r="L150" i="1"/>
  <c r="L46" i="1"/>
  <c r="L389" i="1"/>
  <c r="L289" i="1"/>
  <c r="L185" i="1"/>
  <c r="L97" i="1"/>
  <c r="L360" i="1"/>
  <c r="L264" i="1"/>
  <c r="L365" i="1"/>
  <c r="L221" i="1"/>
  <c r="L93" i="1"/>
  <c r="L384" i="1"/>
  <c r="L284" i="1"/>
  <c r="L184" i="1"/>
  <c r="L29" i="1"/>
  <c r="L53" i="1"/>
  <c r="L77" i="1"/>
  <c r="L109" i="1"/>
  <c r="L133" i="1"/>
  <c r="L149" i="1"/>
  <c r="L157" i="1"/>
  <c r="L204" i="1"/>
  <c r="L220" i="1"/>
  <c r="L252" i="1"/>
  <c r="L260" i="1"/>
  <c r="L268" i="1"/>
  <c r="L300" i="1"/>
  <c r="L332" i="1"/>
  <c r="L403" i="1"/>
  <c r="L208" i="1"/>
  <c r="L336" i="1"/>
  <c r="L272" i="1"/>
  <c r="L65" i="1"/>
  <c r="L129" i="1"/>
  <c r="L391" i="1"/>
  <c r="L192" i="1"/>
  <c r="L344" i="1"/>
  <c r="L390" i="1"/>
  <c r="L205" i="1"/>
  <c r="L301" i="1"/>
  <c r="L296" i="1"/>
  <c r="L368" i="1"/>
  <c r="L33" i="1"/>
  <c r="L121" i="1"/>
  <c r="L345" i="1"/>
  <c r="L49" i="1"/>
  <c r="L54" i="1"/>
  <c r="L232" i="1"/>
  <c r="L376" i="1"/>
  <c r="L253" i="1"/>
  <c r="L349" i="1"/>
  <c r="L328" i="1"/>
  <c r="L89" i="1"/>
  <c r="L161" i="1"/>
  <c r="L233" i="1"/>
  <c r="L305" i="1"/>
  <c r="L377" i="1"/>
  <c r="L18" i="1"/>
  <c r="L94" i="1"/>
  <c r="L166" i="1"/>
  <c r="L41" i="1"/>
  <c r="L34" i="1"/>
  <c r="L110" i="1"/>
  <c r="F4" i="1"/>
  <c r="F7" i="1"/>
  <c r="L10" i="1"/>
  <c r="L74" i="1"/>
  <c r="L146" i="1"/>
  <c r="L193" i="1"/>
  <c r="L257" i="1"/>
  <c r="L321" i="1"/>
  <c r="L385" i="1"/>
  <c r="L22" i="1"/>
  <c r="L86" i="1"/>
  <c r="L142" i="1"/>
  <c r="L197" i="1"/>
  <c r="L245" i="1"/>
  <c r="L293" i="1"/>
  <c r="L333" i="1"/>
  <c r="M300" i="1"/>
  <c r="B1" i="9"/>
</calcChain>
</file>

<file path=xl/comments1.xml><?xml version="1.0" encoding="utf-8"?>
<comments xmlns="http://schemas.openxmlformats.org/spreadsheetml/2006/main">
  <authors>
    <author>Chunnip</author>
  </authors>
  <commentList>
    <comment ref="L388" authorId="0">
      <text>
        <r>
          <rPr>
            <b/>
            <sz val="9"/>
            <color indexed="81"/>
            <rFont val="Tahoma"/>
            <family val="2"/>
          </rPr>
          <t>Chunnip:</t>
        </r>
        <r>
          <rPr>
            <sz val="9"/>
            <color indexed="81"/>
            <rFont val="Tahoma"/>
            <family val="2"/>
          </rPr>
          <t xml:space="preserve">
override
</t>
        </r>
      </text>
    </comment>
  </commentList>
</comments>
</file>

<file path=xl/sharedStrings.xml><?xml version="1.0" encoding="utf-8"?>
<sst xmlns="http://schemas.openxmlformats.org/spreadsheetml/2006/main" count="1257" uniqueCount="1021">
  <si>
    <t>asOfDate</t>
  </si>
  <si>
    <t>refinancible</t>
  </si>
  <si>
    <t>refinancible_satoAdj</t>
  </si>
  <si>
    <t>'2012-04-02'</t>
  </si>
  <si>
    <t>'2012-04-03'</t>
  </si>
  <si>
    <t>'2012-04-04'</t>
  </si>
  <si>
    <t>'2012-04-05'</t>
  </si>
  <si>
    <t>'2012-04-06'</t>
  </si>
  <si>
    <t>'2012-04-09'</t>
  </si>
  <si>
    <t>'2012-04-10'</t>
  </si>
  <si>
    <t>'2012-04-11'</t>
  </si>
  <si>
    <t>'2012-04-12'</t>
  </si>
  <si>
    <t>'2012-04-13'</t>
  </si>
  <si>
    <t>'2012-04-16'</t>
  </si>
  <si>
    <t>'2012-04-17'</t>
  </si>
  <si>
    <t>'2012-04-18'</t>
  </si>
  <si>
    <t>'2012-04-19'</t>
  </si>
  <si>
    <t>'2012-04-20'</t>
  </si>
  <si>
    <t>'2012-04-23'</t>
  </si>
  <si>
    <t>'2012-04-24'</t>
  </si>
  <si>
    <t>'2012-04-25'</t>
  </si>
  <si>
    <t>'2012-04-26'</t>
  </si>
  <si>
    <t>'2012-04-27'</t>
  </si>
  <si>
    <t>'2012-04-30'</t>
  </si>
  <si>
    <t>'2012-05-01'</t>
  </si>
  <si>
    <t>'2012-05-02'</t>
  </si>
  <si>
    <t>'2012-05-03'</t>
  </si>
  <si>
    <t>'2012-05-04'</t>
  </si>
  <si>
    <t>'2012-05-07'</t>
  </si>
  <si>
    <t>'2012-05-08'</t>
  </si>
  <si>
    <t>'2012-05-09'</t>
  </si>
  <si>
    <t>'2012-05-10'</t>
  </si>
  <si>
    <t>'2012-05-11'</t>
  </si>
  <si>
    <t>'2012-05-14'</t>
  </si>
  <si>
    <t>'2012-05-15'</t>
  </si>
  <si>
    <t>'2012-05-16'</t>
  </si>
  <si>
    <t>'2012-05-17'</t>
  </si>
  <si>
    <t>'2012-05-18'</t>
  </si>
  <si>
    <t>'2012-05-21'</t>
  </si>
  <si>
    <t>'2012-05-22'</t>
  </si>
  <si>
    <t>'2012-05-23'</t>
  </si>
  <si>
    <t>'2012-05-24'</t>
  </si>
  <si>
    <t>'2012-05-25'</t>
  </si>
  <si>
    <t>'2012-05-29'</t>
  </si>
  <si>
    <t>'2012-05-30'</t>
  </si>
  <si>
    <t>'2012-05-31'</t>
  </si>
  <si>
    <t>'2012-06-01'</t>
  </si>
  <si>
    <t>'2012-06-04'</t>
  </si>
  <si>
    <t>'2012-06-05'</t>
  </si>
  <si>
    <t>'2012-06-06'</t>
  </si>
  <si>
    <t>'2012-06-07'</t>
  </si>
  <si>
    <t>'2012-06-08'</t>
  </si>
  <si>
    <t>'2012-06-11'</t>
  </si>
  <si>
    <t>'2012-06-12'</t>
  </si>
  <si>
    <t>'2012-06-13'</t>
  </si>
  <si>
    <t>'2012-06-14'</t>
  </si>
  <si>
    <t>'2012-06-15'</t>
  </si>
  <si>
    <t>'2012-06-18'</t>
  </si>
  <si>
    <t>'2012-06-19'</t>
  </si>
  <si>
    <t>'2012-06-20'</t>
  </si>
  <si>
    <t>'2012-06-21'</t>
  </si>
  <si>
    <t>'2012-06-22'</t>
  </si>
  <si>
    <t>'2012-06-25'</t>
  </si>
  <si>
    <t>'2012-06-26'</t>
  </si>
  <si>
    <t>'2012-06-27'</t>
  </si>
  <si>
    <t>'2012-06-28'</t>
  </si>
  <si>
    <t>'2012-06-29'</t>
  </si>
  <si>
    <t>'2012-07-02'</t>
  </si>
  <si>
    <t>'2012-07-03'</t>
  </si>
  <si>
    <t>'2012-07-05'</t>
  </si>
  <si>
    <t>'2012-07-06'</t>
  </si>
  <si>
    <t>'2012-07-09'</t>
  </si>
  <si>
    <t>'2012-07-10'</t>
  </si>
  <si>
    <t>'2012-07-11'</t>
  </si>
  <si>
    <t>'2012-07-12'</t>
  </si>
  <si>
    <t>'2012-07-13'</t>
  </si>
  <si>
    <t>'2012-07-16'</t>
  </si>
  <si>
    <t>'2012-07-17'</t>
  </si>
  <si>
    <t>'2012-07-18'</t>
  </si>
  <si>
    <t>'2012-07-19'</t>
  </si>
  <si>
    <t>'2012-07-20'</t>
  </si>
  <si>
    <t>'2012-07-23'</t>
  </si>
  <si>
    <t>'2012-07-24'</t>
  </si>
  <si>
    <t>'2012-07-25'</t>
  </si>
  <si>
    <t>'2012-07-26'</t>
  </si>
  <si>
    <t>'2012-07-27'</t>
  </si>
  <si>
    <t>'2012-07-30'</t>
  </si>
  <si>
    <t>'2012-07-31'</t>
  </si>
  <si>
    <t>'2012-08-01'</t>
  </si>
  <si>
    <t>'2012-08-02'</t>
  </si>
  <si>
    <t>'2012-08-03'</t>
  </si>
  <si>
    <t>'2012-08-06'</t>
  </si>
  <si>
    <t>'2012-08-07'</t>
  </si>
  <si>
    <t>'2012-08-08'</t>
  </si>
  <si>
    <t>'2012-08-09'</t>
  </si>
  <si>
    <t>'2012-08-10'</t>
  </si>
  <si>
    <t>'2012-08-13'</t>
  </si>
  <si>
    <t>'2012-08-14'</t>
  </si>
  <si>
    <t>'2012-08-15'</t>
  </si>
  <si>
    <t>'2012-08-16'</t>
  </si>
  <si>
    <t>'2012-08-17'</t>
  </si>
  <si>
    <t>'2012-08-20'</t>
  </si>
  <si>
    <t>'2012-08-21'</t>
  </si>
  <si>
    <t>'2012-08-22'</t>
  </si>
  <si>
    <t>'2012-08-23'</t>
  </si>
  <si>
    <t>'2012-08-24'</t>
  </si>
  <si>
    <t>'2012-08-27'</t>
  </si>
  <si>
    <t>'2012-08-28'</t>
  </si>
  <si>
    <t>'2012-08-29'</t>
  </si>
  <si>
    <t>'2012-08-30'</t>
  </si>
  <si>
    <t>'2012-08-31'</t>
  </si>
  <si>
    <t>'2012-09-04'</t>
  </si>
  <si>
    <t>'2012-09-05'</t>
  </si>
  <si>
    <t>'2012-09-06'</t>
  </si>
  <si>
    <t>'2012-09-07'</t>
  </si>
  <si>
    <t>'2012-09-10'</t>
  </si>
  <si>
    <t>'2012-09-11'</t>
  </si>
  <si>
    <t>'2012-09-12'</t>
  </si>
  <si>
    <t>'2012-09-13'</t>
  </si>
  <si>
    <t>'2012-09-14'</t>
  </si>
  <si>
    <t>'2012-09-17'</t>
  </si>
  <si>
    <t>'2012-09-18'</t>
  </si>
  <si>
    <t>'2012-09-19'</t>
  </si>
  <si>
    <t>'2012-09-20'</t>
  </si>
  <si>
    <t>'2012-09-21'</t>
  </si>
  <si>
    <t>'2012-09-24'</t>
  </si>
  <si>
    <t>'2012-09-25'</t>
  </si>
  <si>
    <t>'2012-09-26'</t>
  </si>
  <si>
    <t>'2012-09-27'</t>
  </si>
  <si>
    <t>'2012-09-28'</t>
  </si>
  <si>
    <t>'2012-10-01'</t>
  </si>
  <si>
    <t>'2012-10-02'</t>
  </si>
  <si>
    <t>'2012-10-03'</t>
  </si>
  <si>
    <t>'2012-10-04'</t>
  </si>
  <si>
    <t>'2012-10-05'</t>
  </si>
  <si>
    <t>'2012-10-08'</t>
  </si>
  <si>
    <t>'2012-10-09'</t>
  </si>
  <si>
    <t>'2012-10-10'</t>
  </si>
  <si>
    <t>'2012-10-11'</t>
  </si>
  <si>
    <t>'2012-10-12'</t>
  </si>
  <si>
    <t>'2012-10-15'</t>
  </si>
  <si>
    <t>'2012-10-16'</t>
  </si>
  <si>
    <t>'2012-10-17'</t>
  </si>
  <si>
    <t>'2012-10-18'</t>
  </si>
  <si>
    <t>'2012-10-19'</t>
  </si>
  <si>
    <t>'2012-10-22'</t>
  </si>
  <si>
    <t>'2012-10-23'</t>
  </si>
  <si>
    <t>'2012-10-24'</t>
  </si>
  <si>
    <t>'2012-10-25'</t>
  </si>
  <si>
    <t>'2012-10-26'</t>
  </si>
  <si>
    <t>'2012-10-29'</t>
  </si>
  <si>
    <t>'2012-10-30'</t>
  </si>
  <si>
    <t>'2012-10-31'</t>
  </si>
  <si>
    <t>'2012-11-01'</t>
  </si>
  <si>
    <t>'2012-11-02'</t>
  </si>
  <si>
    <t>'2012-11-05'</t>
  </si>
  <si>
    <t>'2012-11-06'</t>
  </si>
  <si>
    <t>'2012-11-07'</t>
  </si>
  <si>
    <t>'2012-11-08'</t>
  </si>
  <si>
    <t>'2012-11-09'</t>
  </si>
  <si>
    <t>'2012-11-12'</t>
  </si>
  <si>
    <t>'2012-11-13'</t>
  </si>
  <si>
    <t>'2012-11-14'</t>
  </si>
  <si>
    <t>'2012-11-15'</t>
  </si>
  <si>
    <t>'2012-11-16'</t>
  </si>
  <si>
    <t>'2012-11-19'</t>
  </si>
  <si>
    <t>'2012-11-20'</t>
  </si>
  <si>
    <t>'2012-11-23'</t>
  </si>
  <si>
    <t>'2012-11-26'</t>
  </si>
  <si>
    <t>'2012-11-27'</t>
  </si>
  <si>
    <t>'2012-11-28'</t>
  </si>
  <si>
    <t>'2012-11-29'</t>
  </si>
  <si>
    <t>'2012-11-30'</t>
  </si>
  <si>
    <t>'2012-12-03'</t>
  </si>
  <si>
    <t>'2012-12-04'</t>
  </si>
  <si>
    <t>'2012-12-05'</t>
  </si>
  <si>
    <t>'2012-12-06'</t>
  </si>
  <si>
    <t>'2012-12-07'</t>
  </si>
  <si>
    <t>'2012-12-10'</t>
  </si>
  <si>
    <t>'2012-12-11'</t>
  </si>
  <si>
    <t>'2012-12-12'</t>
  </si>
  <si>
    <t>'2012-12-13'</t>
  </si>
  <si>
    <t>'2012-12-14'</t>
  </si>
  <si>
    <t>'2012-12-17'</t>
  </si>
  <si>
    <t>'2012-12-18'</t>
  </si>
  <si>
    <t>'2012-12-19'</t>
  </si>
  <si>
    <t>'2012-12-20'</t>
  </si>
  <si>
    <t>'2012-12-21'</t>
  </si>
  <si>
    <t>'2012-12-24'</t>
  </si>
  <si>
    <t>'2012-12-26'</t>
  </si>
  <si>
    <t>'2012-12-27'</t>
  </si>
  <si>
    <t>'2012-12-28'</t>
  </si>
  <si>
    <t>'2012-12-31'</t>
  </si>
  <si>
    <t>'2013-01-02'</t>
  </si>
  <si>
    <t>'2013-01-03'</t>
  </si>
  <si>
    <t>'2013-01-04'</t>
  </si>
  <si>
    <t>'2013-01-07'</t>
  </si>
  <si>
    <t>'2013-01-08'</t>
  </si>
  <si>
    <t>'2013-01-09'</t>
  </si>
  <si>
    <t>'2013-01-10'</t>
  </si>
  <si>
    <t>'2013-01-11'</t>
  </si>
  <si>
    <t>'2013-01-14'</t>
  </si>
  <si>
    <t>'2013-01-15'</t>
  </si>
  <si>
    <t>'2013-01-16'</t>
  </si>
  <si>
    <t>'2013-01-17'</t>
  </si>
  <si>
    <t>'2013-01-18'</t>
  </si>
  <si>
    <t>'2013-01-22'</t>
  </si>
  <si>
    <t>'2013-01-23'</t>
  </si>
  <si>
    <t>'2013-01-24'</t>
  </si>
  <si>
    <t>'2013-01-25'</t>
  </si>
  <si>
    <t>'2013-01-28'</t>
  </si>
  <si>
    <t>'2013-01-29'</t>
  </si>
  <si>
    <t>'2013-01-30'</t>
  </si>
  <si>
    <t>'2013-01-31'</t>
  </si>
  <si>
    <t>'2013-02-01'</t>
  </si>
  <si>
    <t>'2013-02-04'</t>
  </si>
  <si>
    <t>'2013-02-05'</t>
  </si>
  <si>
    <t>'2013-02-06'</t>
  </si>
  <si>
    <t>'2013-02-07'</t>
  </si>
  <si>
    <t>'2013-02-08'</t>
  </si>
  <si>
    <t>'2013-02-11'</t>
  </si>
  <si>
    <t>'2013-02-12'</t>
  </si>
  <si>
    <t>'2013-02-13'</t>
  </si>
  <si>
    <t>'2013-02-14'</t>
  </si>
  <si>
    <t>'2013-02-15'</t>
  </si>
  <si>
    <t>'2013-02-19'</t>
  </si>
  <si>
    <t>'2013-02-20'</t>
  </si>
  <si>
    <t>'2013-02-21'</t>
  </si>
  <si>
    <t>'2013-02-22'</t>
  </si>
  <si>
    <t>'2013-02-25'</t>
  </si>
  <si>
    <t>'2013-02-26'</t>
  </si>
  <si>
    <t>'2013-02-27'</t>
  </si>
  <si>
    <t>'2013-02-28'</t>
  </si>
  <si>
    <t>'2013-03-01'</t>
  </si>
  <si>
    <t>'2013-03-04'</t>
  </si>
  <si>
    <t>'2013-03-05'</t>
  </si>
  <si>
    <t>'2013-03-06'</t>
  </si>
  <si>
    <t>'2013-03-07'</t>
  </si>
  <si>
    <t>'2013-03-08'</t>
  </si>
  <si>
    <t>'2013-03-11'</t>
  </si>
  <si>
    <t>'2013-03-12'</t>
  </si>
  <si>
    <t>'2013-03-13'</t>
  </si>
  <si>
    <t>'2013-03-14'</t>
  </si>
  <si>
    <t>'2013-03-15'</t>
  </si>
  <si>
    <t>'2013-03-18'</t>
  </si>
  <si>
    <t>'2013-03-19'</t>
  </si>
  <si>
    <t>'2013-03-20'</t>
  </si>
  <si>
    <t>'2013-03-21'</t>
  </si>
  <si>
    <t>'2013-03-22'</t>
  </si>
  <si>
    <t>'2013-03-25'</t>
  </si>
  <si>
    <t>'2013-03-26'</t>
  </si>
  <si>
    <t>'2013-03-27'</t>
  </si>
  <si>
    <t>'2013-03-28'</t>
  </si>
  <si>
    <t>'2013-04-01'</t>
  </si>
  <si>
    <t>'2013-04-02'</t>
  </si>
  <si>
    <t>'2013-04-03'</t>
  </si>
  <si>
    <t>'2013-04-04'</t>
  </si>
  <si>
    <t>'2013-04-05'</t>
  </si>
  <si>
    <t>'2013-04-08'</t>
  </si>
  <si>
    <t>'2013-04-09'</t>
  </si>
  <si>
    <t>'2013-04-10'</t>
  </si>
  <si>
    <t>'2013-04-11'</t>
  </si>
  <si>
    <t>'2013-04-12'</t>
  </si>
  <si>
    <t>'2013-04-15'</t>
  </si>
  <si>
    <t>'2013-04-16'</t>
  </si>
  <si>
    <t>'2013-04-17'</t>
  </si>
  <si>
    <t>'2013-04-18'</t>
  </si>
  <si>
    <t>'2013-04-19'</t>
  </si>
  <si>
    <t>'2013-04-22'</t>
  </si>
  <si>
    <t>'2013-04-23'</t>
  </si>
  <si>
    <t>'2013-04-24'</t>
  </si>
  <si>
    <t>'2013-04-25'</t>
  </si>
  <si>
    <t>'2013-04-26'</t>
  </si>
  <si>
    <t>'2013-04-29'</t>
  </si>
  <si>
    <t>'2013-04-30'</t>
  </si>
  <si>
    <t>'2013-05-01'</t>
  </si>
  <si>
    <t>'2013-05-02'</t>
  </si>
  <si>
    <t>'2013-05-03'</t>
  </si>
  <si>
    <t>'2013-05-06'</t>
  </si>
  <si>
    <t>'2013-05-07'</t>
  </si>
  <si>
    <t>'2013-05-08'</t>
  </si>
  <si>
    <t>'2013-05-09'</t>
  </si>
  <si>
    <t>'2013-05-10'</t>
  </si>
  <si>
    <t>'2013-05-13'</t>
  </si>
  <si>
    <t>'2013-05-14'</t>
  </si>
  <si>
    <t>'2013-05-15'</t>
  </si>
  <si>
    <t>'2013-05-20'</t>
  </si>
  <si>
    <t>'2013-05-21'</t>
  </si>
  <si>
    <t>'2013-05-22'</t>
  </si>
  <si>
    <t>'2013-05-23'</t>
  </si>
  <si>
    <t>'2013-05-24'</t>
  </si>
  <si>
    <t>'2013-05-28'</t>
  </si>
  <si>
    <t>'2013-05-30'</t>
  </si>
  <si>
    <t>'2013-05-31'</t>
  </si>
  <si>
    <t>'2013-06-03'</t>
  </si>
  <si>
    <t>'2013-06-04'</t>
  </si>
  <si>
    <t>'2013-06-05'</t>
  </si>
  <si>
    <t>'2013-06-06'</t>
  </si>
  <si>
    <t>'2013-06-07'</t>
  </si>
  <si>
    <t>'2013-06-11'</t>
  </si>
  <si>
    <t>'2013-06-12'</t>
  </si>
  <si>
    <t>'2013-06-13'</t>
  </si>
  <si>
    <t>'2013-06-14'</t>
  </si>
  <si>
    <t>'2013-06-17'</t>
  </si>
  <si>
    <t>'2013-06-18'</t>
  </si>
  <si>
    <t>'2013-06-19'</t>
  </si>
  <si>
    <t>'2013-06-20'</t>
  </si>
  <si>
    <t>'2013-06-21'</t>
  </si>
  <si>
    <t>'2013-06-25'</t>
  </si>
  <si>
    <t>'2013-06-26'</t>
  </si>
  <si>
    <t>'2013-06-27'</t>
  </si>
  <si>
    <t>'2013-06-28'</t>
  </si>
  <si>
    <t>'2013-07-01'</t>
  </si>
  <si>
    <t>'2013-07-02'</t>
  </si>
  <si>
    <t>'2013-07-03'</t>
  </si>
  <si>
    <t>'2013-07-05'</t>
  </si>
  <si>
    <t>'2013-07-08'</t>
  </si>
  <si>
    <t>'2013-07-09'</t>
  </si>
  <si>
    <t>'2013-07-10'</t>
  </si>
  <si>
    <t>'2013-07-11'</t>
  </si>
  <si>
    <t>'2013-07-12'</t>
  </si>
  <si>
    <t>'2013-07-15'</t>
  </si>
  <si>
    <t>'2013-07-17'</t>
  </si>
  <si>
    <t>'2013-07-18'</t>
  </si>
  <si>
    <t>'2013-07-19'</t>
  </si>
  <si>
    <t>'2013-07-22'</t>
  </si>
  <si>
    <t>'2013-07-23'</t>
  </si>
  <si>
    <t>'2013-07-25'</t>
  </si>
  <si>
    <t>'2013-07-26'</t>
  </si>
  <si>
    <t>'2013-07-29'</t>
  </si>
  <si>
    <t>'2013-07-30'</t>
  </si>
  <si>
    <t>'2013-07-31'</t>
  </si>
  <si>
    <t>'2013-08-01'</t>
  </si>
  <si>
    <t>'2013-08-02'</t>
  </si>
  <si>
    <t>'2013-08-05'</t>
  </si>
  <si>
    <t>'2013-08-06'</t>
  </si>
  <si>
    <t>'2013-08-07'</t>
  </si>
  <si>
    <t>'2013-08-08'</t>
  </si>
  <si>
    <t>'2013-08-09'</t>
  </si>
  <si>
    <t>'2013-08-13'</t>
  </si>
  <si>
    <t>'2013-08-22'</t>
  </si>
  <si>
    <t>'2013-08-23'</t>
  </si>
  <si>
    <t>'2013-08-28'</t>
  </si>
  <si>
    <t>'2013-08-29'</t>
  </si>
  <si>
    <t>'2013-08-30'</t>
  </si>
  <si>
    <t>'2013-09-03'</t>
  </si>
  <si>
    <t>'2013-09-04'</t>
  </si>
  <si>
    <t>'2013-09-05'</t>
  </si>
  <si>
    <t>'2013-09-06'</t>
  </si>
  <si>
    <t>'2013-09-09'</t>
  </si>
  <si>
    <t>'2013-09-10'</t>
  </si>
  <si>
    <t>'2013-09-11'</t>
  </si>
  <si>
    <t>'2013-09-12'</t>
  </si>
  <si>
    <t>'2013-09-13'</t>
  </si>
  <si>
    <t>'2013-09-16'</t>
  </si>
  <si>
    <t>'2013-09-17'</t>
  </si>
  <si>
    <t>'2013-09-18'</t>
  </si>
  <si>
    <t>'2013-09-19'</t>
  </si>
  <si>
    <t>'2013-09-20'</t>
  </si>
  <si>
    <t>'2013-09-23'</t>
  </si>
  <si>
    <t>'2013-09-24'</t>
  </si>
  <si>
    <t>'2013-09-25'</t>
  </si>
  <si>
    <t>'2013-09-26'</t>
  </si>
  <si>
    <t>'2013-09-27'</t>
  </si>
  <si>
    <t>'2013-09-30'</t>
  </si>
  <si>
    <t>'2013-10-01'</t>
  </si>
  <si>
    <t>'2013-10-02'</t>
  </si>
  <si>
    <t>'2013-10-03'</t>
  </si>
  <si>
    <t>'2013-10-04'</t>
  </si>
  <si>
    <t>'2013-10-07'</t>
  </si>
  <si>
    <t>'2013-10-08'</t>
  </si>
  <si>
    <t>'2013-10-10'</t>
  </si>
  <si>
    <t>'2013-10-11'</t>
  </si>
  <si>
    <t>'2013-10-15'</t>
  </si>
  <si>
    <t>'2013-10-17'</t>
  </si>
  <si>
    <t>'2013-10-18'</t>
  </si>
  <si>
    <t>'2013-10-21'</t>
  </si>
  <si>
    <t>'2013-10-22'</t>
  </si>
  <si>
    <t>'2013-10-23'</t>
  </si>
  <si>
    <t>'2013-10-24'</t>
  </si>
  <si>
    <t>'2013-10-25'</t>
  </si>
  <si>
    <t>'2013-10-30'</t>
  </si>
  <si>
    <t>'2013-10-31'</t>
  </si>
  <si>
    <t>'2013-11-01'</t>
  </si>
  <si>
    <t>'2013-11-04'</t>
  </si>
  <si>
    <t>'2013-11-05'</t>
  </si>
  <si>
    <t>'2013-11-06'</t>
  </si>
  <si>
    <t>'2013-11-07'</t>
  </si>
  <si>
    <t>'2013-11-08'</t>
  </si>
  <si>
    <t>'2013-11-12'</t>
  </si>
  <si>
    <t>'2013-11-15'</t>
  </si>
  <si>
    <t>'2013-11-18'</t>
  </si>
  <si>
    <t>'2013-11-19'</t>
  </si>
  <si>
    <t>'2013-11-20'</t>
  </si>
  <si>
    <t>'2013-11-21'</t>
  </si>
  <si>
    <t>'2013-11-22'</t>
  </si>
  <si>
    <t>'2013-11-25'</t>
  </si>
  <si>
    <t>'2013-11-26'</t>
  </si>
  <si>
    <t>'2013-11-27'</t>
  </si>
  <si>
    <t>'2013-12-02'</t>
  </si>
  <si>
    <t>'2013-12-03'</t>
  </si>
  <si>
    <t>'2013-12-04'</t>
  </si>
  <si>
    <t>'2013-12-05'</t>
  </si>
  <si>
    <t>'2013-12-06'</t>
  </si>
  <si>
    <t>'2013-12-09'</t>
  </si>
  <si>
    <t>'2013-12-10'</t>
  </si>
  <si>
    <t>'2013-12-11'</t>
  </si>
  <si>
    <t>'2013-12-12'</t>
  </si>
  <si>
    <t>'2013-12-13'</t>
  </si>
  <si>
    <t>'2013-12-16'</t>
  </si>
  <si>
    <t>'2013-12-18'</t>
  </si>
  <si>
    <t>'2013-12-19'</t>
  </si>
  <si>
    <t>'2013-12-20'</t>
  </si>
  <si>
    <t>'2013-12-23'</t>
  </si>
  <si>
    <t>'2013-12-24'</t>
  </si>
  <si>
    <t>'2013-12-26'</t>
  </si>
  <si>
    <t>'2013-12-27'</t>
  </si>
  <si>
    <t>'2013-12-30'</t>
  </si>
  <si>
    <t>'2013-12-31'</t>
  </si>
  <si>
    <t>'2014-01-02'</t>
  </si>
  <si>
    <t>'2014-01-03'</t>
  </si>
  <si>
    <t>'2014-01-06'</t>
  </si>
  <si>
    <t>'2014-01-07'</t>
  </si>
  <si>
    <t>'2014-01-09'</t>
  </si>
  <si>
    <t>'2014-01-10'</t>
  </si>
  <si>
    <t>'2014-01-13'</t>
  </si>
  <si>
    <t>'2014-01-14'</t>
  </si>
  <si>
    <t>'2014-01-15'</t>
  </si>
  <si>
    <t>'2014-01-16'</t>
  </si>
  <si>
    <t>'2014-01-17'</t>
  </si>
  <si>
    <t>'2014-01-21'</t>
  </si>
  <si>
    <t>'2014-01-22'</t>
  </si>
  <si>
    <t>'2014-01-23'</t>
  </si>
  <si>
    <t>'2014-01-24'</t>
  </si>
  <si>
    <t>'2014-01-27'</t>
  </si>
  <si>
    <t>'2014-01-28'</t>
  </si>
  <si>
    <t>'2014-01-29'</t>
  </si>
  <si>
    <t>'2014-01-30'</t>
  </si>
  <si>
    <t>'2014-01-31'</t>
  </si>
  <si>
    <t>'2014-02-03'</t>
  </si>
  <si>
    <t>'2014-02-04'</t>
  </si>
  <si>
    <t>'2014-02-05'</t>
  </si>
  <si>
    <t>'2014-02-06'</t>
  </si>
  <si>
    <t>'2014-02-07'</t>
  </si>
  <si>
    <t>'2014-02-10'</t>
  </si>
  <si>
    <t>'2014-02-11'</t>
  </si>
  <si>
    <t>'2014-02-12'</t>
  </si>
  <si>
    <t>'2014-02-13'</t>
  </si>
  <si>
    <t>'2014-02-14'</t>
  </si>
  <si>
    <t>'2014-02-18'</t>
  </si>
  <si>
    <t>'2014-02-19'</t>
  </si>
  <si>
    <t>'2014-02-20'</t>
  </si>
  <si>
    <t>'2014-02-21'</t>
  </si>
  <si>
    <t>'2014-02-24'</t>
  </si>
  <si>
    <t>'2014-02-25'</t>
  </si>
  <si>
    <t>'2014-02-26'</t>
  </si>
  <si>
    <t>'2014-02-27'</t>
  </si>
  <si>
    <t>'2014-02-28'</t>
  </si>
  <si>
    <t>'2014-03-03'</t>
  </si>
  <si>
    <t>'2014-03-04'</t>
  </si>
  <si>
    <t>'2014-03-05'</t>
  </si>
  <si>
    <t>'2014-03-06'</t>
  </si>
  <si>
    <t>'2014-03-07'</t>
  </si>
  <si>
    <t>'2014-03-10'</t>
  </si>
  <si>
    <t>'2014-03-11'</t>
  </si>
  <si>
    <t>'2014-03-12'</t>
  </si>
  <si>
    <t>'2014-03-13'</t>
  </si>
  <si>
    <t>'2014-03-14'</t>
  </si>
  <si>
    <t>'2014-03-17'</t>
  </si>
  <si>
    <t>'2014-03-18'</t>
  </si>
  <si>
    <t>'2014-03-19'</t>
  </si>
  <si>
    <t>'2014-03-20'</t>
  </si>
  <si>
    <t>'2014-03-21'</t>
  </si>
  <si>
    <t>'2014-03-24'</t>
  </si>
  <si>
    <t>'2014-03-25'</t>
  </si>
  <si>
    <t>'2014-03-26'</t>
  </si>
  <si>
    <t>'2014-03-27'</t>
  </si>
  <si>
    <t>'2014-03-28'</t>
  </si>
  <si>
    <t>'2014-03-31'</t>
  </si>
  <si>
    <t>'2014-04-01'</t>
  </si>
  <si>
    <t>'2014-04-02'</t>
  </si>
  <si>
    <t>'2014-04-03'</t>
  </si>
  <si>
    <t>'2014-04-04'</t>
  </si>
  <si>
    <t>'2014-04-07'</t>
  </si>
  <si>
    <t>'2014-04-08'</t>
  </si>
  <si>
    <t>'2014-04-09'</t>
  </si>
  <si>
    <t>'2014-04-10'</t>
  </si>
  <si>
    <t>'2014-04-11'</t>
  </si>
  <si>
    <t>'2014-04-14'</t>
  </si>
  <si>
    <t>'2014-04-15'</t>
  </si>
  <si>
    <t>'2014-04-16'</t>
  </si>
  <si>
    <t>'2014-04-17'</t>
  </si>
  <si>
    <t>'2014-04-21'</t>
  </si>
  <si>
    <t>'2014-04-22'</t>
  </si>
  <si>
    <t>'2014-04-23'</t>
  </si>
  <si>
    <t>'2014-04-24'</t>
  </si>
  <si>
    <t>'2014-04-25'</t>
  </si>
  <si>
    <t>'2014-04-28'</t>
  </si>
  <si>
    <t>'2014-04-29'</t>
  </si>
  <si>
    <t>'2014-04-30'</t>
  </si>
  <si>
    <t>'2014-05-01'</t>
  </si>
  <si>
    <t>'2014-05-02'</t>
  </si>
  <si>
    <t>'2014-05-05'</t>
  </si>
  <si>
    <t>Conv Refi Index</t>
  </si>
  <si>
    <t xml:space="preserve">One pt Mortgage Rate </t>
  </si>
  <si>
    <t>'2014-05-06'</t>
  </si>
  <si>
    <t>'2014-05-07'</t>
  </si>
  <si>
    <t>'2014-05-08'</t>
  </si>
  <si>
    <t>'2014-05-09'</t>
  </si>
  <si>
    <t>'2014-05-12'</t>
  </si>
  <si>
    <t>'2014-05-13'</t>
  </si>
  <si>
    <t>'2014-05-14'</t>
  </si>
  <si>
    <t>'2014-05-15'</t>
  </si>
  <si>
    <t>'2014-05-16'</t>
  </si>
  <si>
    <t>'2014-05-19'</t>
  </si>
  <si>
    <t>'2014-05-20'</t>
  </si>
  <si>
    <t>'2014-05-21'</t>
  </si>
  <si>
    <t>'2014-05-22'</t>
  </si>
  <si>
    <t>'2014-05-23'</t>
  </si>
  <si>
    <t>'2014-05-27'</t>
  </si>
  <si>
    <t>'2014-05-28'</t>
  </si>
  <si>
    <t>'2014-05-29'</t>
  </si>
  <si>
    <t>'2014-05-30'</t>
  </si>
  <si>
    <t>'2014-06-02'</t>
  </si>
  <si>
    <t>'2014-06-03'</t>
  </si>
  <si>
    <t>'2014-06-04'</t>
  </si>
  <si>
    <t>'2014-06-05'</t>
  </si>
  <si>
    <t>'2014-06-06'</t>
  </si>
  <si>
    <t>'2014-06-09'</t>
  </si>
  <si>
    <t>'2014-06-10'</t>
  </si>
  <si>
    <t>'2014-06-11'</t>
  </si>
  <si>
    <t>'2014-06-12'</t>
  </si>
  <si>
    <t>'2014-06-13'</t>
  </si>
  <si>
    <t>'2014-06-16'</t>
  </si>
  <si>
    <t>'2014-06-17'</t>
  </si>
  <si>
    <t>'2014-06-18'</t>
  </si>
  <si>
    <t>'2014-06-19'</t>
  </si>
  <si>
    <t>'2014-06-20'</t>
  </si>
  <si>
    <t>'2014-06-23'</t>
  </si>
  <si>
    <t>'2014-06-24'</t>
  </si>
  <si>
    <t>'2014-06-25'</t>
  </si>
  <si>
    <t>'2014-06-26'</t>
  </si>
  <si>
    <t>'2014-06-27'</t>
  </si>
  <si>
    <t>'2014-06-30'</t>
  </si>
  <si>
    <t>'2014-07-01'</t>
  </si>
  <si>
    <t>'2014-07-02'</t>
  </si>
  <si>
    <t>'2014-07-03'</t>
  </si>
  <si>
    <t>'2014-07-07'</t>
  </si>
  <si>
    <t>'2014-07-08'</t>
  </si>
  <si>
    <t>'2014-07-09'</t>
  </si>
  <si>
    <t>'2014-07-10'</t>
  </si>
  <si>
    <t>'2014-07-11'</t>
  </si>
  <si>
    <t>'2014-07-14'</t>
  </si>
  <si>
    <t>'2014-07-15'</t>
  </si>
  <si>
    <t>'2014-07-16'</t>
  </si>
  <si>
    <t>'2014-07-17'</t>
  </si>
  <si>
    <t>'2014-07-18'</t>
  </si>
  <si>
    <t>'2014-07-21'</t>
  </si>
  <si>
    <t>'2014-07-22'</t>
  </si>
  <si>
    <t>'2014-07-23'</t>
  </si>
  <si>
    <t>'2014-07-24'</t>
  </si>
  <si>
    <t>'2014-07-25'</t>
  </si>
  <si>
    <t>'2014-07-28'</t>
  </si>
  <si>
    <t>'2014-07-29'</t>
  </si>
  <si>
    <t>'2014-07-30'</t>
  </si>
  <si>
    <t>'2014-07-31'</t>
  </si>
  <si>
    <t>'2014-08-01'</t>
  </si>
  <si>
    <t>'2014-08-04'</t>
  </si>
  <si>
    <t>'2014-08-05'</t>
  </si>
  <si>
    <t>'2014-08-06'</t>
  </si>
  <si>
    <t>'2014-08-07'</t>
  </si>
  <si>
    <t>'2014-08-08'</t>
  </si>
  <si>
    <t>'2014-08-11'</t>
  </si>
  <si>
    <t>'2014-08-12'</t>
  </si>
  <si>
    <t>'2014-08-13'</t>
  </si>
  <si>
    <t>'2014-08-14'</t>
  </si>
  <si>
    <t>'2014-08-15'</t>
  </si>
  <si>
    <t>'2014-08-18'</t>
  </si>
  <si>
    <t>'2014-08-19'</t>
  </si>
  <si>
    <t>'2014-08-20'</t>
  </si>
  <si>
    <t>'2014-08-21'</t>
  </si>
  <si>
    <t>'2014-08-22'</t>
  </si>
  <si>
    <t>'2014-08-25'</t>
  </si>
  <si>
    <t>'2014-08-26'</t>
  </si>
  <si>
    <t>'2014-08-27'</t>
  </si>
  <si>
    <t>'2014-08-28'</t>
  </si>
  <si>
    <t>'2014-08-29'</t>
  </si>
  <si>
    <t>'2014-09-02'</t>
  </si>
  <si>
    <t>'2014-09-03'</t>
  </si>
  <si>
    <t>'2014-09-04'</t>
  </si>
  <si>
    <t>'2014-09-05'</t>
  </si>
  <si>
    <t>'2014-09-08'</t>
  </si>
  <si>
    <t>'2014-09-09'</t>
  </si>
  <si>
    <t>'2014-09-10'</t>
  </si>
  <si>
    <t>'2014-09-11'</t>
  </si>
  <si>
    <t>'2014-09-12'</t>
  </si>
  <si>
    <t>'2014-09-15'</t>
  </si>
  <si>
    <t>'2014-09-16'</t>
  </si>
  <si>
    <t>'2014-09-17'</t>
  </si>
  <si>
    <t>'2014-09-18'</t>
  </si>
  <si>
    <t>'2014-09-19'</t>
  </si>
  <si>
    <t>'2014-09-22'</t>
  </si>
  <si>
    <t>'2014-09-23'</t>
  </si>
  <si>
    <t>One point</t>
  </si>
  <si>
    <t>'2014-09-24'</t>
  </si>
  <si>
    <t>'2014-09-25'</t>
  </si>
  <si>
    <t>'2014-09-26'</t>
  </si>
  <si>
    <t>'2014-09-29'</t>
  </si>
  <si>
    <t>'2014-09-30'</t>
  </si>
  <si>
    <t>'2014-10-01'</t>
  </si>
  <si>
    <t>'2014-10-02'</t>
  </si>
  <si>
    <t>'2014-10-03'</t>
  </si>
  <si>
    <t>'2014-10-06'</t>
  </si>
  <si>
    <t>'2014-10-07'</t>
  </si>
  <si>
    <t>'2014-10-08'</t>
  </si>
  <si>
    <t>'2014-10-09'</t>
  </si>
  <si>
    <t>'2014-10-10'</t>
  </si>
  <si>
    <t xml:space="preserve"> </t>
  </si>
  <si>
    <t>'2014-10-14'</t>
  </si>
  <si>
    <t>'2014-10-15'</t>
  </si>
  <si>
    <t>'2014-10-16'</t>
  </si>
  <si>
    <t>'2014-10-17'</t>
  </si>
  <si>
    <t>'2014-10-20'</t>
  </si>
  <si>
    <t>'2014-10-21'</t>
  </si>
  <si>
    <t>'2014-10-22'</t>
  </si>
  <si>
    <t>'2014-10-23'</t>
  </si>
  <si>
    <t>'2014-10-24'</t>
  </si>
  <si>
    <t>'2014-10-27'</t>
  </si>
  <si>
    <t>'2014-10-28'</t>
  </si>
  <si>
    <t>'2014-10-29'</t>
  </si>
  <si>
    <t>'2014-10-30'</t>
  </si>
  <si>
    <t>'2014-10-31'</t>
  </si>
  <si>
    <t>'2014-11-03'</t>
  </si>
  <si>
    <t>'2014-11-04'</t>
  </si>
  <si>
    <t>'2014-11-05'</t>
  </si>
  <si>
    <t>'2014-11-06'</t>
  </si>
  <si>
    <t>'2014-11-07'</t>
  </si>
  <si>
    <t>'2014-11-10'</t>
  </si>
  <si>
    <t>'2014-11-12'</t>
  </si>
  <si>
    <t>'2014-11-13'</t>
  </si>
  <si>
    <t>'2014-11-14'</t>
  </si>
  <si>
    <t>'2014-11-17'</t>
  </si>
  <si>
    <t>'2014-11-18'</t>
  </si>
  <si>
    <t>'2014-11-19'</t>
  </si>
  <si>
    <t>'2014-11-20'</t>
  </si>
  <si>
    <t>'2014-11-21'</t>
  </si>
  <si>
    <t>'2014-11-24'</t>
  </si>
  <si>
    <t>'2014-11-25'</t>
  </si>
  <si>
    <t>'2014-11-26'</t>
  </si>
  <si>
    <t>'2014-11-28'</t>
  </si>
  <si>
    <t>'2014-12-01'</t>
  </si>
  <si>
    <t>'2014-12-02'</t>
  </si>
  <si>
    <t>'2014-12-03'</t>
  </si>
  <si>
    <t>'2014-12-04'</t>
  </si>
  <si>
    <t>'2014-12-05'</t>
  </si>
  <si>
    <t>'2014-12-08'</t>
  </si>
  <si>
    <t>'2014-12-09'</t>
  </si>
  <si>
    <t>'2014-12-10'</t>
  </si>
  <si>
    <t>'2014-12-11'</t>
  </si>
  <si>
    <t>'2014-12-12'</t>
  </si>
  <si>
    <t>'2014-12-15'</t>
  </si>
  <si>
    <t>'2014-12-16'</t>
  </si>
  <si>
    <t>'2014-12-17'</t>
  </si>
  <si>
    <t>'2014-12-18'</t>
  </si>
  <si>
    <t>'2014-12-19'</t>
  </si>
  <si>
    <t>'2014-12-22'</t>
  </si>
  <si>
    <t>'2014-12-23'</t>
  </si>
  <si>
    <t>'2014-12-24'</t>
  </si>
  <si>
    <t>'2014-12-26'</t>
  </si>
  <si>
    <t>'2014-12-29'</t>
  </si>
  <si>
    <t>'2014-12-30'</t>
  </si>
  <si>
    <t>'2014-12-31'</t>
  </si>
  <si>
    <t>'2015-01-02'</t>
  </si>
  <si>
    <t>'2015-01-05'</t>
  </si>
  <si>
    <t>'2015-01-06'</t>
  </si>
  <si>
    <t>'2015-01-07'</t>
  </si>
  <si>
    <t>'2015-01-08'</t>
  </si>
  <si>
    <t>'2015-01-09'</t>
  </si>
  <si>
    <t>'2015-01-12'</t>
  </si>
  <si>
    <t>'2015-01-13'</t>
  </si>
  <si>
    <t>'2015-01-14'</t>
  </si>
  <si>
    <t>'2015-01-15'</t>
  </si>
  <si>
    <t>2015-01-16'</t>
  </si>
  <si>
    <t>'2011-01-03'</t>
  </si>
  <si>
    <t>'2011-01-04'</t>
  </si>
  <si>
    <t>'2011-01-05'</t>
  </si>
  <si>
    <t>'2011-01-06'</t>
  </si>
  <si>
    <t>'2011-01-07'</t>
  </si>
  <si>
    <t>'2011-01-10'</t>
  </si>
  <si>
    <t>'2011-01-11'</t>
  </si>
  <si>
    <t>'2011-01-12'</t>
  </si>
  <si>
    <t>'2011-01-13'</t>
  </si>
  <si>
    <t>'2011-01-14'</t>
  </si>
  <si>
    <t>'2011-01-18'</t>
  </si>
  <si>
    <t>'2011-01-19'</t>
  </si>
  <si>
    <t>'2011-01-20'</t>
  </si>
  <si>
    <t>'2011-01-21'</t>
  </si>
  <si>
    <t>'2011-01-24'</t>
  </si>
  <si>
    <t>'2011-01-25'</t>
  </si>
  <si>
    <t>'2011-01-26'</t>
  </si>
  <si>
    <t>'2011-01-27'</t>
  </si>
  <si>
    <t>'2011-01-28'</t>
  </si>
  <si>
    <t>'2011-01-31'</t>
  </si>
  <si>
    <t>'2011-02-01'</t>
  </si>
  <si>
    <t>'2011-02-02'</t>
  </si>
  <si>
    <t>'2011-02-03'</t>
  </si>
  <si>
    <t>'2011-02-04'</t>
  </si>
  <si>
    <t>'2011-02-07'</t>
  </si>
  <si>
    <t>'2011-02-08'</t>
  </si>
  <si>
    <t>'2011-02-09'</t>
  </si>
  <si>
    <t>'2011-02-10'</t>
  </si>
  <si>
    <t>'2011-02-11'</t>
  </si>
  <si>
    <t>'2011-02-14'</t>
  </si>
  <si>
    <t>'2011-02-15'</t>
  </si>
  <si>
    <t>'2011-02-16'</t>
  </si>
  <si>
    <t>'2011-02-17'</t>
  </si>
  <si>
    <t>'2011-02-18'</t>
  </si>
  <si>
    <t>'2011-02-22'</t>
  </si>
  <si>
    <t>'2011-02-23'</t>
  </si>
  <si>
    <t>'2011-02-24'</t>
  </si>
  <si>
    <t>'2011-02-25'</t>
  </si>
  <si>
    <t>'2011-02-28'</t>
  </si>
  <si>
    <t>'2011-03-01'</t>
  </si>
  <si>
    <t>'2011-03-02'</t>
  </si>
  <si>
    <t>'2011-03-03'</t>
  </si>
  <si>
    <t>'2011-03-04'</t>
  </si>
  <si>
    <t>'2011-03-07'</t>
  </si>
  <si>
    <t>'2011-03-08'</t>
  </si>
  <si>
    <t>'2011-03-09'</t>
  </si>
  <si>
    <t>'2011-03-10'</t>
  </si>
  <si>
    <t>'2011-03-11'</t>
  </si>
  <si>
    <t>'2011-03-14'</t>
  </si>
  <si>
    <t>'2011-03-15'</t>
  </si>
  <si>
    <t>'2011-03-16'</t>
  </si>
  <si>
    <t>'2011-03-17'</t>
  </si>
  <si>
    <t>'2011-03-18'</t>
  </si>
  <si>
    <t>'2011-03-21'</t>
  </si>
  <si>
    <t>'2011-03-22'</t>
  </si>
  <si>
    <t>'2011-03-23'</t>
  </si>
  <si>
    <t>'2011-03-24'</t>
  </si>
  <si>
    <t>'2011-03-25'</t>
  </si>
  <si>
    <t>'2011-03-28'</t>
  </si>
  <si>
    <t>'2011-03-29'</t>
  </si>
  <si>
    <t>'2011-03-30'</t>
  </si>
  <si>
    <t>'2011-03-31'</t>
  </si>
  <si>
    <t>'2011-04-01'</t>
  </si>
  <si>
    <t>'2011-04-04'</t>
  </si>
  <si>
    <t>'2011-04-05'</t>
  </si>
  <si>
    <t>'2011-04-06'</t>
  </si>
  <si>
    <t>'2011-04-07'</t>
  </si>
  <si>
    <t>'2011-04-08'</t>
  </si>
  <si>
    <t>'2011-04-11'</t>
  </si>
  <si>
    <t>'2011-04-12'</t>
  </si>
  <si>
    <t>'2011-04-13'</t>
  </si>
  <si>
    <t>'2011-04-14'</t>
  </si>
  <si>
    <t>'2011-04-15'</t>
  </si>
  <si>
    <t>'2011-04-18'</t>
  </si>
  <si>
    <t>'2011-04-19'</t>
  </si>
  <si>
    <t>'2011-04-20'</t>
  </si>
  <si>
    <t>'2011-04-21'</t>
  </si>
  <si>
    <t>'2011-04-25'</t>
  </si>
  <si>
    <t>'2011-04-26'</t>
  </si>
  <si>
    <t>'2011-04-27'</t>
  </si>
  <si>
    <t>'2011-04-28'</t>
  </si>
  <si>
    <t>'2011-04-29'</t>
  </si>
  <si>
    <t>'2011-05-02'</t>
  </si>
  <si>
    <t>'2011-05-03'</t>
  </si>
  <si>
    <t>'2011-05-04'</t>
  </si>
  <si>
    <t>'2011-05-05'</t>
  </si>
  <si>
    <t>'2011-05-06'</t>
  </si>
  <si>
    <t>'2011-05-09'</t>
  </si>
  <si>
    <t>'2011-05-10'</t>
  </si>
  <si>
    <t>'2011-05-11'</t>
  </si>
  <si>
    <t>'2011-05-12'</t>
  </si>
  <si>
    <t>'2011-05-13'</t>
  </si>
  <si>
    <t>'2011-05-16'</t>
  </si>
  <si>
    <t>'2011-05-17'</t>
  </si>
  <si>
    <t>'2011-05-18'</t>
  </si>
  <si>
    <t>'2011-05-19'</t>
  </si>
  <si>
    <t>'2011-05-20'</t>
  </si>
  <si>
    <t>'2011-05-23'</t>
  </si>
  <si>
    <t>'2011-05-24'</t>
  </si>
  <si>
    <t>'2011-05-25'</t>
  </si>
  <si>
    <t>'2011-05-26'</t>
  </si>
  <si>
    <t>'2011-05-27'</t>
  </si>
  <si>
    <t>'2011-05-31'</t>
  </si>
  <si>
    <t>'2011-06-01'</t>
  </si>
  <si>
    <t>'2011-06-02'</t>
  </si>
  <si>
    <t>'2011-06-03'</t>
  </si>
  <si>
    <t>'2011-06-06'</t>
  </si>
  <si>
    <t>'2011-06-07'</t>
  </si>
  <si>
    <t>'2011-06-08'</t>
  </si>
  <si>
    <t>'2011-06-09'</t>
  </si>
  <si>
    <t>'2011-06-10'</t>
  </si>
  <si>
    <t>'2011-06-13'</t>
  </si>
  <si>
    <t>'2011-06-14'</t>
  </si>
  <si>
    <t>'2011-06-15'</t>
  </si>
  <si>
    <t>'2011-06-16'</t>
  </si>
  <si>
    <t>'2011-06-17'</t>
  </si>
  <si>
    <t>'2011-06-20'</t>
  </si>
  <si>
    <t>'2011-06-21'</t>
  </si>
  <si>
    <t>'2011-06-22'</t>
  </si>
  <si>
    <t>'2011-06-23'</t>
  </si>
  <si>
    <t>'2011-06-24'</t>
  </si>
  <si>
    <t>'2011-06-27'</t>
  </si>
  <si>
    <t>'2011-06-28'</t>
  </si>
  <si>
    <t>'2011-06-29'</t>
  </si>
  <si>
    <t>'2011-06-30'</t>
  </si>
  <si>
    <t>'2011-07-01'</t>
  </si>
  <si>
    <t>'2011-07-05'</t>
  </si>
  <si>
    <t>'2011-07-06'</t>
  </si>
  <si>
    <t>'2011-07-07'</t>
  </si>
  <si>
    <t>'2011-07-08'</t>
  </si>
  <si>
    <t>'2011-07-11'</t>
  </si>
  <si>
    <t>'2011-07-12'</t>
  </si>
  <si>
    <t>'2011-07-13'</t>
  </si>
  <si>
    <t>'2011-07-14'</t>
  </si>
  <si>
    <t>'2011-07-15'</t>
  </si>
  <si>
    <t>'2011-07-18'</t>
  </si>
  <si>
    <t>'2011-07-19'</t>
  </si>
  <si>
    <t>'2011-07-20'</t>
  </si>
  <si>
    <t>'2011-07-21'</t>
  </si>
  <si>
    <t>'2011-07-22'</t>
  </si>
  <si>
    <t>'2011-07-25'</t>
  </si>
  <si>
    <t>'2011-07-26'</t>
  </si>
  <si>
    <t>'2011-07-27'</t>
  </si>
  <si>
    <t>'2011-07-28'</t>
  </si>
  <si>
    <t>'2011-07-29'</t>
  </si>
  <si>
    <t>'2011-08-01'</t>
  </si>
  <si>
    <t>'2011-08-02'</t>
  </si>
  <si>
    <t>'2011-08-03'</t>
  </si>
  <si>
    <t>'2011-08-04'</t>
  </si>
  <si>
    <t>'2011-08-05'</t>
  </si>
  <si>
    <t>'2011-08-08'</t>
  </si>
  <si>
    <t>'2011-08-09'</t>
  </si>
  <si>
    <t>'2011-08-10'</t>
  </si>
  <si>
    <t>'2011-08-11'</t>
  </si>
  <si>
    <t>'2011-08-12'</t>
  </si>
  <si>
    <t>'2011-08-15'</t>
  </si>
  <si>
    <t>'2011-08-16'</t>
  </si>
  <si>
    <t>'2011-08-17'</t>
  </si>
  <si>
    <t>'2011-08-18'</t>
  </si>
  <si>
    <t>'2011-08-19'</t>
  </si>
  <si>
    <t>'2011-08-22'</t>
  </si>
  <si>
    <t>'2011-08-23'</t>
  </si>
  <si>
    <t>'2011-08-24'</t>
  </si>
  <si>
    <t>'2011-08-25'</t>
  </si>
  <si>
    <t>'2011-08-26'</t>
  </si>
  <si>
    <t>'2011-08-29'</t>
  </si>
  <si>
    <t>'2011-08-30'</t>
  </si>
  <si>
    <t>'2011-08-31'</t>
  </si>
  <si>
    <t>'2011-09-01'</t>
  </si>
  <si>
    <t>'2011-09-02'</t>
  </si>
  <si>
    <t>'2011-09-06'</t>
  </si>
  <si>
    <t>'2011-09-07'</t>
  </si>
  <si>
    <t>'2011-09-08'</t>
  </si>
  <si>
    <t>'2011-09-09'</t>
  </si>
  <si>
    <t>'2011-09-12'</t>
  </si>
  <si>
    <t>'2011-09-13'</t>
  </si>
  <si>
    <t>'2011-09-14'</t>
  </si>
  <si>
    <t>'2011-09-15'</t>
  </si>
  <si>
    <t>'2011-09-16'</t>
  </si>
  <si>
    <t>'2011-09-19'</t>
  </si>
  <si>
    <t>'2011-09-20'</t>
  </si>
  <si>
    <t>'2011-09-21'</t>
  </si>
  <si>
    <t>'2011-09-22'</t>
  </si>
  <si>
    <t>'2011-09-23'</t>
  </si>
  <si>
    <t>'2011-09-26'</t>
  </si>
  <si>
    <t>'2011-09-27'</t>
  </si>
  <si>
    <t>'2011-09-28'</t>
  </si>
  <si>
    <t>'2011-09-29'</t>
  </si>
  <si>
    <t>'2011-09-30'</t>
  </si>
  <si>
    <t>'2011-10-03'</t>
  </si>
  <si>
    <t>'2011-10-04'</t>
  </si>
  <si>
    <t>'2011-10-05'</t>
  </si>
  <si>
    <t>'2011-10-06'</t>
  </si>
  <si>
    <t>'2011-10-07'</t>
  </si>
  <si>
    <t>'2011-10-10'</t>
  </si>
  <si>
    <t>'2011-10-11'</t>
  </si>
  <si>
    <t>'2011-10-12'</t>
  </si>
  <si>
    <t>'2011-10-13'</t>
  </si>
  <si>
    <t>'2011-10-14'</t>
  </si>
  <si>
    <t>'2011-10-17'</t>
  </si>
  <si>
    <t>'2011-10-18'</t>
  </si>
  <si>
    <t>'2011-10-19'</t>
  </si>
  <si>
    <t>'2011-10-20'</t>
  </si>
  <si>
    <t>'2011-10-21'</t>
  </si>
  <si>
    <t>'2011-10-24'</t>
  </si>
  <si>
    <t>'2011-10-25'</t>
  </si>
  <si>
    <t>'2011-10-26'</t>
  </si>
  <si>
    <t>'2011-10-27'</t>
  </si>
  <si>
    <t>'2011-10-28'</t>
  </si>
  <si>
    <t>'2011-10-31'</t>
  </si>
  <si>
    <t>'2011-11-01'</t>
  </si>
  <si>
    <t>'2011-11-02'</t>
  </si>
  <si>
    <t>'2011-11-03'</t>
  </si>
  <si>
    <t>'2011-11-04'</t>
  </si>
  <si>
    <t>'2011-11-07'</t>
  </si>
  <si>
    <t>'2011-11-08'</t>
  </si>
  <si>
    <t>'2011-11-09'</t>
  </si>
  <si>
    <t>'2011-11-10'</t>
  </si>
  <si>
    <t>'2011-11-11'</t>
  </si>
  <si>
    <t>'2011-11-14'</t>
  </si>
  <si>
    <t>'2011-11-15'</t>
  </si>
  <si>
    <t>'2011-11-16'</t>
  </si>
  <si>
    <t>'2011-11-17'</t>
  </si>
  <si>
    <t>'2011-11-18'</t>
  </si>
  <si>
    <t>'2011-11-21'</t>
  </si>
  <si>
    <t>'2011-11-22'</t>
  </si>
  <si>
    <t>'2011-11-23'</t>
  </si>
  <si>
    <t>'2011-11-25'</t>
  </si>
  <si>
    <t>'2011-11-28'</t>
  </si>
  <si>
    <t>'2011-11-29'</t>
  </si>
  <si>
    <t>'2011-11-30'</t>
  </si>
  <si>
    <t>'2011-12-01'</t>
  </si>
  <si>
    <t>'2011-12-02'</t>
  </si>
  <si>
    <t>'2011-12-05'</t>
  </si>
  <si>
    <t>'2011-12-06'</t>
  </si>
  <si>
    <t>'2011-12-07'</t>
  </si>
  <si>
    <t>'2011-12-08'</t>
  </si>
  <si>
    <t>'2011-12-09'</t>
  </si>
  <si>
    <t>'2011-12-12'</t>
  </si>
  <si>
    <t>'2011-12-13'</t>
  </si>
  <si>
    <t>'2011-12-14'</t>
  </si>
  <si>
    <t>'2011-12-15'</t>
  </si>
  <si>
    <t>'2011-12-16'</t>
  </si>
  <si>
    <t>'2011-12-19'</t>
  </si>
  <si>
    <t>'2011-12-20'</t>
  </si>
  <si>
    <t>'2011-12-21'</t>
  </si>
  <si>
    <t>'2011-12-22'</t>
  </si>
  <si>
    <t>'2011-12-23'</t>
  </si>
  <si>
    <t>'2011-12-27'</t>
  </si>
  <si>
    <t>'2011-12-28'</t>
  </si>
  <si>
    <t>'2011-12-29'</t>
  </si>
  <si>
    <t>'2011-12-30'</t>
  </si>
  <si>
    <t>'2012-01-03'</t>
  </si>
  <si>
    <t>'2012-01-04'</t>
  </si>
  <si>
    <t>'2012-01-05'</t>
  </si>
  <si>
    <t>'2012-01-06'</t>
  </si>
  <si>
    <t>'2012-01-09'</t>
  </si>
  <si>
    <t>'2012-01-10'</t>
  </si>
  <si>
    <t>'2012-01-11'</t>
  </si>
  <si>
    <t>'2012-01-12'</t>
  </si>
  <si>
    <t>'2012-01-13'</t>
  </si>
  <si>
    <t>'2012-01-17'</t>
  </si>
  <si>
    <t>'2012-01-18'</t>
  </si>
  <si>
    <t>'2012-01-19'</t>
  </si>
  <si>
    <t>'2012-01-20'</t>
  </si>
  <si>
    <t>'2012-01-23'</t>
  </si>
  <si>
    <t>'2012-01-24'</t>
  </si>
  <si>
    <t>'2012-01-25'</t>
  </si>
  <si>
    <t>'2012-01-26'</t>
  </si>
  <si>
    <t>'2012-01-27'</t>
  </si>
  <si>
    <t>'2012-01-30'</t>
  </si>
  <si>
    <t>'2012-01-31'</t>
  </si>
  <si>
    <t>'2012-02-01'</t>
  </si>
  <si>
    <t>'2012-02-02'</t>
  </si>
  <si>
    <t>'2012-02-03'</t>
  </si>
  <si>
    <t>'2012-02-06'</t>
  </si>
  <si>
    <t>'2012-02-07'</t>
  </si>
  <si>
    <t>'2012-02-08'</t>
  </si>
  <si>
    <t>'2012-02-09'</t>
  </si>
  <si>
    <t>'2012-02-10'</t>
  </si>
  <si>
    <t>'2012-02-13'</t>
  </si>
  <si>
    <t>'2012-02-14'</t>
  </si>
  <si>
    <t>'2012-02-15'</t>
  </si>
  <si>
    <t>'2012-02-16'</t>
  </si>
  <si>
    <t>'2012-02-17'</t>
  </si>
  <si>
    <t>'2012-02-21'</t>
  </si>
  <si>
    <t>'2012-02-22'</t>
  </si>
  <si>
    <t>'2012-02-23'</t>
  </si>
  <si>
    <t>'2012-02-24'</t>
  </si>
  <si>
    <t>'2012-02-27'</t>
  </si>
  <si>
    <t>'2012-02-28'</t>
  </si>
  <si>
    <t>'2012-02-29'</t>
  </si>
  <si>
    <t>'2012-03-01'</t>
  </si>
  <si>
    <t>'2012-03-02'</t>
  </si>
  <si>
    <t>'2012-03-05'</t>
  </si>
  <si>
    <t>'2012-03-06'</t>
  </si>
  <si>
    <t>'2012-03-07'</t>
  </si>
  <si>
    <t>'2012-03-08'</t>
  </si>
  <si>
    <t>'2012-03-09'</t>
  </si>
  <si>
    <t>'2012-03-12'</t>
  </si>
  <si>
    <t>'2012-03-13'</t>
  </si>
  <si>
    <t>'2012-03-14'</t>
  </si>
  <si>
    <t>'2012-03-15'</t>
  </si>
  <si>
    <t>'2012-03-16'</t>
  </si>
  <si>
    <t>'2012-03-19'</t>
  </si>
  <si>
    <t>'2012-03-20'</t>
  </si>
  <si>
    <t>'2012-03-21'</t>
  </si>
  <si>
    <t>'2012-03-22'</t>
  </si>
  <si>
    <t>'2012-03-23'</t>
  </si>
  <si>
    <t>'2012-03-26'</t>
  </si>
  <si>
    <t>'2012-03-27'</t>
  </si>
  <si>
    <t>'2012-03-28'</t>
  </si>
  <si>
    <t>'2012-03-29'</t>
  </si>
  <si>
    <t>'2012-03-30'</t>
  </si>
  <si>
    <t>'2015-01-16'</t>
  </si>
  <si>
    <t>'2015-01-20'</t>
  </si>
  <si>
    <t>'2015-01-21'</t>
  </si>
  <si>
    <t>'2015-01-22'</t>
  </si>
  <si>
    <t>'2015-01-29'</t>
  </si>
  <si>
    <t>'2015-02-05'</t>
  </si>
  <si>
    <t>'2015-02-12'</t>
  </si>
  <si>
    <t>'2012-11-21'</t>
  </si>
  <si>
    <t>'2013-05-16'</t>
  </si>
  <si>
    <t>'2013-08-15'</t>
  </si>
  <si>
    <t>'2013-11-14'</t>
  </si>
  <si>
    <t>'2015-02-19'</t>
  </si>
  <si>
    <t>'2015-02-26'</t>
  </si>
  <si>
    <t>'2015-03-05'</t>
  </si>
  <si>
    <t>'2015-03-12'</t>
  </si>
  <si>
    <t>'2015-03-19'</t>
  </si>
  <si>
    <t>'2015-03-26'</t>
  </si>
  <si>
    <t xml:space="preserve">     </t>
  </si>
  <si>
    <t xml:space="preserve">      </t>
  </si>
  <si>
    <t xml:space="preserve">  </t>
  </si>
  <si>
    <t>'2015-04-02'</t>
  </si>
  <si>
    <t>'2015-04-09'</t>
  </si>
  <si>
    <t>'2015-04-16'</t>
  </si>
  <si>
    <t>Latest Base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</si>
</sst>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0.0%"/>
    <numFmt numFmtId="166" formatCode="0.000"/>
    <numFmt numFmtId="167" formatCode="\£\ #,##0_);[Red]\(\£\ #,##0\)"/>
    <numFmt numFmtId="168" formatCode="\¥\ #,##0_);[Red]\(\¥\ #,##0\)"/>
    <numFmt numFmtId="169" formatCode="\•\ \ @"/>
    <numFmt numFmtId="170" formatCode="_(&quot;$&quot;* #,##0_);_(&quot;$&quot;* \(#,##0.0\);_(&quot;$&quot;* &quot;-&quot;??_);_(@_)"/>
    <numFmt numFmtId="171" formatCode="&quot;$&quot;#,##0.000"/>
    <numFmt numFmtId="172" formatCode="&quot;$&quot;#,##0.000000_);\(&quot;$&quot;#,##0.000000\)"/>
    <numFmt numFmtId="173" formatCode="#,##0.0_);[Red]\(&quot;$&quot;#,##0.0\)"/>
    <numFmt numFmtId="174" formatCode="0.000_)"/>
    <numFmt numFmtId="175" formatCode="\ \ _•\–\ \ \ \ @"/>
    <numFmt numFmtId="176" formatCode="0.00&quot;%&quot;"/>
    <numFmt numFmtId="177" formatCode="0&quot;%&quot;"/>
    <numFmt numFmtId="178" formatCode="mmmm\ d\,\ yyyy"/>
    <numFmt numFmtId="179" formatCode="0.0000000"/>
    <numFmt numFmtId="180" formatCode="_([$€-2]* #,##0.00_);_([$€-2]* \(#,##0.00\);_([$€-2]* &quot;-&quot;??_)"/>
    <numFmt numFmtId="181" formatCode="dd\-mmm\-yy\ hh:mm:ss"/>
    <numFmt numFmtId="182" formatCode="0.00_)"/>
    <numFmt numFmtId="183" formatCode="0.0#\%;\-0.0#\%"/>
    <numFmt numFmtId="184" formatCode="#,##0.0\ ;\(#,##0.0\)"/>
    <numFmt numFmtId="185" formatCode="#,##0\ \ \ ;\(#,##0\)\ \ "/>
    <numFmt numFmtId="186" formatCode="0.0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</numFmts>
  <fonts count="1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b/>
      <sz val="10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9"/>
      <color theme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6"/>
      </patternFill>
    </fill>
    <fill>
      <patternFill patternType="solid">
        <fgColor indexed="18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indexed="2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3F3F3F"/>
      </top>
      <bottom style="hair">
        <color rgb="FF3F3F3F"/>
      </bottom>
      <diagonal/>
    </border>
  </borders>
  <cellStyleXfs count="106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167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23" fillId="34" borderId="0" applyNumberFormat="0" applyBorder="0" applyAlignment="0" applyProtection="0"/>
    <xf numFmtId="0" fontId="24" fillId="35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23" fillId="37" borderId="0" applyNumberFormat="0" applyBorder="0" applyAlignment="0" applyProtection="0"/>
    <xf numFmtId="0" fontId="24" fillId="37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23" fillId="39" borderId="0" applyNumberFormat="0" applyBorder="0" applyAlignment="0" applyProtection="0"/>
    <xf numFmtId="0" fontId="24" fillId="39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23" fillId="34" borderId="0" applyNumberFormat="0" applyBorder="0" applyAlignment="0" applyProtection="0"/>
    <xf numFmtId="0" fontId="24" fillId="38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23" fillId="41" borderId="0" applyNumberFormat="0" applyBorder="0" applyAlignment="0" applyProtection="0"/>
    <xf numFmtId="0" fontId="24" fillId="42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23" fillId="37" borderId="0" applyNumberFormat="0" applyBorder="0" applyAlignment="0" applyProtection="0"/>
    <xf numFmtId="0" fontId="24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23" fillId="44" borderId="0" applyNumberFormat="0" applyBorder="0" applyAlignment="0" applyProtection="0"/>
    <xf numFmtId="0" fontId="24" fillId="35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23" fillId="45" borderId="0" applyNumberFormat="0" applyBorder="0" applyAlignment="0" applyProtection="0"/>
    <xf numFmtId="0" fontId="24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23" fillId="39" borderId="0" applyNumberFormat="0" applyBorder="0" applyAlignment="0" applyProtection="0"/>
    <xf numFmtId="0" fontId="24" fillId="40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23" fillId="44" borderId="0" applyNumberFormat="0" applyBorder="0" applyAlignment="0" applyProtection="0"/>
    <xf numFmtId="0" fontId="24" fillId="47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23" fillId="43" borderId="0" applyNumberFormat="0" applyBorder="0" applyAlignment="0" applyProtection="0"/>
    <xf numFmtId="0" fontId="24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23" fillId="37" borderId="0" applyNumberFormat="0" applyBorder="0" applyAlignment="0" applyProtection="0"/>
    <xf numFmtId="0" fontId="24" fillId="37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25" fillId="50" borderId="0" applyNumberFormat="0" applyBorder="0" applyAlignment="0" applyProtection="0"/>
    <xf numFmtId="0" fontId="26" fillId="51" borderId="0" applyNumberFormat="0" applyBorder="0" applyAlignment="0" applyProtection="0"/>
    <xf numFmtId="0" fontId="27" fillId="49" borderId="0" applyNumberFormat="0" applyBorder="0" applyAlignment="0" applyProtection="0"/>
    <xf numFmtId="0" fontId="25" fillId="45" borderId="0" applyNumberFormat="0" applyBorder="0" applyAlignment="0" applyProtection="0"/>
    <xf numFmtId="0" fontId="26" fillId="45" borderId="0" applyNumberFormat="0" applyBorder="0" applyAlignment="0" applyProtection="0"/>
    <xf numFmtId="0" fontId="27" fillId="45" borderId="0" applyNumberFormat="0" applyBorder="0" applyAlignment="0" applyProtection="0"/>
    <xf numFmtId="0" fontId="25" fillId="39" borderId="0" applyNumberFormat="0" applyBorder="0" applyAlignment="0" applyProtection="0"/>
    <xf numFmtId="0" fontId="26" fillId="40" borderId="0" applyNumberFormat="0" applyBorder="0" applyAlignment="0" applyProtection="0"/>
    <xf numFmtId="0" fontId="27" fillId="46" borderId="0" applyNumberFormat="0" applyBorder="0" applyAlignment="0" applyProtection="0"/>
    <xf numFmtId="0" fontId="25" fillId="44" borderId="0" applyNumberFormat="0" applyBorder="0" applyAlignment="0" applyProtection="0"/>
    <xf numFmtId="0" fontId="26" fillId="53" borderId="0" applyNumberFormat="0" applyBorder="0" applyAlignment="0" applyProtection="0"/>
    <xf numFmtId="0" fontId="27" fillId="52" borderId="0" applyNumberFormat="0" applyBorder="0" applyAlignment="0" applyProtection="0"/>
    <xf numFmtId="0" fontId="25" fillId="50" borderId="0" applyNumberFormat="0" applyBorder="0" applyAlignment="0" applyProtection="0"/>
    <xf numFmtId="0" fontId="26" fillId="51" borderId="0" applyNumberFormat="0" applyBorder="0" applyAlignment="0" applyProtection="0"/>
    <xf numFmtId="0" fontId="27" fillId="50" borderId="0" applyNumberFormat="0" applyBorder="0" applyAlignment="0" applyProtection="0"/>
    <xf numFmtId="0" fontId="25" fillId="37" borderId="0" applyNumberFormat="0" applyBorder="0" applyAlignment="0" applyProtection="0"/>
    <xf numFmtId="0" fontId="26" fillId="37" borderId="0" applyNumberFormat="0" applyBorder="0" applyAlignment="0" applyProtection="0"/>
    <xf numFmtId="0" fontId="27" fillId="54" borderId="0" applyNumberFormat="0" applyBorder="0" applyAlignment="0" applyProtection="0"/>
    <xf numFmtId="0" fontId="25" fillId="50" borderId="0" applyNumberFormat="0" applyBorder="0" applyAlignment="0" applyProtection="0"/>
    <xf numFmtId="0" fontId="26" fillId="56" borderId="0" applyNumberFormat="0" applyBorder="0" applyAlignment="0" applyProtection="0"/>
    <xf numFmtId="0" fontId="27" fillId="55" borderId="0" applyNumberFormat="0" applyBorder="0" applyAlignment="0" applyProtection="0"/>
    <xf numFmtId="0" fontId="25" fillId="57" borderId="0" applyNumberFormat="0" applyBorder="0" applyAlignment="0" applyProtection="0"/>
    <xf numFmtId="0" fontId="26" fillId="58" borderId="0" applyNumberFormat="0" applyBorder="0" applyAlignment="0" applyProtection="0"/>
    <xf numFmtId="0" fontId="27" fillId="57" borderId="0" applyNumberFormat="0" applyBorder="0" applyAlignment="0" applyProtection="0"/>
    <xf numFmtId="0" fontId="25" fillId="59" borderId="0" applyNumberFormat="0" applyBorder="0" applyAlignment="0" applyProtection="0"/>
    <xf numFmtId="0" fontId="26" fillId="58" borderId="0" applyNumberFormat="0" applyBorder="0" applyAlignment="0" applyProtection="0"/>
    <xf numFmtId="0" fontId="27" fillId="59" borderId="0" applyNumberFormat="0" applyBorder="0" applyAlignment="0" applyProtection="0"/>
    <xf numFmtId="0" fontId="25" fillId="56" borderId="0" applyNumberFormat="0" applyBorder="0" applyAlignment="0" applyProtection="0"/>
    <xf numFmtId="0" fontId="26" fillId="56" borderId="0" applyNumberFormat="0" applyBorder="0" applyAlignment="0" applyProtection="0"/>
    <xf numFmtId="0" fontId="27" fillId="52" borderId="0" applyNumberFormat="0" applyBorder="0" applyAlignment="0" applyProtection="0"/>
    <xf numFmtId="0" fontId="25" fillId="50" borderId="0" applyNumberFormat="0" applyBorder="0" applyAlignment="0" applyProtection="0"/>
    <xf numFmtId="0" fontId="26" fillId="59" borderId="0" applyNumberFormat="0" applyBorder="0" applyAlignment="0" applyProtection="0"/>
    <xf numFmtId="0" fontId="27" fillId="50" borderId="0" applyNumberFormat="0" applyBorder="0" applyAlignment="0" applyProtection="0"/>
    <xf numFmtId="0" fontId="25" fillId="60" borderId="0" applyNumberFormat="0" applyBorder="0" applyAlignment="0" applyProtection="0"/>
    <xf numFmtId="0" fontId="26" fillId="60" borderId="0" applyNumberFormat="0" applyBorder="0" applyAlignment="0" applyProtection="0"/>
    <xf numFmtId="0" fontId="27" fillId="60" borderId="0" applyNumberFormat="0" applyBorder="0" applyAlignment="0" applyProtection="0"/>
    <xf numFmtId="0" fontId="21" fillId="0" borderId="0"/>
    <xf numFmtId="17" fontId="21" fillId="0" borderId="0" applyFont="0" applyFill="0" applyBorder="0" applyProtection="0">
      <alignment horizontal="left"/>
    </xf>
    <xf numFmtId="0" fontId="21" fillId="0" borderId="0" applyFont="0" applyFill="0" applyBorder="0" applyProtection="0">
      <alignment horizontal="left"/>
    </xf>
    <xf numFmtId="0" fontId="28" fillId="36" borderId="0" applyNumberFormat="0" applyBorder="0" applyAlignment="0" applyProtection="0"/>
    <xf numFmtId="0" fontId="29" fillId="36" borderId="0" applyNumberFormat="0" applyBorder="0" applyAlignment="0" applyProtection="0"/>
    <xf numFmtId="0" fontId="30" fillId="36" borderId="0" applyNumberFormat="0" applyBorder="0" applyAlignment="0" applyProtection="0"/>
    <xf numFmtId="38" fontId="31" fillId="34" borderId="0"/>
    <xf numFmtId="0" fontId="32" fillId="0" borderId="0" applyNumberFormat="0" applyFill="0" applyBorder="0" applyAlignment="0" applyProtection="0"/>
    <xf numFmtId="0" fontId="33" fillId="61" borderId="0">
      <alignment horizontal="left"/>
    </xf>
    <xf numFmtId="2" fontId="34" fillId="62" borderId="10" applyProtection="0">
      <alignment horizontal="left"/>
      <protection locked="0"/>
    </xf>
    <xf numFmtId="0" fontId="35" fillId="0" borderId="0" applyNumberFormat="0" applyFill="0" applyBorder="0" applyAlignment="0" applyProtection="0"/>
    <xf numFmtId="0" fontId="36" fillId="0" borderId="11" applyNumberFormat="0" applyFill="0" applyAlignment="0" applyProtection="0"/>
    <xf numFmtId="0" fontId="21" fillId="63" borderId="0"/>
    <xf numFmtId="169" fontId="22" fillId="0" borderId="0" applyFont="0" applyFill="0" applyBorder="0" applyAlignment="0" applyProtection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21" fillId="0" borderId="0" applyFill="0" applyBorder="0" applyAlignment="0"/>
    <xf numFmtId="172" fontId="21" fillId="0" borderId="0" applyFill="0" applyBorder="0" applyAlignment="0"/>
    <xf numFmtId="0" fontId="21" fillId="0" borderId="0" applyFill="0" applyBorder="0" applyAlignment="0"/>
    <xf numFmtId="170" fontId="38" fillId="0" borderId="0" applyFill="0" applyBorder="0" applyAlignment="0"/>
    <xf numFmtId="0" fontId="21" fillId="0" borderId="0" applyFill="0" applyBorder="0" applyAlignment="0"/>
    <xf numFmtId="173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9" fillId="34" borderId="12" applyNumberFormat="0" applyAlignment="0" applyProtection="0"/>
    <xf numFmtId="0" fontId="40" fillId="41" borderId="12" applyNumberFormat="0" applyAlignment="0" applyProtection="0"/>
    <xf numFmtId="0" fontId="41" fillId="44" borderId="12" applyNumberFormat="0" applyAlignment="0" applyProtection="0"/>
    <xf numFmtId="0" fontId="125" fillId="6" borderId="4" applyNumberFormat="0" applyAlignment="0" applyProtection="0"/>
    <xf numFmtId="0" fontId="12" fillId="6" borderId="4" applyNumberFormat="0" applyAlignment="0" applyProtection="0"/>
    <xf numFmtId="0" fontId="126" fillId="71" borderId="44" applyNumberFormat="0"/>
    <xf numFmtId="0" fontId="127" fillId="72" borderId="14" applyBorder="0">
      <alignment horizontal="center" wrapText="1"/>
    </xf>
    <xf numFmtId="0" fontId="127" fillId="73" borderId="14" applyBorder="0">
      <alignment horizontal="center" wrapText="1"/>
    </xf>
    <xf numFmtId="0" fontId="128" fillId="74" borderId="44" applyNumberFormat="0"/>
    <xf numFmtId="0" fontId="128" fillId="75" borderId="44" applyNumberFormat="0"/>
    <xf numFmtId="0" fontId="13" fillId="75" borderId="44" applyNumberFormat="0"/>
    <xf numFmtId="0" fontId="128" fillId="75" borderId="44" applyNumberFormat="0"/>
    <xf numFmtId="0" fontId="83" fillId="62" borderId="13" applyNumberFormat="0"/>
    <xf numFmtId="0" fontId="129" fillId="74" borderId="44" applyNumberFormat="0"/>
    <xf numFmtId="0" fontId="129" fillId="74" borderId="44" applyNumberFormat="0"/>
    <xf numFmtId="0" fontId="83" fillId="62" borderId="13" applyNumberFormat="0"/>
    <xf numFmtId="0" fontId="130" fillId="76" borderId="15" applyNumberFormat="0" applyBorder="0"/>
    <xf numFmtId="0" fontId="129" fillId="71" borderId="44" applyNumberFormat="0"/>
    <xf numFmtId="0" fontId="126" fillId="71" borderId="44" applyNumberFormat="0"/>
    <xf numFmtId="0" fontId="130" fillId="76" borderId="15" applyNumberFormat="0" applyBorder="0"/>
    <xf numFmtId="0" fontId="129" fillId="71" borderId="44" applyNumberFormat="0"/>
    <xf numFmtId="0" fontId="130" fillId="76" borderId="15" applyNumberFormat="0" applyBorder="0"/>
    <xf numFmtId="0" fontId="20" fillId="64" borderId="13" applyNumberFormat="0"/>
    <xf numFmtId="0" fontId="130" fillId="76" borderId="15" applyNumberFormat="0"/>
    <xf numFmtId="0" fontId="130" fillId="75" borderId="44" applyNumberFormat="0"/>
    <xf numFmtId="14" fontId="131" fillId="74" borderId="45" applyNumberFormat="0" applyAlignment="0"/>
    <xf numFmtId="14" fontId="131" fillId="75" borderId="45" applyNumberFormat="0" applyAlignment="0"/>
    <xf numFmtId="14" fontId="132" fillId="75" borderId="45" applyNumberFormat="0" applyAlignment="0"/>
    <xf numFmtId="14" fontId="131" fillId="74" borderId="45" applyNumberFormat="0" applyAlignment="0"/>
    <xf numFmtId="0" fontId="42" fillId="66" borderId="16" applyNumberFormat="0" applyAlignment="0" applyProtection="0"/>
    <xf numFmtId="0" fontId="43" fillId="66" borderId="16" applyNumberFormat="0" applyAlignment="0" applyProtection="0"/>
    <xf numFmtId="0" fontId="44" fillId="66" borderId="16" applyNumberFormat="0" applyAlignment="0" applyProtection="0"/>
    <xf numFmtId="0" fontId="45" fillId="0" borderId="0" applyNumberFormat="0" applyFill="0" applyBorder="0" applyAlignment="0" applyProtection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0" fontId="37" fillId="0" borderId="0" applyFont="0" applyFill="0" applyBorder="0" applyAlignment="0" applyProtection="0"/>
    <xf numFmtId="17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3" fontId="21" fillId="0" borderId="0" applyFill="0" applyBorder="0" applyAlignment="0" applyProtection="0"/>
    <xf numFmtId="0" fontId="48" fillId="0" borderId="0"/>
    <xf numFmtId="0" fontId="49" fillId="0" borderId="0" applyNumberFormat="0" applyAlignment="0">
      <alignment horizontal="left"/>
    </xf>
    <xf numFmtId="0" fontId="50" fillId="0" borderId="0">
      <alignment horizontal="center"/>
    </xf>
    <xf numFmtId="0" fontId="48" fillId="0" borderId="0"/>
    <xf numFmtId="0" fontId="37" fillId="0" borderId="0" applyFont="0" applyFill="0" applyBorder="0" applyAlignment="0" applyProtection="0"/>
    <xf numFmtId="171" fontId="21" fillId="0" borderId="0" applyFont="0" applyFill="0" applyBorder="0" applyAlignment="0" applyProtection="0"/>
    <xf numFmtId="8" fontId="51" fillId="0" borderId="17">
      <protection locked="0"/>
    </xf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5" fontId="21" fillId="0" borderId="0" applyFill="0" applyBorder="0" applyAlignment="0" applyProtection="0"/>
    <xf numFmtId="175" fontId="22" fillId="0" borderId="0" applyFont="0" applyFill="0" applyBorder="0" applyAlignment="0" applyProtection="0"/>
    <xf numFmtId="10" fontId="21" fillId="0" borderId="0" applyFont="0" applyFill="0" applyBorder="0" applyProtection="0">
      <alignment horizontal="center"/>
    </xf>
    <xf numFmtId="176" fontId="21" fillId="0" borderId="0" applyFont="0" applyFill="0" applyBorder="0" applyProtection="0"/>
    <xf numFmtId="177" fontId="21" fillId="0" borderId="0" applyFont="0" applyFill="0" applyBorder="0" applyProtection="0"/>
    <xf numFmtId="15" fontId="52" fillId="0" borderId="0" applyFont="0" applyFill="0" applyBorder="0" applyAlignment="0" applyProtection="0"/>
    <xf numFmtId="0" fontId="48" fillId="0" borderId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5" fontId="24" fillId="34" borderId="0"/>
    <xf numFmtId="14" fontId="24" fillId="0" borderId="0" applyFill="0" applyBorder="0" applyAlignment="0"/>
    <xf numFmtId="0" fontId="50" fillId="62" borderId="0">
      <alignment horizontal="left"/>
    </xf>
    <xf numFmtId="178" fontId="21" fillId="0" borderId="0" applyFill="0" applyBorder="0" applyAlignment="0" applyProtection="0"/>
    <xf numFmtId="14" fontId="21" fillId="0" borderId="0"/>
    <xf numFmtId="0" fontId="53" fillId="45" borderId="0">
      <alignment horizontal="left"/>
    </xf>
    <xf numFmtId="0" fontId="54" fillId="0" borderId="0">
      <alignment horizontal="left"/>
    </xf>
    <xf numFmtId="38" fontId="55" fillId="0" borderId="18">
      <alignment vertical="center"/>
    </xf>
    <xf numFmtId="166" fontId="21" fillId="0" borderId="0">
      <alignment horizontal="right"/>
    </xf>
    <xf numFmtId="1" fontId="21" fillId="0" borderId="0">
      <alignment horizontal="right"/>
    </xf>
    <xf numFmtId="1" fontId="21" fillId="0" borderId="0">
      <alignment horizontal="right"/>
    </xf>
    <xf numFmtId="179" fontId="21" fillId="0" borderId="0">
      <alignment horizontal="right"/>
    </xf>
    <xf numFmtId="49" fontId="21" fillId="0" borderId="0">
      <alignment horizontal="left"/>
    </xf>
    <xf numFmtId="49" fontId="21" fillId="0" borderId="0">
      <alignment horizontal="left"/>
    </xf>
    <xf numFmtId="49" fontId="21" fillId="0" borderId="0">
      <alignment horizontal="right"/>
    </xf>
    <xf numFmtId="14" fontId="21" fillId="0" borderId="0">
      <alignment horizontal="left"/>
    </xf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56" fillId="0" borderId="0" applyNumberFormat="0" applyAlignment="0">
      <alignment horizontal="left"/>
    </xf>
    <xf numFmtId="9" fontId="57" fillId="0" borderId="19" applyNumberFormat="0" applyBorder="0" applyAlignment="0">
      <protection locked="0"/>
    </xf>
    <xf numFmtId="180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2" fontId="21" fillId="0" borderId="0" applyFill="0" applyBorder="0" applyAlignment="0" applyProtection="0"/>
    <xf numFmtId="181" fontId="21" fillId="0" borderId="0" applyFont="0" applyFill="0" applyBorder="0" applyAlignment="0" applyProtection="0"/>
    <xf numFmtId="0" fontId="24" fillId="34" borderId="0"/>
    <xf numFmtId="0" fontId="61" fillId="38" borderId="0" applyNumberFormat="0" applyBorder="0" applyAlignment="0" applyProtection="0"/>
    <xf numFmtId="0" fontId="62" fillId="42" borderId="0" applyNumberFormat="0" applyBorder="0" applyAlignment="0" applyProtection="0"/>
    <xf numFmtId="0" fontId="63" fillId="38" borderId="0" applyNumberFormat="0" applyBorder="0" applyAlignment="0" applyProtection="0"/>
    <xf numFmtId="2" fontId="64" fillId="62" borderId="10" applyProtection="0">
      <alignment horizontal="left"/>
      <protection locked="0"/>
    </xf>
    <xf numFmtId="38" fontId="45" fillId="67" borderId="0" applyNumberFormat="0" applyBorder="0" applyAlignment="0" applyProtection="0"/>
    <xf numFmtId="0" fontId="65" fillId="0" borderId="20" applyNumberFormat="0" applyAlignment="0" applyProtection="0">
      <alignment horizontal="left" vertical="center"/>
    </xf>
    <xf numFmtId="0" fontId="65" fillId="0" borderId="21">
      <alignment horizontal="left" vertical="center"/>
    </xf>
    <xf numFmtId="0" fontId="66" fillId="44" borderId="19">
      <alignment horizontal="centerContinuous"/>
    </xf>
    <xf numFmtId="0" fontId="67" fillId="0" borderId="23" applyNumberFormat="0" applyFill="0" applyAlignment="0" applyProtection="0"/>
    <xf numFmtId="0" fontId="68" fillId="0" borderId="24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22" applyNumberFormat="0" applyFill="0" applyAlignment="0" applyProtection="0"/>
    <xf numFmtId="0" fontId="72" fillId="0" borderId="25" applyNumberFormat="0" applyFill="0" applyAlignment="0" applyProtection="0"/>
    <xf numFmtId="0" fontId="73" fillId="0" borderId="26" applyNumberFormat="0" applyFill="0" applyAlignment="0" applyProtection="0"/>
    <xf numFmtId="0" fontId="5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4" fillId="0" borderId="25" applyNumberFormat="0" applyFill="0" applyAlignment="0" applyProtection="0"/>
    <xf numFmtId="0" fontId="75" fillId="0" borderId="28" applyNumberFormat="0" applyFill="0" applyAlignment="0" applyProtection="0"/>
    <xf numFmtId="0" fontId="76" fillId="0" borderId="29" applyNumberFormat="0" applyFill="0" applyAlignment="0" applyProtection="0"/>
    <xf numFmtId="0" fontId="77" fillId="0" borderId="27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34" borderId="0"/>
    <xf numFmtId="0" fontId="70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10" fontId="45" fillId="65" borderId="19" applyNumberFormat="0" applyBorder="0" applyAlignment="0" applyProtection="0"/>
    <xf numFmtId="2" fontId="79" fillId="0" borderId="30" applyNumberFormat="0" applyFill="0" applyBorder="0" applyAlignment="0">
      <alignment horizontal="center"/>
      <protection locked="0"/>
    </xf>
    <xf numFmtId="0" fontId="80" fillId="37" borderId="12" applyNumberFormat="0" applyAlignment="0" applyProtection="0"/>
    <xf numFmtId="0" fontId="80" fillId="37" borderId="12" applyNumberFormat="0" applyAlignment="0" applyProtection="0"/>
    <xf numFmtId="0" fontId="80" fillId="37" borderId="12" applyNumberFormat="0" applyAlignment="0" applyProtection="0"/>
    <xf numFmtId="0" fontId="80" fillId="37" borderId="12" applyNumberFormat="0" applyAlignment="0" applyProtection="0"/>
    <xf numFmtId="37" fontId="81" fillId="0" borderId="0" applyNumberFormat="0" applyAlignment="0">
      <protection locked="0"/>
    </xf>
    <xf numFmtId="0" fontId="82" fillId="0" borderId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83" fillId="0" borderId="31" applyNumberFormat="0" applyFill="0" applyAlignment="0" applyProtection="0"/>
    <xf numFmtId="0" fontId="84" fillId="0" borderId="31" applyNumberFormat="0" applyFill="0" applyAlignment="0" applyProtection="0"/>
    <xf numFmtId="0" fontId="85" fillId="0" borderId="31" applyNumberFormat="0" applyFill="0" applyAlignment="0" applyProtection="0"/>
    <xf numFmtId="0" fontId="21" fillId="67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4" fillId="34" borderId="0"/>
    <xf numFmtId="0" fontId="86" fillId="37" borderId="0" applyNumberFormat="0" applyBorder="0" applyAlignment="0" applyProtection="0"/>
    <xf numFmtId="0" fontId="87" fillId="40" borderId="0" applyNumberFormat="0" applyBorder="0" applyAlignment="0" applyProtection="0"/>
    <xf numFmtId="0" fontId="88" fillId="63" borderId="0" applyNumberFormat="0" applyBorder="0" applyAlignment="0" applyProtection="0"/>
    <xf numFmtId="37" fontId="89" fillId="0" borderId="0"/>
    <xf numFmtId="0" fontId="53" fillId="34" borderId="0" applyNumberFormat="0" applyFont="0" applyFill="0" applyBorder="0" applyAlignment="0"/>
    <xf numFmtId="10" fontId="24" fillId="34" borderId="0"/>
    <xf numFmtId="182" fontId="9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29" fillId="74" borderId="0"/>
    <xf numFmtId="0" fontId="2" fillId="0" borderId="0"/>
    <xf numFmtId="0" fontId="2" fillId="0" borderId="0"/>
    <xf numFmtId="0" fontId="24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0" fillId="62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18" fillId="0" borderId="0"/>
    <xf numFmtId="0" fontId="21" fillId="0" borderId="0"/>
    <xf numFmtId="0" fontId="21" fillId="75" borderId="0"/>
    <xf numFmtId="0" fontId="21" fillId="75" borderId="0"/>
    <xf numFmtId="0" fontId="21" fillId="0" borderId="0"/>
    <xf numFmtId="0" fontId="21" fillId="0" borderId="0"/>
    <xf numFmtId="0" fontId="129" fillId="74" borderId="0"/>
    <xf numFmtId="0" fontId="129" fillId="74" borderId="0"/>
    <xf numFmtId="0" fontId="129" fillId="74" borderId="0"/>
    <xf numFmtId="0" fontId="2" fillId="0" borderId="0"/>
    <xf numFmtId="0" fontId="2" fillId="0" borderId="0"/>
    <xf numFmtId="0" fontId="18" fillId="0" borderId="0"/>
    <xf numFmtId="0" fontId="129" fillId="74" borderId="0"/>
    <xf numFmtId="0" fontId="2" fillId="0" borderId="0"/>
    <xf numFmtId="0" fontId="21" fillId="0" borderId="0"/>
    <xf numFmtId="0" fontId="2" fillId="0" borderId="0"/>
    <xf numFmtId="0" fontId="21" fillId="0" borderId="0"/>
    <xf numFmtId="0" fontId="18" fillId="0" borderId="0"/>
    <xf numFmtId="0" fontId="129" fillId="74" borderId="0"/>
    <xf numFmtId="0" fontId="129" fillId="74" borderId="0"/>
    <xf numFmtId="0" fontId="21" fillId="0" borderId="0">
      <alignment vertical="top"/>
    </xf>
    <xf numFmtId="0" fontId="21" fillId="0" borderId="0">
      <alignment vertical="top"/>
    </xf>
    <xf numFmtId="0" fontId="129" fillId="74" borderId="0"/>
    <xf numFmtId="0" fontId="129" fillId="74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1" fillId="39" borderId="32" applyNumberFormat="0" applyFont="0" applyAlignment="0" applyProtection="0"/>
    <xf numFmtId="0" fontId="24" fillId="39" borderId="32" applyNumberFormat="0" applyFont="0" applyAlignment="0" applyProtection="0"/>
    <xf numFmtId="0" fontId="92" fillId="0" borderId="0"/>
    <xf numFmtId="0" fontId="18" fillId="39" borderId="32" applyNumberFormat="0" applyFont="0" applyAlignment="0" applyProtection="0"/>
    <xf numFmtId="0" fontId="18" fillId="39" borderId="32" applyNumberFormat="0" applyFont="0" applyAlignment="0" applyProtection="0"/>
    <xf numFmtId="0" fontId="18" fillId="39" borderId="32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183" fontId="37" fillId="0" borderId="0">
      <alignment horizontal="center"/>
    </xf>
    <xf numFmtId="37" fontId="21" fillId="0" borderId="0"/>
    <xf numFmtId="184" fontId="4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85" fontId="93" fillId="0" borderId="0" applyNumberFormat="0" applyFill="0" applyBorder="0" applyAlignment="0" applyProtection="0"/>
    <xf numFmtId="186" fontId="37" fillId="0" borderId="0">
      <alignment horizontal="center"/>
    </xf>
    <xf numFmtId="0" fontId="20" fillId="77" borderId="0" applyNumberFormat="0" applyFont="0" applyBorder="0" applyAlignment="0" applyProtection="0"/>
    <xf numFmtId="0" fontId="20" fillId="77" borderId="0" applyNumberFormat="0" applyFont="0" applyBorder="0" applyAlignment="0" applyProtection="0"/>
    <xf numFmtId="0" fontId="20" fillId="77" borderId="0" applyNumberFormat="0" applyFont="0" applyBorder="0" applyAlignment="0" applyProtection="0"/>
    <xf numFmtId="0" fontId="93" fillId="0" borderId="33"/>
    <xf numFmtId="2" fontId="94" fillId="62" borderId="10">
      <alignment horizontal="left"/>
    </xf>
    <xf numFmtId="0" fontId="95" fillId="34" borderId="34" applyNumberFormat="0" applyAlignment="0" applyProtection="0"/>
    <xf numFmtId="0" fontId="96" fillId="41" borderId="34" applyNumberFormat="0" applyAlignment="0" applyProtection="0"/>
    <xf numFmtId="0" fontId="97" fillId="44" borderId="34" applyNumberFormat="0" applyAlignment="0" applyProtection="0"/>
    <xf numFmtId="0" fontId="11" fillId="6" borderId="5" applyNumberFormat="0" applyAlignment="0" applyProtection="0"/>
    <xf numFmtId="40" fontId="24" fillId="62" borderId="0">
      <alignment horizontal="right"/>
    </xf>
    <xf numFmtId="0" fontId="98" fillId="65" borderId="0">
      <alignment horizontal="center"/>
    </xf>
    <xf numFmtId="0" fontId="43" fillId="68" borderId="10"/>
    <xf numFmtId="0" fontId="99" fillId="0" borderId="0" applyBorder="0">
      <alignment horizontal="centerContinuous"/>
    </xf>
    <xf numFmtId="0" fontId="100" fillId="0" borderId="0" applyBorder="0">
      <alignment horizontal="centerContinuous"/>
    </xf>
    <xf numFmtId="0" fontId="65" fillId="0" borderId="0"/>
    <xf numFmtId="0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0" fontId="101" fillId="0" borderId="0" applyFont="0" applyFill="0" applyBorder="0" applyAlignment="0" applyProtection="0"/>
    <xf numFmtId="187" fontId="38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93" fillId="0" borderId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188" fontId="37" fillId="0" borderId="0">
      <alignment horizontal="center"/>
    </xf>
    <xf numFmtId="189" fontId="37" fillId="0" borderId="19">
      <alignment horizontal="center"/>
    </xf>
    <xf numFmtId="0" fontId="102" fillId="0" borderId="35" applyAlignment="0">
      <alignment horizontal="center"/>
    </xf>
    <xf numFmtId="0" fontId="103" fillId="67" borderId="0"/>
    <xf numFmtId="0" fontId="55" fillId="0" borderId="0" applyNumberFormat="0" applyFont="0" applyFill="0" applyBorder="0" applyAlignment="0" applyProtection="0">
      <alignment horizontal="left"/>
    </xf>
    <xf numFmtId="0" fontId="104" fillId="0" borderId="36">
      <alignment horizontal="center"/>
    </xf>
    <xf numFmtId="0" fontId="52" fillId="0" borderId="0">
      <alignment vertical="top"/>
    </xf>
    <xf numFmtId="190" fontId="52" fillId="0" borderId="0">
      <alignment vertical="top"/>
    </xf>
    <xf numFmtId="0" fontId="102" fillId="0" borderId="0">
      <alignment horizontal="left"/>
    </xf>
    <xf numFmtId="0" fontId="102" fillId="0" borderId="0">
      <alignment horizontal="right"/>
    </xf>
    <xf numFmtId="0" fontId="24" fillId="0" borderId="10" applyNumberFormat="0" applyBorder="0" applyAlignment="0"/>
    <xf numFmtId="191" fontId="105" fillId="0" borderId="0" applyNumberFormat="0" applyFill="0" applyBorder="0" applyAlignment="0" applyProtection="0">
      <alignment horizontal="left"/>
    </xf>
    <xf numFmtId="0" fontId="53" fillId="59" borderId="0">
      <alignment horizontal="left"/>
    </xf>
    <xf numFmtId="0" fontId="106" fillId="0" borderId="37"/>
    <xf numFmtId="189" fontId="34" fillId="39" borderId="0">
      <alignment horizontal="center"/>
    </xf>
    <xf numFmtId="189" fontId="107" fillId="39" borderId="0">
      <alignment horizontal="center"/>
    </xf>
    <xf numFmtId="189" fontId="34" fillId="38" borderId="0">
      <alignment horizontal="center"/>
    </xf>
    <xf numFmtId="0" fontId="34" fillId="39" borderId="0">
      <alignment horizontal="left"/>
    </xf>
    <xf numFmtId="0" fontId="108" fillId="0" borderId="0" applyFont="0" applyFill="0" applyBorder="0" applyAlignment="0" applyProtection="0"/>
    <xf numFmtId="192" fontId="38" fillId="0" borderId="0" applyFont="0" applyFill="0" applyBorder="0" applyAlignment="0" applyProtection="0"/>
    <xf numFmtId="193" fontId="21" fillId="0" borderId="0"/>
    <xf numFmtId="0" fontId="21" fillId="0" borderId="0"/>
    <xf numFmtId="0" fontId="21" fillId="0" borderId="0">
      <alignment horizontal="left" wrapText="1"/>
    </xf>
    <xf numFmtId="0" fontId="34" fillId="39" borderId="0">
      <alignment horizontal="center"/>
    </xf>
    <xf numFmtId="0" fontId="102" fillId="0" borderId="0"/>
    <xf numFmtId="0" fontId="109" fillId="0" borderId="0"/>
    <xf numFmtId="40" fontId="110" fillId="0" borderId="0" applyBorder="0">
      <alignment horizontal="right"/>
    </xf>
    <xf numFmtId="0" fontId="21" fillId="62" borderId="32"/>
    <xf numFmtId="0" fontId="37" fillId="0" borderId="0">
      <alignment horizontal="center"/>
    </xf>
    <xf numFmtId="15" fontId="37" fillId="0" borderId="0">
      <alignment horizontal="center"/>
    </xf>
    <xf numFmtId="0" fontId="111" fillId="0" borderId="0">
      <alignment horizontal="center"/>
    </xf>
    <xf numFmtId="3" fontId="37" fillId="0" borderId="0">
      <alignment horizontal="center"/>
    </xf>
    <xf numFmtId="194" fontId="37" fillId="0" borderId="0">
      <alignment horizontal="center"/>
    </xf>
    <xf numFmtId="189" fontId="37" fillId="0" borderId="0">
      <alignment horizontal="center"/>
    </xf>
    <xf numFmtId="0" fontId="112" fillId="69" borderId="0"/>
    <xf numFmtId="195" fontId="37" fillId="0" borderId="0">
      <alignment horizontal="center"/>
    </xf>
    <xf numFmtId="195" fontId="37" fillId="0" borderId="38">
      <alignment horizontal="center"/>
    </xf>
    <xf numFmtId="0" fontId="37" fillId="0" borderId="0">
      <alignment horizontal="left"/>
    </xf>
    <xf numFmtId="0" fontId="113" fillId="0" borderId="0">
      <alignment horizontal="center"/>
    </xf>
    <xf numFmtId="0" fontId="114" fillId="0" borderId="0" applyNumberFormat="0" applyFill="0" applyBorder="0"/>
    <xf numFmtId="0" fontId="24" fillId="34" borderId="0"/>
    <xf numFmtId="49" fontId="24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21" fillId="0" borderId="0" applyFill="0" applyBorder="0" applyAlignment="0"/>
    <xf numFmtId="173" fontId="21" fillId="0" borderId="0" applyFill="0" applyBorder="0" applyAlignment="0"/>
    <xf numFmtId="49" fontId="21" fillId="0" borderId="0"/>
    <xf numFmtId="0" fontId="115" fillId="0" borderId="0">
      <alignment horizontal="right"/>
    </xf>
    <xf numFmtId="0" fontId="116" fillId="0" borderId="0">
      <alignment horizontal="right"/>
      <protection locked="0"/>
    </xf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1" fillId="34" borderId="0"/>
    <xf numFmtId="0" fontId="129" fillId="78" borderId="39" applyBorder="0">
      <alignment horizontal="center" wrapText="1"/>
    </xf>
    <xf numFmtId="0" fontId="127" fillId="72" borderId="14" applyBorder="0">
      <alignment horizontal="center" wrapText="1"/>
    </xf>
    <xf numFmtId="0" fontId="127" fillId="72" borderId="14" applyBorder="0">
      <alignment horizontal="center" wrapText="1"/>
    </xf>
    <xf numFmtId="0" fontId="20" fillId="65" borderId="39" applyBorder="0">
      <alignment horizontal="center" wrapText="1"/>
    </xf>
    <xf numFmtId="0" fontId="129" fillId="79" borderId="14" applyBorder="0">
      <alignment horizontal="center" wrapText="1"/>
    </xf>
    <xf numFmtId="0" fontId="127" fillId="73" borderId="14" applyBorder="0">
      <alignment horizontal="center" wrapText="1"/>
    </xf>
    <xf numFmtId="0" fontId="129" fillId="79" borderId="14" applyBorder="0">
      <alignment horizontal="center" wrapText="1"/>
    </xf>
    <xf numFmtId="0" fontId="20" fillId="62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27" fillId="81" borderId="14" applyBorder="0">
      <alignment horizontal="center" wrapText="1"/>
    </xf>
    <xf numFmtId="0" fontId="127" fillId="81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23" fillId="70" borderId="14" applyBorder="0">
      <alignment horizontal="center" wrapText="1"/>
    </xf>
    <xf numFmtId="0" fontId="23" fillId="70" borderId="14" applyBorder="0">
      <alignment horizontal="center" wrapText="1"/>
    </xf>
    <xf numFmtId="0" fontId="102" fillId="0" borderId="0" applyNumberFormat="0" applyFill="0" applyBorder="0" applyAlignment="0" applyProtection="0"/>
    <xf numFmtId="0" fontId="120" fillId="0" borderId="41" applyNumberFormat="0" applyFill="0" applyAlignment="0" applyProtection="0"/>
    <xf numFmtId="0" fontId="31" fillId="0" borderId="42" applyNumberFormat="0" applyFill="0" applyAlignment="0" applyProtection="0"/>
    <xf numFmtId="0" fontId="21" fillId="0" borderId="43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21" fillId="34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" fontId="136" fillId="74" borderId="45"/>
    <xf numFmtId="1" fontId="136" fillId="75" borderId="45"/>
    <xf numFmtId="1" fontId="136" fillId="75" borderId="45"/>
    <xf numFmtId="2" fontId="137" fillId="75" borderId="45"/>
    <xf numFmtId="0" fontId="138" fillId="74" borderId="15" applyNumberFormat="0" applyAlignment="0"/>
    <xf numFmtId="0" fontId="138" fillId="74" borderId="15" applyNumberFormat="0" applyAlignment="0"/>
    <xf numFmtId="0" fontId="139" fillId="75" borderId="15" applyNumberFormat="0" applyAlignment="0"/>
    <xf numFmtId="1" fontId="140" fillId="75" borderId="45" applyNumberFormat="0"/>
    <xf numFmtId="166" fontId="141" fillId="75" borderId="45" applyNumberFormat="0"/>
    <xf numFmtId="0" fontId="21" fillId="0" borderId="0"/>
    <xf numFmtId="0" fontId="18" fillId="33" borderId="0" applyNumberFormat="0" applyBorder="0" applyAlignment="0" applyProtection="0"/>
    <xf numFmtId="0" fontId="18" fillId="36" borderId="0" applyNumberFormat="0" applyBorder="0" applyAlignment="0" applyProtection="0"/>
    <xf numFmtId="0" fontId="18" fillId="38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37" borderId="0" applyNumberFormat="0" applyBorder="0" applyAlignment="0" applyProtection="0"/>
    <xf numFmtId="0" fontId="18" fillId="43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0" borderId="0" applyNumberFormat="0" applyBorder="0" applyAlignment="0" applyProtection="0"/>
    <xf numFmtId="0" fontId="18" fillId="43" borderId="0" applyNumberFormat="0" applyBorder="0" applyAlignment="0" applyProtection="0"/>
    <xf numFmtId="0" fontId="18" fillId="48" borderId="0" applyNumberFormat="0" applyBorder="0" applyAlignment="0" applyProtection="0"/>
    <xf numFmtId="43" fontId="2" fillId="0" borderId="0" applyFont="0" applyFill="0" applyBorder="0" applyAlignment="0" applyProtection="0"/>
    <xf numFmtId="0" fontId="18" fillId="0" borderId="0"/>
    <xf numFmtId="0" fontId="18" fillId="39" borderId="32" applyNumberFormat="0" applyFont="0" applyAlignment="0" applyProtection="0"/>
    <xf numFmtId="0" fontId="129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129" fillId="77" borderId="0" applyNumberFormat="0" applyFont="0" applyBorder="0" applyAlignment="0" applyProtection="0"/>
    <xf numFmtId="9" fontId="2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0" fontId="2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35" fillId="80" borderId="14" applyBorder="0">
      <alignment horizontal="center" wrapText="1"/>
    </xf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39" borderId="32" applyNumberFormat="0" applyFont="0" applyAlignment="0" applyProtection="0"/>
    <xf numFmtId="0" fontId="18" fillId="39" borderId="32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20" fillId="77" borderId="0" applyNumberFormat="0" applyFont="0" applyBorder="0" applyAlignment="0" applyProtection="0"/>
    <xf numFmtId="0" fontId="20" fillId="77" borderId="0" applyNumberFormat="0" applyFont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</cellStyleXfs>
  <cellXfs count="14">
    <xf numFmtId="0" fontId="0" fillId="0" borderId="0" xfId="0"/>
    <xf numFmtId="14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quotePrefix="1"/>
    <xf numFmtId="0" fontId="0" fillId="82" borderId="0" xfId="0" applyFill="1"/>
    <xf numFmtId="14" fontId="0" fillId="82" borderId="0" xfId="0" applyNumberFormat="1" applyFill="1"/>
  </cellXfs>
  <cellStyles count="1067">
    <cellStyle name="_Bonds" xfId="42"/>
    <cellStyle name="_Bonds 2" xfId="43"/>
    <cellStyle name="_Offering" xfId="44"/>
    <cellStyle name="_Offering 2" xfId="45"/>
    <cellStyle name="£ BP" xfId="46"/>
    <cellStyle name="¥ JY" xfId="47"/>
    <cellStyle name="20% - Accent1" xfId="19" builtinId="30" customBuiltin="1"/>
    <cellStyle name="20% - Accent1 2" xfId="48"/>
    <cellStyle name="20% - Accent1 3" xfId="49"/>
    <cellStyle name="20% - Accent1 4" xfId="50"/>
    <cellStyle name="20% - Accent1 4 2" xfId="51"/>
    <cellStyle name="20% - Accent1 4 2 2" xfId="1016"/>
    <cellStyle name="20% - Accent1 4 3" xfId="52"/>
    <cellStyle name="20% - Accent1 4 3 2" xfId="1017"/>
    <cellStyle name="20% - Accent1 4 4" xfId="922"/>
    <cellStyle name="20% - Accent1 4_Primary vs Secondary Spread Oct 3" xfId="53"/>
    <cellStyle name="20% - Accent1 5" xfId="947"/>
    <cellStyle name="20% - Accent2" xfId="23" builtinId="34" customBuiltin="1"/>
    <cellStyle name="20% - Accent2 2" xfId="54"/>
    <cellStyle name="20% - Accent2 3" xfId="55"/>
    <cellStyle name="20% - Accent2 4" xfId="56"/>
    <cellStyle name="20% - Accent2 4 2" xfId="57"/>
    <cellStyle name="20% - Accent2 4 2 2" xfId="1018"/>
    <cellStyle name="20% - Accent2 4 3" xfId="58"/>
    <cellStyle name="20% - Accent2 4 3 2" xfId="1019"/>
    <cellStyle name="20% - Accent2 4 4" xfId="923"/>
    <cellStyle name="20% - Accent2 4_Primary vs Secondary Spread Oct 3" xfId="59"/>
    <cellStyle name="20% - Accent2 5" xfId="948"/>
    <cellStyle name="20% - Accent3" xfId="27" builtinId="38" customBuiltin="1"/>
    <cellStyle name="20% - Accent3 2" xfId="60"/>
    <cellStyle name="20% - Accent3 3" xfId="61"/>
    <cellStyle name="20% - Accent3 4" xfId="62"/>
    <cellStyle name="20% - Accent3 4 2" xfId="63"/>
    <cellStyle name="20% - Accent3 4 2 2" xfId="1020"/>
    <cellStyle name="20% - Accent3 4 3" xfId="64"/>
    <cellStyle name="20% - Accent3 4 3 2" xfId="1021"/>
    <cellStyle name="20% - Accent3 4 4" xfId="924"/>
    <cellStyle name="20% - Accent3 4_Primary vs Secondary Spread Oct 3" xfId="65"/>
    <cellStyle name="20% - Accent3 5" xfId="949"/>
    <cellStyle name="20% - Accent4" xfId="31" builtinId="42" customBuiltin="1"/>
    <cellStyle name="20% - Accent4 2" xfId="66"/>
    <cellStyle name="20% - Accent4 3" xfId="67"/>
    <cellStyle name="20% - Accent4 4" xfId="68"/>
    <cellStyle name="20% - Accent4 4 2" xfId="69"/>
    <cellStyle name="20% - Accent4 4 2 2" xfId="1022"/>
    <cellStyle name="20% - Accent4 4 3" xfId="70"/>
    <cellStyle name="20% - Accent4 4 3 2" xfId="1023"/>
    <cellStyle name="20% - Accent4 4 4" xfId="925"/>
    <cellStyle name="20% - Accent4 4_Primary vs Secondary Spread Oct 3" xfId="71"/>
    <cellStyle name="20% - Accent4 5" xfId="950"/>
    <cellStyle name="20% - Accent5" xfId="35" builtinId="46" customBuiltin="1"/>
    <cellStyle name="20% - Accent5 2" xfId="72"/>
    <cellStyle name="20% - Accent5 3" xfId="73"/>
    <cellStyle name="20% - Accent5 4" xfId="74"/>
    <cellStyle name="20% - Accent5 4 2" xfId="75"/>
    <cellStyle name="20% - Accent5 4 2 2" xfId="1024"/>
    <cellStyle name="20% - Accent5 4 3" xfId="76"/>
    <cellStyle name="20% - Accent5 4 3 2" xfId="1025"/>
    <cellStyle name="20% - Accent5 4 4" xfId="926"/>
    <cellStyle name="20% - Accent5 4_Primary vs Secondary Spread Oct 3" xfId="77"/>
    <cellStyle name="20% - Accent5 5" xfId="951"/>
    <cellStyle name="20% - Accent6" xfId="39" builtinId="50" customBuiltin="1"/>
    <cellStyle name="20% - Accent6 2" xfId="78"/>
    <cellStyle name="20% - Accent6 3" xfId="79"/>
    <cellStyle name="20% - Accent6 4" xfId="80"/>
    <cellStyle name="20% - Accent6 4 2" xfId="81"/>
    <cellStyle name="20% - Accent6 4 2 2" xfId="1026"/>
    <cellStyle name="20% - Accent6 4 3" xfId="82"/>
    <cellStyle name="20% - Accent6 4 3 2" xfId="1027"/>
    <cellStyle name="20% - Accent6 4 4" xfId="927"/>
    <cellStyle name="20% - Accent6 4_Primary vs Secondary Spread Oct 3" xfId="83"/>
    <cellStyle name="20% - Accent6 5" xfId="952"/>
    <cellStyle name="40% - Accent1" xfId="20" builtinId="31" customBuiltin="1"/>
    <cellStyle name="40% - Accent1 2" xfId="84"/>
    <cellStyle name="40% - Accent1 3" xfId="85"/>
    <cellStyle name="40% - Accent1 4" xfId="86"/>
    <cellStyle name="40% - Accent1 4 2" xfId="87"/>
    <cellStyle name="40% - Accent1 4 2 2" xfId="1028"/>
    <cellStyle name="40% - Accent1 4 3" xfId="88"/>
    <cellStyle name="40% - Accent1 4 3 2" xfId="1029"/>
    <cellStyle name="40% - Accent1 4 4" xfId="928"/>
    <cellStyle name="40% - Accent1 4_Primary vs Secondary Spread Oct 3" xfId="89"/>
    <cellStyle name="40% - Accent1 5" xfId="953"/>
    <cellStyle name="40% - Accent2" xfId="24" builtinId="35" customBuiltin="1"/>
    <cellStyle name="40% - Accent2 2" xfId="90"/>
    <cellStyle name="40% - Accent2 3" xfId="91"/>
    <cellStyle name="40% - Accent2 4" xfId="92"/>
    <cellStyle name="40% - Accent2 4 2" xfId="93"/>
    <cellStyle name="40% - Accent2 4 2 2" xfId="1030"/>
    <cellStyle name="40% - Accent2 4 3" xfId="94"/>
    <cellStyle name="40% - Accent2 4 3 2" xfId="1031"/>
    <cellStyle name="40% - Accent2 4 4" xfId="929"/>
    <cellStyle name="40% - Accent2 4_Primary vs Secondary Spread Oct 3" xfId="95"/>
    <cellStyle name="40% - Accent2 5" xfId="954"/>
    <cellStyle name="40% - Accent3" xfId="28" builtinId="39" customBuiltin="1"/>
    <cellStyle name="40% - Accent3 2" xfId="96"/>
    <cellStyle name="40% - Accent3 3" xfId="97"/>
    <cellStyle name="40% - Accent3 4" xfId="98"/>
    <cellStyle name="40% - Accent3 4 2" xfId="99"/>
    <cellStyle name="40% - Accent3 4 2 2" xfId="1032"/>
    <cellStyle name="40% - Accent3 4 3" xfId="100"/>
    <cellStyle name="40% - Accent3 4 3 2" xfId="1033"/>
    <cellStyle name="40% - Accent3 4 4" xfId="930"/>
    <cellStyle name="40% - Accent3 4_Primary vs Secondary Spread Oct 3" xfId="101"/>
    <cellStyle name="40% - Accent3 5" xfId="955"/>
    <cellStyle name="40% - Accent4" xfId="32" builtinId="43" customBuiltin="1"/>
    <cellStyle name="40% - Accent4 2" xfId="102"/>
    <cellStyle name="40% - Accent4 3" xfId="103"/>
    <cellStyle name="40% - Accent4 4" xfId="104"/>
    <cellStyle name="40% - Accent4 4 2" xfId="105"/>
    <cellStyle name="40% - Accent4 4 2 2" xfId="1034"/>
    <cellStyle name="40% - Accent4 4 3" xfId="106"/>
    <cellStyle name="40% - Accent4 4 3 2" xfId="1035"/>
    <cellStyle name="40% - Accent4 4 4" xfId="931"/>
    <cellStyle name="40% - Accent4 4_Primary vs Secondary Spread Oct 3" xfId="107"/>
    <cellStyle name="40% - Accent4 5" xfId="956"/>
    <cellStyle name="40% - Accent5" xfId="36" builtinId="47" customBuiltin="1"/>
    <cellStyle name="40% - Accent5 2" xfId="108"/>
    <cellStyle name="40% - Accent5 3" xfId="109"/>
    <cellStyle name="40% - Accent5 4" xfId="110"/>
    <cellStyle name="40% - Accent5 4 2" xfId="111"/>
    <cellStyle name="40% - Accent5 4 2 2" xfId="1036"/>
    <cellStyle name="40% - Accent5 4 3" xfId="112"/>
    <cellStyle name="40% - Accent5 4 3 2" xfId="1037"/>
    <cellStyle name="40% - Accent5 4 4" xfId="932"/>
    <cellStyle name="40% - Accent5 4_Primary vs Secondary Spread Oct 3" xfId="113"/>
    <cellStyle name="40% - Accent5 5" xfId="957"/>
    <cellStyle name="40% - Accent6" xfId="40" builtinId="51" customBuiltin="1"/>
    <cellStyle name="40% - Accent6 2" xfId="114"/>
    <cellStyle name="40% - Accent6 3" xfId="115"/>
    <cellStyle name="40% - Accent6 4" xfId="116"/>
    <cellStyle name="40% - Accent6 4 2" xfId="117"/>
    <cellStyle name="40% - Accent6 4 2 2" xfId="1038"/>
    <cellStyle name="40% - Accent6 4 3" xfId="118"/>
    <cellStyle name="40% - Accent6 4 3 2" xfId="1039"/>
    <cellStyle name="40% - Accent6 4 4" xfId="933"/>
    <cellStyle name="40% - Accent6 4_Primary vs Secondary Spread Oct 3" xfId="119"/>
    <cellStyle name="40% - Accent6 5" xfId="958"/>
    <cellStyle name="60% - Accent1" xfId="21" builtinId="32" customBuiltin="1"/>
    <cellStyle name="60% - Accent1 2" xfId="120"/>
    <cellStyle name="60% - Accent1 3" xfId="121"/>
    <cellStyle name="60% - Accent1 4" xfId="122"/>
    <cellStyle name="60% - Accent2" xfId="25" builtinId="36" customBuiltin="1"/>
    <cellStyle name="60% - Accent2 2" xfId="123"/>
    <cellStyle name="60% - Accent2 3" xfId="124"/>
    <cellStyle name="60% - Accent2 4" xfId="125"/>
    <cellStyle name="60% - Accent3" xfId="29" builtinId="40" customBuiltin="1"/>
    <cellStyle name="60% - Accent3 2" xfId="126"/>
    <cellStyle name="60% - Accent3 3" xfId="127"/>
    <cellStyle name="60% - Accent3 4" xfId="128"/>
    <cellStyle name="60% - Accent4" xfId="33" builtinId="44" customBuiltin="1"/>
    <cellStyle name="60% - Accent4 2" xfId="129"/>
    <cellStyle name="60% - Accent4 3" xfId="130"/>
    <cellStyle name="60% - Accent4 4" xfId="131"/>
    <cellStyle name="60% - Accent5" xfId="37" builtinId="48" customBuiltin="1"/>
    <cellStyle name="60% - Accent5 2" xfId="132"/>
    <cellStyle name="60% - Accent5 3" xfId="133"/>
    <cellStyle name="60% - Accent5 4" xfId="134"/>
    <cellStyle name="60% - Accent6" xfId="41" builtinId="52" customBuiltin="1"/>
    <cellStyle name="60% - Accent6 2" xfId="135"/>
    <cellStyle name="60% - Accent6 3" xfId="136"/>
    <cellStyle name="60% - Accent6 4" xfId="137"/>
    <cellStyle name="Accent1" xfId="18" builtinId="29" customBuiltin="1"/>
    <cellStyle name="Accent1 2" xfId="138"/>
    <cellStyle name="Accent1 3" xfId="139"/>
    <cellStyle name="Accent1 4" xfId="140"/>
    <cellStyle name="Accent2" xfId="22" builtinId="33" customBuiltin="1"/>
    <cellStyle name="Accent2 2" xfId="141"/>
    <cellStyle name="Accent2 3" xfId="142"/>
    <cellStyle name="Accent2 4" xfId="143"/>
    <cellStyle name="Accent3" xfId="26" builtinId="37" customBuiltin="1"/>
    <cellStyle name="Accent3 2" xfId="144"/>
    <cellStyle name="Accent3 3" xfId="145"/>
    <cellStyle name="Accent3 4" xfId="146"/>
    <cellStyle name="Accent4" xfId="30" builtinId="41" customBuiltin="1"/>
    <cellStyle name="Accent4 2" xfId="147"/>
    <cellStyle name="Accent4 3" xfId="148"/>
    <cellStyle name="Accent4 4" xfId="149"/>
    <cellStyle name="Accent5" xfId="34" builtinId="45" customBuiltin="1"/>
    <cellStyle name="Accent5 2" xfId="150"/>
    <cellStyle name="Accent5 3" xfId="151"/>
    <cellStyle name="Accent5 4" xfId="152"/>
    <cellStyle name="Accent6" xfId="38" builtinId="49" customBuiltin="1"/>
    <cellStyle name="Accent6 2" xfId="153"/>
    <cellStyle name="Accent6 3" xfId="154"/>
    <cellStyle name="Accent6 4" xfId="155"/>
    <cellStyle name="Auto_OpenAuto_CloseExtractD_Sheet1" xfId="156"/>
    <cellStyle name="Axis.EffectiveDate" xfId="157"/>
    <cellStyle name="Axis.Seasoning" xfId="158"/>
    <cellStyle name="Bad" xfId="7" builtinId="27" customBuiltin="1"/>
    <cellStyle name="Bad 2" xfId="159"/>
    <cellStyle name="Bad 3" xfId="160"/>
    <cellStyle name="Bad 4" xfId="161"/>
    <cellStyle name="Big Money" xfId="162"/>
    <cellStyle name="Blue" xfId="163"/>
    <cellStyle name="blue axis cells" xfId="164"/>
    <cellStyle name="blue text cells" xfId="165"/>
    <cellStyle name="Body" xfId="166"/>
    <cellStyle name="Bold/Border" xfId="167"/>
    <cellStyle name="Border" xfId="168"/>
    <cellStyle name="Bullet" xfId="169"/>
    <cellStyle name="Calc Currency (0)" xfId="170"/>
    <cellStyle name="Calc Currency (0) 2" xfId="171"/>
    <cellStyle name="Calc Currency (2)" xfId="172"/>
    <cellStyle name="Calc Currency (2) 2" xfId="173"/>
    <cellStyle name="Calc Percent (0)" xfId="174"/>
    <cellStyle name="Calc Percent (0) 2" xfId="175"/>
    <cellStyle name="Calc Percent (1)" xfId="176"/>
    <cellStyle name="Calc Percent (1) 2" xfId="177"/>
    <cellStyle name="Calc Percent (2)" xfId="178"/>
    <cellStyle name="Calc Percent (2) 2" xfId="179"/>
    <cellStyle name="Calc Units (0)" xfId="180"/>
    <cellStyle name="Calc Units (0) 2" xfId="181"/>
    <cellStyle name="Calc Units (1)" xfId="182"/>
    <cellStyle name="Calc Units (1) 2" xfId="183"/>
    <cellStyle name="Calc Units (2)" xfId="184"/>
    <cellStyle name="Calc Units (2) 2" xfId="185"/>
    <cellStyle name="Calculation" xfId="11" builtinId="22" customBuiltin="1"/>
    <cellStyle name="Calculation 2" xfId="186"/>
    <cellStyle name="Calculation 3" xfId="187"/>
    <cellStyle name="Calculation 4" xfId="188"/>
    <cellStyle name="Calculation 5" xfId="189"/>
    <cellStyle name="Calculation 6" xfId="190"/>
    <cellStyle name="CCM Input" xfId="191"/>
    <cellStyle name="CCM Title Calculations" xfId="192"/>
    <cellStyle name="CCM Title Indicative" xfId="193"/>
    <cellStyle name="Cello Calculation" xfId="194"/>
    <cellStyle name="Cello Calculation 2" xfId="195"/>
    <cellStyle name="Cello Calculation 2 2" xfId="196"/>
    <cellStyle name="Cello Calculation 2 3" xfId="197"/>
    <cellStyle name="Cello Calculation 2_Primary vs Secondary Spread Oct 3" xfId="198"/>
    <cellStyle name="Cello Calculation 3" xfId="199"/>
    <cellStyle name="Cello Calculation 4" xfId="200"/>
    <cellStyle name="Cello Calculation_Primary vs Secondary Spread Oct 3" xfId="201"/>
    <cellStyle name="Cello Input" xfId="202"/>
    <cellStyle name="Cello Input 2" xfId="203"/>
    <cellStyle name="Cello Input 2 2" xfId="204"/>
    <cellStyle name="Cello Input 2 3" xfId="205"/>
    <cellStyle name="Cello Input 2 4" xfId="206"/>
    <cellStyle name="Cello Input 2 5" xfId="207"/>
    <cellStyle name="Cello Input 2_Primary vs Secondary Spread Oct 3" xfId="208"/>
    <cellStyle name="Cello Input 3" xfId="209"/>
    <cellStyle name="Cello Input 4" xfId="210"/>
    <cellStyle name="Cello Linked Cell" xfId="211"/>
    <cellStyle name="Cello Linked Cell 2" xfId="212"/>
    <cellStyle name="Cello Linked Cell 2 2" xfId="213"/>
    <cellStyle name="Cello Linked Cell 3" xfId="214"/>
    <cellStyle name="Check Cell" xfId="13" builtinId="23" customBuiltin="1"/>
    <cellStyle name="Check Cell 2" xfId="215"/>
    <cellStyle name="Check Cell 3" xfId="216"/>
    <cellStyle name="Check Cell 4" xfId="217"/>
    <cellStyle name="Co. Names" xfId="218"/>
    <cellStyle name="Comma  - Style1" xfId="219"/>
    <cellStyle name="Comma  - Style1 2" xfId="220"/>
    <cellStyle name="Comma  - Style2" xfId="221"/>
    <cellStyle name="Comma  - Style2 2" xfId="222"/>
    <cellStyle name="Comma  - Style3" xfId="223"/>
    <cellStyle name="Comma  - Style3 2" xfId="224"/>
    <cellStyle name="Comma  - Style4" xfId="225"/>
    <cellStyle name="Comma  - Style4 2" xfId="226"/>
    <cellStyle name="Comma  - Style5" xfId="227"/>
    <cellStyle name="Comma  - Style5 2" xfId="228"/>
    <cellStyle name="Comma  - Style6" xfId="229"/>
    <cellStyle name="Comma  - Style6 2" xfId="230"/>
    <cellStyle name="Comma  - Style7" xfId="231"/>
    <cellStyle name="Comma  - Style7 2" xfId="232"/>
    <cellStyle name="Comma  - Style8" xfId="233"/>
    <cellStyle name="Comma  - Style8 2" xfId="234"/>
    <cellStyle name="Comma [00]" xfId="235"/>
    <cellStyle name="Comma [00] 2" xfId="236"/>
    <cellStyle name="Comma 10" xfId="237"/>
    <cellStyle name="Comma 11" xfId="238"/>
    <cellStyle name="Comma 12" xfId="239"/>
    <cellStyle name="Comma 13" xfId="240"/>
    <cellStyle name="Comma 14" xfId="241"/>
    <cellStyle name="Comma 15" xfId="242"/>
    <cellStyle name="Comma 16" xfId="243"/>
    <cellStyle name="Comma 16 2" xfId="244"/>
    <cellStyle name="Comma 17" xfId="245"/>
    <cellStyle name="Comma 18" xfId="246"/>
    <cellStyle name="Comma 19" xfId="247"/>
    <cellStyle name="Comma 2" xfId="248"/>
    <cellStyle name="Comma 20" xfId="249"/>
    <cellStyle name="Comma 21" xfId="250"/>
    <cellStyle name="Comma 22" xfId="251"/>
    <cellStyle name="Comma 23" xfId="252"/>
    <cellStyle name="Comma 24" xfId="253"/>
    <cellStyle name="Comma 25" xfId="254"/>
    <cellStyle name="Comma 26" xfId="255"/>
    <cellStyle name="Comma 27" xfId="256"/>
    <cellStyle name="Comma 28" xfId="257"/>
    <cellStyle name="Comma 29" xfId="258"/>
    <cellStyle name="Comma 29 2" xfId="259"/>
    <cellStyle name="Comma 29 2 2" xfId="1041"/>
    <cellStyle name="Comma 29 3" xfId="260"/>
    <cellStyle name="Comma 29 3 2" xfId="1042"/>
    <cellStyle name="Comma 29 4" xfId="934"/>
    <cellStyle name="Comma 29 5" xfId="1040"/>
    <cellStyle name="Comma 3" xfId="261"/>
    <cellStyle name="Comma 30" xfId="262"/>
    <cellStyle name="Comma 31" xfId="263"/>
    <cellStyle name="Comma 32" xfId="264"/>
    <cellStyle name="Comma 33" xfId="959"/>
    <cellStyle name="Comma 34" xfId="960"/>
    <cellStyle name="Comma 35" xfId="961"/>
    <cellStyle name="Comma 4" xfId="265"/>
    <cellStyle name="Comma 4 2" xfId="266"/>
    <cellStyle name="Comma 5" xfId="267"/>
    <cellStyle name="Comma 6" xfId="268"/>
    <cellStyle name="Comma 7" xfId="269"/>
    <cellStyle name="Comma 8" xfId="270"/>
    <cellStyle name="Comma 9" xfId="271"/>
    <cellStyle name="Comma0" xfId="272"/>
    <cellStyle name="Comma1 - Style1" xfId="273"/>
    <cellStyle name="Copied" xfId="274"/>
    <cellStyle name="CTDSwitchAnalysisHeader" xfId="275"/>
    <cellStyle name="Curren - Style2" xfId="276"/>
    <cellStyle name="Currency [00]" xfId="277"/>
    <cellStyle name="Currency [00] 2" xfId="278"/>
    <cellStyle name="Currency [2]" xfId="279"/>
    <cellStyle name="Currency 10" xfId="280"/>
    <cellStyle name="Currency 11" xfId="281"/>
    <cellStyle name="Currency 12" xfId="282"/>
    <cellStyle name="Currency 13" xfId="283"/>
    <cellStyle name="Currency 14" xfId="284"/>
    <cellStyle name="Currency 15" xfId="285"/>
    <cellStyle name="Currency 16" xfId="286"/>
    <cellStyle name="Currency 17" xfId="287"/>
    <cellStyle name="Currency 18" xfId="288"/>
    <cellStyle name="Currency 19" xfId="962"/>
    <cellStyle name="Currency 2" xfId="289"/>
    <cellStyle name="Currency 20" xfId="963"/>
    <cellStyle name="Currency 21" xfId="964"/>
    <cellStyle name="Currency 3" xfId="290"/>
    <cellStyle name="Currency 4" xfId="291"/>
    <cellStyle name="Currency 5" xfId="292"/>
    <cellStyle name="Currency 6" xfId="293"/>
    <cellStyle name="Currency 7" xfId="294"/>
    <cellStyle name="Currency 8" xfId="295"/>
    <cellStyle name="Currency 9" xfId="296"/>
    <cellStyle name="Currency0" xfId="297"/>
    <cellStyle name="Dash" xfId="298"/>
    <cellStyle name="Data.LongPercent" xfId="299"/>
    <cellStyle name="Data.NumPercent" xfId="300"/>
    <cellStyle name="Data.NumShortPercent" xfId="301"/>
    <cellStyle name="date" xfId="302"/>
    <cellStyle name="Date - Style3" xfId="303"/>
    <cellStyle name="Date 2" xfId="304"/>
    <cellStyle name="Date 3" xfId="305"/>
    <cellStyle name="Date 4" xfId="306"/>
    <cellStyle name="Date 5" xfId="307"/>
    <cellStyle name="Date 6" xfId="308"/>
    <cellStyle name="Date 7" xfId="309"/>
    <cellStyle name="Date Short" xfId="310"/>
    <cellStyle name="date title" xfId="311"/>
    <cellStyle name="Date_DV01" xfId="312"/>
    <cellStyle name="DateFormat" xfId="313"/>
    <cellStyle name="DBAHandle" xfId="314"/>
    <cellStyle name="DBAParameter" xfId="315"/>
    <cellStyle name="DELTA" xfId="316"/>
    <cellStyle name="DS 0" xfId="317"/>
    <cellStyle name="DS 1" xfId="318"/>
    <cellStyle name="DS 2" xfId="319"/>
    <cellStyle name="DS 3" xfId="320"/>
    <cellStyle name="DS 4" xfId="321"/>
    <cellStyle name="DS 5" xfId="322"/>
    <cellStyle name="DS 5 2" xfId="323"/>
    <cellStyle name="DS 6" xfId="324"/>
    <cellStyle name="Enter Currency (0)" xfId="325"/>
    <cellStyle name="Enter Currency (0) 2" xfId="326"/>
    <cellStyle name="Enter Currency (2)" xfId="327"/>
    <cellStyle name="Enter Currency (2) 2" xfId="328"/>
    <cellStyle name="Enter Units (0)" xfId="329"/>
    <cellStyle name="Enter Units (0) 2" xfId="330"/>
    <cellStyle name="Enter Units (1)" xfId="331"/>
    <cellStyle name="Enter Units (1) 2" xfId="332"/>
    <cellStyle name="Enter Units (2)" xfId="333"/>
    <cellStyle name="Enter Units (2) 2" xfId="334"/>
    <cellStyle name="Entered" xfId="335"/>
    <cellStyle name="Entries" xfId="336"/>
    <cellStyle name="Euro" xfId="337"/>
    <cellStyle name="Explanatory Text" xfId="16" builtinId="53" customBuiltin="1"/>
    <cellStyle name="Explanatory Text 2" xfId="338"/>
    <cellStyle name="Explanatory Text 3" xfId="339"/>
    <cellStyle name="Explanatory Text 4" xfId="340"/>
    <cellStyle name="Fixed" xfId="341"/>
    <cellStyle name="FullTime" xfId="342"/>
    <cellStyle name="General" xfId="343"/>
    <cellStyle name="Good" xfId="6" builtinId="26" customBuiltin="1"/>
    <cellStyle name="Good 2" xfId="344"/>
    <cellStyle name="Good 3" xfId="345"/>
    <cellStyle name="Good 4" xfId="346"/>
    <cellStyle name="gray text cells" xfId="347"/>
    <cellStyle name="Grey" xfId="348"/>
    <cellStyle name="Header1" xfId="349"/>
    <cellStyle name="Header2" xfId="350"/>
    <cellStyle name="Heading" xfId="351"/>
    <cellStyle name="Heading 1" xfId="2" builtinId="16" customBuiltin="1"/>
    <cellStyle name="Heading 1 2" xfId="352"/>
    <cellStyle name="Heading 1 2 2" xfId="353"/>
    <cellStyle name="Heading 1 3" xfId="354"/>
    <cellStyle name="Heading 1 4" xfId="355"/>
    <cellStyle name="Heading 1 5" xfId="356"/>
    <cellStyle name="Heading 2" xfId="3" builtinId="17" customBuiltin="1"/>
    <cellStyle name="Heading 2 2" xfId="357"/>
    <cellStyle name="Heading 2 2 2" xfId="358"/>
    <cellStyle name="Heading 2 3" xfId="359"/>
    <cellStyle name="Heading 2 4" xfId="360"/>
    <cellStyle name="Heading 2 5" xfId="361"/>
    <cellStyle name="Heading 3" xfId="4" builtinId="18" customBuiltin="1"/>
    <cellStyle name="Heading 3 2" xfId="362"/>
    <cellStyle name="Heading 3 3" xfId="363"/>
    <cellStyle name="Heading 3 4" xfId="364"/>
    <cellStyle name="Heading 4" xfId="5" builtinId="19" customBuiltin="1"/>
    <cellStyle name="Heading 4 2" xfId="365"/>
    <cellStyle name="Heading 4 3" xfId="366"/>
    <cellStyle name="Heading 4 4" xfId="367"/>
    <cellStyle name="Heading 5" xfId="368"/>
    <cellStyle name="HEADING1" xfId="369"/>
    <cellStyle name="HEADING2" xfId="370"/>
    <cellStyle name="Hyperlink 2" xfId="371"/>
    <cellStyle name="Hyperlink 3" xfId="372"/>
    <cellStyle name="Input" xfId="9" builtinId="20" customBuiltin="1"/>
    <cellStyle name="Input [yellow]" xfId="373"/>
    <cellStyle name="Input 10" xfId="965"/>
    <cellStyle name="Input 11" xfId="966"/>
    <cellStyle name="Input 12" xfId="967"/>
    <cellStyle name="Input 13" xfId="968"/>
    <cellStyle name="Input 14" xfId="969"/>
    <cellStyle name="Input 15" xfId="970"/>
    <cellStyle name="Input 2" xfId="374"/>
    <cellStyle name="Input 3" xfId="375"/>
    <cellStyle name="Input 4" xfId="376"/>
    <cellStyle name="Input 5" xfId="377"/>
    <cellStyle name="Input 6" xfId="378"/>
    <cellStyle name="Input 7" xfId="379"/>
    <cellStyle name="Input 8" xfId="971"/>
    <cellStyle name="Input 9" xfId="972"/>
    <cellStyle name="Item" xfId="380"/>
    <cellStyle name="Link Currency (0)" xfId="381"/>
    <cellStyle name="Link Currency (0) 2" xfId="382"/>
    <cellStyle name="Link Currency (2)" xfId="383"/>
    <cellStyle name="Link Currency (2) 2" xfId="384"/>
    <cellStyle name="Link Units (0)" xfId="385"/>
    <cellStyle name="Link Units (0) 2" xfId="386"/>
    <cellStyle name="Link Units (1)" xfId="387"/>
    <cellStyle name="Link Units (1) 2" xfId="388"/>
    <cellStyle name="Link Units (2)" xfId="389"/>
    <cellStyle name="Link Units (2) 2" xfId="390"/>
    <cellStyle name="Linked Cell" xfId="12" builtinId="24" customBuiltin="1"/>
    <cellStyle name="Linked Cell 2" xfId="391"/>
    <cellStyle name="Linked Cell 3" xfId="392"/>
    <cellStyle name="Linked Cell 4" xfId="393"/>
    <cellStyle name="Lookup" xfId="394"/>
    <cellStyle name="Milliers [0]_Basis" xfId="395"/>
    <cellStyle name="Milliers_Basis" xfId="396"/>
    <cellStyle name="Monétaire [0]_Basis" xfId="397"/>
    <cellStyle name="Monétaire_Basis" xfId="398"/>
    <cellStyle name="Money" xfId="399"/>
    <cellStyle name="Neutral" xfId="8" builtinId="28" customBuiltin="1"/>
    <cellStyle name="Neutral 2" xfId="400"/>
    <cellStyle name="Neutral 3" xfId="401"/>
    <cellStyle name="Neutral 4" xfId="402"/>
    <cellStyle name="no dec" xfId="403"/>
    <cellStyle name="NoChange" xfId="404"/>
    <cellStyle name="Non Zero" xfId="405"/>
    <cellStyle name="Normal" xfId="0" builtinId="0"/>
    <cellStyle name="Normal - Style1" xfId="406"/>
    <cellStyle name="Normal 10" xfId="407"/>
    <cellStyle name="Normal 10 2" xfId="408"/>
    <cellStyle name="Normal 11" xfId="409"/>
    <cellStyle name="Normal 11 2" xfId="410"/>
    <cellStyle name="Normal 12" xfId="411"/>
    <cellStyle name="Normal 13" xfId="412"/>
    <cellStyle name="Normal 14" xfId="413"/>
    <cellStyle name="Normal 15" xfId="414"/>
    <cellStyle name="Normal 16" xfId="415"/>
    <cellStyle name="Normal 17" xfId="416"/>
    <cellStyle name="Normal 18" xfId="417"/>
    <cellStyle name="Normal 19" xfId="418"/>
    <cellStyle name="Normal 2" xfId="419"/>
    <cellStyle name="Normal 2 2" xfId="420"/>
    <cellStyle name="Normal 2 2 2" xfId="421"/>
    <cellStyle name="Normal 2 2 3" xfId="422"/>
    <cellStyle name="Normal 2 2_Primary vs Secondary Spread Oct 3" xfId="423"/>
    <cellStyle name="Normal 2 3" xfId="424"/>
    <cellStyle name="Normal 2 3 2" xfId="425"/>
    <cellStyle name="Normal 2 3_Primary vs Secondary Spread Oct 3" xfId="426"/>
    <cellStyle name="Normal 2 4" xfId="427"/>
    <cellStyle name="Normal 2 4 2" xfId="428"/>
    <cellStyle name="Normal 2 4_Primary vs Secondary Spread Oct 3" xfId="429"/>
    <cellStyle name="Normal 2 5" xfId="430"/>
    <cellStyle name="Normal 2_Primary vs Secondary Spread Oct 3" xfId="431"/>
    <cellStyle name="Normal 20" xfId="432"/>
    <cellStyle name="Normal 21" xfId="433"/>
    <cellStyle name="Normal 22" xfId="434"/>
    <cellStyle name="Normal 23" xfId="435"/>
    <cellStyle name="Normal 24" xfId="436"/>
    <cellStyle name="Normal 25" xfId="437"/>
    <cellStyle name="Normal 26" xfId="438"/>
    <cellStyle name="Normal 27" xfId="439"/>
    <cellStyle name="Normal 28" xfId="440"/>
    <cellStyle name="Normal 28 2" xfId="441"/>
    <cellStyle name="Normal 29" xfId="442"/>
    <cellStyle name="Normal 3" xfId="443"/>
    <cellStyle name="Normal 3 2" xfId="444"/>
    <cellStyle name="Normal 3 3" xfId="445"/>
    <cellStyle name="Normal 3_Primary vs Secondary Spread Oct 3" xfId="446"/>
    <cellStyle name="Normal 30" xfId="447"/>
    <cellStyle name="Normal 31" xfId="448"/>
    <cellStyle name="Normal 32" xfId="449"/>
    <cellStyle name="Normal 33" xfId="450"/>
    <cellStyle name="Normal 34" xfId="451"/>
    <cellStyle name="Normal 35" xfId="452"/>
    <cellStyle name="Normal 36" xfId="453"/>
    <cellStyle name="Normal 37" xfId="454"/>
    <cellStyle name="Normal 38" xfId="455"/>
    <cellStyle name="Normal 38 2" xfId="456"/>
    <cellStyle name="Normal 38_Primary vs Secondary Spread Oct 3" xfId="457"/>
    <cellStyle name="Normal 39" xfId="458"/>
    <cellStyle name="Normal 4" xfId="459"/>
    <cellStyle name="Normal 4 2" xfId="460"/>
    <cellStyle name="Normal 4 3" xfId="461"/>
    <cellStyle name="Normal 4 4" xfId="462"/>
    <cellStyle name="Normal 4_Primary vs Secondary Spread Oct 3" xfId="463"/>
    <cellStyle name="Normal 40" xfId="464"/>
    <cellStyle name="Normal 41" xfId="465"/>
    <cellStyle name="Normal 42" xfId="466"/>
    <cellStyle name="Normal 42 2" xfId="467"/>
    <cellStyle name="Normal 43" xfId="468"/>
    <cellStyle name="Normal 44" xfId="469"/>
    <cellStyle name="Normal 45" xfId="470"/>
    <cellStyle name="Normal 46" xfId="471"/>
    <cellStyle name="Normal 47" xfId="973"/>
    <cellStyle name="Normal 48" xfId="974"/>
    <cellStyle name="Normal 49" xfId="975"/>
    <cellStyle name="Normal 5" xfId="472"/>
    <cellStyle name="Normal 5 2" xfId="473"/>
    <cellStyle name="Normal 5 2 2" xfId="1043"/>
    <cellStyle name="Normal 5 3" xfId="474"/>
    <cellStyle name="Normal 5 3 2" xfId="1044"/>
    <cellStyle name="Normal 5 4" xfId="935"/>
    <cellStyle name="Normal 5_Primary vs Secondary Spread Oct 3" xfId="475"/>
    <cellStyle name="Normal 50" xfId="976"/>
    <cellStyle name="Normal 51" xfId="945"/>
    <cellStyle name="Normal 52" xfId="946"/>
    <cellStyle name="Normal 53" xfId="1066"/>
    <cellStyle name="Normal 6" xfId="476"/>
    <cellStyle name="Normal 6 2" xfId="477"/>
    <cellStyle name="Normal 7" xfId="478"/>
    <cellStyle name="Normal 7 2" xfId="479"/>
    <cellStyle name="Normal 8" xfId="480"/>
    <cellStyle name="Normal 9" xfId="481"/>
    <cellStyle name="Normal 9 2" xfId="482"/>
    <cellStyle name="Note" xfId="15" builtinId="10" customBuiltin="1"/>
    <cellStyle name="Note 2" xfId="483"/>
    <cellStyle name="Note 2 2" xfId="484"/>
    <cellStyle name="Note 3" xfId="485"/>
    <cellStyle name="Note 4" xfId="486"/>
    <cellStyle name="Note 4 2" xfId="487"/>
    <cellStyle name="Note 4 2 2" xfId="1045"/>
    <cellStyle name="Note 4 3" xfId="488"/>
    <cellStyle name="Note 4 3 2" xfId="1046"/>
    <cellStyle name="Note 4 4" xfId="936"/>
    <cellStyle name="Note 5" xfId="489"/>
    <cellStyle name="Note 5 2" xfId="490"/>
    <cellStyle name="Note 5 2 2" xfId="1047"/>
    <cellStyle name="Note 5 3" xfId="491"/>
    <cellStyle name="Note 5 3 2" xfId="1048"/>
    <cellStyle name="Note 5 4" xfId="937"/>
    <cellStyle name="Note 6" xfId="492"/>
    <cellStyle name="Note 6 2" xfId="493"/>
    <cellStyle name="Note 6 2 2" xfId="1050"/>
    <cellStyle name="Note 6 3" xfId="494"/>
    <cellStyle name="Note 6 3 2" xfId="1051"/>
    <cellStyle name="Note 6 4" xfId="938"/>
    <cellStyle name="Note 6 5" xfId="1049"/>
    <cellStyle name="Note 7" xfId="495"/>
    <cellStyle name="Note 7 2" xfId="496"/>
    <cellStyle name="Note 7 2 2" xfId="1053"/>
    <cellStyle name="Note 7 3" xfId="497"/>
    <cellStyle name="Note 7 3 2" xfId="1054"/>
    <cellStyle name="Note 7 4" xfId="939"/>
    <cellStyle name="Note 7 5" xfId="1052"/>
    <cellStyle name="Note 8" xfId="977"/>
    <cellStyle name="Note 9" xfId="978"/>
    <cellStyle name="NumberAsPercent" xfId="498"/>
    <cellStyle name="NumberFormat" xfId="499"/>
    <cellStyle name="Numbers" xfId="500"/>
    <cellStyle name="Numbers - Bold" xfId="501"/>
    <cellStyle name="Numbers_increm pf" xfId="502"/>
    <cellStyle name="NumberTo1DecPlace" xfId="503"/>
    <cellStyle name="OffWhite" xfId="504"/>
    <cellStyle name="OffWhite 2" xfId="505"/>
    <cellStyle name="OffWhite 2 2" xfId="1055"/>
    <cellStyle name="OffWhite 3" xfId="506"/>
    <cellStyle name="OffWhite 3 2" xfId="1056"/>
    <cellStyle name="OffWhite 4" xfId="940"/>
    <cellStyle name="Option" xfId="507"/>
    <cellStyle name="orange text cell" xfId="508"/>
    <cellStyle name="Output" xfId="10" builtinId="21" customBuiltin="1"/>
    <cellStyle name="Output 2" xfId="509"/>
    <cellStyle name="Output 3" xfId="510"/>
    <cellStyle name="Output 4" xfId="511"/>
    <cellStyle name="Output 5" xfId="512"/>
    <cellStyle name="Output Amounts" xfId="513"/>
    <cellStyle name="Output Column Headings" xfId="514"/>
    <cellStyle name="Output Line Items" xfId="515"/>
    <cellStyle name="Output Report Heading" xfId="516"/>
    <cellStyle name="Output Report Title" xfId="517"/>
    <cellStyle name="Pageheading" xfId="518"/>
    <cellStyle name="Percent [0]" xfId="519"/>
    <cellStyle name="Percent [0] 2" xfId="520"/>
    <cellStyle name="Percent [00]" xfId="521"/>
    <cellStyle name="Percent [00] 2" xfId="522"/>
    <cellStyle name="Percent [2]" xfId="523"/>
    <cellStyle name="Percent 2" xfId="524"/>
    <cellStyle name="Percent 2 2" xfId="525"/>
    <cellStyle name="Percent 2 2 2" xfId="1058"/>
    <cellStyle name="Percent 2 3" xfId="526"/>
    <cellStyle name="Percent 2 3 2" xfId="1059"/>
    <cellStyle name="Percent 2 4" xfId="941"/>
    <cellStyle name="Percent 2 5" xfId="1057"/>
    <cellStyle name="Percent 3" xfId="527"/>
    <cellStyle name="Percent 3 2" xfId="528"/>
    <cellStyle name="Percent 3 2 2" xfId="1060"/>
    <cellStyle name="Percent 3 3" xfId="529"/>
    <cellStyle name="Percent 3 3 2" xfId="1061"/>
    <cellStyle name="Percent 3 4" xfId="942"/>
    <cellStyle name="Percent 4" xfId="530"/>
    <cellStyle name="Percent 4 2" xfId="531"/>
    <cellStyle name="Percent 4 2 2" xfId="1062"/>
    <cellStyle name="Percent 4 3" xfId="532"/>
    <cellStyle name="Percent 4 3 2" xfId="1063"/>
    <cellStyle name="Percent 4 4" xfId="943"/>
    <cellStyle name="Percent 5" xfId="533"/>
    <cellStyle name="Percent 5 2" xfId="534"/>
    <cellStyle name="Percent 5 2 2" xfId="1064"/>
    <cellStyle name="Percent 5 3" xfId="535"/>
    <cellStyle name="Percent 5 3 2" xfId="1065"/>
    <cellStyle name="Percent 5 4" xfId="944"/>
    <cellStyle name="Percentage" xfId="536"/>
    <cellStyle name="PrePop Currency (0)" xfId="537"/>
    <cellStyle name="PrePop Currency (0) 2" xfId="538"/>
    <cellStyle name="PrePop Currency (2)" xfId="539"/>
    <cellStyle name="PrePop Currency (2) 2" xfId="540"/>
    <cellStyle name="PrePop Units (0)" xfId="541"/>
    <cellStyle name="PrePop Units (0) 2" xfId="542"/>
    <cellStyle name="PrePop Units (1)" xfId="543"/>
    <cellStyle name="PrePop Units (1) 2" xfId="544"/>
    <cellStyle name="PrePop Units (2)" xfId="545"/>
    <cellStyle name="PrePop Units (2) 2" xfId="546"/>
    <cellStyle name="PriceTo3DecPlaces" xfId="547"/>
    <cellStyle name="PriceWithBorderAround" xfId="548"/>
    <cellStyle name="PRICING" xfId="549"/>
    <cellStyle name="Product Header" xfId="550"/>
    <cellStyle name="PSChar" xfId="551"/>
    <cellStyle name="PSHeading" xfId="552"/>
    <cellStyle name="r" xfId="553"/>
    <cellStyle name="r_pldt" xfId="554"/>
    <cellStyle name="ReportLeftHeader" xfId="555"/>
    <cellStyle name="ReportRightHeader" xfId="556"/>
    <cellStyle name="results" xfId="557"/>
    <cellStyle name="RevList" xfId="558"/>
    <cellStyle name="RVRQueryHandle" xfId="559"/>
    <cellStyle name="Section" xfId="560"/>
    <cellStyle name="SecuritiesPricingTable" xfId="561"/>
    <cellStyle name="SecuritiesPricingTableFinalData" xfId="562"/>
    <cellStyle name="SecuritiesPricingTableManualData" xfId="563"/>
    <cellStyle name="SecuritiesPricingTableText" xfId="564"/>
    <cellStyle name="Short $" xfId="565"/>
    <cellStyle name="Short $ 2" xfId="566"/>
    <cellStyle name="SIZE" xfId="567"/>
    <cellStyle name="Standard_Swaps-Bonds-Blending" xfId="568"/>
    <cellStyle name="Style 1" xfId="569"/>
    <cellStyle name="StyleSecuritiesPricingTableInteger" xfId="570"/>
    <cellStyle name="Subheading" xfId="571"/>
    <cellStyle name="subtitle" xfId="572"/>
    <cellStyle name="Subtotal" xfId="573"/>
    <cellStyle name="Table" xfId="574"/>
    <cellStyle name="Tablebody" xfId="575"/>
    <cellStyle name="TablebodyDate" xfId="576"/>
    <cellStyle name="TablebodyHeading" xfId="577"/>
    <cellStyle name="TablebodyOutstandingAmount" xfId="578"/>
    <cellStyle name="TablebodyPercent" xfId="579"/>
    <cellStyle name="TablebodyPrice" xfId="580"/>
    <cellStyle name="TablebodyReverse" xfId="581"/>
    <cellStyle name="TablebodySpread" xfId="582"/>
    <cellStyle name="TablebodySpreadBorder" xfId="583"/>
    <cellStyle name="TablebodyText" xfId="584"/>
    <cellStyle name="Tableheading" xfId="585"/>
    <cellStyle name="Text" xfId="586"/>
    <cellStyle name="Text 2" xfId="587"/>
    <cellStyle name="Text Indent A" xfId="588"/>
    <cellStyle name="Text Indent B" xfId="589"/>
    <cellStyle name="Text Indent B 2" xfId="590"/>
    <cellStyle name="Text Indent C" xfId="591"/>
    <cellStyle name="Text Indent C 2" xfId="592"/>
    <cellStyle name="TextStyle" xfId="593"/>
    <cellStyle name="tic display" xfId="594"/>
    <cellStyle name="tic input" xfId="595"/>
    <cellStyle name="Title" xfId="1" builtinId="15" customBuiltin="1"/>
    <cellStyle name="Title - Underline" xfId="596"/>
    <cellStyle name="Title 2" xfId="597"/>
    <cellStyle name="Title 3" xfId="598"/>
    <cellStyle name="Title 4" xfId="599"/>
    <cellStyle name="Title 5" xfId="600"/>
    <cellStyle name="Title 6" xfId="601"/>
    <cellStyle name="Title 7" xfId="602"/>
    <cellStyle name="Title Calculations" xfId="603"/>
    <cellStyle name="Title Calculations 2" xfId="604"/>
    <cellStyle name="Title Calculations 2 2" xfId="605"/>
    <cellStyle name="Title Calculations_Primary vs Secondary Spread Oct 3" xfId="606"/>
    <cellStyle name="Title Indicative" xfId="607"/>
    <cellStyle name="Title Indicative 2" xfId="608"/>
    <cellStyle name="Title Indicative 2 2" xfId="609"/>
    <cellStyle name="Title Indicative_Primary vs Secondary Spread Oct 3" xfId="610"/>
    <cellStyle name="Title Pricing Assumptions" xfId="611"/>
    <cellStyle name="Title Pricing Assumptions 10" xfId="612"/>
    <cellStyle name="Title Pricing Assumptions 10 2" xfId="613"/>
    <cellStyle name="Title Pricing Assumptions 10 2 2" xfId="614"/>
    <cellStyle name="Title Pricing Assumptions 10 2_Primary vs Secondary Spread Oct 3" xfId="615"/>
    <cellStyle name="Title Pricing Assumptions 10 3" xfId="616"/>
    <cellStyle name="Title Pricing Assumptions 10 4" xfId="617"/>
    <cellStyle name="Title Pricing Assumptions 10 5" xfId="979"/>
    <cellStyle name="Title Pricing Assumptions 10_Primary vs Secondary Spread Oct 3" xfId="618"/>
    <cellStyle name="Title Pricing Assumptions 11" xfId="619"/>
    <cellStyle name="Title Pricing Assumptions 11 2" xfId="620"/>
    <cellStyle name="Title Pricing Assumptions 11_Primary vs Secondary Spread Oct 3" xfId="621"/>
    <cellStyle name="Title Pricing Assumptions 12" xfId="622"/>
    <cellStyle name="Title Pricing Assumptions 12 2" xfId="623"/>
    <cellStyle name="Title Pricing Assumptions 12_Primary vs Secondary Spread Oct 3" xfId="624"/>
    <cellStyle name="Title Pricing Assumptions 13" xfId="625"/>
    <cellStyle name="Title Pricing Assumptions 14" xfId="626"/>
    <cellStyle name="Title Pricing Assumptions 15" xfId="980"/>
    <cellStyle name="Title Pricing Assumptions 2" xfId="627"/>
    <cellStyle name="Title Pricing Assumptions 2 2" xfId="628"/>
    <cellStyle name="Title Pricing Assumptions 3" xfId="629"/>
    <cellStyle name="Title Pricing Assumptions 3 10" xfId="630"/>
    <cellStyle name="Title Pricing Assumptions 3 10 2" xfId="631"/>
    <cellStyle name="Title Pricing Assumptions 3 10_Primary vs Secondary Spread Oct 3" xfId="632"/>
    <cellStyle name="Title Pricing Assumptions 3 11" xfId="633"/>
    <cellStyle name="Title Pricing Assumptions 3 12" xfId="981"/>
    <cellStyle name="Title Pricing Assumptions 3 2" xfId="634"/>
    <cellStyle name="Title Pricing Assumptions 3 2 2" xfId="635"/>
    <cellStyle name="Title Pricing Assumptions 3 2 2 2" xfId="636"/>
    <cellStyle name="Title Pricing Assumptions 3 2 2 2 2" xfId="637"/>
    <cellStyle name="Title Pricing Assumptions 3 2 2 2_Primary vs Secondary Spread Oct 3" xfId="638"/>
    <cellStyle name="Title Pricing Assumptions 3 2 2 3" xfId="639"/>
    <cellStyle name="Title Pricing Assumptions 3 2 2 4" xfId="640"/>
    <cellStyle name="Title Pricing Assumptions 3 2 2 5" xfId="982"/>
    <cellStyle name="Title Pricing Assumptions 3 2 2_Primary vs Secondary Spread Oct 3" xfId="641"/>
    <cellStyle name="Title Pricing Assumptions 3 2 3" xfId="642"/>
    <cellStyle name="Title Pricing Assumptions 3 2 3 2" xfId="643"/>
    <cellStyle name="Title Pricing Assumptions 3 2 3 2 2" xfId="644"/>
    <cellStyle name="Title Pricing Assumptions 3 2 3 2_Primary vs Secondary Spread Oct 3" xfId="645"/>
    <cellStyle name="Title Pricing Assumptions 3 2 3 3" xfId="646"/>
    <cellStyle name="Title Pricing Assumptions 3 2 3 4" xfId="647"/>
    <cellStyle name="Title Pricing Assumptions 3 2 3 5" xfId="983"/>
    <cellStyle name="Title Pricing Assumptions 3 2 3_Primary vs Secondary Spread Oct 3" xfId="648"/>
    <cellStyle name="Title Pricing Assumptions 3 2 4" xfId="649"/>
    <cellStyle name="Title Pricing Assumptions 3 2 4 2" xfId="650"/>
    <cellStyle name="Title Pricing Assumptions 3 2 4 2 2" xfId="651"/>
    <cellStyle name="Title Pricing Assumptions 3 2 4 2_Primary vs Secondary Spread Oct 3" xfId="652"/>
    <cellStyle name="Title Pricing Assumptions 3 2 4 3" xfId="653"/>
    <cellStyle name="Title Pricing Assumptions 3 2 4 4" xfId="654"/>
    <cellStyle name="Title Pricing Assumptions 3 2 4 5" xfId="984"/>
    <cellStyle name="Title Pricing Assumptions 3 2 4_Primary vs Secondary Spread Oct 3" xfId="655"/>
    <cellStyle name="Title Pricing Assumptions 3 2 5" xfId="656"/>
    <cellStyle name="Title Pricing Assumptions 3 2 5 2" xfId="657"/>
    <cellStyle name="Title Pricing Assumptions 3 2 5_Primary vs Secondary Spread Oct 3" xfId="658"/>
    <cellStyle name="Title Pricing Assumptions 3 2 6" xfId="659"/>
    <cellStyle name="Title Pricing Assumptions 3 2 6 2" xfId="660"/>
    <cellStyle name="Title Pricing Assumptions 3 2 6_Primary vs Secondary Spread Oct 3" xfId="661"/>
    <cellStyle name="Title Pricing Assumptions 3 2 7" xfId="662"/>
    <cellStyle name="Title Pricing Assumptions 3 2 8" xfId="985"/>
    <cellStyle name="Title Pricing Assumptions 3 2_Primary vs Secondary Spread Oct 3" xfId="663"/>
    <cellStyle name="Title Pricing Assumptions 3 3" xfId="664"/>
    <cellStyle name="Title Pricing Assumptions 3 3 2" xfId="665"/>
    <cellStyle name="Title Pricing Assumptions 3 3 2 2" xfId="666"/>
    <cellStyle name="Title Pricing Assumptions 3 3 2 2 2" xfId="667"/>
    <cellStyle name="Title Pricing Assumptions 3 3 2 2_Primary vs Secondary Spread Oct 3" xfId="668"/>
    <cellStyle name="Title Pricing Assumptions 3 3 2 3" xfId="669"/>
    <cellStyle name="Title Pricing Assumptions 3 3 2 4" xfId="670"/>
    <cellStyle name="Title Pricing Assumptions 3 3 2 5" xfId="986"/>
    <cellStyle name="Title Pricing Assumptions 3 3 2_Primary vs Secondary Spread Oct 3" xfId="671"/>
    <cellStyle name="Title Pricing Assumptions 3 3 3" xfId="672"/>
    <cellStyle name="Title Pricing Assumptions 3 3 3 2" xfId="673"/>
    <cellStyle name="Title Pricing Assumptions 3 3 3 2 2" xfId="674"/>
    <cellStyle name="Title Pricing Assumptions 3 3 3 2_Primary vs Secondary Spread Oct 3" xfId="675"/>
    <cellStyle name="Title Pricing Assumptions 3 3 3 3" xfId="676"/>
    <cellStyle name="Title Pricing Assumptions 3 3 3 4" xfId="677"/>
    <cellStyle name="Title Pricing Assumptions 3 3 3 5" xfId="987"/>
    <cellStyle name="Title Pricing Assumptions 3 3 3_Primary vs Secondary Spread Oct 3" xfId="678"/>
    <cellStyle name="Title Pricing Assumptions 3 3 4" xfId="679"/>
    <cellStyle name="Title Pricing Assumptions 3 3 4 2" xfId="680"/>
    <cellStyle name="Title Pricing Assumptions 3 3 4 2 2" xfId="681"/>
    <cellStyle name="Title Pricing Assumptions 3 3 4 2_Primary vs Secondary Spread Oct 3" xfId="682"/>
    <cellStyle name="Title Pricing Assumptions 3 3 4 3" xfId="683"/>
    <cellStyle name="Title Pricing Assumptions 3 3 4 4" xfId="684"/>
    <cellStyle name="Title Pricing Assumptions 3 3 4 5" xfId="988"/>
    <cellStyle name="Title Pricing Assumptions 3 3 4_Primary vs Secondary Spread Oct 3" xfId="685"/>
    <cellStyle name="Title Pricing Assumptions 3 3 5" xfId="686"/>
    <cellStyle name="Title Pricing Assumptions 3 3 5 2" xfId="687"/>
    <cellStyle name="Title Pricing Assumptions 3 3 5_Primary vs Secondary Spread Oct 3" xfId="688"/>
    <cellStyle name="Title Pricing Assumptions 3 3 6" xfId="689"/>
    <cellStyle name="Title Pricing Assumptions 3 3 6 2" xfId="690"/>
    <cellStyle name="Title Pricing Assumptions 3 3 6_Primary vs Secondary Spread Oct 3" xfId="691"/>
    <cellStyle name="Title Pricing Assumptions 3 3 7" xfId="692"/>
    <cellStyle name="Title Pricing Assumptions 3 3 8" xfId="989"/>
    <cellStyle name="Title Pricing Assumptions 3 3_Primary vs Secondary Spread Oct 3" xfId="693"/>
    <cellStyle name="Title Pricing Assumptions 3 4" xfId="694"/>
    <cellStyle name="Title Pricing Assumptions 3 4 2" xfId="695"/>
    <cellStyle name="Title Pricing Assumptions 3 4 2 2" xfId="696"/>
    <cellStyle name="Title Pricing Assumptions 3 4 2 2 2" xfId="697"/>
    <cellStyle name="Title Pricing Assumptions 3 4 2 2_Primary vs Secondary Spread Oct 3" xfId="698"/>
    <cellStyle name="Title Pricing Assumptions 3 4 2 3" xfId="699"/>
    <cellStyle name="Title Pricing Assumptions 3 4 2 4" xfId="700"/>
    <cellStyle name="Title Pricing Assumptions 3 4 2 5" xfId="990"/>
    <cellStyle name="Title Pricing Assumptions 3 4 2_Primary vs Secondary Spread Oct 3" xfId="701"/>
    <cellStyle name="Title Pricing Assumptions 3 4 3" xfId="702"/>
    <cellStyle name="Title Pricing Assumptions 3 4 3 2" xfId="703"/>
    <cellStyle name="Title Pricing Assumptions 3 4 3 2 2" xfId="704"/>
    <cellStyle name="Title Pricing Assumptions 3 4 3 2_Primary vs Secondary Spread Oct 3" xfId="705"/>
    <cellStyle name="Title Pricing Assumptions 3 4 3 3" xfId="706"/>
    <cellStyle name="Title Pricing Assumptions 3 4 3 4" xfId="707"/>
    <cellStyle name="Title Pricing Assumptions 3 4 3 5" xfId="991"/>
    <cellStyle name="Title Pricing Assumptions 3 4 3_Primary vs Secondary Spread Oct 3" xfId="708"/>
    <cellStyle name="Title Pricing Assumptions 3 4 4" xfId="709"/>
    <cellStyle name="Title Pricing Assumptions 3 4 4 2" xfId="710"/>
    <cellStyle name="Title Pricing Assumptions 3 4 4 2 2" xfId="711"/>
    <cellStyle name="Title Pricing Assumptions 3 4 4 2_Primary vs Secondary Spread Oct 3" xfId="712"/>
    <cellStyle name="Title Pricing Assumptions 3 4 4 3" xfId="713"/>
    <cellStyle name="Title Pricing Assumptions 3 4 4 4" xfId="714"/>
    <cellStyle name="Title Pricing Assumptions 3 4 4 5" xfId="992"/>
    <cellStyle name="Title Pricing Assumptions 3 4 4_Primary vs Secondary Spread Oct 3" xfId="715"/>
    <cellStyle name="Title Pricing Assumptions 3 4 5" xfId="716"/>
    <cellStyle name="Title Pricing Assumptions 3 4 5 2" xfId="717"/>
    <cellStyle name="Title Pricing Assumptions 3 4 5_Primary vs Secondary Spread Oct 3" xfId="718"/>
    <cellStyle name="Title Pricing Assumptions 3 4 6" xfId="719"/>
    <cellStyle name="Title Pricing Assumptions 3 4 6 2" xfId="720"/>
    <cellStyle name="Title Pricing Assumptions 3 4 6_Primary vs Secondary Spread Oct 3" xfId="721"/>
    <cellStyle name="Title Pricing Assumptions 3 4 7" xfId="722"/>
    <cellStyle name="Title Pricing Assumptions 3 4 8" xfId="993"/>
    <cellStyle name="Title Pricing Assumptions 3 4_Primary vs Secondary Spread Oct 3" xfId="723"/>
    <cellStyle name="Title Pricing Assumptions 3 5" xfId="724"/>
    <cellStyle name="Title Pricing Assumptions 3 5 2" xfId="725"/>
    <cellStyle name="Title Pricing Assumptions 3 5 2 2" xfId="726"/>
    <cellStyle name="Title Pricing Assumptions 3 5 2 2 2" xfId="727"/>
    <cellStyle name="Title Pricing Assumptions 3 5 2 2_Primary vs Secondary Spread Oct 3" xfId="728"/>
    <cellStyle name="Title Pricing Assumptions 3 5 2 3" xfId="729"/>
    <cellStyle name="Title Pricing Assumptions 3 5 2 4" xfId="730"/>
    <cellStyle name="Title Pricing Assumptions 3 5 2 5" xfId="994"/>
    <cellStyle name="Title Pricing Assumptions 3 5 2_Primary vs Secondary Spread Oct 3" xfId="731"/>
    <cellStyle name="Title Pricing Assumptions 3 5 3" xfId="732"/>
    <cellStyle name="Title Pricing Assumptions 3 5 3 2" xfId="733"/>
    <cellStyle name="Title Pricing Assumptions 3 5 3 2 2" xfId="734"/>
    <cellStyle name="Title Pricing Assumptions 3 5 3 2_Primary vs Secondary Spread Oct 3" xfId="735"/>
    <cellStyle name="Title Pricing Assumptions 3 5 3 3" xfId="736"/>
    <cellStyle name="Title Pricing Assumptions 3 5 3 4" xfId="737"/>
    <cellStyle name="Title Pricing Assumptions 3 5 3 5" xfId="995"/>
    <cellStyle name="Title Pricing Assumptions 3 5 3_Primary vs Secondary Spread Oct 3" xfId="738"/>
    <cellStyle name="Title Pricing Assumptions 3 5 4" xfId="739"/>
    <cellStyle name="Title Pricing Assumptions 3 5 4 2" xfId="740"/>
    <cellStyle name="Title Pricing Assumptions 3 5 4_Primary vs Secondary Spread Oct 3" xfId="741"/>
    <cellStyle name="Title Pricing Assumptions 3 5 5" xfId="742"/>
    <cellStyle name="Title Pricing Assumptions 3 5 5 2" xfId="743"/>
    <cellStyle name="Title Pricing Assumptions 3 5 5_Primary vs Secondary Spread Oct 3" xfId="744"/>
    <cellStyle name="Title Pricing Assumptions 3 5 6" xfId="745"/>
    <cellStyle name="Title Pricing Assumptions 3 5 7" xfId="996"/>
    <cellStyle name="Title Pricing Assumptions 3 5_Primary vs Secondary Spread Oct 3" xfId="746"/>
    <cellStyle name="Title Pricing Assumptions 3 6" xfId="747"/>
    <cellStyle name="Title Pricing Assumptions 3 6 2" xfId="748"/>
    <cellStyle name="Title Pricing Assumptions 3 6 2 2" xfId="749"/>
    <cellStyle name="Title Pricing Assumptions 3 6 2_Primary vs Secondary Spread Oct 3" xfId="750"/>
    <cellStyle name="Title Pricing Assumptions 3 6 3" xfId="751"/>
    <cellStyle name="Title Pricing Assumptions 3 6 4" xfId="752"/>
    <cellStyle name="Title Pricing Assumptions 3 6 5" xfId="997"/>
    <cellStyle name="Title Pricing Assumptions 3 6_Primary vs Secondary Spread Oct 3" xfId="753"/>
    <cellStyle name="Title Pricing Assumptions 3 7" xfId="754"/>
    <cellStyle name="Title Pricing Assumptions 3 7 2" xfId="755"/>
    <cellStyle name="Title Pricing Assumptions 3 7 2 2" xfId="756"/>
    <cellStyle name="Title Pricing Assumptions 3 7 2_Primary vs Secondary Spread Oct 3" xfId="757"/>
    <cellStyle name="Title Pricing Assumptions 3 7 3" xfId="758"/>
    <cellStyle name="Title Pricing Assumptions 3 7 4" xfId="759"/>
    <cellStyle name="Title Pricing Assumptions 3 7 5" xfId="998"/>
    <cellStyle name="Title Pricing Assumptions 3 7_Primary vs Secondary Spread Oct 3" xfId="760"/>
    <cellStyle name="Title Pricing Assumptions 3 8" xfId="761"/>
    <cellStyle name="Title Pricing Assumptions 3 8 2" xfId="762"/>
    <cellStyle name="Title Pricing Assumptions 3 8 2 2" xfId="763"/>
    <cellStyle name="Title Pricing Assumptions 3 8 2_Primary vs Secondary Spread Oct 3" xfId="764"/>
    <cellStyle name="Title Pricing Assumptions 3 8 3" xfId="765"/>
    <cellStyle name="Title Pricing Assumptions 3 8 4" xfId="766"/>
    <cellStyle name="Title Pricing Assumptions 3 8 5" xfId="999"/>
    <cellStyle name="Title Pricing Assumptions 3 8_Primary vs Secondary Spread Oct 3" xfId="767"/>
    <cellStyle name="Title Pricing Assumptions 3 9" xfId="768"/>
    <cellStyle name="Title Pricing Assumptions 3 9 2" xfId="769"/>
    <cellStyle name="Title Pricing Assumptions 3 9_Primary vs Secondary Spread Oct 3" xfId="770"/>
    <cellStyle name="Title Pricing Assumptions 3_Primary vs Secondary Spread Oct 3" xfId="771"/>
    <cellStyle name="Title Pricing Assumptions 4" xfId="772"/>
    <cellStyle name="Title Pricing Assumptions 4 2" xfId="773"/>
    <cellStyle name="Title Pricing Assumptions 4 2 2" xfId="774"/>
    <cellStyle name="Title Pricing Assumptions 4 2 2 2" xfId="775"/>
    <cellStyle name="Title Pricing Assumptions 4 2 2_Primary vs Secondary Spread Oct 3" xfId="776"/>
    <cellStyle name="Title Pricing Assumptions 4 2 3" xfId="777"/>
    <cellStyle name="Title Pricing Assumptions 4 2 4" xfId="778"/>
    <cellStyle name="Title Pricing Assumptions 4 2 5" xfId="1000"/>
    <cellStyle name="Title Pricing Assumptions 4 2_Primary vs Secondary Spread Oct 3" xfId="779"/>
    <cellStyle name="Title Pricing Assumptions 4 3" xfId="780"/>
    <cellStyle name="Title Pricing Assumptions 4 3 2" xfId="781"/>
    <cellStyle name="Title Pricing Assumptions 4 3 2 2" xfId="782"/>
    <cellStyle name="Title Pricing Assumptions 4 3 2_Primary vs Secondary Spread Oct 3" xfId="783"/>
    <cellStyle name="Title Pricing Assumptions 4 3 3" xfId="784"/>
    <cellStyle name="Title Pricing Assumptions 4 3 4" xfId="785"/>
    <cellStyle name="Title Pricing Assumptions 4 3 5" xfId="1001"/>
    <cellStyle name="Title Pricing Assumptions 4 3_Primary vs Secondary Spread Oct 3" xfId="786"/>
    <cellStyle name="Title Pricing Assumptions 4 4" xfId="787"/>
    <cellStyle name="Title Pricing Assumptions 4 4 2" xfId="788"/>
    <cellStyle name="Title Pricing Assumptions 4 4 2 2" xfId="789"/>
    <cellStyle name="Title Pricing Assumptions 4 4 2_Primary vs Secondary Spread Oct 3" xfId="790"/>
    <cellStyle name="Title Pricing Assumptions 4 4 3" xfId="791"/>
    <cellStyle name="Title Pricing Assumptions 4 4 4" xfId="792"/>
    <cellStyle name="Title Pricing Assumptions 4 4 5" xfId="1002"/>
    <cellStyle name="Title Pricing Assumptions 4 4_Primary vs Secondary Spread Oct 3" xfId="793"/>
    <cellStyle name="Title Pricing Assumptions 4 5" xfId="794"/>
    <cellStyle name="Title Pricing Assumptions 4 5 2" xfId="795"/>
    <cellStyle name="Title Pricing Assumptions 4 5_Primary vs Secondary Spread Oct 3" xfId="796"/>
    <cellStyle name="Title Pricing Assumptions 4 6" xfId="797"/>
    <cellStyle name="Title Pricing Assumptions 4 6 2" xfId="798"/>
    <cellStyle name="Title Pricing Assumptions 4 6_Primary vs Secondary Spread Oct 3" xfId="799"/>
    <cellStyle name="Title Pricing Assumptions 4 7" xfId="800"/>
    <cellStyle name="Title Pricing Assumptions 4 8" xfId="1003"/>
    <cellStyle name="Title Pricing Assumptions 4_Primary vs Secondary Spread Oct 3" xfId="801"/>
    <cellStyle name="Title Pricing Assumptions 5" xfId="802"/>
    <cellStyle name="Title Pricing Assumptions 5 2" xfId="803"/>
    <cellStyle name="Title Pricing Assumptions 5 2 2" xfId="804"/>
    <cellStyle name="Title Pricing Assumptions 5 2 2 2" xfId="805"/>
    <cellStyle name="Title Pricing Assumptions 5 2 2_Primary vs Secondary Spread Oct 3" xfId="806"/>
    <cellStyle name="Title Pricing Assumptions 5 2 3" xfId="807"/>
    <cellStyle name="Title Pricing Assumptions 5 2 4" xfId="808"/>
    <cellStyle name="Title Pricing Assumptions 5 2 5" xfId="1004"/>
    <cellStyle name="Title Pricing Assumptions 5 2_Primary vs Secondary Spread Oct 3" xfId="809"/>
    <cellStyle name="Title Pricing Assumptions 5 3" xfId="810"/>
    <cellStyle name="Title Pricing Assumptions 5 3 2" xfId="811"/>
    <cellStyle name="Title Pricing Assumptions 5 3 2 2" xfId="812"/>
    <cellStyle name="Title Pricing Assumptions 5 3 2_Primary vs Secondary Spread Oct 3" xfId="813"/>
    <cellStyle name="Title Pricing Assumptions 5 3 3" xfId="814"/>
    <cellStyle name="Title Pricing Assumptions 5 3 4" xfId="815"/>
    <cellStyle name="Title Pricing Assumptions 5 3 5" xfId="1005"/>
    <cellStyle name="Title Pricing Assumptions 5 3_Primary vs Secondary Spread Oct 3" xfId="816"/>
    <cellStyle name="Title Pricing Assumptions 5 4" xfId="817"/>
    <cellStyle name="Title Pricing Assumptions 5 4 2" xfId="818"/>
    <cellStyle name="Title Pricing Assumptions 5 4 2 2" xfId="819"/>
    <cellStyle name="Title Pricing Assumptions 5 4 2_Primary vs Secondary Spread Oct 3" xfId="820"/>
    <cellStyle name="Title Pricing Assumptions 5 4 3" xfId="821"/>
    <cellStyle name="Title Pricing Assumptions 5 4 4" xfId="822"/>
    <cellStyle name="Title Pricing Assumptions 5 4 5" xfId="1006"/>
    <cellStyle name="Title Pricing Assumptions 5 4_Primary vs Secondary Spread Oct 3" xfId="823"/>
    <cellStyle name="Title Pricing Assumptions 5 5" xfId="824"/>
    <cellStyle name="Title Pricing Assumptions 5 5 2" xfId="825"/>
    <cellStyle name="Title Pricing Assumptions 5 5_Primary vs Secondary Spread Oct 3" xfId="826"/>
    <cellStyle name="Title Pricing Assumptions 5 6" xfId="827"/>
    <cellStyle name="Title Pricing Assumptions 5 6 2" xfId="828"/>
    <cellStyle name="Title Pricing Assumptions 5 6_Primary vs Secondary Spread Oct 3" xfId="829"/>
    <cellStyle name="Title Pricing Assumptions 5 7" xfId="830"/>
    <cellStyle name="Title Pricing Assumptions 5 8" xfId="1007"/>
    <cellStyle name="Title Pricing Assumptions 5_Primary vs Secondary Spread Oct 3" xfId="831"/>
    <cellStyle name="Title Pricing Assumptions 6" xfId="832"/>
    <cellStyle name="Title Pricing Assumptions 6 2" xfId="833"/>
    <cellStyle name="Title Pricing Assumptions 6 2 2" xfId="834"/>
    <cellStyle name="Title Pricing Assumptions 6 2 2 2" xfId="835"/>
    <cellStyle name="Title Pricing Assumptions 6 2 2_Primary vs Secondary Spread Oct 3" xfId="836"/>
    <cellStyle name="Title Pricing Assumptions 6 2 3" xfId="837"/>
    <cellStyle name="Title Pricing Assumptions 6 2 4" xfId="838"/>
    <cellStyle name="Title Pricing Assumptions 6 2 5" xfId="1008"/>
    <cellStyle name="Title Pricing Assumptions 6 2_Primary vs Secondary Spread Oct 3" xfId="839"/>
    <cellStyle name="Title Pricing Assumptions 6 3" xfId="840"/>
    <cellStyle name="Title Pricing Assumptions 6 3 2" xfId="841"/>
    <cellStyle name="Title Pricing Assumptions 6 3 2 2" xfId="842"/>
    <cellStyle name="Title Pricing Assumptions 6 3 2_Primary vs Secondary Spread Oct 3" xfId="843"/>
    <cellStyle name="Title Pricing Assumptions 6 3 3" xfId="844"/>
    <cellStyle name="Title Pricing Assumptions 6 3 4" xfId="845"/>
    <cellStyle name="Title Pricing Assumptions 6 3_Primary vs Secondary Spread Oct 3" xfId="846"/>
    <cellStyle name="Title Pricing Assumptions 6 4" xfId="847"/>
    <cellStyle name="Title Pricing Assumptions 6 4 2" xfId="848"/>
    <cellStyle name="Title Pricing Assumptions 6 4 2 2" xfId="849"/>
    <cellStyle name="Title Pricing Assumptions 6 4 2_Primary vs Secondary Spread Oct 3" xfId="850"/>
    <cellStyle name="Title Pricing Assumptions 6 4 3" xfId="851"/>
    <cellStyle name="Title Pricing Assumptions 6 4 4" xfId="852"/>
    <cellStyle name="Title Pricing Assumptions 6 4 5" xfId="1009"/>
    <cellStyle name="Title Pricing Assumptions 6 4_Primary vs Secondary Spread Oct 3" xfId="853"/>
    <cellStyle name="Title Pricing Assumptions 6 5" xfId="854"/>
    <cellStyle name="Title Pricing Assumptions 6 5 2" xfId="855"/>
    <cellStyle name="Title Pricing Assumptions 6 5_Primary vs Secondary Spread Oct 3" xfId="856"/>
    <cellStyle name="Title Pricing Assumptions 6 6" xfId="857"/>
    <cellStyle name="Title Pricing Assumptions 6 6 2" xfId="858"/>
    <cellStyle name="Title Pricing Assumptions 6 6_Primary vs Secondary Spread Oct 3" xfId="859"/>
    <cellStyle name="Title Pricing Assumptions 6 7" xfId="860"/>
    <cellStyle name="Title Pricing Assumptions 6 8" xfId="1010"/>
    <cellStyle name="Title Pricing Assumptions 6_Primary vs Secondary Spread Oct 3" xfId="861"/>
    <cellStyle name="Title Pricing Assumptions 7" xfId="862"/>
    <cellStyle name="Title Pricing Assumptions 7 2" xfId="863"/>
    <cellStyle name="Title Pricing Assumptions 7 2 2" xfId="864"/>
    <cellStyle name="Title Pricing Assumptions 7 2 2 2" xfId="865"/>
    <cellStyle name="Title Pricing Assumptions 7 2 2_Primary vs Secondary Spread Oct 3" xfId="866"/>
    <cellStyle name="Title Pricing Assumptions 7 2 3" xfId="867"/>
    <cellStyle name="Title Pricing Assumptions 7 2 4" xfId="868"/>
    <cellStyle name="Title Pricing Assumptions 7 2 5" xfId="1011"/>
    <cellStyle name="Title Pricing Assumptions 7 2_Primary vs Secondary Spread Oct 3" xfId="869"/>
    <cellStyle name="Title Pricing Assumptions 7 3" xfId="870"/>
    <cellStyle name="Title Pricing Assumptions 7 3 2" xfId="871"/>
    <cellStyle name="Title Pricing Assumptions 7 3 2 2" xfId="872"/>
    <cellStyle name="Title Pricing Assumptions 7 3 2_Primary vs Secondary Spread Oct 3" xfId="873"/>
    <cellStyle name="Title Pricing Assumptions 7 3 3" xfId="874"/>
    <cellStyle name="Title Pricing Assumptions 7 3 4" xfId="875"/>
    <cellStyle name="Title Pricing Assumptions 7 3 5" xfId="1012"/>
    <cellStyle name="Title Pricing Assumptions 7 3_Primary vs Secondary Spread Oct 3" xfId="876"/>
    <cellStyle name="Title Pricing Assumptions 7 4" xfId="877"/>
    <cellStyle name="Title Pricing Assumptions 7 4 2" xfId="878"/>
    <cellStyle name="Title Pricing Assumptions 7 4_Primary vs Secondary Spread Oct 3" xfId="879"/>
    <cellStyle name="Title Pricing Assumptions 7 5" xfId="880"/>
    <cellStyle name="Title Pricing Assumptions 7 5 2" xfId="881"/>
    <cellStyle name="Title Pricing Assumptions 7 5_Primary vs Secondary Spread Oct 3" xfId="882"/>
    <cellStyle name="Title Pricing Assumptions 7 6" xfId="883"/>
    <cellStyle name="Title Pricing Assumptions 7 7" xfId="1013"/>
    <cellStyle name="Title Pricing Assumptions 7_Primary vs Secondary Spread Oct 3" xfId="884"/>
    <cellStyle name="Title Pricing Assumptions 8" xfId="885"/>
    <cellStyle name="Title Pricing Assumptions 8 2" xfId="886"/>
    <cellStyle name="Title Pricing Assumptions 8 2 2" xfId="887"/>
    <cellStyle name="Title Pricing Assumptions 8 2_Primary vs Secondary Spread Oct 3" xfId="888"/>
    <cellStyle name="Title Pricing Assumptions 8 3" xfId="889"/>
    <cellStyle name="Title Pricing Assumptions 8 4" xfId="890"/>
    <cellStyle name="Title Pricing Assumptions 8 5" xfId="1014"/>
    <cellStyle name="Title Pricing Assumptions 8_Primary vs Secondary Spread Oct 3" xfId="891"/>
    <cellStyle name="Title Pricing Assumptions 9" xfId="892"/>
    <cellStyle name="Title Pricing Assumptions 9 2" xfId="893"/>
    <cellStyle name="Title Pricing Assumptions 9 2 2" xfId="894"/>
    <cellStyle name="Title Pricing Assumptions 9 2_Primary vs Secondary Spread Oct 3" xfId="895"/>
    <cellStyle name="Title Pricing Assumptions 9 3" xfId="896"/>
    <cellStyle name="Title Pricing Assumptions 9 4" xfId="897"/>
    <cellStyle name="Title Pricing Assumptions 9 5" xfId="1015"/>
    <cellStyle name="Title Pricing Assumptions 9_Primary vs Secondary Spread Oct 3" xfId="898"/>
    <cellStyle name="Title Pricing Assumptions_Primary vs Secondary Spread Oct 3" xfId="899"/>
    <cellStyle name="Titles - Other" xfId="900"/>
    <cellStyle name="Total" xfId="17" builtinId="25" customBuiltin="1"/>
    <cellStyle name="Total 2" xfId="901"/>
    <cellStyle name="Total 2 2" xfId="902"/>
    <cellStyle name="Total 3" xfId="903"/>
    <cellStyle name="Total 4" xfId="904"/>
    <cellStyle name="Total 4 2" xfId="905"/>
    <cellStyle name="Total 4_Primary vs Secondary Spread Oct 3" xfId="906"/>
    <cellStyle name="Warning" xfId="907"/>
    <cellStyle name="Warning Text" xfId="14" builtinId="11" customBuiltin="1"/>
    <cellStyle name="Warning Text 2" xfId="908"/>
    <cellStyle name="Warning Text 3" xfId="909"/>
    <cellStyle name="Warning Text 4" xfId="910"/>
    <cellStyle name="Warning Text 5" xfId="911"/>
    <cellStyle name="YB Calculations" xfId="912"/>
    <cellStyle name="YB Calculations 2" xfId="913"/>
    <cellStyle name="YB Calculations 2 2" xfId="914"/>
    <cellStyle name="YB Curve" xfId="915"/>
    <cellStyle name="YB Indicative" xfId="916"/>
    <cellStyle name="YB Indicative 2" xfId="917"/>
    <cellStyle name="YBINDIC" xfId="918"/>
    <cellStyle name="YBIOPOBE" xfId="919"/>
    <cellStyle name="YBPRICE" xfId="920"/>
    <cellStyle name="一般_原始檔案" xfId="9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Historical Conventional Refi Index vs. FNCL Refinancible Universe (50</a:t>
            </a:r>
            <a:r>
              <a:rPr lang="en-US" baseline="0"/>
              <a:t> bp incentive)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782071222578659"/>
          <c:y val="0.22957892360229165"/>
          <c:w val="0.7563854055280127"/>
          <c:h val="0.48318262636525272"/>
        </c:manualLayout>
      </c:layout>
      <c:lineChart>
        <c:grouping val="standard"/>
        <c:varyColors val="0"/>
        <c:ser>
          <c:idx val="0"/>
          <c:order val="0"/>
          <c:tx>
            <c:v>MBA Conventional Refi Index</c:v>
          </c:tx>
          <c:marker>
            <c:symbol val="none"/>
          </c:marker>
          <c:cat>
            <c:numRef>
              <c:f>'all FNCL'!$I$180:$I$403</c:f>
              <c:numCache>
                <c:formatCode>m/d/yyyy</c:formatCode>
                <c:ptCount val="224"/>
                <c:pt idx="0">
                  <c:v>40550</c:v>
                </c:pt>
                <c:pt idx="1">
                  <c:v>40557</c:v>
                </c:pt>
                <c:pt idx="2">
                  <c:v>40564</c:v>
                </c:pt>
                <c:pt idx="3">
                  <c:v>40571</c:v>
                </c:pt>
                <c:pt idx="4">
                  <c:v>40578</c:v>
                </c:pt>
                <c:pt idx="5">
                  <c:v>40585</c:v>
                </c:pt>
                <c:pt idx="6">
                  <c:v>40592</c:v>
                </c:pt>
                <c:pt idx="7">
                  <c:v>40599</c:v>
                </c:pt>
                <c:pt idx="8">
                  <c:v>40606</c:v>
                </c:pt>
                <c:pt idx="9">
                  <c:v>40613</c:v>
                </c:pt>
                <c:pt idx="10">
                  <c:v>40620</c:v>
                </c:pt>
                <c:pt idx="11">
                  <c:v>40627</c:v>
                </c:pt>
                <c:pt idx="12">
                  <c:v>40634</c:v>
                </c:pt>
                <c:pt idx="13">
                  <c:v>40641</c:v>
                </c:pt>
                <c:pt idx="14">
                  <c:v>40648</c:v>
                </c:pt>
                <c:pt idx="15">
                  <c:v>40654</c:v>
                </c:pt>
                <c:pt idx="16">
                  <c:v>40662</c:v>
                </c:pt>
                <c:pt idx="17">
                  <c:v>40669</c:v>
                </c:pt>
                <c:pt idx="18">
                  <c:v>40676</c:v>
                </c:pt>
                <c:pt idx="19">
                  <c:v>40683</c:v>
                </c:pt>
                <c:pt idx="20">
                  <c:v>40690</c:v>
                </c:pt>
                <c:pt idx="21">
                  <c:v>40697</c:v>
                </c:pt>
                <c:pt idx="22">
                  <c:v>40704</c:v>
                </c:pt>
                <c:pt idx="23">
                  <c:v>40711</c:v>
                </c:pt>
                <c:pt idx="24">
                  <c:v>40718</c:v>
                </c:pt>
                <c:pt idx="25">
                  <c:v>40725</c:v>
                </c:pt>
                <c:pt idx="26">
                  <c:v>40732</c:v>
                </c:pt>
                <c:pt idx="27">
                  <c:v>40739</c:v>
                </c:pt>
                <c:pt idx="28">
                  <c:v>40746</c:v>
                </c:pt>
                <c:pt idx="29">
                  <c:v>40753</c:v>
                </c:pt>
                <c:pt idx="30">
                  <c:v>40760</c:v>
                </c:pt>
                <c:pt idx="31">
                  <c:v>40767</c:v>
                </c:pt>
                <c:pt idx="32">
                  <c:v>40774</c:v>
                </c:pt>
                <c:pt idx="33">
                  <c:v>40781</c:v>
                </c:pt>
                <c:pt idx="34">
                  <c:v>40788</c:v>
                </c:pt>
                <c:pt idx="35">
                  <c:v>40795</c:v>
                </c:pt>
                <c:pt idx="36">
                  <c:v>40802</c:v>
                </c:pt>
                <c:pt idx="37">
                  <c:v>40809</c:v>
                </c:pt>
                <c:pt idx="38">
                  <c:v>40816</c:v>
                </c:pt>
                <c:pt idx="39">
                  <c:v>40823</c:v>
                </c:pt>
                <c:pt idx="40">
                  <c:v>40830</c:v>
                </c:pt>
                <c:pt idx="41">
                  <c:v>40837</c:v>
                </c:pt>
                <c:pt idx="42">
                  <c:v>40844</c:v>
                </c:pt>
                <c:pt idx="43">
                  <c:v>40851</c:v>
                </c:pt>
                <c:pt idx="44">
                  <c:v>40858</c:v>
                </c:pt>
                <c:pt idx="45">
                  <c:v>40865</c:v>
                </c:pt>
                <c:pt idx="46">
                  <c:v>40872</c:v>
                </c:pt>
                <c:pt idx="47">
                  <c:v>40879</c:v>
                </c:pt>
                <c:pt idx="48">
                  <c:v>40886</c:v>
                </c:pt>
                <c:pt idx="49">
                  <c:v>40893</c:v>
                </c:pt>
                <c:pt idx="50">
                  <c:v>40900</c:v>
                </c:pt>
                <c:pt idx="51">
                  <c:v>40907</c:v>
                </c:pt>
                <c:pt idx="52">
                  <c:v>40914</c:v>
                </c:pt>
                <c:pt idx="53">
                  <c:v>40921</c:v>
                </c:pt>
                <c:pt idx="54">
                  <c:v>40928</c:v>
                </c:pt>
                <c:pt idx="55">
                  <c:v>40935</c:v>
                </c:pt>
                <c:pt idx="56">
                  <c:v>40942</c:v>
                </c:pt>
                <c:pt idx="57">
                  <c:v>40949</c:v>
                </c:pt>
                <c:pt idx="58">
                  <c:v>40956</c:v>
                </c:pt>
                <c:pt idx="59">
                  <c:v>40963</c:v>
                </c:pt>
                <c:pt idx="60">
                  <c:v>40970</c:v>
                </c:pt>
                <c:pt idx="61">
                  <c:v>40977</c:v>
                </c:pt>
                <c:pt idx="62">
                  <c:v>40984</c:v>
                </c:pt>
                <c:pt idx="63">
                  <c:v>40991</c:v>
                </c:pt>
                <c:pt idx="64">
                  <c:v>40998</c:v>
                </c:pt>
                <c:pt idx="65">
                  <c:v>41005</c:v>
                </c:pt>
                <c:pt idx="66">
                  <c:v>41012</c:v>
                </c:pt>
                <c:pt idx="67">
                  <c:v>41019</c:v>
                </c:pt>
                <c:pt idx="68">
                  <c:v>41026</c:v>
                </c:pt>
                <c:pt idx="69">
                  <c:v>41033</c:v>
                </c:pt>
                <c:pt idx="70">
                  <c:v>41040</c:v>
                </c:pt>
                <c:pt idx="71">
                  <c:v>41047</c:v>
                </c:pt>
                <c:pt idx="72">
                  <c:v>41054</c:v>
                </c:pt>
                <c:pt idx="73">
                  <c:v>41061</c:v>
                </c:pt>
                <c:pt idx="74">
                  <c:v>41068</c:v>
                </c:pt>
                <c:pt idx="75">
                  <c:v>41075</c:v>
                </c:pt>
                <c:pt idx="76">
                  <c:v>41082</c:v>
                </c:pt>
                <c:pt idx="77">
                  <c:v>41089</c:v>
                </c:pt>
                <c:pt idx="78">
                  <c:v>41096</c:v>
                </c:pt>
                <c:pt idx="79">
                  <c:v>41103</c:v>
                </c:pt>
                <c:pt idx="80">
                  <c:v>41110</c:v>
                </c:pt>
                <c:pt idx="81">
                  <c:v>41117</c:v>
                </c:pt>
                <c:pt idx="82">
                  <c:v>41124</c:v>
                </c:pt>
                <c:pt idx="83">
                  <c:v>41131</c:v>
                </c:pt>
                <c:pt idx="84">
                  <c:v>41138</c:v>
                </c:pt>
                <c:pt idx="85">
                  <c:v>41145</c:v>
                </c:pt>
                <c:pt idx="86">
                  <c:v>41152</c:v>
                </c:pt>
                <c:pt idx="87">
                  <c:v>41159</c:v>
                </c:pt>
                <c:pt idx="88">
                  <c:v>41166</c:v>
                </c:pt>
                <c:pt idx="89">
                  <c:v>41173</c:v>
                </c:pt>
                <c:pt idx="90">
                  <c:v>41180</c:v>
                </c:pt>
                <c:pt idx="91">
                  <c:v>41187</c:v>
                </c:pt>
                <c:pt idx="92">
                  <c:v>41194</c:v>
                </c:pt>
                <c:pt idx="93">
                  <c:v>41201</c:v>
                </c:pt>
                <c:pt idx="94">
                  <c:v>41208</c:v>
                </c:pt>
                <c:pt idx="95">
                  <c:v>41215</c:v>
                </c:pt>
                <c:pt idx="96">
                  <c:v>41222</c:v>
                </c:pt>
                <c:pt idx="97">
                  <c:v>41229</c:v>
                </c:pt>
                <c:pt idx="98">
                  <c:v>41236</c:v>
                </c:pt>
                <c:pt idx="99">
                  <c:v>41243</c:v>
                </c:pt>
                <c:pt idx="100">
                  <c:v>41250</c:v>
                </c:pt>
                <c:pt idx="101">
                  <c:v>41257</c:v>
                </c:pt>
                <c:pt idx="102">
                  <c:v>41264</c:v>
                </c:pt>
                <c:pt idx="103">
                  <c:v>41271</c:v>
                </c:pt>
                <c:pt idx="104">
                  <c:v>41278</c:v>
                </c:pt>
                <c:pt idx="105">
                  <c:v>41285</c:v>
                </c:pt>
                <c:pt idx="106">
                  <c:v>41292</c:v>
                </c:pt>
                <c:pt idx="107">
                  <c:v>41299</c:v>
                </c:pt>
                <c:pt idx="108">
                  <c:v>41306</c:v>
                </c:pt>
                <c:pt idx="109">
                  <c:v>41313</c:v>
                </c:pt>
                <c:pt idx="110">
                  <c:v>41320</c:v>
                </c:pt>
                <c:pt idx="111">
                  <c:v>41327</c:v>
                </c:pt>
                <c:pt idx="112">
                  <c:v>41334</c:v>
                </c:pt>
                <c:pt idx="113">
                  <c:v>41341</c:v>
                </c:pt>
                <c:pt idx="114">
                  <c:v>41348</c:v>
                </c:pt>
                <c:pt idx="115">
                  <c:v>41355</c:v>
                </c:pt>
                <c:pt idx="116">
                  <c:v>41361</c:v>
                </c:pt>
                <c:pt idx="117">
                  <c:v>41369</c:v>
                </c:pt>
                <c:pt idx="118">
                  <c:v>41376</c:v>
                </c:pt>
                <c:pt idx="119">
                  <c:v>41383</c:v>
                </c:pt>
                <c:pt idx="120">
                  <c:v>41390</c:v>
                </c:pt>
                <c:pt idx="121">
                  <c:v>41397</c:v>
                </c:pt>
                <c:pt idx="122">
                  <c:v>41404</c:v>
                </c:pt>
                <c:pt idx="123">
                  <c:v>41409</c:v>
                </c:pt>
                <c:pt idx="124">
                  <c:v>41418</c:v>
                </c:pt>
                <c:pt idx="125">
                  <c:v>41425</c:v>
                </c:pt>
                <c:pt idx="126">
                  <c:v>41432</c:v>
                </c:pt>
                <c:pt idx="127">
                  <c:v>41439</c:v>
                </c:pt>
                <c:pt idx="128">
                  <c:v>41446</c:v>
                </c:pt>
                <c:pt idx="129">
                  <c:v>41453</c:v>
                </c:pt>
                <c:pt idx="130">
                  <c:v>41460</c:v>
                </c:pt>
                <c:pt idx="131">
                  <c:v>41467</c:v>
                </c:pt>
                <c:pt idx="132">
                  <c:v>41474</c:v>
                </c:pt>
                <c:pt idx="133">
                  <c:v>41481</c:v>
                </c:pt>
                <c:pt idx="134">
                  <c:v>41488</c:v>
                </c:pt>
                <c:pt idx="135">
                  <c:v>41495</c:v>
                </c:pt>
                <c:pt idx="136">
                  <c:v>41508</c:v>
                </c:pt>
                <c:pt idx="137">
                  <c:v>41509</c:v>
                </c:pt>
                <c:pt idx="138">
                  <c:v>41516</c:v>
                </c:pt>
                <c:pt idx="139">
                  <c:v>41523</c:v>
                </c:pt>
                <c:pt idx="140">
                  <c:v>41530</c:v>
                </c:pt>
                <c:pt idx="141">
                  <c:v>41537</c:v>
                </c:pt>
                <c:pt idx="142">
                  <c:v>41544</c:v>
                </c:pt>
                <c:pt idx="143">
                  <c:v>41551</c:v>
                </c:pt>
                <c:pt idx="144">
                  <c:v>41558</c:v>
                </c:pt>
                <c:pt idx="145">
                  <c:v>41565</c:v>
                </c:pt>
                <c:pt idx="146">
                  <c:v>41572</c:v>
                </c:pt>
                <c:pt idx="147">
                  <c:v>41579</c:v>
                </c:pt>
                <c:pt idx="148">
                  <c:v>41586</c:v>
                </c:pt>
                <c:pt idx="149">
                  <c:v>41593</c:v>
                </c:pt>
                <c:pt idx="150">
                  <c:v>41600</c:v>
                </c:pt>
                <c:pt idx="151">
                  <c:v>41605</c:v>
                </c:pt>
                <c:pt idx="152">
                  <c:v>41614</c:v>
                </c:pt>
                <c:pt idx="153">
                  <c:v>41621</c:v>
                </c:pt>
                <c:pt idx="154">
                  <c:v>41628</c:v>
                </c:pt>
                <c:pt idx="155">
                  <c:v>41635</c:v>
                </c:pt>
                <c:pt idx="156">
                  <c:v>41642</c:v>
                </c:pt>
                <c:pt idx="157">
                  <c:v>41649</c:v>
                </c:pt>
                <c:pt idx="158">
                  <c:v>41656</c:v>
                </c:pt>
                <c:pt idx="159">
                  <c:v>41663</c:v>
                </c:pt>
                <c:pt idx="160">
                  <c:v>41670</c:v>
                </c:pt>
                <c:pt idx="161">
                  <c:v>41677</c:v>
                </c:pt>
                <c:pt idx="162">
                  <c:v>41684</c:v>
                </c:pt>
                <c:pt idx="163">
                  <c:v>41691</c:v>
                </c:pt>
                <c:pt idx="164">
                  <c:v>41698</c:v>
                </c:pt>
                <c:pt idx="165">
                  <c:v>41705</c:v>
                </c:pt>
                <c:pt idx="166">
                  <c:v>41712</c:v>
                </c:pt>
                <c:pt idx="167">
                  <c:v>41719</c:v>
                </c:pt>
                <c:pt idx="168">
                  <c:v>41726</c:v>
                </c:pt>
                <c:pt idx="169">
                  <c:v>41733</c:v>
                </c:pt>
                <c:pt idx="170">
                  <c:v>41740</c:v>
                </c:pt>
                <c:pt idx="171">
                  <c:v>41746</c:v>
                </c:pt>
                <c:pt idx="172">
                  <c:v>41754</c:v>
                </c:pt>
                <c:pt idx="173">
                  <c:v>41761</c:v>
                </c:pt>
                <c:pt idx="174">
                  <c:v>41768</c:v>
                </c:pt>
                <c:pt idx="175">
                  <c:v>41775</c:v>
                </c:pt>
                <c:pt idx="176">
                  <c:v>41782</c:v>
                </c:pt>
                <c:pt idx="177">
                  <c:v>41789</c:v>
                </c:pt>
                <c:pt idx="178">
                  <c:v>41796</c:v>
                </c:pt>
                <c:pt idx="179">
                  <c:v>41803</c:v>
                </c:pt>
                <c:pt idx="180">
                  <c:v>41810</c:v>
                </c:pt>
                <c:pt idx="181">
                  <c:v>41817</c:v>
                </c:pt>
                <c:pt idx="182">
                  <c:v>41823</c:v>
                </c:pt>
                <c:pt idx="183">
                  <c:v>41831</c:v>
                </c:pt>
                <c:pt idx="184">
                  <c:v>41838</c:v>
                </c:pt>
                <c:pt idx="185">
                  <c:v>41845</c:v>
                </c:pt>
                <c:pt idx="186">
                  <c:v>41852</c:v>
                </c:pt>
                <c:pt idx="187">
                  <c:v>41859</c:v>
                </c:pt>
                <c:pt idx="188">
                  <c:v>41866</c:v>
                </c:pt>
                <c:pt idx="189">
                  <c:v>41873</c:v>
                </c:pt>
                <c:pt idx="190">
                  <c:v>41880</c:v>
                </c:pt>
                <c:pt idx="191">
                  <c:v>41887</c:v>
                </c:pt>
                <c:pt idx="192">
                  <c:v>41894</c:v>
                </c:pt>
                <c:pt idx="193">
                  <c:v>41901</c:v>
                </c:pt>
                <c:pt idx="194">
                  <c:v>41908</c:v>
                </c:pt>
                <c:pt idx="195">
                  <c:v>41915</c:v>
                </c:pt>
                <c:pt idx="196">
                  <c:v>41922</c:v>
                </c:pt>
                <c:pt idx="197">
                  <c:v>41929</c:v>
                </c:pt>
                <c:pt idx="198">
                  <c:v>41936</c:v>
                </c:pt>
                <c:pt idx="199">
                  <c:v>41943</c:v>
                </c:pt>
                <c:pt idx="200">
                  <c:v>41950</c:v>
                </c:pt>
                <c:pt idx="201">
                  <c:v>41957</c:v>
                </c:pt>
                <c:pt idx="202">
                  <c:v>41964</c:v>
                </c:pt>
                <c:pt idx="203">
                  <c:v>41971</c:v>
                </c:pt>
                <c:pt idx="204">
                  <c:v>41978</c:v>
                </c:pt>
                <c:pt idx="205">
                  <c:v>41985</c:v>
                </c:pt>
                <c:pt idx="206">
                  <c:v>41992</c:v>
                </c:pt>
                <c:pt idx="207">
                  <c:v>41999</c:v>
                </c:pt>
                <c:pt idx="208">
                  <c:v>42006</c:v>
                </c:pt>
                <c:pt idx="209">
                  <c:v>42013</c:v>
                </c:pt>
                <c:pt idx="210">
                  <c:v>42020</c:v>
                </c:pt>
                <c:pt idx="211">
                  <c:v>42027</c:v>
                </c:pt>
                <c:pt idx="212">
                  <c:v>42034</c:v>
                </c:pt>
                <c:pt idx="213">
                  <c:v>42041</c:v>
                </c:pt>
                <c:pt idx="214">
                  <c:v>42048</c:v>
                </c:pt>
                <c:pt idx="215">
                  <c:v>42055</c:v>
                </c:pt>
                <c:pt idx="216">
                  <c:v>42062</c:v>
                </c:pt>
                <c:pt idx="217">
                  <c:v>42069</c:v>
                </c:pt>
                <c:pt idx="218">
                  <c:v>42076</c:v>
                </c:pt>
                <c:pt idx="219">
                  <c:v>42083</c:v>
                </c:pt>
                <c:pt idx="220">
                  <c:v>42090</c:v>
                </c:pt>
                <c:pt idx="221">
                  <c:v>42097</c:v>
                </c:pt>
                <c:pt idx="222">
                  <c:v>42104</c:v>
                </c:pt>
                <c:pt idx="223">
                  <c:v>42111</c:v>
                </c:pt>
              </c:numCache>
            </c:numRef>
          </c:cat>
          <c:val>
            <c:numRef>
              <c:f>'all FNCL'!$J$180:$J$403</c:f>
              <c:numCache>
                <c:formatCode>General</c:formatCode>
                <c:ptCount val="224"/>
                <c:pt idx="0">
                  <c:v>2344.3000000000002</c:v>
                </c:pt>
                <c:pt idx="1">
                  <c:v>2528.6999999999998</c:v>
                </c:pt>
                <c:pt idx="2">
                  <c:v>2129.6999999999998</c:v>
                </c:pt>
                <c:pt idx="3">
                  <c:v>2371.1</c:v>
                </c:pt>
                <c:pt idx="4">
                  <c:v>2190.4</c:v>
                </c:pt>
                <c:pt idx="5">
                  <c:v>1953.2</c:v>
                </c:pt>
                <c:pt idx="6">
                  <c:v>2325.3000000000002</c:v>
                </c:pt>
                <c:pt idx="7">
                  <c:v>2155.5</c:v>
                </c:pt>
                <c:pt idx="8">
                  <c:v>2539.4</c:v>
                </c:pt>
                <c:pt idx="9">
                  <c:v>2563.6</c:v>
                </c:pt>
                <c:pt idx="10">
                  <c:v>2620.8000000000002</c:v>
                </c:pt>
                <c:pt idx="11">
                  <c:v>2350.6999999999998</c:v>
                </c:pt>
                <c:pt idx="12">
                  <c:v>2194.4</c:v>
                </c:pt>
                <c:pt idx="13">
                  <c:v>2010.6</c:v>
                </c:pt>
                <c:pt idx="14">
                  <c:v>2065.3000000000002</c:v>
                </c:pt>
                <c:pt idx="15">
                  <c:v>2091.4</c:v>
                </c:pt>
                <c:pt idx="16">
                  <c:v>2220.1</c:v>
                </c:pt>
                <c:pt idx="17">
                  <c:v>2414.9</c:v>
                </c:pt>
                <c:pt idx="18">
                  <c:v>2742.2</c:v>
                </c:pt>
                <c:pt idx="19">
                  <c:v>2764.6</c:v>
                </c:pt>
                <c:pt idx="20">
                  <c:v>2619.6999999999998</c:v>
                </c:pt>
                <c:pt idx="21">
                  <c:v>2648</c:v>
                </c:pt>
                <c:pt idx="22">
                  <c:v>3101.7</c:v>
                </c:pt>
                <c:pt idx="23">
                  <c:v>2857.9</c:v>
                </c:pt>
                <c:pt idx="24">
                  <c:v>2809.5</c:v>
                </c:pt>
                <c:pt idx="25">
                  <c:v>2527.5</c:v>
                </c:pt>
                <c:pt idx="26">
                  <c:v>2362.6999999999998</c:v>
                </c:pt>
                <c:pt idx="27">
                  <c:v>2923.8</c:v>
                </c:pt>
                <c:pt idx="28">
                  <c:v>2769.6</c:v>
                </c:pt>
                <c:pt idx="29">
                  <c:v>2974.1</c:v>
                </c:pt>
                <c:pt idx="30">
                  <c:v>3880.9</c:v>
                </c:pt>
                <c:pt idx="31">
                  <c:v>4184.3999999999996</c:v>
                </c:pt>
                <c:pt idx="32">
                  <c:v>4110.8</c:v>
                </c:pt>
                <c:pt idx="33">
                  <c:v>3601.3</c:v>
                </c:pt>
                <c:pt idx="34">
                  <c:v>3372</c:v>
                </c:pt>
                <c:pt idx="35">
                  <c:v>3571.7</c:v>
                </c:pt>
                <c:pt idx="36">
                  <c:v>4033.78</c:v>
                </c:pt>
                <c:pt idx="37">
                  <c:v>4512.13</c:v>
                </c:pt>
                <c:pt idx="38">
                  <c:v>4241.8</c:v>
                </c:pt>
                <c:pt idx="39">
                  <c:v>4251.1000000000004</c:v>
                </c:pt>
                <c:pt idx="40">
                  <c:v>3553.2</c:v>
                </c:pt>
                <c:pt idx="41">
                  <c:v>3719.3</c:v>
                </c:pt>
                <c:pt idx="42">
                  <c:v>3695</c:v>
                </c:pt>
                <c:pt idx="43">
                  <c:v>4137.6000000000004</c:v>
                </c:pt>
                <c:pt idx="44">
                  <c:v>3664.5</c:v>
                </c:pt>
                <c:pt idx="45">
                  <c:v>3466.8</c:v>
                </c:pt>
                <c:pt idx="46">
                  <c:v>2941.3</c:v>
                </c:pt>
                <c:pt idx="47">
                  <c:v>3394.7</c:v>
                </c:pt>
                <c:pt idx="48">
                  <c:v>3708.6</c:v>
                </c:pt>
                <c:pt idx="49">
                  <c:v>3676.1</c:v>
                </c:pt>
                <c:pt idx="50">
                  <c:v>3684.5</c:v>
                </c:pt>
                <c:pt idx="51">
                  <c:v>3608.1</c:v>
                </c:pt>
                <c:pt idx="52">
                  <c:v>3668.3</c:v>
                </c:pt>
                <c:pt idx="53">
                  <c:v>4626.5</c:v>
                </c:pt>
                <c:pt idx="54">
                  <c:v>4326.3999999999996</c:v>
                </c:pt>
                <c:pt idx="55">
                  <c:v>4184.3</c:v>
                </c:pt>
                <c:pt idx="56">
                  <c:v>4617.1000000000004</c:v>
                </c:pt>
                <c:pt idx="57">
                  <c:v>4716.1000000000004</c:v>
                </c:pt>
                <c:pt idx="58">
                  <c:v>4466.8999999999996</c:v>
                </c:pt>
                <c:pt idx="59">
                  <c:v>4379.1000000000004</c:v>
                </c:pt>
                <c:pt idx="60">
                  <c:v>4277.6000000000004</c:v>
                </c:pt>
                <c:pt idx="61">
                  <c:v>4063.4</c:v>
                </c:pt>
                <c:pt idx="62">
                  <c:v>3715.2</c:v>
                </c:pt>
                <c:pt idx="63">
                  <c:v>3588.4</c:v>
                </c:pt>
                <c:pt idx="64">
                  <c:v>3699.5</c:v>
                </c:pt>
                <c:pt idx="65">
                  <c:v>3549.3</c:v>
                </c:pt>
                <c:pt idx="66">
                  <c:v>4144.3</c:v>
                </c:pt>
                <c:pt idx="67">
                  <c:v>3892.2</c:v>
                </c:pt>
                <c:pt idx="68">
                  <c:v>3856</c:v>
                </c:pt>
                <c:pt idx="69">
                  <c:v>3924.4</c:v>
                </c:pt>
                <c:pt idx="70">
                  <c:v>4482</c:v>
                </c:pt>
                <c:pt idx="71">
                  <c:v>4732</c:v>
                </c:pt>
                <c:pt idx="72">
                  <c:v>4675.8999999999996</c:v>
                </c:pt>
                <c:pt idx="73">
                  <c:v>4736</c:v>
                </c:pt>
                <c:pt idx="74">
                  <c:v>5590</c:v>
                </c:pt>
                <c:pt idx="75">
                  <c:v>4719.6000000000004</c:v>
                </c:pt>
                <c:pt idx="76">
                  <c:v>4585.8</c:v>
                </c:pt>
                <c:pt idx="77">
                  <c:v>4372.2</c:v>
                </c:pt>
                <c:pt idx="78">
                  <c:v>4267.8999999999996</c:v>
                </c:pt>
                <c:pt idx="79">
                  <c:v>5246.8</c:v>
                </c:pt>
                <c:pt idx="80">
                  <c:v>5383.1</c:v>
                </c:pt>
                <c:pt idx="81">
                  <c:v>5492.1</c:v>
                </c:pt>
                <c:pt idx="82">
                  <c:v>5444.3</c:v>
                </c:pt>
                <c:pt idx="83">
                  <c:v>5172.2</c:v>
                </c:pt>
                <c:pt idx="84">
                  <c:v>4671.1000000000004</c:v>
                </c:pt>
                <c:pt idx="85">
                  <c:v>4423</c:v>
                </c:pt>
                <c:pt idx="86">
                  <c:v>4273.1000000000004</c:v>
                </c:pt>
                <c:pt idx="87">
                  <c:v>4779.1000000000004</c:v>
                </c:pt>
                <c:pt idx="88">
                  <c:v>4823.3</c:v>
                </c:pt>
                <c:pt idx="89">
                  <c:v>4979</c:v>
                </c:pt>
                <c:pt idx="90">
                  <c:v>5965.5</c:v>
                </c:pt>
                <c:pt idx="91">
                  <c:v>5892.5</c:v>
                </c:pt>
                <c:pt idx="92">
                  <c:v>5572.2</c:v>
                </c:pt>
                <c:pt idx="93">
                  <c:v>4847.2</c:v>
                </c:pt>
                <c:pt idx="94">
                  <c:v>4550.7</c:v>
                </c:pt>
                <c:pt idx="95">
                  <c:v>4297.7</c:v>
                </c:pt>
                <c:pt idx="96">
                  <c:v>4856.1000000000004</c:v>
                </c:pt>
                <c:pt idx="97">
                  <c:v>4702.3999999999996</c:v>
                </c:pt>
                <c:pt idx="98">
                  <c:v>4666.8</c:v>
                </c:pt>
                <c:pt idx="99">
                  <c:v>4943</c:v>
                </c:pt>
                <c:pt idx="100">
                  <c:v>5368.1</c:v>
                </c:pt>
                <c:pt idx="101">
                  <c:v>4564.3999999999996</c:v>
                </c:pt>
                <c:pt idx="102">
                  <c:v>3983.2</c:v>
                </c:pt>
                <c:pt idx="103">
                  <c:v>3488.9</c:v>
                </c:pt>
                <c:pt idx="104">
                  <c:v>3896.4</c:v>
                </c:pt>
                <c:pt idx="105">
                  <c:v>4554.3999999999996</c:v>
                </c:pt>
                <c:pt idx="106">
                  <c:v>4937.3999999999996</c:v>
                </c:pt>
                <c:pt idx="107">
                  <c:v>4433.6000000000004</c:v>
                </c:pt>
                <c:pt idx="108">
                  <c:v>4579</c:v>
                </c:pt>
                <c:pt idx="109">
                  <c:v>4284.3</c:v>
                </c:pt>
                <c:pt idx="110">
                  <c:v>4261.8</c:v>
                </c:pt>
                <c:pt idx="111">
                  <c:v>4136.3</c:v>
                </c:pt>
                <c:pt idx="112">
                  <c:v>4724.8999999999996</c:v>
                </c:pt>
                <c:pt idx="113">
                  <c:v>4485.2</c:v>
                </c:pt>
                <c:pt idx="114">
                  <c:v>4111.3</c:v>
                </c:pt>
                <c:pt idx="115">
                  <c:v>4412.8999999999996</c:v>
                </c:pt>
                <c:pt idx="116">
                  <c:v>4119.2</c:v>
                </c:pt>
                <c:pt idx="117">
                  <c:v>4528.8999999999996</c:v>
                </c:pt>
                <c:pt idx="118">
                  <c:v>4726.8999999999996</c:v>
                </c:pt>
                <c:pt idx="119">
                  <c:v>4672.1000000000004</c:v>
                </c:pt>
                <c:pt idx="120">
                  <c:v>4854.1000000000004</c:v>
                </c:pt>
                <c:pt idx="121">
                  <c:v>5279.9</c:v>
                </c:pt>
                <c:pt idx="122">
                  <c:v>4797.2</c:v>
                </c:pt>
                <c:pt idx="123">
                  <c:v>4241.5</c:v>
                </c:pt>
                <c:pt idx="124">
                  <c:v>3709.4</c:v>
                </c:pt>
                <c:pt idx="125">
                  <c:v>3163.6</c:v>
                </c:pt>
                <c:pt idx="126">
                  <c:v>3339.8</c:v>
                </c:pt>
                <c:pt idx="127">
                  <c:v>3214.4</c:v>
                </c:pt>
                <c:pt idx="128">
                  <c:v>3040.1</c:v>
                </c:pt>
                <c:pt idx="129">
                  <c:v>2573.4</c:v>
                </c:pt>
                <c:pt idx="130">
                  <c:v>2417.8000000000002</c:v>
                </c:pt>
                <c:pt idx="131">
                  <c:v>2242.1999999999998</c:v>
                </c:pt>
                <c:pt idx="132">
                  <c:v>2288</c:v>
                </c:pt>
                <c:pt idx="133">
                  <c:v>2218.3000000000002</c:v>
                </c:pt>
                <c:pt idx="134">
                  <c:v>2228.9</c:v>
                </c:pt>
                <c:pt idx="135">
                  <c:v>2110.6</c:v>
                </c:pt>
                <c:pt idx="136">
                  <c:v>1935.1</c:v>
                </c:pt>
                <c:pt idx="137">
                  <c:v>1842.6</c:v>
                </c:pt>
                <c:pt idx="138">
                  <c:v>1909</c:v>
                </c:pt>
                <c:pt idx="139">
                  <c:v>1512.9</c:v>
                </c:pt>
                <c:pt idx="140">
                  <c:v>1814</c:v>
                </c:pt>
                <c:pt idx="141">
                  <c:v>1922.9</c:v>
                </c:pt>
                <c:pt idx="142">
                  <c:v>1956.6</c:v>
                </c:pt>
                <c:pt idx="143">
                  <c:v>2025.3</c:v>
                </c:pt>
                <c:pt idx="144">
                  <c:v>2102.6999999999998</c:v>
                </c:pt>
                <c:pt idx="145">
                  <c:v>2033.7</c:v>
                </c:pt>
                <c:pt idx="146">
                  <c:v>2211.8000000000002</c:v>
                </c:pt>
                <c:pt idx="147">
                  <c:v>2105.6</c:v>
                </c:pt>
                <c:pt idx="148">
                  <c:v>2056.9</c:v>
                </c:pt>
                <c:pt idx="149">
                  <c:v>1903.5</c:v>
                </c:pt>
                <c:pt idx="150">
                  <c:v>1917.2</c:v>
                </c:pt>
                <c:pt idx="151">
                  <c:v>1561.6</c:v>
                </c:pt>
                <c:pt idx="152">
                  <c:v>1599.4</c:v>
                </c:pt>
                <c:pt idx="153">
                  <c:v>1529.8</c:v>
                </c:pt>
                <c:pt idx="154">
                  <c:v>1426.7</c:v>
                </c:pt>
                <c:pt idx="155">
                  <c:v>1277.8</c:v>
                </c:pt>
                <c:pt idx="156">
                  <c:v>1352.7</c:v>
                </c:pt>
                <c:pt idx="157">
                  <c:v>1507</c:v>
                </c:pt>
                <c:pt idx="158">
                  <c:v>1675.8</c:v>
                </c:pt>
                <c:pt idx="159">
                  <c:v>1601.2</c:v>
                </c:pt>
                <c:pt idx="160">
                  <c:v>1667.5</c:v>
                </c:pt>
                <c:pt idx="161">
                  <c:v>1674.2</c:v>
                </c:pt>
                <c:pt idx="162">
                  <c:v>1650.6</c:v>
                </c:pt>
                <c:pt idx="163">
                  <c:v>1442.3</c:v>
                </c:pt>
                <c:pt idx="164">
                  <c:v>1600.6</c:v>
                </c:pt>
                <c:pt idx="165">
                  <c:v>1528</c:v>
                </c:pt>
                <c:pt idx="166">
                  <c:v>1552.1</c:v>
                </c:pt>
                <c:pt idx="167">
                  <c:v>1426.3</c:v>
                </c:pt>
                <c:pt idx="168">
                  <c:v>1383.5</c:v>
                </c:pt>
                <c:pt idx="169">
                  <c:v>1324.7</c:v>
                </c:pt>
                <c:pt idx="170">
                  <c:v>1429.9</c:v>
                </c:pt>
                <c:pt idx="171">
                  <c:v>1370.9</c:v>
                </c:pt>
                <c:pt idx="172">
                  <c:v>1298.0999999999999</c:v>
                </c:pt>
                <c:pt idx="173">
                  <c:v>1323.9</c:v>
                </c:pt>
                <c:pt idx="174">
                  <c:v>1400.9</c:v>
                </c:pt>
                <c:pt idx="175">
                  <c:v>1460.6</c:v>
                </c:pt>
                <c:pt idx="176">
                  <c:v>1453.4</c:v>
                </c:pt>
                <c:pt idx="177">
                  <c:v>1382.6</c:v>
                </c:pt>
                <c:pt idx="178">
                  <c:v>1516.9</c:v>
                </c:pt>
                <c:pt idx="179">
                  <c:v>1321.3</c:v>
                </c:pt>
                <c:pt idx="180">
                  <c:v>1333.5</c:v>
                </c:pt>
                <c:pt idx="181">
                  <c:v>1341.8</c:v>
                </c:pt>
                <c:pt idx="182">
                  <c:v>1346.8</c:v>
                </c:pt>
                <c:pt idx="183">
                  <c:v>1329.7</c:v>
                </c:pt>
                <c:pt idx="184">
                  <c:v>1400.7</c:v>
                </c:pt>
                <c:pt idx="185">
                  <c:v>1327.5</c:v>
                </c:pt>
                <c:pt idx="186">
                  <c:v>1373.9</c:v>
                </c:pt>
                <c:pt idx="187">
                  <c:v>1342.6</c:v>
                </c:pt>
                <c:pt idx="188">
                  <c:v>1404.9</c:v>
                </c:pt>
                <c:pt idx="189">
                  <c:v>1439.4</c:v>
                </c:pt>
                <c:pt idx="190">
                  <c:v>1436</c:v>
                </c:pt>
                <c:pt idx="191">
                  <c:v>1275.8</c:v>
                </c:pt>
                <c:pt idx="192">
                  <c:v>1398.4</c:v>
                </c:pt>
                <c:pt idx="193">
                  <c:v>1335.1</c:v>
                </c:pt>
                <c:pt idx="194">
                  <c:v>1326.2</c:v>
                </c:pt>
                <c:pt idx="195">
                  <c:v>1387.1</c:v>
                </c:pt>
                <c:pt idx="196">
                  <c:v>1560.6</c:v>
                </c:pt>
                <c:pt idx="197">
                  <c:v>1898.2</c:v>
                </c:pt>
                <c:pt idx="198">
                  <c:v>1713.6</c:v>
                </c:pt>
                <c:pt idx="199">
                  <c:v>1604.8</c:v>
                </c:pt>
                <c:pt idx="200">
                  <c:v>1565.3</c:v>
                </c:pt>
                <c:pt idx="201">
                  <c:v>1563.2</c:v>
                </c:pt>
                <c:pt idx="202">
                  <c:v>1547.9</c:v>
                </c:pt>
                <c:pt idx="203">
                  <c:v>1366.6</c:v>
                </c:pt>
                <c:pt idx="204">
                  <c:v>1548.6</c:v>
                </c:pt>
                <c:pt idx="205">
                  <c:v>1518.8</c:v>
                </c:pt>
                <c:pt idx="206">
                  <c:v>1538.7</c:v>
                </c:pt>
                <c:pt idx="207">
                  <c:v>1164.2</c:v>
                </c:pt>
                <c:pt idx="208">
                  <c:v>1347.6</c:v>
                </c:pt>
                <c:pt idx="209">
                  <c:v>2308.6999999999998</c:v>
                </c:pt>
                <c:pt idx="210">
                  <c:v>2799.3</c:v>
                </c:pt>
                <c:pt idx="211">
                  <c:v>2572.3000000000002</c:v>
                </c:pt>
                <c:pt idx="212">
                  <c:v>2584.8000000000002</c:v>
                </c:pt>
                <c:pt idx="213">
                  <c:v>2291.3000000000002</c:v>
                </c:pt>
                <c:pt idx="214">
                  <c:v>1904.2</c:v>
                </c:pt>
                <c:pt idx="215">
                  <c:v>1703.1</c:v>
                </c:pt>
                <c:pt idx="216">
                  <c:v>1740.3</c:v>
                </c:pt>
                <c:pt idx="217">
                  <c:v>1685.7</c:v>
                </c:pt>
                <c:pt idx="218">
                  <c:v>1623.6</c:v>
                </c:pt>
                <c:pt idx="219">
                  <c:v>1860.8</c:v>
                </c:pt>
                <c:pt idx="220">
                  <c:v>1941.6</c:v>
                </c:pt>
                <c:pt idx="221">
                  <c:v>1854.7</c:v>
                </c:pt>
                <c:pt idx="222">
                  <c:v>1804.6</c:v>
                </c:pt>
                <c:pt idx="223">
                  <c:v>1817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16096"/>
        <c:axId val="114118016"/>
      </c:lineChart>
      <c:lineChart>
        <c:grouping val="standard"/>
        <c:varyColors val="0"/>
        <c:ser>
          <c:idx val="1"/>
          <c:order val="1"/>
          <c:tx>
            <c:v>FNCL Refinancible Universe</c:v>
          </c:tx>
          <c:marker>
            <c:symbol val="none"/>
          </c:marker>
          <c:val>
            <c:numRef>
              <c:f>'all FNCL'!$L$180:$L$403</c:f>
              <c:numCache>
                <c:formatCode>0%</c:formatCode>
                <c:ptCount val="224"/>
                <c:pt idx="0">
                  <c:v>0.62402170072443097</c:v>
                </c:pt>
                <c:pt idx="1">
                  <c:v>0.62817294477626895</c:v>
                </c:pt>
                <c:pt idx="2">
                  <c:v>0.62597730951219799</c:v>
                </c:pt>
                <c:pt idx="3">
                  <c:v>0.62392159162868699</c:v>
                </c:pt>
                <c:pt idx="4">
                  <c:v>0.60653142223595202</c:v>
                </c:pt>
                <c:pt idx="5">
                  <c:v>0.50868797673712296</c:v>
                </c:pt>
                <c:pt idx="6">
                  <c:v>0.52965901814335503</c:v>
                </c:pt>
                <c:pt idx="7">
                  <c:v>0.57709503787578098</c:v>
                </c:pt>
                <c:pt idx="8">
                  <c:v>0.59224775585706502</c:v>
                </c:pt>
                <c:pt idx="9">
                  <c:v>0.590905707896624</c:v>
                </c:pt>
                <c:pt idx="10">
                  <c:v>0.60261779474869903</c:v>
                </c:pt>
                <c:pt idx="11">
                  <c:v>0.59950595681897501</c:v>
                </c:pt>
                <c:pt idx="12">
                  <c:v>0.59322570820163401</c:v>
                </c:pt>
                <c:pt idx="13">
                  <c:v>0.58542144661011897</c:v>
                </c:pt>
                <c:pt idx="14">
                  <c:v>0.58155199492979504</c:v>
                </c:pt>
                <c:pt idx="15">
                  <c:v>0.59356262313394503</c:v>
                </c:pt>
                <c:pt idx="16">
                  <c:v>0.59445921362542897</c:v>
                </c:pt>
                <c:pt idx="17">
                  <c:v>0.59391131067456004</c:v>
                </c:pt>
                <c:pt idx="18">
                  <c:v>0.60662155942019902</c:v>
                </c:pt>
                <c:pt idx="19">
                  <c:v>0.61264076908113696</c:v>
                </c:pt>
                <c:pt idx="20">
                  <c:v>0.615993636080996</c:v>
                </c:pt>
                <c:pt idx="21">
                  <c:v>0.66311590107349005</c:v>
                </c:pt>
                <c:pt idx="22">
                  <c:v>0.74517189360077896</c:v>
                </c:pt>
                <c:pt idx="23">
                  <c:v>0.72397022872334404</c:v>
                </c:pt>
                <c:pt idx="24">
                  <c:v>0.66311590107349005</c:v>
                </c:pt>
                <c:pt idx="25">
                  <c:v>0.69050447134038195</c:v>
                </c:pt>
                <c:pt idx="26">
                  <c:v>0.60410549631050603</c:v>
                </c:pt>
                <c:pt idx="27">
                  <c:v>0.684475421712614</c:v>
                </c:pt>
                <c:pt idx="28">
                  <c:v>0.66675683999516899</c:v>
                </c:pt>
                <c:pt idx="29">
                  <c:v>0.61660059317974703</c:v>
                </c:pt>
                <c:pt idx="30">
                  <c:v>0.81803711941746404</c:v>
                </c:pt>
                <c:pt idx="31">
                  <c:v>0.83404184296119299</c:v>
                </c:pt>
                <c:pt idx="32">
                  <c:v>0.86117434904403201</c:v>
                </c:pt>
                <c:pt idx="33">
                  <c:v>0.84714025108084801</c:v>
                </c:pt>
                <c:pt idx="34">
                  <c:v>0.84129278814437103</c:v>
                </c:pt>
                <c:pt idx="35">
                  <c:v>0.87859103936280603</c:v>
                </c:pt>
                <c:pt idx="36">
                  <c:v>0.90242289630358996</c:v>
                </c:pt>
                <c:pt idx="37">
                  <c:v>0.90242289630358996</c:v>
                </c:pt>
                <c:pt idx="38">
                  <c:v>0.94644262124543399</c:v>
                </c:pt>
                <c:pt idx="39">
                  <c:v>0.967252006042155</c:v>
                </c:pt>
                <c:pt idx="40">
                  <c:v>0.84917694017596201</c:v>
                </c:pt>
                <c:pt idx="41">
                  <c:v>0.85635864773186399</c:v>
                </c:pt>
                <c:pt idx="42">
                  <c:v>0.86512672485653097</c:v>
                </c:pt>
                <c:pt idx="43">
                  <c:v>0.93485323798856301</c:v>
                </c:pt>
                <c:pt idx="44">
                  <c:v>0.94404770550683104</c:v>
                </c:pt>
                <c:pt idx="45">
                  <c:v>0.93485323798856301</c:v>
                </c:pt>
                <c:pt idx="46">
                  <c:v>0.94997170807452402</c:v>
                </c:pt>
                <c:pt idx="47">
                  <c:v>0.91542628506626</c:v>
                </c:pt>
                <c:pt idx="48">
                  <c:v>0.92487460681698297</c:v>
                </c:pt>
                <c:pt idx="49">
                  <c:v>0.93969161247928701</c:v>
                </c:pt>
                <c:pt idx="50">
                  <c:v>0.96019586623642394</c:v>
                </c:pt>
                <c:pt idx="51">
                  <c:v>0.94762260030460199</c:v>
                </c:pt>
                <c:pt idx="52">
                  <c:v>0.94481773750585696</c:v>
                </c:pt>
                <c:pt idx="53">
                  <c:v>0.95320351892281396</c:v>
                </c:pt>
                <c:pt idx="54">
                  <c:v>0.95182771809710398</c:v>
                </c:pt>
                <c:pt idx="55">
                  <c:v>0.91861521434498905</c:v>
                </c:pt>
                <c:pt idx="56">
                  <c:v>0.94107838104995301</c:v>
                </c:pt>
                <c:pt idx="57">
                  <c:v>0.94107838104995301</c:v>
                </c:pt>
                <c:pt idx="58">
                  <c:v>0.94107838104995301</c:v>
                </c:pt>
                <c:pt idx="59">
                  <c:v>0.90921329115869698</c:v>
                </c:pt>
                <c:pt idx="60">
                  <c:v>0.91584710240533496</c:v>
                </c:pt>
                <c:pt idx="61">
                  <c:v>0.91902765125865904</c:v>
                </c:pt>
                <c:pt idx="62">
                  <c:v>0.90514599034862198</c:v>
                </c:pt>
                <c:pt idx="63">
                  <c:v>0.78959380464288298</c:v>
                </c:pt>
                <c:pt idx="64">
                  <c:v>0.87490910290764401</c:v>
                </c:pt>
                <c:pt idx="65">
                  <c:v>0.86928745494692705</c:v>
                </c:pt>
                <c:pt idx="66">
                  <c:v>0.90849340717481797</c:v>
                </c:pt>
                <c:pt idx="67">
                  <c:v>0.90349839031693802</c:v>
                </c:pt>
                <c:pt idx="68">
                  <c:v>0.90849340717481797</c:v>
                </c:pt>
                <c:pt idx="69">
                  <c:v>0.89225108632442696</c:v>
                </c:pt>
                <c:pt idx="70">
                  <c:v>0.89337268606647202</c:v>
                </c:pt>
                <c:pt idx="71">
                  <c:v>0.89489979671430897</c:v>
                </c:pt>
                <c:pt idx="72">
                  <c:v>0.89443957907281701</c:v>
                </c:pt>
                <c:pt idx="73">
                  <c:v>0.895121220846959</c:v>
                </c:pt>
                <c:pt idx="74">
                  <c:v>0.89201954495855595</c:v>
                </c:pt>
                <c:pt idx="75">
                  <c:v>0.886674497978159</c:v>
                </c:pt>
                <c:pt idx="76">
                  <c:v>0.89407594990163797</c:v>
                </c:pt>
                <c:pt idx="77">
                  <c:v>0.89407594990163797</c:v>
                </c:pt>
                <c:pt idx="78">
                  <c:v>0.88191141048608501</c:v>
                </c:pt>
                <c:pt idx="79">
                  <c:v>0.94551237246929398</c:v>
                </c:pt>
                <c:pt idx="80">
                  <c:v>0.97186924857157997</c:v>
                </c:pt>
                <c:pt idx="81">
                  <c:v>0.98451993370244095</c:v>
                </c:pt>
                <c:pt idx="82">
                  <c:v>0.93852225394978095</c:v>
                </c:pt>
                <c:pt idx="83">
                  <c:v>0.92408794393225502</c:v>
                </c:pt>
                <c:pt idx="84">
                  <c:v>0.88445471641937101</c:v>
                </c:pt>
                <c:pt idx="85">
                  <c:v>0.85694996797233802</c:v>
                </c:pt>
                <c:pt idx="86">
                  <c:v>0.92408794393225502</c:v>
                </c:pt>
                <c:pt idx="87">
                  <c:v>0.91761037893987496</c:v>
                </c:pt>
                <c:pt idx="88">
                  <c:v>0.940476462565773</c:v>
                </c:pt>
                <c:pt idx="89">
                  <c:v>0.95891425076544701</c:v>
                </c:pt>
                <c:pt idx="90">
                  <c:v>0.96459917415866603</c:v>
                </c:pt>
                <c:pt idx="91">
                  <c:v>0.95362908529618595</c:v>
                </c:pt>
                <c:pt idx="92">
                  <c:v>0.95159604304738399</c:v>
                </c:pt>
                <c:pt idx="93">
                  <c:v>0.95277295236812298</c:v>
                </c:pt>
                <c:pt idx="94">
                  <c:v>0.95079229345734495</c:v>
                </c:pt>
                <c:pt idx="95">
                  <c:v>0.92571311512973697</c:v>
                </c:pt>
                <c:pt idx="96">
                  <c:v>0.92529425270600996</c:v>
                </c:pt>
                <c:pt idx="97">
                  <c:v>0.92772026190850898</c:v>
                </c:pt>
                <c:pt idx="98">
                  <c:v>0.92993011952820803</c:v>
                </c:pt>
                <c:pt idx="99">
                  <c:v>0.92756020040727505</c:v>
                </c:pt>
                <c:pt idx="100">
                  <c:v>0.91054790878492298</c:v>
                </c:pt>
                <c:pt idx="101">
                  <c:v>0.91261368517922603</c:v>
                </c:pt>
                <c:pt idx="102">
                  <c:v>0.909651579188403</c:v>
                </c:pt>
                <c:pt idx="103">
                  <c:v>0.91018597538933199</c:v>
                </c:pt>
                <c:pt idx="104">
                  <c:v>0.88829814088555903</c:v>
                </c:pt>
                <c:pt idx="105">
                  <c:v>0.88507237465235999</c:v>
                </c:pt>
                <c:pt idx="106">
                  <c:v>0.88631407683414698</c:v>
                </c:pt>
                <c:pt idx="107">
                  <c:v>0.88379536104531298</c:v>
                </c:pt>
                <c:pt idx="108">
                  <c:v>0.84748759806752005</c:v>
                </c:pt>
                <c:pt idx="109">
                  <c:v>0.79744674672768501</c:v>
                </c:pt>
                <c:pt idx="110">
                  <c:v>0.79744674672768501</c:v>
                </c:pt>
                <c:pt idx="111">
                  <c:v>0.75767121274966998</c:v>
                </c:pt>
                <c:pt idx="112">
                  <c:v>0.81599621049204496</c:v>
                </c:pt>
                <c:pt idx="113">
                  <c:v>0.81254588826988305</c:v>
                </c:pt>
                <c:pt idx="114">
                  <c:v>0.70260073761186803</c:v>
                </c:pt>
                <c:pt idx="115">
                  <c:v>0.76832708554350604</c:v>
                </c:pt>
                <c:pt idx="116">
                  <c:v>0.73085022058809701</c:v>
                </c:pt>
                <c:pt idx="117">
                  <c:v>0.74812714109915801</c:v>
                </c:pt>
                <c:pt idx="118">
                  <c:v>0.81951890925716098</c:v>
                </c:pt>
                <c:pt idx="119">
                  <c:v>0.82637993200499604</c:v>
                </c:pt>
                <c:pt idx="120">
                  <c:v>0.82478602429419601</c:v>
                </c:pt>
                <c:pt idx="121">
                  <c:v>0.816862820958143</c:v>
                </c:pt>
                <c:pt idx="122">
                  <c:v>0.80807149473903706</c:v>
                </c:pt>
                <c:pt idx="123">
                  <c:v>0.77783403735744605</c:v>
                </c:pt>
                <c:pt idx="124">
                  <c:v>0.69528028144530996</c:v>
                </c:pt>
                <c:pt idx="125">
                  <c:v>0.63267241864898405</c:v>
                </c:pt>
                <c:pt idx="126">
                  <c:v>0.60569175356282701</c:v>
                </c:pt>
                <c:pt idx="127">
                  <c:v>0.57343184072471898</c:v>
                </c:pt>
                <c:pt idx="128">
                  <c:v>0.58795254732817603</c:v>
                </c:pt>
                <c:pt idx="129">
                  <c:v>0.39082116641682302</c:v>
                </c:pt>
                <c:pt idx="130">
                  <c:v>0.43308646421209301</c:v>
                </c:pt>
                <c:pt idx="131">
                  <c:v>0.31856955774356599</c:v>
                </c:pt>
                <c:pt idx="132">
                  <c:v>0.42624975952077698</c:v>
                </c:pt>
                <c:pt idx="133">
                  <c:v>0.42922629610906499</c:v>
                </c:pt>
                <c:pt idx="134">
                  <c:v>0.40917398895536999</c:v>
                </c:pt>
                <c:pt idx="135">
                  <c:v>0.40797811985401</c:v>
                </c:pt>
                <c:pt idx="136">
                  <c:v>0.28211495793674202</c:v>
                </c:pt>
                <c:pt idx="137">
                  <c:v>0.28211495793674202</c:v>
                </c:pt>
                <c:pt idx="138">
                  <c:v>0.32707732602530398</c:v>
                </c:pt>
                <c:pt idx="139">
                  <c:v>0.28186492560364501</c:v>
                </c:pt>
                <c:pt idx="140">
                  <c:v>0.27463010199382099</c:v>
                </c:pt>
                <c:pt idx="141">
                  <c:v>0.33277831045649597</c:v>
                </c:pt>
                <c:pt idx="142">
                  <c:v>0.40445747526612702</c:v>
                </c:pt>
                <c:pt idx="143">
                  <c:v>0.41528178559290602</c:v>
                </c:pt>
                <c:pt idx="144">
                  <c:v>0.41314719259777</c:v>
                </c:pt>
                <c:pt idx="145">
                  <c:v>0.402324815903361</c:v>
                </c:pt>
                <c:pt idx="146">
                  <c:v>0.431569129246685</c:v>
                </c:pt>
                <c:pt idx="147">
                  <c:v>0.46054051472194202</c:v>
                </c:pt>
                <c:pt idx="148">
                  <c:v>0.42159370418067099</c:v>
                </c:pt>
                <c:pt idx="149">
                  <c:v>0.38756459325455</c:v>
                </c:pt>
                <c:pt idx="150">
                  <c:v>0.41410653536495001</c:v>
                </c:pt>
                <c:pt idx="151">
                  <c:v>0.39699815933228</c:v>
                </c:pt>
                <c:pt idx="152">
                  <c:v>0.37338021104571001</c:v>
                </c:pt>
                <c:pt idx="153">
                  <c:v>0.37072062674784101</c:v>
                </c:pt>
                <c:pt idx="154">
                  <c:v>0.339745677776082</c:v>
                </c:pt>
                <c:pt idx="155">
                  <c:v>0.33029809597210902</c:v>
                </c:pt>
                <c:pt idx="156">
                  <c:v>0.26212623729092299</c:v>
                </c:pt>
                <c:pt idx="157">
                  <c:v>0.29022600492529399</c:v>
                </c:pt>
                <c:pt idx="158">
                  <c:v>0.36774882579493101</c:v>
                </c:pt>
                <c:pt idx="159">
                  <c:v>0.37084428304329597</c:v>
                </c:pt>
                <c:pt idx="160">
                  <c:v>0.38160196936392599</c:v>
                </c:pt>
                <c:pt idx="161">
                  <c:v>0.40068103493110202</c:v>
                </c:pt>
                <c:pt idx="162">
                  <c:v>0.38532630107915999</c:v>
                </c:pt>
                <c:pt idx="163">
                  <c:v>0.375571977518594</c:v>
                </c:pt>
                <c:pt idx="164">
                  <c:v>0.36967404481869198</c:v>
                </c:pt>
                <c:pt idx="165">
                  <c:v>0.383169637258365</c:v>
                </c:pt>
                <c:pt idx="166">
                  <c:v>0.36933430427665598</c:v>
                </c:pt>
                <c:pt idx="167">
                  <c:v>0.38030249532079302</c:v>
                </c:pt>
                <c:pt idx="168">
                  <c:v>0.36565400061255998</c:v>
                </c:pt>
                <c:pt idx="169">
                  <c:v>0.35521926568999201</c:v>
                </c:pt>
                <c:pt idx="170">
                  <c:v>0.36683376695248798</c:v>
                </c:pt>
                <c:pt idx="171">
                  <c:v>0.38166972699665502</c:v>
                </c:pt>
                <c:pt idx="172">
                  <c:v>0.37393962817107101</c:v>
                </c:pt>
                <c:pt idx="173">
                  <c:v>0.37360583835556399</c:v>
                </c:pt>
                <c:pt idx="174">
                  <c:v>0.409756747537739</c:v>
                </c:pt>
                <c:pt idx="175">
                  <c:v>0.41321534069517601</c:v>
                </c:pt>
                <c:pt idx="176">
                  <c:v>0.44799454346559803</c:v>
                </c:pt>
                <c:pt idx="177">
                  <c:v>0.463620204949516</c:v>
                </c:pt>
                <c:pt idx="178">
                  <c:v>0.46847875373528802</c:v>
                </c:pt>
                <c:pt idx="179">
                  <c:v>0.41096738430920399</c:v>
                </c:pt>
                <c:pt idx="180">
                  <c:v>0.426359386921487</c:v>
                </c:pt>
                <c:pt idx="181">
                  <c:v>0.46847875373528802</c:v>
                </c:pt>
                <c:pt idx="182">
                  <c:v>0.481783217502605</c:v>
                </c:pt>
                <c:pt idx="183">
                  <c:v>0.42147742037559999</c:v>
                </c:pt>
                <c:pt idx="184">
                  <c:v>0.451552968278365</c:v>
                </c:pt>
                <c:pt idx="185">
                  <c:v>0.451552968278365</c:v>
                </c:pt>
                <c:pt idx="186">
                  <c:v>0.45923072088835198</c:v>
                </c:pt>
                <c:pt idx="187">
                  <c:v>0.42413376349642801</c:v>
                </c:pt>
                <c:pt idx="188">
                  <c:v>0.45575254137027599</c:v>
                </c:pt>
                <c:pt idx="189">
                  <c:v>0.49084413664233301</c:v>
                </c:pt>
                <c:pt idx="190">
                  <c:v>0.49084413664233301</c:v>
                </c:pt>
                <c:pt idx="191">
                  <c:v>0.487326419100717</c:v>
                </c:pt>
                <c:pt idx="192">
                  <c:v>0.47415919522438099</c:v>
                </c:pt>
                <c:pt idx="193">
                  <c:v>0.39816728626756598</c:v>
                </c:pt>
                <c:pt idx="194">
                  <c:v>0.413732301706637</c:v>
                </c:pt>
                <c:pt idx="195">
                  <c:v>0.43232059685066698</c:v>
                </c:pt>
                <c:pt idx="196">
                  <c:v>0.47165449273347199</c:v>
                </c:pt>
                <c:pt idx="197">
                  <c:v>0.57517284737260699</c:v>
                </c:pt>
                <c:pt idx="198">
                  <c:v>0.58745733896979602</c:v>
                </c:pt>
                <c:pt idx="199">
                  <c:v>0.57181297396619601</c:v>
                </c:pt>
                <c:pt idx="200">
                  <c:v>0.548579829179903</c:v>
                </c:pt>
                <c:pt idx="201">
                  <c:v>0.55497671209744104</c:v>
                </c:pt>
                <c:pt idx="202">
                  <c:v>0.56606721089043699</c:v>
                </c:pt>
                <c:pt idx="203">
                  <c:v>0.57290983086857505</c:v>
                </c:pt>
                <c:pt idx="204">
                  <c:v>0.59279776197128298</c:v>
                </c:pt>
                <c:pt idx="205">
                  <c:v>0.57867105076839898</c:v>
                </c:pt>
                <c:pt idx="206">
                  <c:v>0.61554969638107904</c:v>
                </c:pt>
                <c:pt idx="207">
                  <c:v>0.605746362235419</c:v>
                </c:pt>
                <c:pt idx="208">
                  <c:v>0.59072795930158895</c:v>
                </c:pt>
                <c:pt idx="209">
                  <c:v>0.63580141506138299</c:v>
                </c:pt>
                <c:pt idx="210">
                  <c:v>0.66264885680248997</c:v>
                </c:pt>
                <c:pt idx="211">
                  <c:v>0.664741267487021</c:v>
                </c:pt>
                <c:pt idx="212">
                  <c:v>0.66264885680248997</c:v>
                </c:pt>
                <c:pt idx="213">
                  <c:v>0.68438167594716104</c:v>
                </c:pt>
                <c:pt idx="214">
                  <c:v>0.64890841265420796</c:v>
                </c:pt>
                <c:pt idx="215">
                  <c:v>0.62651628119673397</c:v>
                </c:pt>
                <c:pt idx="216">
                  <c:v>0.61098575112407705</c:v>
                </c:pt>
                <c:pt idx="217">
                  <c:v>0.61966926616186602</c:v>
                </c:pt>
                <c:pt idx="218">
                  <c:v>0.57559445438514301</c:v>
                </c:pt>
                <c:pt idx="219">
                  <c:v>0.609371962286406</c:v>
                </c:pt>
                <c:pt idx="220">
                  <c:v>0.64195316325793905</c:v>
                </c:pt>
                <c:pt idx="221">
                  <c:v>0.62812472062617597</c:v>
                </c:pt>
                <c:pt idx="222">
                  <c:v>0.64478767281568505</c:v>
                </c:pt>
                <c:pt idx="223">
                  <c:v>0.63088888629855699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29536"/>
        <c:axId val="114124288"/>
      </c:lineChart>
      <c:dateAx>
        <c:axId val="1141160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crossAx val="114118016"/>
        <c:crosses val="autoZero"/>
        <c:auto val="1"/>
        <c:lblOffset val="100"/>
        <c:baseTimeUnit val="days"/>
      </c:dateAx>
      <c:valAx>
        <c:axId val="114118016"/>
        <c:scaling>
          <c:orientation val="minMax"/>
          <c:max val="6500"/>
          <c:min val="5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Refi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14116096"/>
        <c:crosses val="autoZero"/>
        <c:crossBetween val="between"/>
      </c:valAx>
      <c:valAx>
        <c:axId val="114124288"/>
        <c:scaling>
          <c:orientation val="minMax"/>
          <c:max val="1.1000000000000001"/>
          <c:min val="0.2"/>
        </c:scaling>
        <c:delete val="0"/>
        <c:axPos val="r"/>
        <c:numFmt formatCode="0%" sourceLinked="1"/>
        <c:majorTickMark val="out"/>
        <c:minorTickMark val="none"/>
        <c:tickLblPos val="nextTo"/>
        <c:crossAx val="114129536"/>
        <c:crosses val="max"/>
        <c:crossBetween val="between"/>
      </c:valAx>
      <c:catAx>
        <c:axId val="11412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14124288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FNCL Refinancible Universe as a function of Mortgage Rates  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131328428342032"/>
          <c:y val="0.24058664480036632"/>
          <c:w val="0.85083641364862161"/>
          <c:h val="0.51773640241292462"/>
        </c:manualLayout>
      </c:layout>
      <c:lineChart>
        <c:grouping val="standard"/>
        <c:varyColors val="0"/>
        <c:ser>
          <c:idx val="0"/>
          <c:order val="0"/>
          <c:tx>
            <c:v>Refinanciable Post HARP FNCL</c:v>
          </c:tx>
          <c:marker>
            <c:symbol val="none"/>
          </c:marker>
          <c:cat>
            <c:numRef>
              <c:f>projection!$C$2:$C$17</c:f>
              <c:numCache>
                <c:formatCode>0.00%</c:formatCode>
                <c:ptCount val="16"/>
                <c:pt idx="0">
                  <c:v>3.95E-2</c:v>
                </c:pt>
                <c:pt idx="1">
                  <c:v>3.85E-2</c:v>
                </c:pt>
                <c:pt idx="2">
                  <c:v>3.7499999999999999E-2</c:v>
                </c:pt>
                <c:pt idx="3">
                  <c:v>3.6499999999999998E-2</c:v>
                </c:pt>
                <c:pt idx="4">
                  <c:v>3.5499999999999997E-2</c:v>
                </c:pt>
                <c:pt idx="5">
                  <c:v>3.4499999999999996E-2</c:v>
                </c:pt>
                <c:pt idx="6">
                  <c:v>3.3499999999999995E-2</c:v>
                </c:pt>
                <c:pt idx="7">
                  <c:v>3.2499999999999994E-2</c:v>
                </c:pt>
                <c:pt idx="8">
                  <c:v>3.1499999999999993E-2</c:v>
                </c:pt>
                <c:pt idx="9">
                  <c:v>3.0499999999999992E-2</c:v>
                </c:pt>
                <c:pt idx="10">
                  <c:v>2.9499999999999992E-2</c:v>
                </c:pt>
                <c:pt idx="11">
                  <c:v>2.8499999999999991E-2</c:v>
                </c:pt>
                <c:pt idx="12">
                  <c:v>2.749999999999999E-2</c:v>
                </c:pt>
                <c:pt idx="13">
                  <c:v>3.5000000000000003E-2</c:v>
                </c:pt>
                <c:pt idx="14">
                  <c:v>3.5700000000000003E-2</c:v>
                </c:pt>
                <c:pt idx="15">
                  <c:v>3.4700000000000002E-2</c:v>
                </c:pt>
              </c:numCache>
            </c:numRef>
          </c:cat>
          <c:val>
            <c:numRef>
              <c:f>projection!$D$2:$D$17</c:f>
              <c:numCache>
                <c:formatCode>0.0%</c:formatCode>
                <c:ptCount val="16"/>
                <c:pt idx="0">
                  <c:v>0.46447216205717501</c:v>
                </c:pt>
                <c:pt idx="1">
                  <c:v>0.532657229248233</c:v>
                </c:pt>
                <c:pt idx="2">
                  <c:v>0.57125630381074999</c:v>
                </c:pt>
                <c:pt idx="3">
                  <c:v>0.60962063641515296</c:v>
                </c:pt>
                <c:pt idx="4">
                  <c:v>0.64956809385682102</c:v>
                </c:pt>
                <c:pt idx="5">
                  <c:v>0.74031141300451497</c:v>
                </c:pt>
                <c:pt idx="6">
                  <c:v>0.79402724044913497</c:v>
                </c:pt>
                <c:pt idx="7">
                  <c:v>0.81569259094140101</c:v>
                </c:pt>
                <c:pt idx="8">
                  <c:v>0.85409676525745903</c:v>
                </c:pt>
                <c:pt idx="9">
                  <c:v>0.91688229551368094</c:v>
                </c:pt>
                <c:pt idx="10">
                  <c:v>0.98280165122622398</c:v>
                </c:pt>
                <c:pt idx="11">
                  <c:v>0.99250916056680505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55808"/>
        <c:axId val="134421888"/>
      </c:lineChart>
      <c:catAx>
        <c:axId val="1156558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crossAx val="134421888"/>
        <c:crosses val="autoZero"/>
        <c:auto val="1"/>
        <c:lblAlgn val="ctr"/>
        <c:lblOffset val="100"/>
        <c:noMultiLvlLbl val="0"/>
      </c:catAx>
      <c:valAx>
        <c:axId val="134421888"/>
        <c:scaling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Refi</a:t>
                </a:r>
                <a:r>
                  <a:rPr lang="en-US" baseline="0"/>
                  <a:t>nancible Universe</a:t>
                </a:r>
                <a:endParaRPr lang="en-US"/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crossAx val="115655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76200</xdr:colOff>
      <xdr:row>19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190499</xdr:rowOff>
    </xdr:from>
    <xdr:to>
      <xdr:col>14</xdr:col>
      <xdr:colOff>352425</xdr:colOff>
      <xdr:row>48</xdr:row>
      <xdr:rowOff>161924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0.93673</cdr:x>
      <cdr:y>0.28763</cdr:y>
    </cdr:from>
    <cdr:to>
      <cdr:x>0.98148</cdr:x>
      <cdr:y>0.70968</cdr:y>
    </cdr:to>
    <cdr:sp macro="" textlink="">
      <cdr:nvSpPr>
        <cdr:cNvPr id="2" name="TextBox 1"/>
        <cdr:cNvSpPr txBox="1"/>
      </cdr:nvSpPr>
      <cdr:spPr>
        <a:xfrm xmlns:a="http://schemas.openxmlformats.org/drawingml/2006/main" rot="5400000">
          <a:off x="5172074" y="1628775"/>
          <a:ext cx="14954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/>
            <a:t>Refinancible</a:t>
          </a:r>
          <a:r>
            <a:rPr lang="en-US" sz="1100" b="1" baseline="0"/>
            <a:t> Universe</a:t>
          </a:r>
          <a:endParaRPr lang="en-US" sz="11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0.58399</cdr:x>
      <cdr:y>0.70325</cdr:y>
    </cdr:from>
    <cdr:to>
      <cdr:x>0.75109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5639" y="27193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0.302</cdr:x>
      <cdr:y>0.87932</cdr:y>
    </cdr:from>
    <cdr:to>
      <cdr:x>0.82768</cdr:x>
      <cdr:y>0.97205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52589" y="2826726"/>
          <a:ext cx="2876550" cy="29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One</a:t>
          </a:r>
          <a:r>
            <a:rPr lang="en-US" sz="1100" baseline="0"/>
            <a:t> pt Mortgage Rate  (3.55% as of 4/22/2054)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M3:N8"/>
  <sheetViews>
    <sheetView tabSelected="1" workbookViewId="0">
      <selection activeCell="Q24" sqref="Q24"/>
    </sheetView>
  </sheetViews>
  <sheetFormatPr defaultRowHeight="15"/>
  <sheetData>
    <row r="3" spans="13:14">
      <c r="M3" t="s">
        <v>1014</v>
      </c>
    </row>
    <row r="5" spans="13:14">
      <c r="N5" t="s">
        <v>1015</v>
      </c>
    </row>
    <row r="7" spans="13:14">
      <c r="M7" t="s">
        <v>1016</v>
      </c>
    </row>
    <row r="8" spans="13:14">
      <c r="M8" t="s">
        <v>617</v>
      </c>
      <c r="N8" t="s">
        <v>617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K1017"/>
  <sheetViews>
    <sheetView topLeftCell="A381" workbookViewId="0">
      <pane ySplit="14400" topLeftCell="A1189"/>
      <selection activeCell="F288" sqref="F288"/>
      <selection pane="bottomLeft" activeCell="C1205" sqref="C1205"/>
    </sheetView>
  </sheetViews>
  <sheetFormatPr defaultRowHeight="15"/>
  <cols>
    <col min="1" max="1" width="13.140625" style="8" customWidth="1"/>
    <col min="2" max="2" width="13.5703125" style="12" customWidth="1"/>
    <col min="3" max="3" width="9.140625" style="12"/>
    <col min="4" max="4" width="11.5703125" style="12" customWidth="1"/>
    <col min="5" max="5" width="10.85546875" style="1" customWidth="1"/>
    <col min="6" max="6" width="10.85546875" customWidth="1"/>
    <col min="7" max="7" width="20.28515625" customWidth="1"/>
    <col min="8" max="8" width="12.42578125" customWidth="1"/>
    <col min="9" max="9" width="10.7109375" style="12" customWidth="1"/>
    <col min="10" max="10" width="9.140625" style="12"/>
    <col min="11" max="11" width="10.7109375" customWidth="1"/>
    <col min="12" max="12" width="9.140625" style="3"/>
    <col min="28" max="28" width="13.140625" customWidth="1"/>
  </cols>
  <sheetData>
    <row r="1" spans="1:37">
      <c r="I1" s="12" t="s">
        <v>503</v>
      </c>
      <c r="AB1" t="s">
        <v>0</v>
      </c>
      <c r="AC1" t="s">
        <v>1</v>
      </c>
      <c r="AD1" t="s">
        <v>2</v>
      </c>
    </row>
    <row r="2" spans="1:37">
      <c r="G2" s="2"/>
      <c r="H2" s="8">
        <f t="shared" ref="H2:H65" si="0">WEEKNUM(I2)+100*YEAR(I2)</f>
        <v>200732</v>
      </c>
      <c r="I2" s="13">
        <v>39304</v>
      </c>
      <c r="J2" s="12">
        <v>2104.1</v>
      </c>
      <c r="K2" t="str">
        <f>TEXT(I2,"yyyy-mm-dd")</f>
        <v>2007-08-10</v>
      </c>
      <c r="L2" s="3" t="e">
        <f t="shared" ref="L2:L65" si="1">VLOOKUP(H2,$A$4:$C$218,3, FALSE)</f>
        <v>#N/A</v>
      </c>
      <c r="AB2" t="s">
        <v>683</v>
      </c>
      <c r="AC2">
        <v>0.616881678422881</v>
      </c>
      <c r="AD2">
        <v>0.56603839807297096</v>
      </c>
      <c r="AE2" s="8" t="str">
        <f t="shared" ref="AE2:AE65" si="2">MID(AB2,2,10)</f>
        <v>2011-01-03</v>
      </c>
      <c r="AF2" s="9" t="str">
        <f t="shared" ref="AF2:AF65" si="3">TEXT(AE2,"m/d/yyyy")</f>
        <v>1/3/2011</v>
      </c>
      <c r="AG2" s="8">
        <f t="shared" ref="AG2:AG65" si="4">AC2</f>
        <v>0.616881678422881</v>
      </c>
    </row>
    <row r="3" spans="1:37">
      <c r="B3" s="12" t="s">
        <v>0</v>
      </c>
      <c r="C3" s="12" t="s">
        <v>1</v>
      </c>
      <c r="D3" s="12" t="s">
        <v>2</v>
      </c>
      <c r="E3" s="8"/>
      <c r="F3" s="1"/>
      <c r="H3" s="8">
        <f t="shared" si="0"/>
        <v>200733</v>
      </c>
      <c r="I3" s="13">
        <v>39311</v>
      </c>
      <c r="J3" s="12">
        <v>1960.1</v>
      </c>
      <c r="K3" t="str">
        <f t="shared" ref="K3:K66" si="5">TEXT(I3,"yyyy-mm-dd")</f>
        <v>2007-08-17</v>
      </c>
      <c r="L3" s="3" t="e">
        <f t="shared" si="1"/>
        <v>#N/A</v>
      </c>
      <c r="AB3" t="s">
        <v>684</v>
      </c>
      <c r="AC3">
        <v>0.616881678422881</v>
      </c>
      <c r="AD3">
        <v>0.56603839807297096</v>
      </c>
      <c r="AE3" s="8" t="str">
        <f t="shared" si="2"/>
        <v>2011-01-04</v>
      </c>
      <c r="AF3" s="9" t="str">
        <f t="shared" si="3"/>
        <v>1/4/2011</v>
      </c>
      <c r="AG3" s="8">
        <f t="shared" si="4"/>
        <v>0.616881678422881</v>
      </c>
    </row>
    <row r="4" spans="1:37">
      <c r="A4" s="2">
        <f t="shared" ref="A4:A23" si="6">WEEKNUM(E4)+YEAR(E4)*100</f>
        <v>201102</v>
      </c>
      <c r="B4" s="12" t="s">
        <v>686</v>
      </c>
      <c r="C4" s="12">
        <v>0.62402170072443097</v>
      </c>
      <c r="D4" s="12">
        <v>0.575960959252384</v>
      </c>
      <c r="E4" s="8" t="str">
        <f>MID(B4,2,10)</f>
        <v>2011-01-06</v>
      </c>
      <c r="F4">
        <f t="shared" ref="F4:F23" si="7">VLOOKUP(A4,H2:J390,3, FALSE)</f>
        <v>2344.3000000000002</v>
      </c>
      <c r="H4" s="8">
        <f t="shared" si="0"/>
        <v>200734</v>
      </c>
      <c r="I4" s="13">
        <v>39318</v>
      </c>
      <c r="J4" s="12">
        <v>1871.4</v>
      </c>
      <c r="K4" t="str">
        <f t="shared" si="5"/>
        <v>2007-08-24</v>
      </c>
      <c r="L4" s="3" t="e">
        <f t="shared" si="1"/>
        <v>#N/A</v>
      </c>
      <c r="AB4" t="s">
        <v>685</v>
      </c>
      <c r="AC4">
        <v>0.616881678422881</v>
      </c>
      <c r="AD4">
        <v>0.56603839807297096</v>
      </c>
      <c r="AE4" s="8" t="str">
        <f t="shared" si="2"/>
        <v>2011-01-05</v>
      </c>
      <c r="AF4" s="9" t="str">
        <f t="shared" si="3"/>
        <v>1/5/2011</v>
      </c>
      <c r="AG4" s="8">
        <f t="shared" si="4"/>
        <v>0.616881678422881</v>
      </c>
    </row>
    <row r="5" spans="1:37">
      <c r="A5" s="2">
        <f t="shared" si="6"/>
        <v>201103</v>
      </c>
      <c r="B5" s="12" t="s">
        <v>691</v>
      </c>
      <c r="C5" s="12">
        <v>0.62817294477626895</v>
      </c>
      <c r="D5" s="12">
        <v>0.60211055226578702</v>
      </c>
      <c r="E5" s="8" t="str">
        <f t="shared" ref="E5:E68" si="8">MID(B5,2,10)</f>
        <v>2011-01-13</v>
      </c>
      <c r="F5" s="8">
        <f t="shared" si="7"/>
        <v>2528.6999999999998</v>
      </c>
      <c r="H5" s="8">
        <f t="shared" si="0"/>
        <v>200735</v>
      </c>
      <c r="I5" s="13">
        <v>39325</v>
      </c>
      <c r="J5" s="12">
        <v>1892.3</v>
      </c>
      <c r="K5" t="str">
        <f t="shared" si="5"/>
        <v>2007-08-31</v>
      </c>
      <c r="L5" s="3" t="e">
        <f t="shared" si="1"/>
        <v>#N/A</v>
      </c>
      <c r="AB5" t="s">
        <v>686</v>
      </c>
      <c r="AC5">
        <v>0.62563051420361004</v>
      </c>
      <c r="AD5">
        <v>0.575960959252384</v>
      </c>
      <c r="AE5" s="8" t="str">
        <f t="shared" si="2"/>
        <v>2011-01-06</v>
      </c>
      <c r="AF5" s="9" t="str">
        <f t="shared" si="3"/>
        <v>1/6/2011</v>
      </c>
      <c r="AG5" s="8">
        <f t="shared" si="4"/>
        <v>0.62563051420361004</v>
      </c>
    </row>
    <row r="6" spans="1:37">
      <c r="A6" s="2">
        <f t="shared" si="6"/>
        <v>201104</v>
      </c>
      <c r="B6" s="12" t="s">
        <v>695</v>
      </c>
      <c r="C6" s="12">
        <v>0.62597730951219799</v>
      </c>
      <c r="D6" s="12">
        <v>0.58771291656274804</v>
      </c>
      <c r="E6" s="8" t="str">
        <f t="shared" si="8"/>
        <v>2011-01-20</v>
      </c>
      <c r="F6" s="8">
        <f t="shared" si="7"/>
        <v>2129.6999999999998</v>
      </c>
      <c r="H6" s="8">
        <f t="shared" si="0"/>
        <v>200736</v>
      </c>
      <c r="I6" s="13">
        <v>39332</v>
      </c>
      <c r="J6" s="12">
        <v>2009.3</v>
      </c>
      <c r="K6" t="str">
        <f t="shared" si="5"/>
        <v>2007-09-07</v>
      </c>
      <c r="L6" s="3" t="e">
        <f t="shared" si="1"/>
        <v>#N/A</v>
      </c>
      <c r="AB6" t="s">
        <v>687</v>
      </c>
      <c r="AC6">
        <v>0.62563051420361004</v>
      </c>
      <c r="AD6">
        <v>0.575960959252384</v>
      </c>
      <c r="AE6" s="8" t="str">
        <f t="shared" si="2"/>
        <v>2011-01-07</v>
      </c>
      <c r="AF6" s="9" t="str">
        <f t="shared" si="3"/>
        <v>1/7/2011</v>
      </c>
      <c r="AG6" s="8">
        <f t="shared" si="4"/>
        <v>0.62563051420361004</v>
      </c>
    </row>
    <row r="7" spans="1:37">
      <c r="A7" s="2">
        <f t="shared" si="6"/>
        <v>201105</v>
      </c>
      <c r="B7" s="12" t="s">
        <v>700</v>
      </c>
      <c r="C7" s="12">
        <v>0.62392159162868699</v>
      </c>
      <c r="D7" s="12">
        <v>0.575960959252384</v>
      </c>
      <c r="E7" s="8" t="str">
        <f t="shared" si="8"/>
        <v>2011-01-27</v>
      </c>
      <c r="F7" s="8">
        <f t="shared" si="7"/>
        <v>2371.1</v>
      </c>
      <c r="H7" s="8">
        <f t="shared" si="0"/>
        <v>200737</v>
      </c>
      <c r="I7" s="13">
        <v>39339</v>
      </c>
      <c r="J7" s="12">
        <v>2091.1</v>
      </c>
      <c r="K7" t="str">
        <f t="shared" si="5"/>
        <v>2007-09-14</v>
      </c>
      <c r="L7" s="3" t="e">
        <f t="shared" si="1"/>
        <v>#N/A</v>
      </c>
      <c r="AB7" t="s">
        <v>688</v>
      </c>
      <c r="AC7">
        <v>0.62563051420361004</v>
      </c>
      <c r="AD7">
        <v>0.575960959252384</v>
      </c>
      <c r="AE7" s="8" t="str">
        <f t="shared" si="2"/>
        <v>2011-01-10</v>
      </c>
      <c r="AF7" s="9" t="str">
        <f t="shared" si="3"/>
        <v>1/10/2011</v>
      </c>
      <c r="AG7" s="8">
        <f t="shared" si="4"/>
        <v>0.62563051420361004</v>
      </c>
      <c r="AK7" t="s">
        <v>617</v>
      </c>
    </row>
    <row r="8" spans="1:37">
      <c r="A8" s="2">
        <f t="shared" si="6"/>
        <v>201106</v>
      </c>
      <c r="B8" s="12" t="s">
        <v>705</v>
      </c>
      <c r="C8" s="12">
        <v>0.60653142223595202</v>
      </c>
      <c r="D8" s="12">
        <v>0.55272743790465195</v>
      </c>
      <c r="E8" s="8" t="str">
        <f t="shared" si="8"/>
        <v>2011-02-03</v>
      </c>
      <c r="F8" s="8">
        <f t="shared" si="7"/>
        <v>2190.4</v>
      </c>
      <c r="H8" s="8">
        <f t="shared" si="0"/>
        <v>200738</v>
      </c>
      <c r="I8" s="13">
        <v>39346</v>
      </c>
      <c r="J8" s="12">
        <v>2172.5</v>
      </c>
      <c r="K8" t="str">
        <f t="shared" si="5"/>
        <v>2007-09-21</v>
      </c>
      <c r="L8" s="3" t="e">
        <f t="shared" si="1"/>
        <v>#N/A</v>
      </c>
      <c r="AB8" t="s">
        <v>689</v>
      </c>
      <c r="AC8">
        <v>0.62563051420361004</v>
      </c>
      <c r="AD8">
        <v>0.575960959252384</v>
      </c>
      <c r="AE8" s="8" t="str">
        <f t="shared" si="2"/>
        <v>2011-01-11</v>
      </c>
      <c r="AF8" s="9" t="str">
        <f t="shared" si="3"/>
        <v>1/11/2011</v>
      </c>
      <c r="AG8" s="8">
        <f t="shared" si="4"/>
        <v>0.62563051420361004</v>
      </c>
    </row>
    <row r="9" spans="1:37">
      <c r="A9" s="2">
        <f t="shared" si="6"/>
        <v>201107</v>
      </c>
      <c r="B9" s="12" t="s">
        <v>710</v>
      </c>
      <c r="C9" s="12">
        <v>0.50868797673712296</v>
      </c>
      <c r="D9" s="12">
        <v>0.53684731925134899</v>
      </c>
      <c r="E9" s="8" t="str">
        <f t="shared" si="8"/>
        <v>2011-02-10</v>
      </c>
      <c r="F9" s="8">
        <f t="shared" si="7"/>
        <v>1953.2</v>
      </c>
      <c r="H9" s="8">
        <f t="shared" si="0"/>
        <v>200739</v>
      </c>
      <c r="I9" s="13">
        <v>39353</v>
      </c>
      <c r="J9" s="12">
        <v>2065.6999999999998</v>
      </c>
      <c r="K9" t="str">
        <f t="shared" si="5"/>
        <v>2007-09-28</v>
      </c>
      <c r="L9" s="3" t="e">
        <f t="shared" si="1"/>
        <v>#N/A</v>
      </c>
      <c r="AB9" t="s">
        <v>690</v>
      </c>
      <c r="AC9">
        <v>0.62563051420361004</v>
      </c>
      <c r="AD9">
        <v>0.575960959252384</v>
      </c>
      <c r="AE9" s="8" t="str">
        <f t="shared" si="2"/>
        <v>2011-01-12</v>
      </c>
      <c r="AF9" s="9" t="str">
        <f t="shared" si="3"/>
        <v>1/12/2011</v>
      </c>
      <c r="AG9" s="8">
        <f t="shared" si="4"/>
        <v>0.62563051420361004</v>
      </c>
    </row>
    <row r="10" spans="1:37">
      <c r="A10" s="2">
        <f t="shared" si="6"/>
        <v>201108</v>
      </c>
      <c r="B10" s="12" t="s">
        <v>715</v>
      </c>
      <c r="C10" s="12">
        <v>0.52965901814335503</v>
      </c>
      <c r="D10" s="12">
        <v>0.53684731925134899</v>
      </c>
      <c r="E10" s="8" t="str">
        <f t="shared" si="8"/>
        <v>2011-02-17</v>
      </c>
      <c r="F10" s="8">
        <f t="shared" si="7"/>
        <v>2325.3000000000002</v>
      </c>
      <c r="H10" s="8">
        <f t="shared" si="0"/>
        <v>200740</v>
      </c>
      <c r="I10" s="13">
        <v>39360</v>
      </c>
      <c r="J10" s="12">
        <v>2153.3000000000002</v>
      </c>
      <c r="K10" t="str">
        <f t="shared" si="5"/>
        <v>2007-10-05</v>
      </c>
      <c r="L10" s="3" t="e">
        <f t="shared" si="1"/>
        <v>#N/A</v>
      </c>
      <c r="AB10" t="s">
        <v>691</v>
      </c>
      <c r="AC10">
        <v>0.62996366306029306</v>
      </c>
      <c r="AD10">
        <v>0.609174205779626</v>
      </c>
      <c r="AE10" s="8" t="str">
        <f t="shared" si="2"/>
        <v>2011-01-13</v>
      </c>
      <c r="AF10" s="9" t="str">
        <f t="shared" si="3"/>
        <v>1/13/2011</v>
      </c>
      <c r="AG10" s="8">
        <f t="shared" si="4"/>
        <v>0.62996366306029306</v>
      </c>
    </row>
    <row r="11" spans="1:37">
      <c r="A11" s="2">
        <f t="shared" si="6"/>
        <v>201109</v>
      </c>
      <c r="B11" s="12" t="s">
        <v>719</v>
      </c>
      <c r="C11" s="12">
        <v>0.57709503787578098</v>
      </c>
      <c r="D11" s="12">
        <v>0.55272743790465195</v>
      </c>
      <c r="E11" s="8" t="str">
        <f t="shared" si="8"/>
        <v>2011-02-24</v>
      </c>
      <c r="F11" s="8">
        <f t="shared" si="7"/>
        <v>2155.5</v>
      </c>
      <c r="H11" s="8">
        <f t="shared" si="0"/>
        <v>200741</v>
      </c>
      <c r="I11" s="13">
        <v>39367</v>
      </c>
      <c r="J11" s="12">
        <v>2116.6</v>
      </c>
      <c r="K11" t="str">
        <f t="shared" si="5"/>
        <v>2007-10-12</v>
      </c>
      <c r="L11" s="3" t="e">
        <f t="shared" si="1"/>
        <v>#N/A</v>
      </c>
      <c r="AB11" t="s">
        <v>692</v>
      </c>
      <c r="AC11">
        <v>0.62563051420361004</v>
      </c>
      <c r="AD11">
        <v>0.575960959252384</v>
      </c>
      <c r="AE11" s="8" t="str">
        <f t="shared" si="2"/>
        <v>2011-01-14</v>
      </c>
      <c r="AF11" s="9" t="str">
        <f t="shared" si="3"/>
        <v>1/14/2011</v>
      </c>
      <c r="AG11" s="8">
        <f t="shared" si="4"/>
        <v>0.62563051420361004</v>
      </c>
    </row>
    <row r="12" spans="1:37">
      <c r="A12" s="2">
        <f t="shared" si="6"/>
        <v>201110</v>
      </c>
      <c r="B12" s="12" t="s">
        <v>724</v>
      </c>
      <c r="C12" s="12">
        <v>0.59224775585706502</v>
      </c>
      <c r="D12" s="12">
        <v>0.53959666161683995</v>
      </c>
      <c r="E12" s="8" t="str">
        <f t="shared" si="8"/>
        <v>2011-03-03</v>
      </c>
      <c r="F12" s="8">
        <f t="shared" si="7"/>
        <v>2539.4</v>
      </c>
      <c r="H12" s="8">
        <f t="shared" si="0"/>
        <v>200742</v>
      </c>
      <c r="I12" s="13">
        <v>39374</v>
      </c>
      <c r="J12" s="12">
        <v>2221.1</v>
      </c>
      <c r="K12" t="str">
        <f t="shared" si="5"/>
        <v>2007-10-19</v>
      </c>
      <c r="L12" s="3" t="e">
        <f t="shared" si="1"/>
        <v>#N/A</v>
      </c>
      <c r="AB12" t="s">
        <v>693</v>
      </c>
      <c r="AC12">
        <v>0.62996366306029306</v>
      </c>
      <c r="AD12">
        <v>0.609174205779626</v>
      </c>
      <c r="AE12" s="8" t="str">
        <f t="shared" si="2"/>
        <v>2011-01-18</v>
      </c>
      <c r="AF12" s="9" t="str">
        <f t="shared" si="3"/>
        <v>1/18/2011</v>
      </c>
      <c r="AG12" s="8">
        <f t="shared" si="4"/>
        <v>0.62996366306029306</v>
      </c>
    </row>
    <row r="13" spans="1:37">
      <c r="A13" s="2">
        <f t="shared" si="6"/>
        <v>201111</v>
      </c>
      <c r="B13" s="12" t="s">
        <v>729</v>
      </c>
      <c r="C13" s="12">
        <v>0.590905707896624</v>
      </c>
      <c r="D13" s="12">
        <v>0.53959666161683995</v>
      </c>
      <c r="E13" s="8" t="str">
        <f t="shared" si="8"/>
        <v>2011-03-10</v>
      </c>
      <c r="F13" s="8">
        <f t="shared" si="7"/>
        <v>2563.6</v>
      </c>
      <c r="H13" s="8">
        <f t="shared" si="0"/>
        <v>200743</v>
      </c>
      <c r="I13" s="13">
        <v>39381</v>
      </c>
      <c r="J13" s="12">
        <v>2433.1999999999998</v>
      </c>
      <c r="K13" t="str">
        <f t="shared" si="5"/>
        <v>2007-10-26</v>
      </c>
      <c r="L13" s="3" t="e">
        <f t="shared" si="1"/>
        <v>#N/A</v>
      </c>
      <c r="AB13" t="s">
        <v>694</v>
      </c>
      <c r="AC13">
        <v>0.62996366306029306</v>
      </c>
      <c r="AD13">
        <v>0.609174205779626</v>
      </c>
      <c r="AE13" s="8" t="str">
        <f t="shared" si="2"/>
        <v>2011-01-19</v>
      </c>
      <c r="AF13" s="9" t="str">
        <f t="shared" si="3"/>
        <v>1/19/2011</v>
      </c>
      <c r="AG13" s="8">
        <f t="shared" si="4"/>
        <v>0.62996366306029306</v>
      </c>
    </row>
    <row r="14" spans="1:37">
      <c r="A14" s="2">
        <f t="shared" si="6"/>
        <v>201112</v>
      </c>
      <c r="B14" s="12" t="s">
        <v>734</v>
      </c>
      <c r="C14" s="12">
        <v>0.60261779474869903</v>
      </c>
      <c r="D14" s="12">
        <v>0.57514662575669495</v>
      </c>
      <c r="E14" s="8" t="str">
        <f t="shared" si="8"/>
        <v>2011-03-17</v>
      </c>
      <c r="F14" s="8">
        <f t="shared" si="7"/>
        <v>2620.8000000000002</v>
      </c>
      <c r="H14" s="8">
        <f t="shared" si="0"/>
        <v>200744</v>
      </c>
      <c r="I14" s="13">
        <v>39388</v>
      </c>
      <c r="J14" s="12">
        <v>2336.1999999999998</v>
      </c>
      <c r="K14" t="str">
        <f t="shared" si="5"/>
        <v>2007-11-02</v>
      </c>
      <c r="L14" s="3" t="e">
        <f t="shared" si="1"/>
        <v>#N/A</v>
      </c>
      <c r="AB14" t="s">
        <v>695</v>
      </c>
      <c r="AC14">
        <v>0.62783454832649499</v>
      </c>
      <c r="AD14">
        <v>0.60211055226578702</v>
      </c>
      <c r="AE14" s="8" t="str">
        <f t="shared" si="2"/>
        <v>2011-01-20</v>
      </c>
      <c r="AF14" s="9" t="str">
        <f t="shared" si="3"/>
        <v>1/20/2011</v>
      </c>
      <c r="AG14" s="8">
        <f t="shared" si="4"/>
        <v>0.62783454832649499</v>
      </c>
    </row>
    <row r="15" spans="1:37">
      <c r="A15" s="2">
        <f t="shared" si="6"/>
        <v>201113</v>
      </c>
      <c r="B15" s="12" t="s">
        <v>739</v>
      </c>
      <c r="C15" s="12">
        <v>0.59950595681897501</v>
      </c>
      <c r="D15" s="12">
        <v>0.53959666161683995</v>
      </c>
      <c r="E15" s="8" t="str">
        <f t="shared" si="8"/>
        <v>2011-03-24</v>
      </c>
      <c r="F15" s="8">
        <f t="shared" si="7"/>
        <v>2350.6999999999998</v>
      </c>
      <c r="H15" s="8">
        <f t="shared" si="0"/>
        <v>200745</v>
      </c>
      <c r="I15" s="13">
        <v>39395</v>
      </c>
      <c r="J15" s="12">
        <v>2503.6</v>
      </c>
      <c r="K15" t="str">
        <f t="shared" si="5"/>
        <v>2007-11-09</v>
      </c>
      <c r="L15" s="3" t="e">
        <f t="shared" si="1"/>
        <v>#N/A</v>
      </c>
      <c r="AB15" t="s">
        <v>696</v>
      </c>
      <c r="AC15">
        <v>0.62996366306029306</v>
      </c>
      <c r="AD15">
        <v>0.609174205779626</v>
      </c>
      <c r="AE15" s="8" t="str">
        <f t="shared" si="2"/>
        <v>2011-01-21</v>
      </c>
      <c r="AF15" s="9" t="str">
        <f t="shared" si="3"/>
        <v>1/21/2011</v>
      </c>
      <c r="AG15" s="8">
        <f t="shared" si="4"/>
        <v>0.62996366306029306</v>
      </c>
    </row>
    <row r="16" spans="1:37">
      <c r="A16" s="2">
        <f t="shared" si="6"/>
        <v>201114</v>
      </c>
      <c r="B16" s="12" t="s">
        <v>744</v>
      </c>
      <c r="C16" s="12">
        <v>0.59322570820163401</v>
      </c>
      <c r="D16" s="12">
        <v>0.53959666161683995</v>
      </c>
      <c r="E16" s="8" t="str">
        <f t="shared" si="8"/>
        <v>2011-03-31</v>
      </c>
      <c r="F16" s="8">
        <f t="shared" si="7"/>
        <v>2194.4</v>
      </c>
      <c r="H16" s="8">
        <f t="shared" si="0"/>
        <v>200746</v>
      </c>
      <c r="I16" s="13">
        <v>39402</v>
      </c>
      <c r="J16" s="12">
        <v>2371.1</v>
      </c>
      <c r="K16" t="str">
        <f t="shared" si="5"/>
        <v>2007-11-16</v>
      </c>
      <c r="L16" s="3" t="e">
        <f t="shared" si="1"/>
        <v>#N/A</v>
      </c>
      <c r="AB16" t="s">
        <v>697</v>
      </c>
      <c r="AC16">
        <v>0.62783454832649499</v>
      </c>
      <c r="AD16">
        <v>0.60211055226578702</v>
      </c>
      <c r="AE16" s="8" t="str">
        <f t="shared" si="2"/>
        <v>2011-01-24</v>
      </c>
      <c r="AF16" s="9" t="str">
        <f t="shared" si="3"/>
        <v>1/24/2011</v>
      </c>
      <c r="AG16" s="8">
        <f t="shared" si="4"/>
        <v>0.62783454832649499</v>
      </c>
    </row>
    <row r="17" spans="1:33">
      <c r="A17" s="2">
        <f t="shared" si="6"/>
        <v>201115</v>
      </c>
      <c r="B17" s="12" t="s">
        <v>749</v>
      </c>
      <c r="C17" s="12">
        <v>0.58542144661011897</v>
      </c>
      <c r="D17" s="12">
        <v>0.52974513410801005</v>
      </c>
      <c r="E17" s="8" t="str">
        <f t="shared" si="8"/>
        <v>2011-04-07</v>
      </c>
      <c r="F17" s="8">
        <f t="shared" si="7"/>
        <v>2010.6</v>
      </c>
      <c r="H17" s="8">
        <f t="shared" si="0"/>
        <v>200747</v>
      </c>
      <c r="I17" s="13">
        <v>39409</v>
      </c>
      <c r="J17" s="12">
        <v>1978.5</v>
      </c>
      <c r="K17" t="str">
        <f t="shared" si="5"/>
        <v>2007-11-23</v>
      </c>
      <c r="L17" s="3" t="e">
        <f t="shared" si="1"/>
        <v>#N/A</v>
      </c>
      <c r="AB17" t="s">
        <v>698</v>
      </c>
      <c r="AC17">
        <v>0.62783454832649499</v>
      </c>
      <c r="AD17">
        <v>0.60211055226578702</v>
      </c>
      <c r="AE17" s="8" t="str">
        <f t="shared" si="2"/>
        <v>2011-01-25</v>
      </c>
      <c r="AF17" s="9" t="str">
        <f t="shared" si="3"/>
        <v>1/25/2011</v>
      </c>
      <c r="AG17" s="8">
        <f t="shared" si="4"/>
        <v>0.62783454832649499</v>
      </c>
    </row>
    <row r="18" spans="1:33">
      <c r="A18" s="2">
        <f t="shared" si="6"/>
        <v>201116</v>
      </c>
      <c r="B18" s="12" t="s">
        <v>754</v>
      </c>
      <c r="C18" s="12">
        <v>0.58155199492979504</v>
      </c>
      <c r="D18" s="12">
        <v>0.52974513410801005</v>
      </c>
      <c r="E18" s="8" t="str">
        <f t="shared" si="8"/>
        <v>2011-04-14</v>
      </c>
      <c r="F18" s="8">
        <f t="shared" si="7"/>
        <v>2065.3000000000002</v>
      </c>
      <c r="H18" s="8">
        <f t="shared" si="0"/>
        <v>200748</v>
      </c>
      <c r="I18" s="13">
        <v>39416</v>
      </c>
      <c r="J18" s="12">
        <v>3006.1</v>
      </c>
      <c r="K18" t="str">
        <f t="shared" si="5"/>
        <v>2007-11-30</v>
      </c>
      <c r="L18" s="3" t="e">
        <f t="shared" si="1"/>
        <v>#N/A</v>
      </c>
      <c r="AB18" t="s">
        <v>699</v>
      </c>
      <c r="AC18">
        <v>0.62783454832649499</v>
      </c>
      <c r="AD18">
        <v>0.60211055226578702</v>
      </c>
      <c r="AE18" s="8" t="str">
        <f t="shared" si="2"/>
        <v>2011-01-26</v>
      </c>
      <c r="AF18" s="9" t="str">
        <f t="shared" si="3"/>
        <v>1/26/2011</v>
      </c>
      <c r="AG18" s="8">
        <f t="shared" si="4"/>
        <v>0.62783454832649499</v>
      </c>
    </row>
    <row r="19" spans="1:33">
      <c r="A19" s="2">
        <f t="shared" si="6"/>
        <v>201117</v>
      </c>
      <c r="B19" s="12" t="s">
        <v>759</v>
      </c>
      <c r="C19" s="12">
        <v>0.59356262313394503</v>
      </c>
      <c r="D19" s="12">
        <v>0.53944483941175003</v>
      </c>
      <c r="E19" s="8" t="str">
        <f t="shared" si="8"/>
        <v>2011-04-21</v>
      </c>
      <c r="F19" s="8">
        <f t="shared" si="7"/>
        <v>2091.4</v>
      </c>
      <c r="H19" s="8">
        <f t="shared" si="0"/>
        <v>200749</v>
      </c>
      <c r="I19" s="13">
        <v>39423</v>
      </c>
      <c r="J19" s="12">
        <v>3158.8</v>
      </c>
      <c r="K19" t="str">
        <f t="shared" si="5"/>
        <v>2007-12-07</v>
      </c>
      <c r="L19" s="3" t="e">
        <f t="shared" si="1"/>
        <v>#N/A</v>
      </c>
      <c r="AB19" t="s">
        <v>700</v>
      </c>
      <c r="AC19">
        <v>0.62388343066805296</v>
      </c>
      <c r="AD19">
        <v>0.575960959252384</v>
      </c>
      <c r="AE19" s="8" t="str">
        <f t="shared" si="2"/>
        <v>2011-01-27</v>
      </c>
      <c r="AF19" s="9" t="str">
        <f t="shared" si="3"/>
        <v>1/27/2011</v>
      </c>
      <c r="AG19" s="8">
        <f t="shared" si="4"/>
        <v>0.62388343066805296</v>
      </c>
    </row>
    <row r="20" spans="1:33">
      <c r="A20" s="2">
        <f t="shared" si="6"/>
        <v>201118</v>
      </c>
      <c r="B20" s="12" t="s">
        <v>763</v>
      </c>
      <c r="C20" s="12">
        <v>0.59445921362542897</v>
      </c>
      <c r="D20" s="12">
        <v>0.53944483941175003</v>
      </c>
      <c r="E20" s="8" t="str">
        <f t="shared" si="8"/>
        <v>2011-04-28</v>
      </c>
      <c r="F20" s="8">
        <f t="shared" si="7"/>
        <v>2220.1</v>
      </c>
      <c r="H20" s="8">
        <f t="shared" si="0"/>
        <v>200750</v>
      </c>
      <c r="I20" s="13">
        <v>39430</v>
      </c>
      <c r="J20" s="12">
        <v>2253.1</v>
      </c>
      <c r="K20" t="str">
        <f t="shared" si="5"/>
        <v>2007-12-14</v>
      </c>
      <c r="L20" s="3" t="e">
        <f t="shared" si="1"/>
        <v>#N/A</v>
      </c>
      <c r="AB20" t="s">
        <v>701</v>
      </c>
      <c r="AC20">
        <v>0.62388343066805296</v>
      </c>
      <c r="AD20">
        <v>0.575960959252384</v>
      </c>
      <c r="AE20" s="8" t="str">
        <f t="shared" si="2"/>
        <v>2011-01-28</v>
      </c>
      <c r="AF20" s="9" t="str">
        <f t="shared" si="3"/>
        <v>1/28/2011</v>
      </c>
      <c r="AG20" s="8">
        <f t="shared" si="4"/>
        <v>0.62388343066805296</v>
      </c>
    </row>
    <row r="21" spans="1:33">
      <c r="A21" s="2">
        <f t="shared" si="6"/>
        <v>201119</v>
      </c>
      <c r="B21" s="12" t="s">
        <v>768</v>
      </c>
      <c r="C21" s="12">
        <v>0.59391131067456004</v>
      </c>
      <c r="D21" s="12">
        <v>0.56321713725116995</v>
      </c>
      <c r="E21" s="8" t="str">
        <f t="shared" si="8"/>
        <v>2011-05-05</v>
      </c>
      <c r="F21" s="8">
        <f t="shared" si="7"/>
        <v>2414.9</v>
      </c>
      <c r="H21" s="8">
        <f t="shared" si="0"/>
        <v>200751</v>
      </c>
      <c r="I21" s="13">
        <v>39437</v>
      </c>
      <c r="J21" s="12">
        <v>2066.3000000000002</v>
      </c>
      <c r="K21" t="str">
        <f t="shared" si="5"/>
        <v>2007-12-21</v>
      </c>
      <c r="L21" s="3" t="e">
        <f t="shared" si="1"/>
        <v>#N/A</v>
      </c>
      <c r="AB21" t="s">
        <v>702</v>
      </c>
      <c r="AC21">
        <v>0.62388343066805296</v>
      </c>
      <c r="AD21">
        <v>0.575960959252384</v>
      </c>
      <c r="AE21" s="8" t="str">
        <f t="shared" si="2"/>
        <v>2011-01-31</v>
      </c>
      <c r="AF21" s="9" t="str">
        <f t="shared" si="3"/>
        <v>1/31/2011</v>
      </c>
      <c r="AG21" s="8">
        <f t="shared" si="4"/>
        <v>0.62388343066805296</v>
      </c>
    </row>
    <row r="22" spans="1:33">
      <c r="A22" s="2">
        <f t="shared" si="6"/>
        <v>201120</v>
      </c>
      <c r="B22" s="12" t="s">
        <v>773</v>
      </c>
      <c r="C22" s="12">
        <v>0.60662155942019902</v>
      </c>
      <c r="D22" s="12">
        <v>0.65730689383743901</v>
      </c>
      <c r="E22" s="8" t="str">
        <f t="shared" si="8"/>
        <v>2011-05-12</v>
      </c>
      <c r="F22" s="8">
        <f t="shared" si="7"/>
        <v>2742.2</v>
      </c>
      <c r="H22" s="8">
        <f t="shared" si="0"/>
        <v>200752</v>
      </c>
      <c r="I22" s="13">
        <v>39444</v>
      </c>
      <c r="J22" s="12">
        <v>1732.7</v>
      </c>
      <c r="K22" t="str">
        <f t="shared" si="5"/>
        <v>2007-12-28</v>
      </c>
      <c r="L22" s="3" t="e">
        <f t="shared" si="1"/>
        <v>#N/A</v>
      </c>
      <c r="AB22" t="s">
        <v>703</v>
      </c>
      <c r="AC22">
        <v>0.61149872753562795</v>
      </c>
      <c r="AD22">
        <v>0.562596026228108</v>
      </c>
      <c r="AE22" s="8" t="str">
        <f t="shared" si="2"/>
        <v>2011-02-01</v>
      </c>
      <c r="AF22" s="9" t="str">
        <f t="shared" si="3"/>
        <v>2/1/2011</v>
      </c>
      <c r="AG22" s="8">
        <f t="shared" si="4"/>
        <v>0.61149872753562795</v>
      </c>
    </row>
    <row r="23" spans="1:33">
      <c r="A23" s="2">
        <f t="shared" si="6"/>
        <v>201121</v>
      </c>
      <c r="B23" s="12" t="s">
        <v>778</v>
      </c>
      <c r="C23" s="12">
        <v>0.61264076908113696</v>
      </c>
      <c r="D23" s="12">
        <v>0.66267947259057502</v>
      </c>
      <c r="E23" s="8" t="str">
        <f t="shared" si="8"/>
        <v>2011-05-19</v>
      </c>
      <c r="F23" s="8">
        <f t="shared" si="7"/>
        <v>2764.6</v>
      </c>
      <c r="H23" s="8">
        <f t="shared" si="0"/>
        <v>200801</v>
      </c>
      <c r="I23" s="13">
        <v>39451</v>
      </c>
      <c r="J23" s="12">
        <v>2729.3</v>
      </c>
      <c r="K23" t="str">
        <f t="shared" si="5"/>
        <v>2008-01-04</v>
      </c>
      <c r="L23" s="3" t="e">
        <f t="shared" si="1"/>
        <v>#N/A</v>
      </c>
      <c r="AB23" t="s">
        <v>704</v>
      </c>
      <c r="AC23">
        <v>0.61149872753562795</v>
      </c>
      <c r="AD23">
        <v>0.562596026228108</v>
      </c>
      <c r="AE23" s="8" t="str">
        <f t="shared" si="2"/>
        <v>2011-02-02</v>
      </c>
      <c r="AF23" s="9" t="str">
        <f t="shared" si="3"/>
        <v>2/2/2011</v>
      </c>
      <c r="AG23" s="8">
        <f t="shared" si="4"/>
        <v>0.61149872753562795</v>
      </c>
    </row>
    <row r="24" spans="1:33">
      <c r="A24" s="2">
        <f t="shared" ref="A24:A87" si="9">WEEKNUM(E24)+YEAR(E24)*100</f>
        <v>201122</v>
      </c>
      <c r="B24" s="12" t="s">
        <v>783</v>
      </c>
      <c r="C24" s="12">
        <v>0.615993636080996</v>
      </c>
      <c r="D24" s="12">
        <v>0.66267947259057502</v>
      </c>
      <c r="E24" s="8" t="str">
        <f t="shared" si="8"/>
        <v>2011-05-26</v>
      </c>
      <c r="H24" s="8">
        <f t="shared" si="0"/>
        <v>200802</v>
      </c>
      <c r="I24" s="13">
        <v>39458</v>
      </c>
      <c r="J24" s="12">
        <v>3923.5</v>
      </c>
      <c r="K24" t="str">
        <f t="shared" si="5"/>
        <v>2008-01-11</v>
      </c>
      <c r="L24" s="3" t="e">
        <f t="shared" si="1"/>
        <v>#N/A</v>
      </c>
      <c r="AB24" t="s">
        <v>705</v>
      </c>
      <c r="AC24">
        <v>0.61074045486204198</v>
      </c>
      <c r="AD24">
        <v>0.55272743790465195</v>
      </c>
      <c r="AE24" s="8" t="str">
        <f t="shared" si="2"/>
        <v>2011-02-03</v>
      </c>
      <c r="AF24" s="9" t="str">
        <f t="shared" si="3"/>
        <v>2/3/2011</v>
      </c>
      <c r="AG24" s="8">
        <f t="shared" si="4"/>
        <v>0.61074045486204198</v>
      </c>
    </row>
    <row r="25" spans="1:33">
      <c r="A25" s="2">
        <f t="shared" si="9"/>
        <v>201123</v>
      </c>
      <c r="B25" s="12" t="s">
        <v>787</v>
      </c>
      <c r="C25" s="12">
        <v>0.66311590107349005</v>
      </c>
      <c r="D25" s="12">
        <v>0.73470590913004696</v>
      </c>
      <c r="E25" s="8" t="str">
        <f t="shared" si="8"/>
        <v>2011-06-02</v>
      </c>
      <c r="H25" s="8">
        <f t="shared" si="0"/>
        <v>200803</v>
      </c>
      <c r="I25" s="13">
        <v>39465</v>
      </c>
      <c r="J25" s="12">
        <v>4588.3999999999996</v>
      </c>
      <c r="K25" t="str">
        <f t="shared" si="5"/>
        <v>2008-01-18</v>
      </c>
      <c r="L25" s="3" t="e">
        <f t="shared" si="1"/>
        <v>#N/A</v>
      </c>
      <c r="AB25" t="s">
        <v>706</v>
      </c>
      <c r="AC25">
        <v>0.61074045486204198</v>
      </c>
      <c r="AD25">
        <v>0.55272743790465195</v>
      </c>
      <c r="AE25" s="8" t="str">
        <f t="shared" si="2"/>
        <v>2011-02-04</v>
      </c>
      <c r="AF25" s="9" t="str">
        <f t="shared" si="3"/>
        <v>2/4/2011</v>
      </c>
      <c r="AG25" s="8">
        <f t="shared" si="4"/>
        <v>0.61074045486204198</v>
      </c>
    </row>
    <row r="26" spans="1:33">
      <c r="A26" s="2">
        <f t="shared" si="9"/>
        <v>201124</v>
      </c>
      <c r="B26" s="12" t="s">
        <v>792</v>
      </c>
      <c r="C26" s="12">
        <v>0.74517189360077896</v>
      </c>
      <c r="D26" s="12">
        <v>0.77123997272585598</v>
      </c>
      <c r="E26" s="8" t="str">
        <f t="shared" si="8"/>
        <v>2011-06-09</v>
      </c>
      <c r="H26" s="8">
        <f t="shared" si="0"/>
        <v>200804</v>
      </c>
      <c r="I26" s="13">
        <v>39472</v>
      </c>
      <c r="J26" s="12">
        <v>5682.2</v>
      </c>
      <c r="K26" t="str">
        <f t="shared" si="5"/>
        <v>2008-01-25</v>
      </c>
      <c r="L26" s="3" t="e">
        <f t="shared" si="1"/>
        <v>#N/A</v>
      </c>
      <c r="AB26" t="s">
        <v>707</v>
      </c>
      <c r="AC26">
        <v>0.61074045486204198</v>
      </c>
      <c r="AD26">
        <v>0.55272743790465195</v>
      </c>
      <c r="AE26" s="8" t="str">
        <f t="shared" si="2"/>
        <v>2011-02-07</v>
      </c>
      <c r="AF26" s="9" t="str">
        <f t="shared" si="3"/>
        <v>2/7/2011</v>
      </c>
      <c r="AG26" s="8">
        <f t="shared" si="4"/>
        <v>0.61074045486204198</v>
      </c>
    </row>
    <row r="27" spans="1:33">
      <c r="A27" s="2">
        <f t="shared" si="9"/>
        <v>201125</v>
      </c>
      <c r="B27" s="12" t="s">
        <v>797</v>
      </c>
      <c r="C27" s="12">
        <v>0.72397022872334404</v>
      </c>
      <c r="D27" s="12">
        <v>0.73470590913004696</v>
      </c>
      <c r="E27" s="8" t="str">
        <f t="shared" si="8"/>
        <v>2011-06-16</v>
      </c>
      <c r="H27" s="8">
        <f t="shared" si="0"/>
        <v>200805</v>
      </c>
      <c r="I27" s="13">
        <v>39479</v>
      </c>
      <c r="J27" s="12">
        <v>5523.9</v>
      </c>
      <c r="K27" t="str">
        <f t="shared" si="5"/>
        <v>2008-02-01</v>
      </c>
      <c r="L27" s="3" t="e">
        <f t="shared" si="1"/>
        <v>#N/A</v>
      </c>
      <c r="AB27" t="s">
        <v>708</v>
      </c>
      <c r="AC27">
        <v>0.61074045486204198</v>
      </c>
      <c r="AD27">
        <v>0.55272743790465195</v>
      </c>
      <c r="AE27" s="8" t="str">
        <f t="shared" si="2"/>
        <v>2011-02-08</v>
      </c>
      <c r="AF27" s="9" t="str">
        <f t="shared" si="3"/>
        <v>2/8/2011</v>
      </c>
      <c r="AG27" s="8">
        <f t="shared" si="4"/>
        <v>0.61074045486204198</v>
      </c>
    </row>
    <row r="28" spans="1:33">
      <c r="A28" s="2">
        <f t="shared" si="9"/>
        <v>201126</v>
      </c>
      <c r="B28" s="12" t="s">
        <v>802</v>
      </c>
      <c r="C28" s="12">
        <v>0.66311590107349005</v>
      </c>
      <c r="D28" s="12">
        <v>0.73470590913004696</v>
      </c>
      <c r="E28" s="8" t="str">
        <f t="shared" si="8"/>
        <v>2011-06-23</v>
      </c>
      <c r="H28" s="8">
        <f t="shared" si="0"/>
        <v>200806</v>
      </c>
      <c r="I28" s="13">
        <v>39486</v>
      </c>
      <c r="J28" s="12">
        <v>5362.6</v>
      </c>
      <c r="K28" t="str">
        <f t="shared" si="5"/>
        <v>2008-02-08</v>
      </c>
      <c r="L28" s="3" t="e">
        <f t="shared" si="1"/>
        <v>#N/A</v>
      </c>
      <c r="AB28" t="s">
        <v>709</v>
      </c>
      <c r="AC28">
        <v>0.61074045486204198</v>
      </c>
      <c r="AD28">
        <v>0.55272743790465195</v>
      </c>
      <c r="AE28" s="8" t="str">
        <f t="shared" si="2"/>
        <v>2011-02-09</v>
      </c>
      <c r="AF28" s="9" t="str">
        <f t="shared" si="3"/>
        <v>2/9/2011</v>
      </c>
      <c r="AG28" s="8">
        <f t="shared" si="4"/>
        <v>0.61074045486204198</v>
      </c>
    </row>
    <row r="29" spans="1:33">
      <c r="A29" s="2">
        <f t="shared" si="9"/>
        <v>201127</v>
      </c>
      <c r="B29" s="12" t="s">
        <v>807</v>
      </c>
      <c r="C29" s="12">
        <v>0.69050447134038195</v>
      </c>
      <c r="D29" s="12">
        <v>0.73470590913004696</v>
      </c>
      <c r="E29" s="8" t="str">
        <f t="shared" si="8"/>
        <v>2011-06-30</v>
      </c>
      <c r="H29" s="8">
        <f t="shared" si="0"/>
        <v>200807</v>
      </c>
      <c r="I29" s="13">
        <v>39493</v>
      </c>
      <c r="J29" s="12">
        <v>3784.1</v>
      </c>
      <c r="K29" t="str">
        <f t="shared" si="5"/>
        <v>2008-02-15</v>
      </c>
      <c r="L29" s="3" t="e">
        <f t="shared" si="1"/>
        <v>#N/A</v>
      </c>
      <c r="AB29" t="s">
        <v>710</v>
      </c>
      <c r="AC29">
        <v>0.50836540051897094</v>
      </c>
      <c r="AD29">
        <v>0.53684731925134899</v>
      </c>
      <c r="AE29" s="8" t="str">
        <f t="shared" si="2"/>
        <v>2011-02-10</v>
      </c>
      <c r="AF29" s="9" t="str">
        <f t="shared" si="3"/>
        <v>2/10/2011</v>
      </c>
      <c r="AG29" s="8">
        <f t="shared" si="4"/>
        <v>0.50836540051897094</v>
      </c>
    </row>
    <row r="30" spans="1:33">
      <c r="A30" s="2">
        <f t="shared" si="9"/>
        <v>201128</v>
      </c>
      <c r="B30" s="12" t="s">
        <v>811</v>
      </c>
      <c r="C30" s="12">
        <v>0.60410549631050603</v>
      </c>
      <c r="D30" s="12">
        <v>0.64909255345717398</v>
      </c>
      <c r="E30" s="8" t="str">
        <f t="shared" si="8"/>
        <v>2011-07-07</v>
      </c>
      <c r="H30" s="8">
        <f t="shared" si="0"/>
        <v>200808</v>
      </c>
      <c r="I30" s="13">
        <v>39500</v>
      </c>
      <c r="J30" s="12">
        <v>2571.6</v>
      </c>
      <c r="K30" t="str">
        <f t="shared" si="5"/>
        <v>2008-02-22</v>
      </c>
      <c r="L30" s="3" t="e">
        <f t="shared" si="1"/>
        <v>#N/A</v>
      </c>
      <c r="AB30" t="s">
        <v>711</v>
      </c>
      <c r="AC30">
        <v>0.50836540051897094</v>
      </c>
      <c r="AD30">
        <v>0.53684731925134899</v>
      </c>
      <c r="AE30" s="8" t="str">
        <f t="shared" si="2"/>
        <v>2011-02-11</v>
      </c>
      <c r="AF30" s="9" t="str">
        <f t="shared" si="3"/>
        <v>2/11/2011</v>
      </c>
      <c r="AG30" s="8">
        <f t="shared" si="4"/>
        <v>0.50836540051897094</v>
      </c>
    </row>
    <row r="31" spans="1:33">
      <c r="A31" s="2">
        <f t="shared" si="9"/>
        <v>201129</v>
      </c>
      <c r="B31" s="12" t="s">
        <v>816</v>
      </c>
      <c r="C31" s="12">
        <v>0.684475421712614</v>
      </c>
      <c r="D31" s="12">
        <v>0.72841885782454296</v>
      </c>
      <c r="E31" s="8" t="str">
        <f t="shared" si="8"/>
        <v>2011-07-14</v>
      </c>
      <c r="H31" s="8">
        <f t="shared" si="0"/>
        <v>200809</v>
      </c>
      <c r="I31" s="13">
        <v>39507</v>
      </c>
      <c r="J31" s="12">
        <v>2667.8</v>
      </c>
      <c r="K31" t="str">
        <f t="shared" si="5"/>
        <v>2008-02-29</v>
      </c>
      <c r="L31" s="3" t="e">
        <f t="shared" si="1"/>
        <v>#N/A</v>
      </c>
      <c r="AB31" t="s">
        <v>712</v>
      </c>
      <c r="AC31">
        <v>0.50836540051897094</v>
      </c>
      <c r="AD31">
        <v>0.53684731925134899</v>
      </c>
      <c r="AE31" s="8" t="str">
        <f t="shared" si="2"/>
        <v>2011-02-14</v>
      </c>
      <c r="AF31" s="9" t="str">
        <f t="shared" si="3"/>
        <v>2/14/2011</v>
      </c>
      <c r="AG31" s="8">
        <f t="shared" si="4"/>
        <v>0.50836540051897094</v>
      </c>
    </row>
    <row r="32" spans="1:33">
      <c r="A32" s="2">
        <f t="shared" si="9"/>
        <v>201130</v>
      </c>
      <c r="B32" s="12" t="s">
        <v>821</v>
      </c>
      <c r="C32" s="12">
        <v>0.66675683999516899</v>
      </c>
      <c r="D32" s="12">
        <v>0.72841885782454296</v>
      </c>
      <c r="E32" s="8" t="str">
        <f t="shared" si="8"/>
        <v>2011-07-21</v>
      </c>
      <c r="H32" s="8">
        <f t="shared" si="0"/>
        <v>200810</v>
      </c>
      <c r="I32" s="13">
        <v>39514</v>
      </c>
      <c r="J32" s="12">
        <v>2519.4</v>
      </c>
      <c r="K32" t="str">
        <f t="shared" si="5"/>
        <v>2008-03-07</v>
      </c>
      <c r="L32" s="3" t="e">
        <f t="shared" si="1"/>
        <v>#N/A</v>
      </c>
      <c r="AB32" t="s">
        <v>713</v>
      </c>
      <c r="AC32">
        <v>0.50836540051897094</v>
      </c>
      <c r="AD32">
        <v>0.53684731925134899</v>
      </c>
      <c r="AE32" s="8" t="str">
        <f t="shared" si="2"/>
        <v>2011-02-15</v>
      </c>
      <c r="AF32" s="9" t="str">
        <f t="shared" si="3"/>
        <v>2/15/2011</v>
      </c>
      <c r="AG32" s="8">
        <f t="shared" si="4"/>
        <v>0.50836540051897094</v>
      </c>
    </row>
    <row r="33" spans="1:33">
      <c r="A33" s="2">
        <f t="shared" si="9"/>
        <v>201131</v>
      </c>
      <c r="B33" s="12" t="s">
        <v>826</v>
      </c>
      <c r="C33" s="12">
        <v>0.61660059317974703</v>
      </c>
      <c r="D33" s="12">
        <v>0.70723750051679102</v>
      </c>
      <c r="E33" s="8" t="str">
        <f t="shared" si="8"/>
        <v>2011-07-28</v>
      </c>
      <c r="H33" s="8">
        <f t="shared" si="0"/>
        <v>200811</v>
      </c>
      <c r="I33" s="13">
        <v>39521</v>
      </c>
      <c r="J33" s="12">
        <v>2340.6</v>
      </c>
      <c r="K33" t="str">
        <f t="shared" si="5"/>
        <v>2008-03-14</v>
      </c>
      <c r="L33" s="3" t="e">
        <f t="shared" si="1"/>
        <v>#N/A</v>
      </c>
      <c r="AB33" t="s">
        <v>714</v>
      </c>
      <c r="AC33">
        <v>0.50836540051897094</v>
      </c>
      <c r="AD33">
        <v>0.53684731925134899</v>
      </c>
      <c r="AE33" s="8" t="str">
        <f t="shared" si="2"/>
        <v>2011-02-16</v>
      </c>
      <c r="AF33" s="9" t="str">
        <f t="shared" si="3"/>
        <v>2/16/2011</v>
      </c>
      <c r="AG33" s="8">
        <f t="shared" si="4"/>
        <v>0.50836540051897094</v>
      </c>
    </row>
    <row r="34" spans="1:33">
      <c r="A34" s="2">
        <f t="shared" si="9"/>
        <v>201132</v>
      </c>
      <c r="B34" s="12" t="s">
        <v>831</v>
      </c>
      <c r="C34" s="12">
        <v>0.81803711941746404</v>
      </c>
      <c r="D34" s="12">
        <v>0.83492534711255995</v>
      </c>
      <c r="E34" s="8" t="str">
        <f t="shared" si="8"/>
        <v>2011-08-04</v>
      </c>
      <c r="H34" s="8">
        <f t="shared" si="0"/>
        <v>200812</v>
      </c>
      <c r="I34" s="13">
        <v>39528</v>
      </c>
      <c r="J34" s="12">
        <v>4468.3999999999996</v>
      </c>
      <c r="K34" t="str">
        <f t="shared" si="5"/>
        <v>2008-03-21</v>
      </c>
      <c r="L34" s="3" t="e">
        <f t="shared" si="1"/>
        <v>#N/A</v>
      </c>
      <c r="AB34" t="s">
        <v>715</v>
      </c>
      <c r="AC34">
        <v>0.52920493587017403</v>
      </c>
      <c r="AD34">
        <v>0.53684731925134899</v>
      </c>
      <c r="AE34" s="8" t="str">
        <f t="shared" si="2"/>
        <v>2011-02-17</v>
      </c>
      <c r="AF34" s="9" t="str">
        <f t="shared" si="3"/>
        <v>2/17/2011</v>
      </c>
      <c r="AG34" s="8">
        <f t="shared" si="4"/>
        <v>0.52920493587017403</v>
      </c>
    </row>
    <row r="35" spans="1:33">
      <c r="A35" s="2">
        <f t="shared" si="9"/>
        <v>201133</v>
      </c>
      <c r="B35" s="12" t="s">
        <v>836</v>
      </c>
      <c r="C35" s="12">
        <v>0.83404184296119299</v>
      </c>
      <c r="D35" s="12">
        <v>0.88875019752941398</v>
      </c>
      <c r="E35" s="8" t="str">
        <f t="shared" si="8"/>
        <v>2011-08-11</v>
      </c>
      <c r="H35" s="8">
        <f t="shared" si="0"/>
        <v>200813</v>
      </c>
      <c r="I35" s="13">
        <v>39535</v>
      </c>
      <c r="J35" s="12">
        <v>2653.2</v>
      </c>
      <c r="K35" t="str">
        <f t="shared" si="5"/>
        <v>2008-03-28</v>
      </c>
      <c r="L35" s="3" t="e">
        <f t="shared" si="1"/>
        <v>#N/A</v>
      </c>
      <c r="AB35" t="s">
        <v>716</v>
      </c>
      <c r="AC35">
        <v>0.52920493587017403</v>
      </c>
      <c r="AD35">
        <v>0.53684731925134899</v>
      </c>
      <c r="AE35" s="8" t="str">
        <f t="shared" si="2"/>
        <v>2011-02-18</v>
      </c>
      <c r="AF35" s="9" t="str">
        <f t="shared" si="3"/>
        <v>2/18/2011</v>
      </c>
      <c r="AG35" s="8">
        <f t="shared" si="4"/>
        <v>0.52920493587017403</v>
      </c>
    </row>
    <row r="36" spans="1:33">
      <c r="A36" s="2">
        <f t="shared" si="9"/>
        <v>201134</v>
      </c>
      <c r="B36" s="12" t="s">
        <v>841</v>
      </c>
      <c r="C36" s="12">
        <v>0.86117434904403201</v>
      </c>
      <c r="D36" s="12">
        <v>0.91199672693643197</v>
      </c>
      <c r="E36" s="8" t="str">
        <f t="shared" si="8"/>
        <v>2011-08-18</v>
      </c>
      <c r="H36" s="8">
        <f t="shared" si="0"/>
        <v>200814</v>
      </c>
      <c r="I36" s="13">
        <v>39542</v>
      </c>
      <c r="J36" s="12">
        <v>2709.1</v>
      </c>
      <c r="K36" t="str">
        <f t="shared" si="5"/>
        <v>2008-04-04</v>
      </c>
      <c r="L36" s="3" t="e">
        <f t="shared" si="1"/>
        <v>#N/A</v>
      </c>
      <c r="AB36" t="s">
        <v>717</v>
      </c>
      <c r="AC36">
        <v>0.52920493587017403</v>
      </c>
      <c r="AD36">
        <v>0.53684731925134899</v>
      </c>
      <c r="AE36" s="8" t="str">
        <f t="shared" si="2"/>
        <v>2011-02-22</v>
      </c>
      <c r="AF36" s="9" t="str">
        <f t="shared" si="3"/>
        <v>2/22/2011</v>
      </c>
      <c r="AG36" s="8">
        <f t="shared" si="4"/>
        <v>0.52920493587017403</v>
      </c>
    </row>
    <row r="37" spans="1:33">
      <c r="A37" s="2">
        <f t="shared" si="9"/>
        <v>201135</v>
      </c>
      <c r="B37" s="12" t="s">
        <v>846</v>
      </c>
      <c r="C37" s="12">
        <v>0.84714025108084801</v>
      </c>
      <c r="D37" s="12">
        <v>0.91199672693643197</v>
      </c>
      <c r="E37" s="8" t="str">
        <f t="shared" si="8"/>
        <v>2011-08-25</v>
      </c>
      <c r="H37" s="8">
        <f t="shared" si="0"/>
        <v>200815</v>
      </c>
      <c r="I37" s="13">
        <v>39549</v>
      </c>
      <c r="J37" s="12">
        <v>2880.7</v>
      </c>
      <c r="K37" t="str">
        <f t="shared" si="5"/>
        <v>2008-04-11</v>
      </c>
      <c r="L37" s="3" t="e">
        <f t="shared" si="1"/>
        <v>#N/A</v>
      </c>
      <c r="AB37" t="s">
        <v>718</v>
      </c>
      <c r="AC37">
        <v>0.52920493587017403</v>
      </c>
      <c r="AD37">
        <v>0.53684731925134899</v>
      </c>
      <c r="AE37" s="8" t="str">
        <f t="shared" si="2"/>
        <v>2011-02-23</v>
      </c>
      <c r="AF37" s="9" t="str">
        <f t="shared" si="3"/>
        <v>2/23/2011</v>
      </c>
      <c r="AG37" s="8">
        <f t="shared" si="4"/>
        <v>0.52920493587017403</v>
      </c>
    </row>
    <row r="38" spans="1:33">
      <c r="A38" s="2">
        <f t="shared" si="9"/>
        <v>201136</v>
      </c>
      <c r="B38" s="12" t="s">
        <v>851</v>
      </c>
      <c r="C38" s="12">
        <v>0.84129278814437103</v>
      </c>
      <c r="D38" s="12">
        <v>0.91187041906889699</v>
      </c>
      <c r="E38" s="8" t="str">
        <f t="shared" si="8"/>
        <v>2011-09-01</v>
      </c>
      <c r="H38" s="8">
        <f t="shared" si="0"/>
        <v>200816</v>
      </c>
      <c r="I38" s="13">
        <v>39556</v>
      </c>
      <c r="J38" s="12">
        <v>2215.6999999999998</v>
      </c>
      <c r="K38" t="str">
        <f t="shared" si="5"/>
        <v>2008-04-18</v>
      </c>
      <c r="L38" s="3" t="e">
        <f t="shared" si="1"/>
        <v>#N/A</v>
      </c>
      <c r="AB38" t="s">
        <v>719</v>
      </c>
      <c r="AC38">
        <v>0.55803024707205595</v>
      </c>
      <c r="AD38">
        <v>0.55272743790465195</v>
      </c>
      <c r="AE38" s="8" t="str">
        <f t="shared" si="2"/>
        <v>2011-02-24</v>
      </c>
      <c r="AF38" s="9" t="str">
        <f t="shared" si="3"/>
        <v>2/24/2011</v>
      </c>
      <c r="AG38" s="8">
        <f t="shared" si="4"/>
        <v>0.55803024707205595</v>
      </c>
    </row>
    <row r="39" spans="1:33">
      <c r="A39" s="2">
        <f t="shared" si="9"/>
        <v>201137</v>
      </c>
      <c r="B39" s="12" t="s">
        <v>855</v>
      </c>
      <c r="C39" s="12">
        <v>0.87859103936280603</v>
      </c>
      <c r="D39" s="12">
        <v>0.93360184365153998</v>
      </c>
      <c r="E39" s="8" t="str">
        <f t="shared" si="8"/>
        <v>2011-09-08</v>
      </c>
      <c r="H39" s="8">
        <f t="shared" si="0"/>
        <v>200817</v>
      </c>
      <c r="I39" s="13">
        <v>39563</v>
      </c>
      <c r="J39" s="12">
        <v>1809.5</v>
      </c>
      <c r="K39" t="str">
        <f t="shared" si="5"/>
        <v>2008-04-25</v>
      </c>
      <c r="L39" s="3" t="e">
        <f t="shared" si="1"/>
        <v>#N/A</v>
      </c>
      <c r="AB39" t="s">
        <v>720</v>
      </c>
      <c r="AC39">
        <v>0.55803024707205595</v>
      </c>
      <c r="AD39">
        <v>0.55272743790465195</v>
      </c>
      <c r="AE39" s="8" t="str">
        <f t="shared" si="2"/>
        <v>2011-02-25</v>
      </c>
      <c r="AF39" s="9" t="str">
        <f t="shared" si="3"/>
        <v>2/25/2011</v>
      </c>
      <c r="AG39" s="8">
        <f t="shared" si="4"/>
        <v>0.55803024707205595</v>
      </c>
    </row>
    <row r="40" spans="1:33">
      <c r="A40" s="2">
        <f t="shared" si="9"/>
        <v>201138</v>
      </c>
      <c r="B40" s="12" t="s">
        <v>860</v>
      </c>
      <c r="C40" s="12">
        <v>0.90242289630358996</v>
      </c>
      <c r="D40" s="12">
        <v>0.93360184365153998</v>
      </c>
      <c r="E40" s="8" t="str">
        <f t="shared" si="8"/>
        <v>2011-09-15</v>
      </c>
      <c r="H40" s="8">
        <f t="shared" si="0"/>
        <v>200818</v>
      </c>
      <c r="I40" s="13">
        <v>39570</v>
      </c>
      <c r="J40" s="12">
        <v>2195</v>
      </c>
      <c r="K40" t="str">
        <f t="shared" si="5"/>
        <v>2008-05-02</v>
      </c>
      <c r="L40" s="3" t="e">
        <f t="shared" si="1"/>
        <v>#N/A</v>
      </c>
      <c r="AB40" t="s">
        <v>721</v>
      </c>
      <c r="AC40">
        <v>0.55803024707205595</v>
      </c>
      <c r="AD40">
        <v>0.55272743790465195</v>
      </c>
      <c r="AE40" s="8" t="str">
        <f t="shared" si="2"/>
        <v>2011-02-28</v>
      </c>
      <c r="AF40" s="9" t="str">
        <f t="shared" si="3"/>
        <v>2/28/2011</v>
      </c>
      <c r="AG40" s="8">
        <f t="shared" si="4"/>
        <v>0.55803024707205595</v>
      </c>
    </row>
    <row r="41" spans="1:33">
      <c r="A41" s="2">
        <f t="shared" si="9"/>
        <v>201139</v>
      </c>
      <c r="B41" s="12" t="s">
        <v>865</v>
      </c>
      <c r="C41" s="12">
        <v>0.90242289630358996</v>
      </c>
      <c r="D41" s="12">
        <v>0.93360184365153998</v>
      </c>
      <c r="E41" s="8" t="str">
        <f t="shared" si="8"/>
        <v>2011-09-22</v>
      </c>
      <c r="H41" s="8">
        <f t="shared" si="0"/>
        <v>200819</v>
      </c>
      <c r="I41" s="13">
        <v>39577</v>
      </c>
      <c r="J41" s="12">
        <v>2388.8000000000002</v>
      </c>
      <c r="K41" t="str">
        <f t="shared" si="5"/>
        <v>2008-05-09</v>
      </c>
      <c r="L41" s="3" t="e">
        <f t="shared" si="1"/>
        <v>#N/A</v>
      </c>
      <c r="AB41" t="s">
        <v>722</v>
      </c>
      <c r="AC41">
        <v>0.54582431757096395</v>
      </c>
      <c r="AD41">
        <v>0.53959666161683995</v>
      </c>
      <c r="AE41" s="8" t="str">
        <f t="shared" si="2"/>
        <v>2011-03-01</v>
      </c>
      <c r="AF41" s="9" t="str">
        <f t="shared" si="3"/>
        <v>3/1/2011</v>
      </c>
      <c r="AG41" s="8">
        <f t="shared" si="4"/>
        <v>0.54582431757096395</v>
      </c>
    </row>
    <row r="42" spans="1:33">
      <c r="A42" s="2">
        <f t="shared" si="9"/>
        <v>201140</v>
      </c>
      <c r="B42" s="12" t="s">
        <v>870</v>
      </c>
      <c r="C42" s="12">
        <v>0.94644262124543399</v>
      </c>
      <c r="D42" s="12">
        <v>0.97670030100241401</v>
      </c>
      <c r="E42" s="8" t="str">
        <f t="shared" si="8"/>
        <v>2011-09-29</v>
      </c>
      <c r="H42" s="8">
        <f t="shared" si="0"/>
        <v>200820</v>
      </c>
      <c r="I42" s="13">
        <v>39584</v>
      </c>
      <c r="J42" s="12">
        <v>2135.8000000000002</v>
      </c>
      <c r="K42" t="str">
        <f t="shared" si="5"/>
        <v>2008-05-16</v>
      </c>
      <c r="L42" s="3" t="e">
        <f t="shared" si="1"/>
        <v>#N/A</v>
      </c>
      <c r="AB42" t="s">
        <v>723</v>
      </c>
      <c r="AC42">
        <v>0.54582431757096395</v>
      </c>
      <c r="AD42">
        <v>0.53959666161683995</v>
      </c>
      <c r="AE42" s="8" t="str">
        <f t="shared" si="2"/>
        <v>2011-03-02</v>
      </c>
      <c r="AF42" s="9" t="str">
        <f t="shared" si="3"/>
        <v>3/2/2011</v>
      </c>
      <c r="AG42" s="8">
        <f t="shared" si="4"/>
        <v>0.54582431757096395</v>
      </c>
    </row>
    <row r="43" spans="1:33">
      <c r="A43" s="2">
        <f t="shared" si="9"/>
        <v>201141</v>
      </c>
      <c r="B43" s="12" t="s">
        <v>875</v>
      </c>
      <c r="C43" s="12">
        <v>0.967252006042155</v>
      </c>
      <c r="D43" s="12">
        <v>0.999790656375939</v>
      </c>
      <c r="E43" s="8" t="str">
        <f t="shared" si="8"/>
        <v>2011-10-06</v>
      </c>
      <c r="H43" s="8">
        <f t="shared" si="0"/>
        <v>200821</v>
      </c>
      <c r="I43" s="13">
        <v>39591</v>
      </c>
      <c r="J43" s="12">
        <v>1930.4</v>
      </c>
      <c r="K43" t="str">
        <f t="shared" si="5"/>
        <v>2008-05-23</v>
      </c>
      <c r="L43" s="3" t="e">
        <f t="shared" si="1"/>
        <v>#N/A</v>
      </c>
      <c r="AB43" t="s">
        <v>724</v>
      </c>
      <c r="AC43">
        <v>0.59209711782781405</v>
      </c>
      <c r="AD43">
        <v>0.53959666161683995</v>
      </c>
      <c r="AE43" s="8" t="str">
        <f t="shared" si="2"/>
        <v>2011-03-03</v>
      </c>
      <c r="AF43" s="9" t="str">
        <f t="shared" si="3"/>
        <v>3/3/2011</v>
      </c>
      <c r="AG43" s="8">
        <f t="shared" si="4"/>
        <v>0.59209711782781405</v>
      </c>
    </row>
    <row r="44" spans="1:33">
      <c r="A44" s="2">
        <f t="shared" si="9"/>
        <v>201142</v>
      </c>
      <c r="B44" s="12" t="s">
        <v>880</v>
      </c>
      <c r="C44" s="12">
        <v>0.84917694017596201</v>
      </c>
      <c r="D44" s="12">
        <v>0.92382582368575195</v>
      </c>
      <c r="E44" s="8" t="str">
        <f t="shared" si="8"/>
        <v>2011-10-13</v>
      </c>
      <c r="H44" s="8">
        <f t="shared" si="0"/>
        <v>200822</v>
      </c>
      <c r="I44" s="13">
        <v>39598</v>
      </c>
      <c r="J44" s="12">
        <v>1387.8</v>
      </c>
      <c r="K44" t="str">
        <f t="shared" si="5"/>
        <v>2008-05-30</v>
      </c>
      <c r="L44" s="3" t="e">
        <f t="shared" si="1"/>
        <v>#N/A</v>
      </c>
      <c r="AB44" t="s">
        <v>725</v>
      </c>
      <c r="AC44">
        <v>0.59209711782781405</v>
      </c>
      <c r="AD44">
        <v>0.53959666161683995</v>
      </c>
      <c r="AE44" s="8" t="str">
        <f t="shared" si="2"/>
        <v>2011-03-04</v>
      </c>
      <c r="AF44" s="9" t="str">
        <f t="shared" si="3"/>
        <v>3/4/2011</v>
      </c>
      <c r="AG44" s="8">
        <f t="shared" si="4"/>
        <v>0.59209711782781405</v>
      </c>
    </row>
    <row r="45" spans="1:33">
      <c r="A45" s="2">
        <f t="shared" si="9"/>
        <v>201143</v>
      </c>
      <c r="B45" s="12" t="s">
        <v>885</v>
      </c>
      <c r="C45" s="12">
        <v>0.85635864773186399</v>
      </c>
      <c r="D45" s="12">
        <v>0.92382582368575195</v>
      </c>
      <c r="E45" s="8" t="str">
        <f t="shared" si="8"/>
        <v>2011-10-20</v>
      </c>
      <c r="H45" s="8">
        <f t="shared" si="0"/>
        <v>200823</v>
      </c>
      <c r="I45" s="13">
        <v>39605</v>
      </c>
      <c r="J45" s="12">
        <v>1477.5</v>
      </c>
      <c r="K45" t="str">
        <f t="shared" si="5"/>
        <v>2008-06-06</v>
      </c>
      <c r="L45" s="3" t="e">
        <f t="shared" si="1"/>
        <v>#N/A</v>
      </c>
      <c r="AB45" t="s">
        <v>726</v>
      </c>
      <c r="AC45">
        <v>0.59209711782781405</v>
      </c>
      <c r="AD45">
        <v>0.53959666161683995</v>
      </c>
      <c r="AE45" s="8" t="str">
        <f t="shared" si="2"/>
        <v>2011-03-07</v>
      </c>
      <c r="AF45" s="9" t="str">
        <f t="shared" si="3"/>
        <v>3/7/2011</v>
      </c>
      <c r="AG45" s="8">
        <f t="shared" si="4"/>
        <v>0.59209711782781405</v>
      </c>
    </row>
    <row r="46" spans="1:33">
      <c r="A46" s="2">
        <f t="shared" si="9"/>
        <v>201144</v>
      </c>
      <c r="B46" s="12" t="s">
        <v>890</v>
      </c>
      <c r="C46" s="12">
        <v>0.86512672485653097</v>
      </c>
      <c r="D46" s="12">
        <v>0.92382582368575195</v>
      </c>
      <c r="E46" s="8" t="str">
        <f t="shared" si="8"/>
        <v>2011-10-27</v>
      </c>
      <c r="H46" s="8">
        <f t="shared" si="0"/>
        <v>200824</v>
      </c>
      <c r="I46" s="13">
        <v>39612</v>
      </c>
      <c r="J46" s="12">
        <v>1219.7</v>
      </c>
      <c r="K46" t="str">
        <f t="shared" si="5"/>
        <v>2008-06-13</v>
      </c>
      <c r="L46" s="3" t="e">
        <f t="shared" si="1"/>
        <v>#N/A</v>
      </c>
      <c r="AB46" t="s">
        <v>727</v>
      </c>
      <c r="AC46">
        <v>0.59209711782781405</v>
      </c>
      <c r="AD46">
        <v>0.53959666161683995</v>
      </c>
      <c r="AE46" s="8" t="str">
        <f t="shared" si="2"/>
        <v>2011-03-08</v>
      </c>
      <c r="AF46" s="9" t="str">
        <f t="shared" si="3"/>
        <v>3/8/2011</v>
      </c>
      <c r="AG46" s="8">
        <f t="shared" si="4"/>
        <v>0.59209711782781405</v>
      </c>
    </row>
    <row r="47" spans="1:33">
      <c r="A47" s="2">
        <f t="shared" si="9"/>
        <v>201145</v>
      </c>
      <c r="B47" s="12" t="s">
        <v>895</v>
      </c>
      <c r="C47" s="12">
        <v>0.93485323798856301</v>
      </c>
      <c r="D47" s="12">
        <v>0.94896087986943201</v>
      </c>
      <c r="E47" s="8" t="str">
        <f t="shared" si="8"/>
        <v>2011-11-03</v>
      </c>
      <c r="H47" s="8">
        <f t="shared" si="0"/>
        <v>200825</v>
      </c>
      <c r="I47" s="13">
        <v>39619</v>
      </c>
      <c r="J47" s="12">
        <v>1044.5999999999999</v>
      </c>
      <c r="K47" t="str">
        <f t="shared" si="5"/>
        <v>2008-06-20</v>
      </c>
      <c r="L47" s="3" t="e">
        <f t="shared" si="1"/>
        <v>#N/A</v>
      </c>
      <c r="AB47" t="s">
        <v>728</v>
      </c>
      <c r="AC47">
        <v>0.59209711782781405</v>
      </c>
      <c r="AD47">
        <v>0.53959666161683995</v>
      </c>
      <c r="AE47" s="8" t="str">
        <f t="shared" si="2"/>
        <v>2011-03-09</v>
      </c>
      <c r="AF47" s="9" t="str">
        <f t="shared" si="3"/>
        <v>3/9/2011</v>
      </c>
      <c r="AG47" s="8">
        <f t="shared" si="4"/>
        <v>0.59209711782781405</v>
      </c>
    </row>
    <row r="48" spans="1:33">
      <c r="A48" s="2">
        <f t="shared" si="9"/>
        <v>201146</v>
      </c>
      <c r="B48" s="12" t="s">
        <v>900</v>
      </c>
      <c r="C48" s="12">
        <v>0.94404770550683104</v>
      </c>
      <c r="D48" s="12">
        <v>0.97193701769959195</v>
      </c>
      <c r="E48" s="8" t="str">
        <f t="shared" si="8"/>
        <v>2011-11-10</v>
      </c>
      <c r="H48" s="8">
        <f t="shared" si="0"/>
        <v>200826</v>
      </c>
      <c r="I48" s="13">
        <v>39626</v>
      </c>
      <c r="J48" s="12">
        <v>1111.3</v>
      </c>
      <c r="K48" t="str">
        <f t="shared" si="5"/>
        <v>2008-06-27</v>
      </c>
      <c r="L48" s="3" t="e">
        <f t="shared" si="1"/>
        <v>#N/A</v>
      </c>
      <c r="AB48" t="s">
        <v>729</v>
      </c>
      <c r="AC48">
        <v>0.59080334812888002</v>
      </c>
      <c r="AD48">
        <v>0.53959666161683995</v>
      </c>
      <c r="AE48" s="8" t="str">
        <f t="shared" si="2"/>
        <v>2011-03-10</v>
      </c>
      <c r="AF48" s="9" t="str">
        <f t="shared" si="3"/>
        <v>3/10/2011</v>
      </c>
      <c r="AG48" s="8">
        <f t="shared" si="4"/>
        <v>0.59080334812888002</v>
      </c>
    </row>
    <row r="49" spans="1:33">
      <c r="A49" s="2">
        <f t="shared" si="9"/>
        <v>201147</v>
      </c>
      <c r="B49" s="12" t="s">
        <v>905</v>
      </c>
      <c r="C49" s="12">
        <v>0.93485323798856301</v>
      </c>
      <c r="D49" s="12">
        <v>0.94896087986943201</v>
      </c>
      <c r="E49" s="8" t="str">
        <f t="shared" si="8"/>
        <v>2011-11-17</v>
      </c>
      <c r="H49" s="8">
        <f t="shared" si="0"/>
        <v>200827</v>
      </c>
      <c r="I49" s="13">
        <v>39633</v>
      </c>
      <c r="J49" s="12">
        <v>1166.5</v>
      </c>
      <c r="K49" t="str">
        <f t="shared" si="5"/>
        <v>2008-07-04</v>
      </c>
      <c r="L49" s="3" t="e">
        <f t="shared" si="1"/>
        <v>#N/A</v>
      </c>
      <c r="AB49" t="s">
        <v>730</v>
      </c>
      <c r="AC49">
        <v>0.59080334812888002</v>
      </c>
      <c r="AD49">
        <v>0.53959666161683995</v>
      </c>
      <c r="AE49" s="8" t="str">
        <f t="shared" si="2"/>
        <v>2011-03-11</v>
      </c>
      <c r="AF49" s="9" t="str">
        <f t="shared" si="3"/>
        <v>3/11/2011</v>
      </c>
      <c r="AG49" s="8">
        <f t="shared" si="4"/>
        <v>0.59080334812888002</v>
      </c>
    </row>
    <row r="50" spans="1:33">
      <c r="A50" s="2">
        <f t="shared" si="9"/>
        <v>201148</v>
      </c>
      <c r="B50" s="12" t="s">
        <v>909</v>
      </c>
      <c r="C50" s="12">
        <v>0.94997170807452402</v>
      </c>
      <c r="D50" s="12">
        <v>0.97193701769959195</v>
      </c>
      <c r="E50" s="8" t="str">
        <f t="shared" si="8"/>
        <v>2011-11-23</v>
      </c>
      <c r="H50" s="8">
        <f t="shared" si="0"/>
        <v>200828</v>
      </c>
      <c r="I50" s="13">
        <v>39640</v>
      </c>
      <c r="J50" s="12">
        <v>1270.5999999999999</v>
      </c>
      <c r="K50" t="str">
        <f t="shared" si="5"/>
        <v>2008-07-11</v>
      </c>
      <c r="L50" s="3" t="e">
        <f t="shared" si="1"/>
        <v>#N/A</v>
      </c>
      <c r="AB50" t="s">
        <v>731</v>
      </c>
      <c r="AC50">
        <v>0.59080334812888002</v>
      </c>
      <c r="AD50">
        <v>0.53959666161683995</v>
      </c>
      <c r="AE50" s="8" t="str">
        <f t="shared" si="2"/>
        <v>2011-03-14</v>
      </c>
      <c r="AF50" s="9" t="str">
        <f t="shared" si="3"/>
        <v>3/14/2011</v>
      </c>
      <c r="AG50" s="8">
        <f t="shared" si="4"/>
        <v>0.59080334812888002</v>
      </c>
    </row>
    <row r="51" spans="1:33">
      <c r="A51" s="2">
        <f t="shared" si="9"/>
        <v>201149</v>
      </c>
      <c r="B51" s="12" t="s">
        <v>914</v>
      </c>
      <c r="C51" s="12">
        <v>0.91542628506626</v>
      </c>
      <c r="D51" s="12">
        <v>0.92419999876805803</v>
      </c>
      <c r="E51" s="8" t="str">
        <f t="shared" si="8"/>
        <v>2011-12-01</v>
      </c>
      <c r="H51" s="8">
        <f t="shared" si="0"/>
        <v>200829</v>
      </c>
      <c r="I51" s="13">
        <v>39647</v>
      </c>
      <c r="J51" s="12">
        <v>1213.9000000000001</v>
      </c>
      <c r="K51" t="str">
        <f t="shared" si="5"/>
        <v>2008-07-18</v>
      </c>
      <c r="L51" s="3" t="e">
        <f t="shared" si="1"/>
        <v>#N/A</v>
      </c>
      <c r="AB51" t="s">
        <v>732</v>
      </c>
      <c r="AC51">
        <v>0.59080334812888002</v>
      </c>
      <c r="AD51">
        <v>0.53959666161683995</v>
      </c>
      <c r="AE51" s="8" t="str">
        <f t="shared" si="2"/>
        <v>2011-03-15</v>
      </c>
      <c r="AF51" s="9" t="str">
        <f t="shared" si="3"/>
        <v>3/15/2011</v>
      </c>
      <c r="AG51" s="8">
        <f t="shared" si="4"/>
        <v>0.59080334812888002</v>
      </c>
    </row>
    <row r="52" spans="1:33">
      <c r="A52" s="2">
        <f t="shared" si="9"/>
        <v>201150</v>
      </c>
      <c r="B52" s="12" t="s">
        <v>919</v>
      </c>
      <c r="C52" s="12">
        <v>0.92487460681698297</v>
      </c>
      <c r="D52" s="12">
        <v>0.94688538908647302</v>
      </c>
      <c r="E52" s="8" t="str">
        <f t="shared" si="8"/>
        <v>2011-12-08</v>
      </c>
      <c r="H52" s="8">
        <f t="shared" si="0"/>
        <v>200830</v>
      </c>
      <c r="I52" s="13">
        <v>39654</v>
      </c>
      <c r="J52" s="12">
        <v>874.1</v>
      </c>
      <c r="K52" t="str">
        <f t="shared" si="5"/>
        <v>2008-07-25</v>
      </c>
      <c r="L52" s="3" t="e">
        <f t="shared" si="1"/>
        <v>#N/A</v>
      </c>
      <c r="AB52" t="s">
        <v>733</v>
      </c>
      <c r="AC52">
        <v>0.59080334812888002</v>
      </c>
      <c r="AD52">
        <v>0.53959666161683995</v>
      </c>
      <c r="AE52" s="8" t="str">
        <f t="shared" si="2"/>
        <v>2011-03-16</v>
      </c>
      <c r="AF52" s="9" t="str">
        <f t="shared" si="3"/>
        <v>3/16/2011</v>
      </c>
      <c r="AG52" s="8">
        <f t="shared" si="4"/>
        <v>0.59080334812888002</v>
      </c>
    </row>
    <row r="53" spans="1:33">
      <c r="A53" s="2">
        <f t="shared" si="9"/>
        <v>201151</v>
      </c>
      <c r="B53" s="12" t="s">
        <v>924</v>
      </c>
      <c r="C53" s="12">
        <v>0.93969161247928701</v>
      </c>
      <c r="D53" s="12">
        <v>0.96370014594022202</v>
      </c>
      <c r="E53" s="8" t="str">
        <f t="shared" si="8"/>
        <v>2011-12-15</v>
      </c>
      <c r="H53" s="8">
        <f t="shared" si="0"/>
        <v>200831</v>
      </c>
      <c r="I53" s="13">
        <v>39661</v>
      </c>
      <c r="J53" s="12">
        <v>897.7</v>
      </c>
      <c r="K53" t="str">
        <f t="shared" si="5"/>
        <v>2008-08-01</v>
      </c>
      <c r="L53" s="3" t="e">
        <f t="shared" si="1"/>
        <v>#N/A</v>
      </c>
      <c r="AB53" t="s">
        <v>734</v>
      </c>
      <c r="AC53">
        <v>0.60256210105936003</v>
      </c>
      <c r="AD53">
        <v>0.57514662575669495</v>
      </c>
      <c r="AE53" s="8" t="str">
        <f t="shared" si="2"/>
        <v>2011-03-17</v>
      </c>
      <c r="AF53" s="9" t="str">
        <f t="shared" si="3"/>
        <v>3/17/2011</v>
      </c>
      <c r="AG53" s="8">
        <f t="shared" si="4"/>
        <v>0.60256210105936003</v>
      </c>
    </row>
    <row r="54" spans="1:33">
      <c r="A54" s="2">
        <f t="shared" si="9"/>
        <v>201152</v>
      </c>
      <c r="B54" s="12" t="s">
        <v>929</v>
      </c>
      <c r="C54" s="12">
        <v>0.96019586623642394</v>
      </c>
      <c r="D54" s="12">
        <v>0.96370014594022202</v>
      </c>
      <c r="E54" s="8" t="str">
        <f t="shared" si="8"/>
        <v>2011-12-22</v>
      </c>
      <c r="H54" s="8">
        <f t="shared" si="0"/>
        <v>200832</v>
      </c>
      <c r="I54" s="13">
        <v>39668</v>
      </c>
      <c r="J54" s="12">
        <v>853.1</v>
      </c>
      <c r="K54" t="str">
        <f t="shared" si="5"/>
        <v>2008-08-08</v>
      </c>
      <c r="L54" s="3" t="e">
        <f t="shared" si="1"/>
        <v>#N/A</v>
      </c>
      <c r="AB54" t="s">
        <v>735</v>
      </c>
      <c r="AC54">
        <v>0.60256210105936003</v>
      </c>
      <c r="AD54">
        <v>0.57514662575669495</v>
      </c>
      <c r="AE54" s="8" t="str">
        <f t="shared" si="2"/>
        <v>2011-03-18</v>
      </c>
      <c r="AF54" s="9" t="str">
        <f t="shared" si="3"/>
        <v>3/18/2011</v>
      </c>
      <c r="AG54" s="8">
        <f t="shared" si="4"/>
        <v>0.60256210105936003</v>
      </c>
    </row>
    <row r="55" spans="1:33">
      <c r="A55" s="2">
        <f t="shared" si="9"/>
        <v>201153</v>
      </c>
      <c r="B55" s="12" t="s">
        <v>933</v>
      </c>
      <c r="C55" s="12">
        <v>0.94762260030460199</v>
      </c>
      <c r="D55" s="12">
        <v>0.96370014594022202</v>
      </c>
      <c r="E55" s="8" t="str">
        <f t="shared" si="8"/>
        <v>2011-12-29</v>
      </c>
      <c r="H55" s="8">
        <f t="shared" si="0"/>
        <v>200833</v>
      </c>
      <c r="I55" s="13">
        <v>39675</v>
      </c>
      <c r="J55" s="12">
        <v>815.2</v>
      </c>
      <c r="K55" t="str">
        <f t="shared" si="5"/>
        <v>2008-08-15</v>
      </c>
      <c r="L55" s="3" t="e">
        <f t="shared" si="1"/>
        <v>#N/A</v>
      </c>
      <c r="AB55" t="s">
        <v>736</v>
      </c>
      <c r="AC55">
        <v>0.60256210105936003</v>
      </c>
      <c r="AD55">
        <v>0.57514662575669495</v>
      </c>
      <c r="AE55" s="8" t="str">
        <f t="shared" si="2"/>
        <v>2011-03-21</v>
      </c>
      <c r="AF55" s="9" t="str">
        <f t="shared" si="3"/>
        <v>3/21/2011</v>
      </c>
      <c r="AG55" s="8">
        <f t="shared" si="4"/>
        <v>0.60256210105936003</v>
      </c>
    </row>
    <row r="56" spans="1:33">
      <c r="A56" s="2">
        <f t="shared" si="9"/>
        <v>201201</v>
      </c>
      <c r="B56" s="12" t="s">
        <v>937</v>
      </c>
      <c r="C56" s="12">
        <v>0.94481773750585696</v>
      </c>
      <c r="D56" s="12">
        <v>0.94521629687954201</v>
      </c>
      <c r="E56" s="8" t="str">
        <f t="shared" si="8"/>
        <v>2012-01-05</v>
      </c>
      <c r="H56" s="8">
        <f t="shared" si="0"/>
        <v>200834</v>
      </c>
      <c r="I56" s="13">
        <v>39682</v>
      </c>
      <c r="J56" s="12">
        <v>793.9</v>
      </c>
      <c r="K56" t="str">
        <f t="shared" si="5"/>
        <v>2008-08-22</v>
      </c>
      <c r="L56" s="3" t="e">
        <f t="shared" si="1"/>
        <v>#N/A</v>
      </c>
      <c r="AB56" t="s">
        <v>737</v>
      </c>
      <c r="AC56">
        <v>0.60256210105936003</v>
      </c>
      <c r="AD56">
        <v>0.57514662575669495</v>
      </c>
      <c r="AE56" s="8" t="str">
        <f t="shared" si="2"/>
        <v>2011-03-22</v>
      </c>
      <c r="AF56" s="9" t="str">
        <f t="shared" si="3"/>
        <v>3/22/2011</v>
      </c>
      <c r="AG56" s="8">
        <f t="shared" si="4"/>
        <v>0.60256210105936003</v>
      </c>
    </row>
    <row r="57" spans="1:33">
      <c r="A57" s="2">
        <f t="shared" si="9"/>
        <v>201202</v>
      </c>
      <c r="B57" s="12" t="s">
        <v>942</v>
      </c>
      <c r="C57" s="12">
        <v>0.95320351892281396</v>
      </c>
      <c r="D57" s="12">
        <v>0.94521629687954201</v>
      </c>
      <c r="E57" s="8" t="str">
        <f t="shared" si="8"/>
        <v>2012-01-12</v>
      </c>
      <c r="H57" s="8">
        <f t="shared" si="0"/>
        <v>200835</v>
      </c>
      <c r="I57" s="13">
        <v>39689</v>
      </c>
      <c r="J57" s="12">
        <v>825</v>
      </c>
      <c r="K57" t="str">
        <f t="shared" si="5"/>
        <v>2008-08-29</v>
      </c>
      <c r="L57" s="3" t="e">
        <f t="shared" si="1"/>
        <v>#N/A</v>
      </c>
      <c r="AB57" t="s">
        <v>738</v>
      </c>
      <c r="AC57">
        <v>0.60256210105936003</v>
      </c>
      <c r="AD57">
        <v>0.57514662575669495</v>
      </c>
      <c r="AE57" s="8" t="str">
        <f t="shared" si="2"/>
        <v>2011-03-23</v>
      </c>
      <c r="AF57" s="9" t="str">
        <f t="shared" si="3"/>
        <v>3/23/2011</v>
      </c>
      <c r="AG57" s="8">
        <f t="shared" si="4"/>
        <v>0.60256210105936003</v>
      </c>
    </row>
    <row r="58" spans="1:33">
      <c r="A58" s="2">
        <f t="shared" si="9"/>
        <v>201203</v>
      </c>
      <c r="B58" s="12" t="s">
        <v>946</v>
      </c>
      <c r="C58" s="12">
        <v>0.95182771809710398</v>
      </c>
      <c r="D58" s="12">
        <v>0.94521629687954201</v>
      </c>
      <c r="E58" s="8" t="str">
        <f t="shared" si="8"/>
        <v>2012-01-19</v>
      </c>
      <c r="H58" s="8">
        <f t="shared" si="0"/>
        <v>200836</v>
      </c>
      <c r="I58" s="13">
        <v>39696</v>
      </c>
      <c r="J58" s="12">
        <v>998.3</v>
      </c>
      <c r="K58" t="str">
        <f t="shared" si="5"/>
        <v>2008-09-05</v>
      </c>
      <c r="L58" s="3" t="e">
        <f t="shared" si="1"/>
        <v>#N/A</v>
      </c>
      <c r="AB58" t="s">
        <v>739</v>
      </c>
      <c r="AC58">
        <v>0.59950595681897501</v>
      </c>
      <c r="AD58">
        <v>0.53959666161683995</v>
      </c>
      <c r="AE58" s="8" t="str">
        <f t="shared" si="2"/>
        <v>2011-03-24</v>
      </c>
      <c r="AF58" s="9" t="str">
        <f t="shared" si="3"/>
        <v>3/24/2011</v>
      </c>
      <c r="AG58" s="8">
        <f t="shared" si="4"/>
        <v>0.59950595681897501</v>
      </c>
    </row>
    <row r="59" spans="1:33">
      <c r="A59" s="2">
        <f t="shared" si="9"/>
        <v>201204</v>
      </c>
      <c r="B59" s="12" t="s">
        <v>951</v>
      </c>
      <c r="C59" s="12">
        <v>0.91861521434498905</v>
      </c>
      <c r="D59" s="12">
        <v>0.92836813009332497</v>
      </c>
      <c r="E59" s="8" t="str">
        <f t="shared" si="8"/>
        <v>2012-01-26</v>
      </c>
      <c r="H59" s="8">
        <f t="shared" si="0"/>
        <v>200837</v>
      </c>
      <c r="I59" s="13">
        <v>39703</v>
      </c>
      <c r="J59" s="12">
        <v>2068.5</v>
      </c>
      <c r="K59" t="str">
        <f t="shared" si="5"/>
        <v>2008-09-12</v>
      </c>
      <c r="L59" s="3" t="e">
        <f t="shared" si="1"/>
        <v>#N/A</v>
      </c>
      <c r="AB59" t="s">
        <v>740</v>
      </c>
      <c r="AC59">
        <v>0.59950595681897501</v>
      </c>
      <c r="AD59">
        <v>0.53959666161683995</v>
      </c>
      <c r="AE59" s="8" t="str">
        <f t="shared" si="2"/>
        <v>2011-03-25</v>
      </c>
      <c r="AF59" s="9" t="str">
        <f t="shared" si="3"/>
        <v>3/25/2011</v>
      </c>
      <c r="AG59" s="8">
        <f t="shared" si="4"/>
        <v>0.59950595681897501</v>
      </c>
    </row>
    <row r="60" spans="1:33">
      <c r="A60" s="2">
        <f t="shared" si="9"/>
        <v>201205</v>
      </c>
      <c r="B60" s="12" t="s">
        <v>956</v>
      </c>
      <c r="C60" s="12">
        <v>0.94107838104995301</v>
      </c>
      <c r="D60" s="12">
        <v>0.92614028462655495</v>
      </c>
      <c r="E60" s="8" t="str">
        <f t="shared" si="8"/>
        <v>2012-02-02</v>
      </c>
      <c r="H60" s="8">
        <f t="shared" si="0"/>
        <v>200838</v>
      </c>
      <c r="I60" s="13">
        <v>39710</v>
      </c>
      <c r="J60" s="12">
        <v>1756.8</v>
      </c>
      <c r="K60" t="str">
        <f t="shared" si="5"/>
        <v>2008-09-19</v>
      </c>
      <c r="L60" s="3" t="e">
        <f t="shared" si="1"/>
        <v>#N/A</v>
      </c>
      <c r="AB60" t="s">
        <v>741</v>
      </c>
      <c r="AC60">
        <v>0.59950595681897501</v>
      </c>
      <c r="AD60">
        <v>0.53959666161683995</v>
      </c>
      <c r="AE60" s="8" t="str">
        <f t="shared" si="2"/>
        <v>2011-03-28</v>
      </c>
      <c r="AF60" s="9" t="str">
        <f t="shared" si="3"/>
        <v>3/28/2011</v>
      </c>
      <c r="AG60" s="8">
        <f t="shared" si="4"/>
        <v>0.59950595681897501</v>
      </c>
    </row>
    <row r="61" spans="1:33">
      <c r="A61" s="2">
        <f t="shared" si="9"/>
        <v>201206</v>
      </c>
      <c r="B61" s="12" t="s">
        <v>961</v>
      </c>
      <c r="C61" s="12">
        <v>0.94107838104995301</v>
      </c>
      <c r="D61" s="12">
        <v>0.92614028462655495</v>
      </c>
      <c r="E61" s="8" t="str">
        <f t="shared" si="8"/>
        <v>2012-02-09</v>
      </c>
      <c r="H61" s="8">
        <f t="shared" si="0"/>
        <v>200839</v>
      </c>
      <c r="I61" s="13">
        <v>39717</v>
      </c>
      <c r="J61" s="12">
        <v>1026</v>
      </c>
      <c r="K61" t="str">
        <f t="shared" si="5"/>
        <v>2008-09-26</v>
      </c>
      <c r="L61" s="3" t="e">
        <f t="shared" si="1"/>
        <v>#N/A</v>
      </c>
      <c r="AB61" t="s">
        <v>742</v>
      </c>
      <c r="AC61">
        <v>0.59950595681897501</v>
      </c>
      <c r="AD61">
        <v>0.53959666161683995</v>
      </c>
      <c r="AE61" s="8" t="str">
        <f t="shared" si="2"/>
        <v>2011-03-29</v>
      </c>
      <c r="AF61" s="9" t="str">
        <f t="shared" si="3"/>
        <v>3/29/2011</v>
      </c>
      <c r="AG61" s="8">
        <f t="shared" si="4"/>
        <v>0.59950595681897501</v>
      </c>
    </row>
    <row r="62" spans="1:33">
      <c r="A62" s="2">
        <f t="shared" si="9"/>
        <v>201207</v>
      </c>
      <c r="B62" s="12" t="s">
        <v>966</v>
      </c>
      <c r="C62" s="12">
        <v>0.94107838104995301</v>
      </c>
      <c r="D62" s="12">
        <v>0.92614028462655495</v>
      </c>
      <c r="E62" s="8" t="str">
        <f t="shared" si="8"/>
        <v>2012-02-16</v>
      </c>
      <c r="H62" s="8">
        <f t="shared" si="0"/>
        <v>200840</v>
      </c>
      <c r="I62" s="13">
        <v>39724</v>
      </c>
      <c r="J62" s="12">
        <v>999.6</v>
      </c>
      <c r="K62" t="str">
        <f t="shared" si="5"/>
        <v>2008-10-03</v>
      </c>
      <c r="L62" s="3" t="e">
        <f t="shared" si="1"/>
        <v>#N/A</v>
      </c>
      <c r="AB62" t="s">
        <v>743</v>
      </c>
      <c r="AC62">
        <v>0.59950595681897501</v>
      </c>
      <c r="AD62">
        <v>0.53959666161683995</v>
      </c>
      <c r="AE62" s="8" t="str">
        <f t="shared" si="2"/>
        <v>2011-03-30</v>
      </c>
      <c r="AF62" s="9" t="str">
        <f t="shared" si="3"/>
        <v>3/30/2011</v>
      </c>
      <c r="AG62" s="8">
        <f t="shared" si="4"/>
        <v>0.59950595681897501</v>
      </c>
    </row>
    <row r="63" spans="1:33">
      <c r="A63" s="2">
        <f t="shared" si="9"/>
        <v>201208</v>
      </c>
      <c r="B63" s="12" t="s">
        <v>970</v>
      </c>
      <c r="C63" s="12">
        <v>0.90921329115869698</v>
      </c>
      <c r="D63" s="12">
        <v>0.90939509439675204</v>
      </c>
      <c r="E63" s="8" t="str">
        <f t="shared" si="8"/>
        <v>2012-02-23</v>
      </c>
      <c r="H63" s="8">
        <f t="shared" si="0"/>
        <v>200841</v>
      </c>
      <c r="I63" s="13">
        <v>39731</v>
      </c>
      <c r="J63" s="12">
        <v>1190.8</v>
      </c>
      <c r="K63" t="str">
        <f t="shared" si="5"/>
        <v>2008-10-10</v>
      </c>
      <c r="L63" s="3" t="e">
        <f t="shared" si="1"/>
        <v>#N/A</v>
      </c>
      <c r="AB63" t="s">
        <v>744</v>
      </c>
      <c r="AC63">
        <v>0.59315556395691504</v>
      </c>
      <c r="AD63">
        <v>0.53959666161683995</v>
      </c>
      <c r="AE63" s="8" t="str">
        <f t="shared" si="2"/>
        <v>2011-03-31</v>
      </c>
      <c r="AF63" s="9" t="str">
        <f t="shared" si="3"/>
        <v>3/31/2011</v>
      </c>
      <c r="AG63" s="8">
        <f t="shared" si="4"/>
        <v>0.59315556395691504</v>
      </c>
    </row>
    <row r="64" spans="1:33">
      <c r="A64" s="2">
        <f t="shared" si="9"/>
        <v>201209</v>
      </c>
      <c r="B64" s="12" t="s">
        <v>975</v>
      </c>
      <c r="C64" s="12">
        <v>0.91584710240533496</v>
      </c>
      <c r="D64" s="12">
        <v>0.895000652888853</v>
      </c>
      <c r="E64" s="8" t="str">
        <f t="shared" si="8"/>
        <v>2012-03-01</v>
      </c>
      <c r="H64" s="8">
        <f t="shared" si="0"/>
        <v>200842</v>
      </c>
      <c r="I64" s="13">
        <v>39738</v>
      </c>
      <c r="J64" s="12">
        <v>798</v>
      </c>
      <c r="K64" t="str">
        <f t="shared" si="5"/>
        <v>2008-10-17</v>
      </c>
      <c r="L64" s="3" t="e">
        <f t="shared" si="1"/>
        <v>#N/A</v>
      </c>
      <c r="AB64" t="s">
        <v>745</v>
      </c>
      <c r="AC64">
        <v>0.58635020807411298</v>
      </c>
      <c r="AD64">
        <v>0.52974513410801005</v>
      </c>
      <c r="AE64" s="8" t="str">
        <f t="shared" si="2"/>
        <v>2011-04-01</v>
      </c>
      <c r="AF64" s="9" t="str">
        <f t="shared" si="3"/>
        <v>4/1/2011</v>
      </c>
      <c r="AG64" s="8">
        <f t="shared" si="4"/>
        <v>0.58635020807411298</v>
      </c>
    </row>
    <row r="65" spans="1:33">
      <c r="A65" s="2">
        <f t="shared" si="9"/>
        <v>201210</v>
      </c>
      <c r="B65" s="12" t="s">
        <v>980</v>
      </c>
      <c r="C65" s="12">
        <v>0.91902765125865904</v>
      </c>
      <c r="D65" s="12">
        <v>0.895000652888853</v>
      </c>
      <c r="E65" s="8" t="str">
        <f t="shared" si="8"/>
        <v>2012-03-08</v>
      </c>
      <c r="H65" s="8">
        <f t="shared" si="0"/>
        <v>200843</v>
      </c>
      <c r="I65" s="13">
        <v>39745</v>
      </c>
      <c r="J65" s="12">
        <v>1135.5999999999999</v>
      </c>
      <c r="K65" t="str">
        <f t="shared" si="5"/>
        <v>2008-10-24</v>
      </c>
      <c r="L65" s="3" t="e">
        <f t="shared" si="1"/>
        <v>#N/A</v>
      </c>
      <c r="AB65" t="s">
        <v>746</v>
      </c>
      <c r="AC65">
        <v>0.58635020807411298</v>
      </c>
      <c r="AD65">
        <v>0.52974513410801005</v>
      </c>
      <c r="AE65" s="8" t="str">
        <f t="shared" si="2"/>
        <v>2011-04-04</v>
      </c>
      <c r="AF65" s="9" t="str">
        <f t="shared" si="3"/>
        <v>4/4/2011</v>
      </c>
      <c r="AG65" s="8">
        <f t="shared" si="4"/>
        <v>0.58635020807411298</v>
      </c>
    </row>
    <row r="66" spans="1:33">
      <c r="A66" s="2">
        <f t="shared" si="9"/>
        <v>201211</v>
      </c>
      <c r="B66" s="12" t="s">
        <v>985</v>
      </c>
      <c r="C66" s="12">
        <v>0.90514599034862198</v>
      </c>
      <c r="D66" s="12">
        <v>0.895000652888853</v>
      </c>
      <c r="E66" s="8" t="str">
        <f t="shared" si="8"/>
        <v>2012-03-15</v>
      </c>
      <c r="H66" s="8">
        <f t="shared" ref="H66:H129" si="10">WEEKNUM(I66)+100*YEAR(I66)</f>
        <v>200844</v>
      </c>
      <c r="I66" s="13">
        <v>39752</v>
      </c>
      <c r="J66" s="12">
        <v>688.8</v>
      </c>
      <c r="K66" t="str">
        <f t="shared" si="5"/>
        <v>2008-10-31</v>
      </c>
      <c r="L66" s="3" t="e">
        <f t="shared" ref="L66:L129" si="11">VLOOKUP(H66,$A$4:$C$218,3, FALSE)</f>
        <v>#N/A</v>
      </c>
      <c r="AB66" t="s">
        <v>747</v>
      </c>
      <c r="AC66">
        <v>0.58635020807411298</v>
      </c>
      <c r="AD66">
        <v>0.52974513410801005</v>
      </c>
      <c r="AE66" s="8" t="str">
        <f t="shared" ref="AE66:AE129" si="12">MID(AB66,2,10)</f>
        <v>2011-04-05</v>
      </c>
      <c r="AF66" s="9" t="str">
        <f t="shared" ref="AF66:AF129" si="13">TEXT(AE66,"m/d/yyyy")</f>
        <v>4/5/2011</v>
      </c>
      <c r="AG66" s="8">
        <f t="shared" ref="AG66:AG129" si="14">AC66</f>
        <v>0.58635020807411298</v>
      </c>
    </row>
    <row r="67" spans="1:33">
      <c r="A67" s="2">
        <f t="shared" si="9"/>
        <v>201212</v>
      </c>
      <c r="B67" s="12" t="s">
        <v>990</v>
      </c>
      <c r="C67" s="12">
        <v>0.78959380464288298</v>
      </c>
      <c r="D67" s="12">
        <v>0.81610794501974704</v>
      </c>
      <c r="E67" s="8" t="str">
        <f t="shared" si="8"/>
        <v>2012-03-22</v>
      </c>
      <c r="H67" s="8">
        <f t="shared" si="10"/>
        <v>200845</v>
      </c>
      <c r="I67" s="13">
        <v>39759</v>
      </c>
      <c r="J67" s="12">
        <v>907.7</v>
      </c>
      <c r="K67" t="str">
        <f t="shared" ref="K67:K130" si="15">TEXT(I67,"yyyy-mm-dd")</f>
        <v>2008-11-07</v>
      </c>
      <c r="L67" s="3" t="e">
        <f t="shared" si="11"/>
        <v>#N/A</v>
      </c>
      <c r="AB67" t="s">
        <v>748</v>
      </c>
      <c r="AC67">
        <v>0.58635020807411298</v>
      </c>
      <c r="AD67">
        <v>0.52974513410801005</v>
      </c>
      <c r="AE67" s="8" t="str">
        <f t="shared" si="12"/>
        <v>2011-04-06</v>
      </c>
      <c r="AF67" s="9" t="str">
        <f t="shared" si="13"/>
        <v>4/6/2011</v>
      </c>
      <c r="AG67" s="8">
        <f t="shared" si="14"/>
        <v>0.58635020807411298</v>
      </c>
    </row>
    <row r="68" spans="1:33">
      <c r="A68" s="2">
        <f t="shared" si="9"/>
        <v>201213</v>
      </c>
      <c r="B68" s="12" t="s">
        <v>995</v>
      </c>
      <c r="C68" s="12">
        <v>0.87490910290764401</v>
      </c>
      <c r="D68" s="12">
        <v>0.87861592060091498</v>
      </c>
      <c r="E68" s="8" t="str">
        <f t="shared" si="8"/>
        <v>2012-03-29</v>
      </c>
      <c r="H68" s="8">
        <f t="shared" si="10"/>
        <v>200846</v>
      </c>
      <c r="I68" s="13">
        <v>39766</v>
      </c>
      <c r="J68" s="12">
        <v>927.3</v>
      </c>
      <c r="K68" t="str">
        <f t="shared" si="15"/>
        <v>2008-11-14</v>
      </c>
      <c r="L68" s="3" t="e">
        <f t="shared" si="11"/>
        <v>#N/A</v>
      </c>
      <c r="AB68" t="s">
        <v>749</v>
      </c>
      <c r="AC68">
        <v>0.58532491615437798</v>
      </c>
      <c r="AD68">
        <v>0.52974513410801005</v>
      </c>
      <c r="AE68" s="8" t="str">
        <f t="shared" si="12"/>
        <v>2011-04-07</v>
      </c>
      <c r="AF68" s="9" t="str">
        <f t="shared" si="13"/>
        <v>4/7/2011</v>
      </c>
      <c r="AG68" s="8">
        <f t="shared" si="14"/>
        <v>0.58532491615437798</v>
      </c>
    </row>
    <row r="69" spans="1:33">
      <c r="A69" s="2">
        <f t="shared" si="9"/>
        <v>201214</v>
      </c>
      <c r="B69" s="12" t="s">
        <v>6</v>
      </c>
      <c r="C69" s="12">
        <v>0.86928745494692705</v>
      </c>
      <c r="D69" s="12">
        <v>0.86207936315662104</v>
      </c>
      <c r="E69" s="8" t="str">
        <f t="shared" ref="E69:E132" si="16">MID(B69,2,10)</f>
        <v>2012-04-05</v>
      </c>
      <c r="H69" s="8">
        <f t="shared" si="10"/>
        <v>200847</v>
      </c>
      <c r="I69" s="13">
        <v>39773</v>
      </c>
      <c r="J69" s="12">
        <v>896.8</v>
      </c>
      <c r="K69" t="str">
        <f t="shared" si="15"/>
        <v>2008-11-21</v>
      </c>
      <c r="L69" s="3" t="e">
        <f t="shared" si="11"/>
        <v>#N/A</v>
      </c>
      <c r="AB69" t="s">
        <v>750</v>
      </c>
      <c r="AC69">
        <v>0.58635020807411298</v>
      </c>
      <c r="AD69">
        <v>0.52974513410801005</v>
      </c>
      <c r="AE69" s="8" t="str">
        <f t="shared" si="12"/>
        <v>2011-04-08</v>
      </c>
      <c r="AF69" s="9" t="str">
        <f t="shared" si="13"/>
        <v>4/8/2011</v>
      </c>
      <c r="AG69" s="8">
        <f t="shared" si="14"/>
        <v>0.58635020807411298</v>
      </c>
    </row>
    <row r="70" spans="1:33">
      <c r="A70" s="2">
        <f t="shared" si="9"/>
        <v>201215</v>
      </c>
      <c r="B70" s="12" t="s">
        <v>11</v>
      </c>
      <c r="C70" s="12">
        <v>0.90849340717481797</v>
      </c>
      <c r="D70" s="12">
        <v>0.87832051991835203</v>
      </c>
      <c r="E70" s="8" t="str">
        <f t="shared" si="16"/>
        <v>2012-04-12</v>
      </c>
      <c r="H70" s="8">
        <f t="shared" si="10"/>
        <v>200848</v>
      </c>
      <c r="I70" s="13">
        <v>39780</v>
      </c>
      <c r="J70" s="12">
        <v>3552.9</v>
      </c>
      <c r="K70" t="str">
        <f t="shared" si="15"/>
        <v>2008-11-28</v>
      </c>
      <c r="L70" s="3" t="e">
        <f t="shared" si="11"/>
        <v>#N/A</v>
      </c>
      <c r="AB70" t="s">
        <v>751</v>
      </c>
      <c r="AC70">
        <v>0.58532491615437798</v>
      </c>
      <c r="AD70">
        <v>0.52974513410801005</v>
      </c>
      <c r="AE70" s="8" t="str">
        <f t="shared" si="12"/>
        <v>2011-04-11</v>
      </c>
      <c r="AF70" s="9" t="str">
        <f t="shared" si="13"/>
        <v>4/11/2011</v>
      </c>
      <c r="AG70" s="8">
        <f t="shared" si="14"/>
        <v>0.58532491615437798</v>
      </c>
    </row>
    <row r="71" spans="1:33">
      <c r="A71" s="2">
        <f t="shared" si="9"/>
        <v>201216</v>
      </c>
      <c r="B71" s="12" t="s">
        <v>16</v>
      </c>
      <c r="C71" s="12">
        <v>0.90349839031693802</v>
      </c>
      <c r="D71" s="12">
        <v>0.87832051991835203</v>
      </c>
      <c r="E71" s="8" t="str">
        <f t="shared" si="16"/>
        <v>2012-04-19</v>
      </c>
      <c r="H71" s="8">
        <f t="shared" si="10"/>
        <v>200849</v>
      </c>
      <c r="I71" s="13">
        <v>39787</v>
      </c>
      <c r="J71" s="12">
        <v>3591.6</v>
      </c>
      <c r="K71" t="str">
        <f t="shared" si="15"/>
        <v>2008-12-05</v>
      </c>
      <c r="L71" s="3" t="e">
        <f t="shared" si="11"/>
        <v>#N/A</v>
      </c>
      <c r="AB71" t="s">
        <v>752</v>
      </c>
      <c r="AC71">
        <v>0.58532491615437798</v>
      </c>
      <c r="AD71">
        <v>0.52974513410801005</v>
      </c>
      <c r="AE71" s="8" t="str">
        <f t="shared" si="12"/>
        <v>2011-04-12</v>
      </c>
      <c r="AF71" s="9" t="str">
        <f t="shared" si="13"/>
        <v>4/12/2011</v>
      </c>
      <c r="AG71" s="8">
        <f t="shared" si="14"/>
        <v>0.58532491615437798</v>
      </c>
    </row>
    <row r="72" spans="1:33">
      <c r="A72" s="2">
        <f t="shared" si="9"/>
        <v>201217</v>
      </c>
      <c r="B72" s="12" t="s">
        <v>21</v>
      </c>
      <c r="C72" s="12">
        <v>0.90849340717481797</v>
      </c>
      <c r="D72" s="12">
        <v>0.87832051991835203</v>
      </c>
      <c r="E72" s="8" t="str">
        <f t="shared" si="16"/>
        <v>2012-04-26</v>
      </c>
      <c r="H72" s="8">
        <f t="shared" si="10"/>
        <v>200850</v>
      </c>
      <c r="I72" s="13">
        <v>39794</v>
      </c>
      <c r="J72" s="12">
        <v>4013.2</v>
      </c>
      <c r="K72" t="str">
        <f t="shared" si="15"/>
        <v>2008-12-12</v>
      </c>
      <c r="L72" s="3" t="e">
        <f t="shared" si="11"/>
        <v>#N/A</v>
      </c>
      <c r="AB72" t="s">
        <v>753</v>
      </c>
      <c r="AC72">
        <v>0.58532491615437798</v>
      </c>
      <c r="AD72">
        <v>0.52974513410801005</v>
      </c>
      <c r="AE72" s="8" t="str">
        <f t="shared" si="12"/>
        <v>2011-04-13</v>
      </c>
      <c r="AF72" s="9" t="str">
        <f t="shared" si="13"/>
        <v>4/13/2011</v>
      </c>
      <c r="AG72" s="8">
        <f t="shared" si="14"/>
        <v>0.58532491615437798</v>
      </c>
    </row>
    <row r="73" spans="1:33">
      <c r="A73" s="2">
        <f t="shared" si="9"/>
        <v>201218</v>
      </c>
      <c r="B73" s="12" t="s">
        <v>26</v>
      </c>
      <c r="C73" s="12">
        <v>0.89225108632442696</v>
      </c>
      <c r="D73" s="12">
        <v>0.85500521260680595</v>
      </c>
      <c r="E73" s="8" t="str">
        <f t="shared" si="16"/>
        <v>2012-05-03</v>
      </c>
      <c r="H73" s="8">
        <f t="shared" si="10"/>
        <v>200851</v>
      </c>
      <c r="I73" s="13">
        <v>39801</v>
      </c>
      <c r="J73" s="12">
        <v>7098.9</v>
      </c>
      <c r="K73" t="str">
        <f t="shared" si="15"/>
        <v>2008-12-19</v>
      </c>
      <c r="L73" s="3" t="e">
        <f t="shared" si="11"/>
        <v>#N/A</v>
      </c>
      <c r="AB73" t="s">
        <v>754</v>
      </c>
      <c r="AC73">
        <v>0.56791099107998699</v>
      </c>
      <c r="AD73">
        <v>0.52974513410801005</v>
      </c>
      <c r="AE73" s="8" t="str">
        <f t="shared" si="12"/>
        <v>2011-04-14</v>
      </c>
      <c r="AF73" s="9" t="str">
        <f t="shared" si="13"/>
        <v>4/14/2011</v>
      </c>
      <c r="AG73" s="8">
        <f t="shared" si="14"/>
        <v>0.56791099107998699</v>
      </c>
    </row>
    <row r="74" spans="1:33">
      <c r="A74" s="2">
        <f t="shared" si="9"/>
        <v>201219</v>
      </c>
      <c r="B74" s="12" t="s">
        <v>31</v>
      </c>
      <c r="C74" s="12">
        <v>0.89337268606647202</v>
      </c>
      <c r="D74" s="12">
        <v>0.87637065206662002</v>
      </c>
      <c r="E74" s="8" t="str">
        <f t="shared" si="16"/>
        <v>2012-05-10</v>
      </c>
      <c r="H74" s="8">
        <f t="shared" si="10"/>
        <v>200852</v>
      </c>
      <c r="I74" s="13">
        <v>39808</v>
      </c>
      <c r="J74" s="12">
        <v>7132.7</v>
      </c>
      <c r="K74" t="str">
        <f t="shared" si="15"/>
        <v>2008-12-26</v>
      </c>
      <c r="L74" s="3" t="e">
        <f t="shared" si="11"/>
        <v>#N/A</v>
      </c>
      <c r="AB74" t="s">
        <v>755</v>
      </c>
      <c r="AC74">
        <v>0.56791099107998699</v>
      </c>
      <c r="AD74">
        <v>0.52974513410801005</v>
      </c>
      <c r="AE74" s="8" t="str">
        <f t="shared" si="12"/>
        <v>2011-04-15</v>
      </c>
      <c r="AF74" s="9" t="str">
        <f t="shared" si="13"/>
        <v>4/15/2011</v>
      </c>
      <c r="AG74" s="8">
        <f t="shared" si="14"/>
        <v>0.56791099107998699</v>
      </c>
    </row>
    <row r="75" spans="1:33">
      <c r="A75" s="2">
        <f t="shared" si="9"/>
        <v>201220</v>
      </c>
      <c r="B75" s="12" t="s">
        <v>36</v>
      </c>
      <c r="C75" s="12">
        <v>0.89489979671430897</v>
      </c>
      <c r="D75" s="12">
        <v>0.89867761026928294</v>
      </c>
      <c r="E75" s="8" t="str">
        <f t="shared" si="16"/>
        <v>2012-05-17</v>
      </c>
      <c r="H75" s="8">
        <f t="shared" si="10"/>
        <v>200901</v>
      </c>
      <c r="I75" s="13">
        <v>39815</v>
      </c>
      <c r="J75" s="12">
        <v>6060.5</v>
      </c>
      <c r="K75" t="str">
        <f t="shared" si="15"/>
        <v>2009-01-02</v>
      </c>
      <c r="L75" s="3" t="e">
        <f t="shared" si="11"/>
        <v>#N/A</v>
      </c>
      <c r="AB75" t="s">
        <v>756</v>
      </c>
      <c r="AC75">
        <v>0.56791099107998699</v>
      </c>
      <c r="AD75">
        <v>0.52974513410801005</v>
      </c>
      <c r="AE75" s="8" t="str">
        <f t="shared" si="12"/>
        <v>2011-04-18</v>
      </c>
      <c r="AF75" s="9" t="str">
        <f t="shared" si="13"/>
        <v>4/18/2011</v>
      </c>
      <c r="AG75" s="8">
        <f t="shared" si="14"/>
        <v>0.56791099107998699</v>
      </c>
    </row>
    <row r="76" spans="1:33">
      <c r="A76" s="2">
        <f t="shared" si="9"/>
        <v>201221</v>
      </c>
      <c r="B76" s="12" t="s">
        <v>41</v>
      </c>
      <c r="C76" s="12">
        <v>0.89443957907281701</v>
      </c>
      <c r="D76" s="12">
        <v>0.89867761026928294</v>
      </c>
      <c r="E76" s="8" t="str">
        <f t="shared" si="16"/>
        <v>2012-05-24</v>
      </c>
      <c r="H76" s="8">
        <f t="shared" si="10"/>
        <v>200902</v>
      </c>
      <c r="I76" s="13">
        <v>39822</v>
      </c>
      <c r="J76" s="12">
        <v>7842.7</v>
      </c>
      <c r="K76" t="str">
        <f t="shared" si="15"/>
        <v>2009-01-09</v>
      </c>
      <c r="L76" s="3" t="e">
        <f t="shared" si="11"/>
        <v>#N/A</v>
      </c>
      <c r="AB76" t="s">
        <v>757</v>
      </c>
      <c r="AC76">
        <v>0.56791099107998699</v>
      </c>
      <c r="AD76">
        <v>0.52974513410801005</v>
      </c>
      <c r="AE76" s="8" t="str">
        <f t="shared" si="12"/>
        <v>2011-04-19</v>
      </c>
      <c r="AF76" s="9" t="str">
        <f t="shared" si="13"/>
        <v>4/19/2011</v>
      </c>
      <c r="AG76" s="8">
        <f t="shared" si="14"/>
        <v>0.56791099107998699</v>
      </c>
    </row>
    <row r="77" spans="1:33">
      <c r="A77" s="2">
        <f t="shared" si="9"/>
        <v>201222</v>
      </c>
      <c r="B77" s="12" t="s">
        <v>45</v>
      </c>
      <c r="C77" s="12">
        <v>0.895121220846959</v>
      </c>
      <c r="D77" s="12">
        <v>0.89867761026928294</v>
      </c>
      <c r="E77" s="8" t="str">
        <f t="shared" si="16"/>
        <v>2012-05-31</v>
      </c>
      <c r="H77" s="8">
        <f t="shared" si="10"/>
        <v>200903</v>
      </c>
      <c r="I77" s="13">
        <v>39829</v>
      </c>
      <c r="J77" s="12">
        <v>6768.6</v>
      </c>
      <c r="K77" t="str">
        <f t="shared" si="15"/>
        <v>2009-01-16</v>
      </c>
      <c r="L77" s="3" t="e">
        <f t="shared" si="11"/>
        <v>#N/A</v>
      </c>
      <c r="AB77" t="s">
        <v>758</v>
      </c>
      <c r="AC77">
        <v>0.56791099107998699</v>
      </c>
      <c r="AD77">
        <v>0.52974513410801005</v>
      </c>
      <c r="AE77" s="8" t="str">
        <f t="shared" si="12"/>
        <v>2011-04-20</v>
      </c>
      <c r="AF77" s="9" t="str">
        <f t="shared" si="13"/>
        <v>4/20/2011</v>
      </c>
      <c r="AG77" s="8">
        <f t="shared" si="14"/>
        <v>0.56791099107998699</v>
      </c>
    </row>
    <row r="78" spans="1:33">
      <c r="A78" s="2">
        <f t="shared" si="9"/>
        <v>201223</v>
      </c>
      <c r="B78" s="12" t="s">
        <v>50</v>
      </c>
      <c r="C78" s="12">
        <v>0.89201954495855595</v>
      </c>
      <c r="D78" s="12">
        <v>0.99958558352539695</v>
      </c>
      <c r="E78" s="8" t="str">
        <f t="shared" si="16"/>
        <v>2012-06-07</v>
      </c>
      <c r="H78" s="8">
        <f t="shared" si="10"/>
        <v>200904</v>
      </c>
      <c r="I78" s="13">
        <v>39836</v>
      </c>
      <c r="J78" s="12">
        <v>3300.6</v>
      </c>
      <c r="K78" t="str">
        <f t="shared" si="15"/>
        <v>2009-01-23</v>
      </c>
      <c r="L78" s="3" t="e">
        <f t="shared" si="11"/>
        <v>#N/A</v>
      </c>
      <c r="AB78" t="s">
        <v>759</v>
      </c>
      <c r="AC78">
        <v>0.59349339985189797</v>
      </c>
      <c r="AD78">
        <v>0.53944483941175003</v>
      </c>
      <c r="AE78" s="8" t="str">
        <f t="shared" si="12"/>
        <v>2011-04-21</v>
      </c>
      <c r="AF78" s="9" t="str">
        <f t="shared" si="13"/>
        <v>4/21/2011</v>
      </c>
      <c r="AG78" s="8">
        <f t="shared" si="14"/>
        <v>0.59349339985189797</v>
      </c>
    </row>
    <row r="79" spans="1:33">
      <c r="A79" s="2">
        <f t="shared" si="9"/>
        <v>201224</v>
      </c>
      <c r="B79" s="12" t="s">
        <v>55</v>
      </c>
      <c r="C79" s="12">
        <v>0.886674497978159</v>
      </c>
      <c r="D79" s="12">
        <v>0.93682363320593298</v>
      </c>
      <c r="E79" s="8" t="str">
        <f t="shared" si="16"/>
        <v>2012-06-14</v>
      </c>
      <c r="H79" s="8">
        <f t="shared" si="10"/>
        <v>200905</v>
      </c>
      <c r="I79" s="13">
        <v>39843</v>
      </c>
      <c r="J79" s="12">
        <v>3871.3</v>
      </c>
      <c r="K79" t="str">
        <f t="shared" si="15"/>
        <v>2009-01-30</v>
      </c>
      <c r="L79" s="3" t="e">
        <f t="shared" si="11"/>
        <v>#N/A</v>
      </c>
      <c r="AB79" t="s">
        <v>760</v>
      </c>
      <c r="AC79">
        <v>0.59349339985189797</v>
      </c>
      <c r="AD79">
        <v>0.53944483941175003</v>
      </c>
      <c r="AE79" s="8" t="str">
        <f t="shared" si="12"/>
        <v>2011-04-25</v>
      </c>
      <c r="AF79" s="9" t="str">
        <f t="shared" si="13"/>
        <v>4/25/2011</v>
      </c>
      <c r="AG79" s="8">
        <f t="shared" si="14"/>
        <v>0.59349339985189797</v>
      </c>
    </row>
    <row r="80" spans="1:33">
      <c r="A80" s="2">
        <f t="shared" si="9"/>
        <v>201225</v>
      </c>
      <c r="B80" s="12" t="s">
        <v>60</v>
      </c>
      <c r="C80" s="12">
        <v>0.89407594990163797</v>
      </c>
      <c r="D80" s="12">
        <v>0.99958558352539695</v>
      </c>
      <c r="E80" s="8" t="str">
        <f t="shared" si="16"/>
        <v>2012-06-21</v>
      </c>
      <c r="H80" s="8">
        <f t="shared" si="10"/>
        <v>200906</v>
      </c>
      <c r="I80" s="13">
        <v>39850</v>
      </c>
      <c r="J80" s="12">
        <v>2611.1</v>
      </c>
      <c r="K80" t="str">
        <f t="shared" si="15"/>
        <v>2009-02-06</v>
      </c>
      <c r="L80" s="3" t="e">
        <f t="shared" si="11"/>
        <v>#N/A</v>
      </c>
      <c r="AB80" t="s">
        <v>761</v>
      </c>
      <c r="AC80">
        <v>0.59349339985189797</v>
      </c>
      <c r="AD80">
        <v>0.53944483941175003</v>
      </c>
      <c r="AE80" s="8" t="str">
        <f t="shared" si="12"/>
        <v>2011-04-26</v>
      </c>
      <c r="AF80" s="9" t="str">
        <f t="shared" si="13"/>
        <v>4/26/2011</v>
      </c>
      <c r="AG80" s="8">
        <f t="shared" si="14"/>
        <v>0.59349339985189797</v>
      </c>
    </row>
    <row r="81" spans="1:33">
      <c r="A81" s="2">
        <f t="shared" si="9"/>
        <v>201226</v>
      </c>
      <c r="B81" s="12" t="s">
        <v>65</v>
      </c>
      <c r="C81" s="12">
        <v>0.89407594990163797</v>
      </c>
      <c r="D81" s="12">
        <v>0.99958558352539695</v>
      </c>
      <c r="E81" s="8" t="str">
        <f t="shared" si="16"/>
        <v>2012-06-28</v>
      </c>
      <c r="H81" s="8">
        <f t="shared" si="10"/>
        <v>200907</v>
      </c>
      <c r="I81" s="13">
        <v>39857</v>
      </c>
      <c r="J81" s="12">
        <v>4564.5</v>
      </c>
      <c r="K81" t="str">
        <f t="shared" si="15"/>
        <v>2009-02-13</v>
      </c>
      <c r="L81" s="3" t="e">
        <f t="shared" si="11"/>
        <v>#N/A</v>
      </c>
      <c r="AB81" t="s">
        <v>762</v>
      </c>
      <c r="AC81">
        <v>0.59349339985189797</v>
      </c>
      <c r="AD81">
        <v>0.53944483941175003</v>
      </c>
      <c r="AE81" s="8" t="str">
        <f t="shared" si="12"/>
        <v>2011-04-27</v>
      </c>
      <c r="AF81" s="9" t="str">
        <f t="shared" si="13"/>
        <v>4/27/2011</v>
      </c>
      <c r="AG81" s="8">
        <f t="shared" si="14"/>
        <v>0.59349339985189797</v>
      </c>
    </row>
    <row r="82" spans="1:33">
      <c r="A82" s="2">
        <f t="shared" si="9"/>
        <v>201227</v>
      </c>
      <c r="B82" s="12" t="s">
        <v>69</v>
      </c>
      <c r="C82" s="12">
        <v>0.88191141048608501</v>
      </c>
      <c r="D82" s="12">
        <v>0.98422936854987297</v>
      </c>
      <c r="E82" s="8" t="str">
        <f t="shared" si="16"/>
        <v>2012-07-05</v>
      </c>
      <c r="H82" s="8">
        <f t="shared" si="10"/>
        <v>200908</v>
      </c>
      <c r="I82" s="13">
        <v>39864</v>
      </c>
      <c r="J82" s="12">
        <v>3531.5</v>
      </c>
      <c r="K82" t="str">
        <f t="shared" si="15"/>
        <v>2009-02-20</v>
      </c>
      <c r="L82" s="3" t="e">
        <f t="shared" si="11"/>
        <v>#N/A</v>
      </c>
      <c r="AB82" t="s">
        <v>763</v>
      </c>
      <c r="AC82">
        <v>0.594306088776824</v>
      </c>
      <c r="AD82">
        <v>0.53944483941175003</v>
      </c>
      <c r="AE82" s="8" t="str">
        <f t="shared" si="12"/>
        <v>2011-04-28</v>
      </c>
      <c r="AF82" s="9" t="str">
        <f t="shared" si="13"/>
        <v>4/28/2011</v>
      </c>
      <c r="AG82" s="8">
        <f t="shared" si="14"/>
        <v>0.594306088776824</v>
      </c>
    </row>
    <row r="83" spans="1:33">
      <c r="A83" s="2">
        <f t="shared" si="9"/>
        <v>201228</v>
      </c>
      <c r="B83" s="12" t="s">
        <v>74</v>
      </c>
      <c r="C83" s="12">
        <v>0.94551237246929398</v>
      </c>
      <c r="D83" s="12">
        <v>0.98422936854987297</v>
      </c>
      <c r="E83" s="8" t="str">
        <f t="shared" si="16"/>
        <v>2012-07-12</v>
      </c>
      <c r="H83" s="8">
        <f t="shared" si="10"/>
        <v>200909</v>
      </c>
      <c r="I83" s="13">
        <v>39871</v>
      </c>
      <c r="J83" s="12">
        <v>2945.5</v>
      </c>
      <c r="K83" t="str">
        <f t="shared" si="15"/>
        <v>2009-02-27</v>
      </c>
      <c r="L83" s="3" t="e">
        <f t="shared" si="11"/>
        <v>#N/A</v>
      </c>
      <c r="AB83" t="s">
        <v>764</v>
      </c>
      <c r="AC83">
        <v>0.59349339985189797</v>
      </c>
      <c r="AD83">
        <v>0.53944483941175003</v>
      </c>
      <c r="AE83" s="8" t="str">
        <f t="shared" si="12"/>
        <v>2011-04-29</v>
      </c>
      <c r="AF83" s="9" t="str">
        <f t="shared" si="13"/>
        <v>4/29/2011</v>
      </c>
      <c r="AG83" s="8">
        <f t="shared" si="14"/>
        <v>0.59349339985189797</v>
      </c>
    </row>
    <row r="84" spans="1:33">
      <c r="A84" s="2">
        <f t="shared" si="9"/>
        <v>201229</v>
      </c>
      <c r="B84" s="12" t="s">
        <v>79</v>
      </c>
      <c r="C84" s="12">
        <v>0.97186924857157997</v>
      </c>
      <c r="D84" s="12">
        <v>0.99946935696259598</v>
      </c>
      <c r="E84" s="8" t="str">
        <f t="shared" si="16"/>
        <v>2012-07-19</v>
      </c>
      <c r="H84" s="8">
        <f t="shared" si="10"/>
        <v>200910</v>
      </c>
      <c r="I84" s="13">
        <v>39878</v>
      </c>
      <c r="J84" s="12">
        <v>3352.8</v>
      </c>
      <c r="K84" t="str">
        <f t="shared" si="15"/>
        <v>2009-03-06</v>
      </c>
      <c r="L84" s="3" t="e">
        <f t="shared" si="11"/>
        <v>#N/A</v>
      </c>
      <c r="AB84" t="s">
        <v>765</v>
      </c>
      <c r="AC84">
        <v>0.58827706720942596</v>
      </c>
      <c r="AD84">
        <v>0.53054282495850302</v>
      </c>
      <c r="AE84" s="8" t="str">
        <f t="shared" si="12"/>
        <v>2011-05-02</v>
      </c>
      <c r="AF84" s="9" t="str">
        <f t="shared" si="13"/>
        <v>5/2/2011</v>
      </c>
      <c r="AG84" s="8">
        <f t="shared" si="14"/>
        <v>0.58827706720942596</v>
      </c>
    </row>
    <row r="85" spans="1:33">
      <c r="A85" s="2">
        <f t="shared" si="9"/>
        <v>201230</v>
      </c>
      <c r="B85" s="12" t="s">
        <v>84</v>
      </c>
      <c r="C85" s="12">
        <v>0.98451993370244095</v>
      </c>
      <c r="D85" s="12">
        <v>0.99946935696259598</v>
      </c>
      <c r="E85" s="8" t="str">
        <f t="shared" si="16"/>
        <v>2012-07-26</v>
      </c>
      <c r="H85" s="8">
        <f t="shared" si="10"/>
        <v>200911</v>
      </c>
      <c r="I85" s="13">
        <v>39885</v>
      </c>
      <c r="J85" s="12">
        <v>4428.1000000000004</v>
      </c>
      <c r="K85" t="str">
        <f t="shared" si="15"/>
        <v>2009-03-13</v>
      </c>
      <c r="L85" s="3" t="e">
        <f t="shared" si="11"/>
        <v>#N/A</v>
      </c>
      <c r="AB85" t="s">
        <v>766</v>
      </c>
      <c r="AC85">
        <v>0.58827706720942596</v>
      </c>
      <c r="AD85">
        <v>0.53054282495850302</v>
      </c>
      <c r="AE85" s="8" t="str">
        <f t="shared" si="12"/>
        <v>2011-05-03</v>
      </c>
      <c r="AF85" s="9" t="str">
        <f t="shared" si="13"/>
        <v>5/3/2011</v>
      </c>
      <c r="AG85" s="8">
        <f t="shared" si="14"/>
        <v>0.58827706720942596</v>
      </c>
    </row>
    <row r="86" spans="1:33">
      <c r="A86" s="2">
        <f t="shared" si="9"/>
        <v>201231</v>
      </c>
      <c r="B86" s="12" t="s">
        <v>89</v>
      </c>
      <c r="C86" s="12">
        <v>0.93852225394978095</v>
      </c>
      <c r="D86" s="12">
        <v>0.95794218428734701</v>
      </c>
      <c r="E86" s="8" t="str">
        <f t="shared" si="16"/>
        <v>2012-08-02</v>
      </c>
      <c r="H86" s="8">
        <f t="shared" si="10"/>
        <v>200912</v>
      </c>
      <c r="I86" s="13">
        <v>39892</v>
      </c>
      <c r="J86" s="12">
        <v>6374.7</v>
      </c>
      <c r="K86" t="str">
        <f t="shared" si="15"/>
        <v>2009-03-20</v>
      </c>
      <c r="L86" s="3" t="e">
        <f t="shared" si="11"/>
        <v>#N/A</v>
      </c>
      <c r="AB86" t="s">
        <v>767</v>
      </c>
      <c r="AC86">
        <v>0.58827706720942596</v>
      </c>
      <c r="AD86">
        <v>0.53054282495850302</v>
      </c>
      <c r="AE86" s="8" t="str">
        <f t="shared" si="12"/>
        <v>2011-05-04</v>
      </c>
      <c r="AF86" s="9" t="str">
        <f t="shared" si="13"/>
        <v>5/4/2011</v>
      </c>
      <c r="AG86" s="8">
        <f t="shared" si="14"/>
        <v>0.58827706720942596</v>
      </c>
    </row>
    <row r="87" spans="1:33">
      <c r="A87" s="2">
        <f t="shared" si="9"/>
        <v>201232</v>
      </c>
      <c r="B87" s="12" t="s">
        <v>94</v>
      </c>
      <c r="C87" s="12">
        <v>0.92408794393225502</v>
      </c>
      <c r="D87" s="12">
        <v>0.95794218428734701</v>
      </c>
      <c r="E87" s="8" t="str">
        <f t="shared" si="16"/>
        <v>2012-08-09</v>
      </c>
      <c r="H87" s="8">
        <f t="shared" si="10"/>
        <v>200913</v>
      </c>
      <c r="I87" s="13">
        <v>39899</v>
      </c>
      <c r="J87" s="12">
        <v>6522</v>
      </c>
      <c r="K87" t="str">
        <f t="shared" si="15"/>
        <v>2009-03-27</v>
      </c>
      <c r="L87" s="3" t="e">
        <f t="shared" si="11"/>
        <v>#N/A</v>
      </c>
      <c r="AB87" t="s">
        <v>768</v>
      </c>
      <c r="AC87">
        <v>0.59388944935877797</v>
      </c>
      <c r="AD87">
        <v>0.56321713725116995</v>
      </c>
      <c r="AE87" s="8" t="str">
        <f t="shared" si="12"/>
        <v>2011-05-05</v>
      </c>
      <c r="AF87" s="9" t="str">
        <f t="shared" si="13"/>
        <v>5/5/2011</v>
      </c>
      <c r="AG87" s="8">
        <f t="shared" si="14"/>
        <v>0.59388944935877797</v>
      </c>
    </row>
    <row r="88" spans="1:33">
      <c r="A88" s="2">
        <f t="shared" ref="A88:A151" si="17">WEEKNUM(E88)+YEAR(E88)*100</f>
        <v>201233</v>
      </c>
      <c r="B88" s="12" t="s">
        <v>99</v>
      </c>
      <c r="C88" s="12">
        <v>0.88445471641937101</v>
      </c>
      <c r="D88" s="12">
        <v>0.95794218428734701</v>
      </c>
      <c r="E88" s="8" t="str">
        <f t="shared" si="16"/>
        <v>2012-08-16</v>
      </c>
      <c r="H88" s="8">
        <f t="shared" si="10"/>
        <v>200914</v>
      </c>
      <c r="I88" s="13">
        <v>39906</v>
      </c>
      <c r="J88" s="12">
        <v>6734.2</v>
      </c>
      <c r="K88" t="str">
        <f t="shared" si="15"/>
        <v>2009-04-03</v>
      </c>
      <c r="L88" s="3" t="e">
        <f t="shared" si="11"/>
        <v>#N/A</v>
      </c>
      <c r="AB88" t="s">
        <v>769</v>
      </c>
      <c r="AC88">
        <v>0.58827706720942596</v>
      </c>
      <c r="AD88">
        <v>0.53054282495850302</v>
      </c>
      <c r="AE88" s="8" t="str">
        <f t="shared" si="12"/>
        <v>2011-05-06</v>
      </c>
      <c r="AF88" s="9" t="str">
        <f t="shared" si="13"/>
        <v>5/6/2011</v>
      </c>
      <c r="AG88" s="8">
        <f t="shared" si="14"/>
        <v>0.58827706720942596</v>
      </c>
    </row>
    <row r="89" spans="1:33">
      <c r="A89" s="2">
        <f t="shared" si="17"/>
        <v>201234</v>
      </c>
      <c r="B89" s="12" t="s">
        <v>104</v>
      </c>
      <c r="C89" s="12">
        <v>0.85694996797233802</v>
      </c>
      <c r="D89" s="12">
        <v>0.95794218428734701</v>
      </c>
      <c r="E89" s="8" t="str">
        <f t="shared" si="16"/>
        <v>2012-08-23</v>
      </c>
      <c r="H89" s="8">
        <f t="shared" si="10"/>
        <v>200915</v>
      </c>
      <c r="I89" s="13">
        <v>39913</v>
      </c>
      <c r="J89" s="12">
        <v>6127.3</v>
      </c>
      <c r="K89" t="str">
        <f t="shared" si="15"/>
        <v>2009-04-10</v>
      </c>
      <c r="L89" s="3" t="e">
        <f t="shared" si="11"/>
        <v>#N/A</v>
      </c>
      <c r="AB89" t="s">
        <v>770</v>
      </c>
      <c r="AC89">
        <v>0.59388944935877797</v>
      </c>
      <c r="AD89">
        <v>0.56321713725116995</v>
      </c>
      <c r="AE89" s="8" t="str">
        <f t="shared" si="12"/>
        <v>2011-05-09</v>
      </c>
      <c r="AF89" s="9" t="str">
        <f t="shared" si="13"/>
        <v>5/9/2011</v>
      </c>
      <c r="AG89" s="8">
        <f t="shared" si="14"/>
        <v>0.59388944935877797</v>
      </c>
    </row>
    <row r="90" spans="1:33">
      <c r="A90" s="2">
        <f t="shared" si="17"/>
        <v>201235</v>
      </c>
      <c r="B90" s="12" t="s">
        <v>109</v>
      </c>
      <c r="C90" s="12">
        <v>0.92408794393225502</v>
      </c>
      <c r="D90" s="12">
        <v>0.95794218428734701</v>
      </c>
      <c r="E90" s="8" t="str">
        <f t="shared" si="16"/>
        <v>2012-08-30</v>
      </c>
      <c r="H90" s="8">
        <f t="shared" si="10"/>
        <v>200916</v>
      </c>
      <c r="I90" s="13">
        <v>39920</v>
      </c>
      <c r="J90" s="12">
        <v>6547.2</v>
      </c>
      <c r="K90" t="str">
        <f t="shared" si="15"/>
        <v>2009-04-17</v>
      </c>
      <c r="L90" s="3" t="e">
        <f t="shared" si="11"/>
        <v>#N/A</v>
      </c>
      <c r="AB90" t="s">
        <v>771</v>
      </c>
      <c r="AC90">
        <v>0.59388944935877797</v>
      </c>
      <c r="AD90">
        <v>0.56321713725116995</v>
      </c>
      <c r="AE90" s="8" t="str">
        <f t="shared" si="12"/>
        <v>2011-05-10</v>
      </c>
      <c r="AF90" s="9" t="str">
        <f t="shared" si="13"/>
        <v>5/10/2011</v>
      </c>
      <c r="AG90" s="8">
        <f t="shared" si="14"/>
        <v>0.59388944935877797</v>
      </c>
    </row>
    <row r="91" spans="1:33">
      <c r="A91" s="2">
        <f t="shared" si="17"/>
        <v>201236</v>
      </c>
      <c r="B91" s="12" t="s">
        <v>113</v>
      </c>
      <c r="C91" s="12">
        <v>0.91761037893987496</v>
      </c>
      <c r="D91" s="12">
        <v>0.92983121032378002</v>
      </c>
      <c r="E91" s="8" t="str">
        <f t="shared" si="16"/>
        <v>2012-09-06</v>
      </c>
      <c r="H91" s="8">
        <f t="shared" si="10"/>
        <v>200917</v>
      </c>
      <c r="I91" s="13">
        <v>39927</v>
      </c>
      <c r="J91" s="12">
        <v>4957.8999999999996</v>
      </c>
      <c r="K91" t="str">
        <f t="shared" si="15"/>
        <v>2009-04-24</v>
      </c>
      <c r="L91" s="3" t="e">
        <f t="shared" si="11"/>
        <v>#N/A</v>
      </c>
      <c r="AB91" t="s">
        <v>772</v>
      </c>
      <c r="AC91">
        <v>0.59388944935877797</v>
      </c>
      <c r="AD91">
        <v>0.56321713725116995</v>
      </c>
      <c r="AE91" s="8" t="str">
        <f t="shared" si="12"/>
        <v>2011-05-11</v>
      </c>
      <c r="AF91" s="9" t="str">
        <f t="shared" si="13"/>
        <v>5/11/2011</v>
      </c>
      <c r="AG91" s="8">
        <f t="shared" si="14"/>
        <v>0.59388944935877797</v>
      </c>
    </row>
    <row r="92" spans="1:33">
      <c r="A92" s="2">
        <f t="shared" si="17"/>
        <v>201237</v>
      </c>
      <c r="B92" s="12" t="s">
        <v>118</v>
      </c>
      <c r="C92" s="12">
        <v>0.940476462565773</v>
      </c>
      <c r="D92" s="12">
        <v>0.95393620317385897</v>
      </c>
      <c r="E92" s="8" t="str">
        <f t="shared" si="16"/>
        <v>2012-09-13</v>
      </c>
      <c r="H92" s="8">
        <f t="shared" si="10"/>
        <v>200918</v>
      </c>
      <c r="I92" s="13">
        <v>39934</v>
      </c>
      <c r="J92" s="12">
        <v>5084.2</v>
      </c>
      <c r="K92" t="str">
        <f t="shared" si="15"/>
        <v>2009-05-01</v>
      </c>
      <c r="L92" s="3" t="e">
        <f t="shared" si="11"/>
        <v>#N/A</v>
      </c>
      <c r="AB92" t="s">
        <v>773</v>
      </c>
      <c r="AC92">
        <v>0.60656839337259305</v>
      </c>
      <c r="AD92">
        <v>0.65730689383743901</v>
      </c>
      <c r="AE92" s="8" t="str">
        <f t="shared" si="12"/>
        <v>2011-05-12</v>
      </c>
      <c r="AF92" s="9" t="str">
        <f t="shared" si="13"/>
        <v>5/12/2011</v>
      </c>
      <c r="AG92" s="8">
        <f t="shared" si="14"/>
        <v>0.60656839337259305</v>
      </c>
    </row>
    <row r="93" spans="1:33">
      <c r="A93" s="2">
        <f t="shared" si="17"/>
        <v>201238</v>
      </c>
      <c r="B93" s="12" t="s">
        <v>123</v>
      </c>
      <c r="C93" s="12">
        <v>0.95891425076544701</v>
      </c>
      <c r="D93" s="12">
        <v>0.95393620317385897</v>
      </c>
      <c r="E93" s="8" t="str">
        <f t="shared" si="16"/>
        <v>2012-09-20</v>
      </c>
      <c r="H93" s="8">
        <f t="shared" si="10"/>
        <v>200919</v>
      </c>
      <c r="I93" s="13">
        <v>39941</v>
      </c>
      <c r="J93" s="12">
        <v>4353.1000000000004</v>
      </c>
      <c r="K93" t="str">
        <f t="shared" si="15"/>
        <v>2009-05-08</v>
      </c>
      <c r="L93" s="3" t="e">
        <f t="shared" si="11"/>
        <v>#N/A</v>
      </c>
      <c r="AB93" t="s">
        <v>774</v>
      </c>
      <c r="AC93">
        <v>0.60656839337259305</v>
      </c>
      <c r="AD93">
        <v>0.65730689383743901</v>
      </c>
      <c r="AE93" s="8" t="str">
        <f t="shared" si="12"/>
        <v>2011-05-13</v>
      </c>
      <c r="AF93" s="9" t="str">
        <f t="shared" si="13"/>
        <v>5/13/2011</v>
      </c>
      <c r="AG93" s="8">
        <f t="shared" si="14"/>
        <v>0.60656839337259305</v>
      </c>
    </row>
    <row r="94" spans="1:33">
      <c r="A94" s="2">
        <f t="shared" si="17"/>
        <v>201239</v>
      </c>
      <c r="B94" s="12" t="s">
        <v>128</v>
      </c>
      <c r="C94" s="12">
        <v>0.96459917415866603</v>
      </c>
      <c r="D94" s="12">
        <v>0.97816944988478005</v>
      </c>
      <c r="E94" s="8" t="str">
        <f t="shared" si="16"/>
        <v>2012-09-27</v>
      </c>
      <c r="H94" s="8">
        <f t="shared" si="10"/>
        <v>200920</v>
      </c>
      <c r="I94" s="13">
        <v>39948</v>
      </c>
      <c r="J94" s="12">
        <v>4586.2</v>
      </c>
      <c r="K94" t="str">
        <f t="shared" si="15"/>
        <v>2009-05-15</v>
      </c>
      <c r="L94" s="3" t="e">
        <f t="shared" si="11"/>
        <v>#N/A</v>
      </c>
      <c r="AB94" t="s">
        <v>775</v>
      </c>
      <c r="AC94">
        <v>0.60656839337259305</v>
      </c>
      <c r="AD94">
        <v>0.65730689383743901</v>
      </c>
      <c r="AE94" s="8" t="str">
        <f t="shared" si="12"/>
        <v>2011-05-16</v>
      </c>
      <c r="AF94" s="9" t="str">
        <f t="shared" si="13"/>
        <v>5/16/2011</v>
      </c>
      <c r="AG94" s="8">
        <f t="shared" si="14"/>
        <v>0.60656839337259305</v>
      </c>
    </row>
    <row r="95" spans="1:33">
      <c r="A95" s="2">
        <f t="shared" si="17"/>
        <v>201240</v>
      </c>
      <c r="B95" s="12" t="s">
        <v>133</v>
      </c>
      <c r="C95" s="12">
        <v>0.95362908529618595</v>
      </c>
      <c r="D95" s="12">
        <v>0.98629620260036099</v>
      </c>
      <c r="E95" s="8" t="str">
        <f t="shared" si="16"/>
        <v>2012-10-04</v>
      </c>
      <c r="H95" s="8">
        <f t="shared" si="10"/>
        <v>200921</v>
      </c>
      <c r="I95" s="13">
        <v>39955</v>
      </c>
      <c r="J95" s="12">
        <v>3590.1</v>
      </c>
      <c r="K95" t="str">
        <f t="shared" si="15"/>
        <v>2009-05-22</v>
      </c>
      <c r="L95" s="3" t="e">
        <f t="shared" si="11"/>
        <v>#N/A</v>
      </c>
      <c r="AB95" t="s">
        <v>776</v>
      </c>
      <c r="AC95">
        <v>0.60656839337259305</v>
      </c>
      <c r="AD95">
        <v>0.65730689383743901</v>
      </c>
      <c r="AE95" s="8" t="str">
        <f t="shared" si="12"/>
        <v>2011-05-17</v>
      </c>
      <c r="AF95" s="9" t="str">
        <f t="shared" si="13"/>
        <v>5/17/2011</v>
      </c>
      <c r="AG95" s="8">
        <f t="shared" si="14"/>
        <v>0.60656839337259305</v>
      </c>
    </row>
    <row r="96" spans="1:33">
      <c r="A96" s="2">
        <f t="shared" si="17"/>
        <v>201241</v>
      </c>
      <c r="B96" s="12" t="s">
        <v>138</v>
      </c>
      <c r="C96" s="12">
        <v>0.95159604304738399</v>
      </c>
      <c r="D96" s="12">
        <v>0.95825995770483297</v>
      </c>
      <c r="E96" s="8" t="str">
        <f t="shared" si="16"/>
        <v>2012-10-11</v>
      </c>
      <c r="H96" s="8">
        <f t="shared" si="10"/>
        <v>200922</v>
      </c>
      <c r="I96" s="13">
        <v>39962</v>
      </c>
      <c r="J96" s="12">
        <v>2583</v>
      </c>
      <c r="K96" t="str">
        <f t="shared" si="15"/>
        <v>2009-05-29</v>
      </c>
      <c r="L96" s="3" t="e">
        <f t="shared" si="11"/>
        <v>#N/A</v>
      </c>
      <c r="AB96" t="s">
        <v>777</v>
      </c>
      <c r="AC96">
        <v>0.60656839337259305</v>
      </c>
      <c r="AD96">
        <v>0.65730689383743901</v>
      </c>
      <c r="AE96" s="8" t="str">
        <f t="shared" si="12"/>
        <v>2011-05-18</v>
      </c>
      <c r="AF96" s="9" t="str">
        <f t="shared" si="13"/>
        <v>5/18/2011</v>
      </c>
      <c r="AG96" s="8">
        <f t="shared" si="14"/>
        <v>0.60656839337259305</v>
      </c>
    </row>
    <row r="97" spans="1:33">
      <c r="A97" s="2">
        <f t="shared" si="17"/>
        <v>201242</v>
      </c>
      <c r="B97" s="12" t="s">
        <v>143</v>
      </c>
      <c r="C97" s="12">
        <v>0.95277295236812298</v>
      </c>
      <c r="D97" s="12">
        <v>0.95825995770483297</v>
      </c>
      <c r="E97" s="8" t="str">
        <f t="shared" si="16"/>
        <v>2012-10-18</v>
      </c>
      <c r="H97" s="8">
        <f t="shared" si="10"/>
        <v>200923</v>
      </c>
      <c r="I97" s="13">
        <v>39969</v>
      </c>
      <c r="J97" s="12">
        <v>2156.5</v>
      </c>
      <c r="K97" t="str">
        <f t="shared" si="15"/>
        <v>2009-06-05</v>
      </c>
      <c r="L97" s="3" t="e">
        <f t="shared" si="11"/>
        <v>#N/A</v>
      </c>
      <c r="AB97" t="s">
        <v>778</v>
      </c>
      <c r="AC97">
        <v>0.61190235023345096</v>
      </c>
      <c r="AD97">
        <v>0.66267947259057502</v>
      </c>
      <c r="AE97" s="8" t="str">
        <f t="shared" si="12"/>
        <v>2011-05-19</v>
      </c>
      <c r="AF97" s="9" t="str">
        <f t="shared" si="13"/>
        <v>5/19/2011</v>
      </c>
      <c r="AG97" s="8">
        <f t="shared" si="14"/>
        <v>0.61190235023345096</v>
      </c>
    </row>
    <row r="98" spans="1:33">
      <c r="A98" s="2">
        <f t="shared" si="17"/>
        <v>201243</v>
      </c>
      <c r="B98" s="12" t="s">
        <v>148</v>
      </c>
      <c r="C98" s="12">
        <v>0.95079229345734495</v>
      </c>
      <c r="D98" s="12">
        <v>0.95825995770483297</v>
      </c>
      <c r="E98" s="8" t="str">
        <f t="shared" si="16"/>
        <v>2012-10-25</v>
      </c>
      <c r="H98" s="8">
        <f t="shared" si="10"/>
        <v>200924</v>
      </c>
      <c r="I98" s="13">
        <v>39976</v>
      </c>
      <c r="J98" s="12">
        <v>1482.7</v>
      </c>
      <c r="K98" t="str">
        <f t="shared" si="15"/>
        <v>2009-06-12</v>
      </c>
      <c r="L98" s="3" t="e">
        <f t="shared" si="11"/>
        <v>#N/A</v>
      </c>
      <c r="AB98" t="s">
        <v>779</v>
      </c>
      <c r="AC98">
        <v>0.61190235023345096</v>
      </c>
      <c r="AD98">
        <v>0.66267947259057502</v>
      </c>
      <c r="AE98" s="8" t="str">
        <f t="shared" si="12"/>
        <v>2011-05-20</v>
      </c>
      <c r="AF98" s="9" t="str">
        <f t="shared" si="13"/>
        <v>5/20/2011</v>
      </c>
      <c r="AG98" s="8">
        <f t="shared" si="14"/>
        <v>0.61190235023345096</v>
      </c>
    </row>
    <row r="99" spans="1:33">
      <c r="A99" s="2">
        <f t="shared" si="17"/>
        <v>201244</v>
      </c>
      <c r="B99" s="12" t="s">
        <v>153</v>
      </c>
      <c r="C99" s="12">
        <v>0.92571311512973697</v>
      </c>
      <c r="D99" s="12">
        <v>0.92056571627750405</v>
      </c>
      <c r="E99" s="8" t="str">
        <f t="shared" si="16"/>
        <v>2012-11-01</v>
      </c>
      <c r="H99" s="8">
        <f t="shared" si="10"/>
        <v>200925</v>
      </c>
      <c r="I99" s="13">
        <v>39983</v>
      </c>
      <c r="J99" s="12">
        <v>1504.6</v>
      </c>
      <c r="K99" t="str">
        <f t="shared" si="15"/>
        <v>2009-06-19</v>
      </c>
      <c r="L99" s="3" t="e">
        <f t="shared" si="11"/>
        <v>#N/A</v>
      </c>
      <c r="AB99" t="s">
        <v>780</v>
      </c>
      <c r="AC99">
        <v>0.61190235023345096</v>
      </c>
      <c r="AD99">
        <v>0.66267947259057502</v>
      </c>
      <c r="AE99" s="8" t="str">
        <f t="shared" si="12"/>
        <v>2011-05-23</v>
      </c>
      <c r="AF99" s="9" t="str">
        <f t="shared" si="13"/>
        <v>5/23/2011</v>
      </c>
      <c r="AG99" s="8">
        <f t="shared" si="14"/>
        <v>0.61190235023345096</v>
      </c>
    </row>
    <row r="100" spans="1:33">
      <c r="A100" s="2">
        <f t="shared" si="17"/>
        <v>201245</v>
      </c>
      <c r="B100" s="12" t="s">
        <v>158</v>
      </c>
      <c r="C100" s="12">
        <v>0.92529425270600996</v>
      </c>
      <c r="D100" s="12">
        <v>0.92056571627750405</v>
      </c>
      <c r="E100" s="8" t="str">
        <f t="shared" si="16"/>
        <v>2012-11-08</v>
      </c>
      <c r="H100" s="8">
        <f t="shared" si="10"/>
        <v>200926</v>
      </c>
      <c r="I100" s="13">
        <v>39990</v>
      </c>
      <c r="J100" s="12">
        <v>1328.1</v>
      </c>
      <c r="K100" t="str">
        <f t="shared" si="15"/>
        <v>2009-06-26</v>
      </c>
      <c r="L100" s="3" t="e">
        <f t="shared" si="11"/>
        <v>#N/A</v>
      </c>
      <c r="AB100" t="s">
        <v>781</v>
      </c>
      <c r="AC100">
        <v>0.61190235023345096</v>
      </c>
      <c r="AD100">
        <v>0.66267947259057502</v>
      </c>
      <c r="AE100" s="8" t="str">
        <f t="shared" si="12"/>
        <v>2011-05-24</v>
      </c>
      <c r="AF100" s="9" t="str">
        <f t="shared" si="13"/>
        <v>5/24/2011</v>
      </c>
      <c r="AG100" s="8">
        <f t="shared" si="14"/>
        <v>0.61190235023345096</v>
      </c>
    </row>
    <row r="101" spans="1:33">
      <c r="A101" s="2">
        <f t="shared" si="17"/>
        <v>201246</v>
      </c>
      <c r="B101" s="12" t="s">
        <v>163</v>
      </c>
      <c r="C101" s="12">
        <v>0.92772026190850898</v>
      </c>
      <c r="D101" s="12">
        <v>0.94844051510610605</v>
      </c>
      <c r="E101" s="8" t="str">
        <f t="shared" si="16"/>
        <v>2012-11-15</v>
      </c>
      <c r="H101" s="8">
        <f t="shared" si="10"/>
        <v>200927</v>
      </c>
      <c r="I101" s="13">
        <v>39997</v>
      </c>
      <c r="J101" s="12">
        <v>1583.5</v>
      </c>
      <c r="K101" t="str">
        <f t="shared" si="15"/>
        <v>2009-07-03</v>
      </c>
      <c r="L101" s="3" t="e">
        <f t="shared" si="11"/>
        <v>#N/A</v>
      </c>
      <c r="AB101" t="s">
        <v>782</v>
      </c>
      <c r="AC101">
        <v>0.61190235023345096</v>
      </c>
      <c r="AD101">
        <v>0.66267947259057502</v>
      </c>
      <c r="AE101" s="8" t="str">
        <f t="shared" si="12"/>
        <v>2011-05-25</v>
      </c>
      <c r="AF101" s="9" t="str">
        <f t="shared" si="13"/>
        <v>5/25/2011</v>
      </c>
      <c r="AG101" s="8">
        <f t="shared" si="14"/>
        <v>0.61190235023345096</v>
      </c>
    </row>
    <row r="102" spans="1:33">
      <c r="A102" s="2">
        <f t="shared" si="17"/>
        <v>201247</v>
      </c>
      <c r="B102" s="12" t="s">
        <v>1004</v>
      </c>
      <c r="C102" s="12">
        <v>0.92993011952820803</v>
      </c>
      <c r="D102" s="12">
        <v>0.97623387233301795</v>
      </c>
      <c r="E102" s="8" t="str">
        <f t="shared" si="16"/>
        <v>2012-11-21</v>
      </c>
      <c r="H102" s="8">
        <f t="shared" si="10"/>
        <v>200928</v>
      </c>
      <c r="I102" s="13">
        <v>40004</v>
      </c>
      <c r="J102" s="12">
        <v>1915.5</v>
      </c>
      <c r="K102" t="str">
        <f t="shared" si="15"/>
        <v>2009-07-10</v>
      </c>
      <c r="L102" s="3" t="e">
        <f t="shared" si="11"/>
        <v>#N/A</v>
      </c>
      <c r="AB102" t="s">
        <v>783</v>
      </c>
      <c r="AC102">
        <v>0.615993636080996</v>
      </c>
      <c r="AD102">
        <v>0.66267947259057502</v>
      </c>
      <c r="AE102" s="8" t="str">
        <f t="shared" si="12"/>
        <v>2011-05-26</v>
      </c>
      <c r="AF102" s="9" t="str">
        <f t="shared" si="13"/>
        <v>5/26/2011</v>
      </c>
      <c r="AG102" s="8">
        <f t="shared" si="14"/>
        <v>0.615993636080996</v>
      </c>
    </row>
    <row r="103" spans="1:33">
      <c r="A103" s="2">
        <f t="shared" si="17"/>
        <v>201248</v>
      </c>
      <c r="B103" s="12" t="s">
        <v>171</v>
      </c>
      <c r="C103" s="12">
        <v>0.92756020040727505</v>
      </c>
      <c r="D103" s="12">
        <v>0.94844051510610605</v>
      </c>
      <c r="E103" s="8" t="str">
        <f t="shared" si="16"/>
        <v>2012-11-29</v>
      </c>
      <c r="H103" s="8">
        <f t="shared" si="10"/>
        <v>200929</v>
      </c>
      <c r="I103" s="13">
        <v>40011</v>
      </c>
      <c r="J103" s="12">
        <v>1982.8</v>
      </c>
      <c r="K103" t="str">
        <f t="shared" si="15"/>
        <v>2009-07-17</v>
      </c>
      <c r="L103" s="3" t="e">
        <f t="shared" si="11"/>
        <v>#N/A</v>
      </c>
      <c r="AB103" t="s">
        <v>784</v>
      </c>
      <c r="AC103">
        <v>0.615993636080996</v>
      </c>
      <c r="AD103">
        <v>0.66267947259057502</v>
      </c>
      <c r="AE103" s="8" t="str">
        <f t="shared" si="12"/>
        <v>2011-05-27</v>
      </c>
      <c r="AF103" s="9" t="str">
        <f t="shared" si="13"/>
        <v>5/27/2011</v>
      </c>
      <c r="AG103" s="8">
        <f t="shared" si="14"/>
        <v>0.615993636080996</v>
      </c>
    </row>
    <row r="104" spans="1:33">
      <c r="A104" s="2">
        <f t="shared" si="17"/>
        <v>201249</v>
      </c>
      <c r="B104" s="12" t="s">
        <v>176</v>
      </c>
      <c r="C104" s="12">
        <v>0.91054790878492298</v>
      </c>
      <c r="D104" s="12">
        <v>0.92580210181792499</v>
      </c>
      <c r="E104" s="8" t="str">
        <f t="shared" si="16"/>
        <v>2012-12-06</v>
      </c>
      <c r="H104" s="8">
        <f t="shared" si="10"/>
        <v>200930</v>
      </c>
      <c r="I104" s="13">
        <v>40018</v>
      </c>
      <c r="J104" s="12">
        <v>1702.7</v>
      </c>
      <c r="K104" t="str">
        <f t="shared" si="15"/>
        <v>2009-07-24</v>
      </c>
      <c r="L104" s="3" t="e">
        <f t="shared" si="11"/>
        <v>#N/A</v>
      </c>
      <c r="AB104" t="s">
        <v>785</v>
      </c>
      <c r="AC104">
        <v>0.615993636080996</v>
      </c>
      <c r="AD104">
        <v>0.66267947259057502</v>
      </c>
      <c r="AE104" s="8" t="str">
        <f t="shared" si="12"/>
        <v>2011-05-31</v>
      </c>
      <c r="AF104" s="9" t="str">
        <f t="shared" si="13"/>
        <v>5/31/2011</v>
      </c>
      <c r="AG104" s="8">
        <f t="shared" si="14"/>
        <v>0.615993636080996</v>
      </c>
    </row>
    <row r="105" spans="1:33">
      <c r="A105" s="2">
        <f t="shared" si="17"/>
        <v>201250</v>
      </c>
      <c r="B105" s="12" t="s">
        <v>181</v>
      </c>
      <c r="C105" s="12">
        <v>0.91261368517922603</v>
      </c>
      <c r="D105" s="12">
        <v>0.95384496957531795</v>
      </c>
      <c r="E105" s="8" t="str">
        <f t="shared" si="16"/>
        <v>2012-12-13</v>
      </c>
      <c r="H105" s="8">
        <f t="shared" si="10"/>
        <v>200931</v>
      </c>
      <c r="I105" s="13">
        <v>40025</v>
      </c>
      <c r="J105" s="12">
        <v>1826</v>
      </c>
      <c r="K105" t="str">
        <f t="shared" si="15"/>
        <v>2009-07-31</v>
      </c>
      <c r="L105" s="3" t="e">
        <f t="shared" si="11"/>
        <v>#N/A</v>
      </c>
      <c r="AB105" t="s">
        <v>786</v>
      </c>
      <c r="AC105">
        <v>0.61033542977678401</v>
      </c>
      <c r="AD105">
        <v>0.65696401788530401</v>
      </c>
      <c r="AE105" s="8" t="str">
        <f t="shared" si="12"/>
        <v>2011-06-01</v>
      </c>
      <c r="AF105" s="9" t="str">
        <f t="shared" si="13"/>
        <v>6/1/2011</v>
      </c>
      <c r="AG105" s="8">
        <f t="shared" si="14"/>
        <v>0.61033542977678401</v>
      </c>
    </row>
    <row r="106" spans="1:33">
      <c r="A106" s="2">
        <f t="shared" si="17"/>
        <v>201251</v>
      </c>
      <c r="B106" s="12" t="s">
        <v>186</v>
      </c>
      <c r="C106" s="12">
        <v>0.909651579188403</v>
      </c>
      <c r="D106" s="12">
        <v>0.89780697954618904</v>
      </c>
      <c r="E106" s="8" t="str">
        <f t="shared" si="16"/>
        <v>2012-12-20</v>
      </c>
      <c r="H106" s="8">
        <f t="shared" si="10"/>
        <v>200932</v>
      </c>
      <c r="I106" s="13">
        <v>40032</v>
      </c>
      <c r="J106" s="12">
        <v>1659.1</v>
      </c>
      <c r="K106" t="str">
        <f t="shared" si="15"/>
        <v>2009-08-07</v>
      </c>
      <c r="L106" s="3" t="e">
        <f t="shared" si="11"/>
        <v>#N/A</v>
      </c>
      <c r="AB106" t="s">
        <v>787</v>
      </c>
      <c r="AC106">
        <v>0.63716048140315296</v>
      </c>
      <c r="AD106">
        <v>0.71334277989057804</v>
      </c>
      <c r="AE106" s="8" t="str">
        <f t="shared" si="12"/>
        <v>2011-06-02</v>
      </c>
      <c r="AF106" s="9" t="str">
        <f t="shared" si="13"/>
        <v>6/2/2011</v>
      </c>
      <c r="AG106" s="8">
        <f t="shared" si="14"/>
        <v>0.63716048140315296</v>
      </c>
    </row>
    <row r="107" spans="1:33">
      <c r="A107" s="2">
        <f t="shared" si="17"/>
        <v>201252</v>
      </c>
      <c r="B107" s="12" t="s">
        <v>190</v>
      </c>
      <c r="C107" s="12">
        <v>0.91018597538933199</v>
      </c>
      <c r="D107" s="12">
        <v>0.92580210181792499</v>
      </c>
      <c r="E107" s="8" t="str">
        <f t="shared" si="16"/>
        <v>2012-12-27</v>
      </c>
      <c r="H107" s="8">
        <f t="shared" si="10"/>
        <v>200933</v>
      </c>
      <c r="I107" s="13">
        <v>40039</v>
      </c>
      <c r="J107" s="12">
        <v>1782.2</v>
      </c>
      <c r="K107" t="str">
        <f t="shared" si="15"/>
        <v>2009-08-14</v>
      </c>
      <c r="L107" s="3" t="e">
        <f t="shared" si="11"/>
        <v>#N/A</v>
      </c>
      <c r="AB107" t="s">
        <v>788</v>
      </c>
      <c r="AC107">
        <v>0.63716048140315296</v>
      </c>
      <c r="AD107">
        <v>0.71334277989057804</v>
      </c>
      <c r="AE107" s="8" t="str">
        <f t="shared" si="12"/>
        <v>2011-06-03</v>
      </c>
      <c r="AF107" s="9" t="str">
        <f t="shared" si="13"/>
        <v>6/3/2011</v>
      </c>
      <c r="AG107" s="8">
        <f t="shared" si="14"/>
        <v>0.63716048140315296</v>
      </c>
    </row>
    <row r="108" spans="1:33">
      <c r="A108" s="2">
        <f t="shared" si="17"/>
        <v>201301</v>
      </c>
      <c r="B108" s="12" t="s">
        <v>194</v>
      </c>
      <c r="C108" s="12">
        <v>0.88829814088555903</v>
      </c>
      <c r="D108" s="12">
        <v>0.89631993228766205</v>
      </c>
      <c r="E108" s="8" t="str">
        <f t="shared" si="16"/>
        <v>2013-01-03</v>
      </c>
      <c r="H108" s="8">
        <f t="shared" si="10"/>
        <v>200934</v>
      </c>
      <c r="I108" s="13">
        <v>40046</v>
      </c>
      <c r="J108" s="12">
        <v>1983.2</v>
      </c>
      <c r="K108" t="str">
        <f t="shared" si="15"/>
        <v>2009-08-21</v>
      </c>
      <c r="L108" s="3" t="e">
        <f t="shared" si="11"/>
        <v>#N/A</v>
      </c>
      <c r="AB108" t="s">
        <v>789</v>
      </c>
      <c r="AC108">
        <v>0.63716048140315296</v>
      </c>
      <c r="AD108">
        <v>0.71334277989057804</v>
      </c>
      <c r="AE108" s="8" t="str">
        <f t="shared" si="12"/>
        <v>2011-06-06</v>
      </c>
      <c r="AF108" s="9" t="str">
        <f t="shared" si="13"/>
        <v>6/6/2011</v>
      </c>
      <c r="AG108" s="8">
        <f t="shared" si="14"/>
        <v>0.63716048140315296</v>
      </c>
    </row>
    <row r="109" spans="1:33">
      <c r="A109" s="2">
        <f t="shared" si="17"/>
        <v>201302</v>
      </c>
      <c r="B109" s="12" t="s">
        <v>199</v>
      </c>
      <c r="C109" s="12">
        <v>0.88507237465235999</v>
      </c>
      <c r="D109" s="12">
        <v>0.86829940875669698</v>
      </c>
      <c r="E109" s="8" t="str">
        <f t="shared" si="16"/>
        <v>2013-01-10</v>
      </c>
      <c r="H109" s="8">
        <f t="shared" si="10"/>
        <v>200935</v>
      </c>
      <c r="I109" s="13">
        <v>40053</v>
      </c>
      <c r="J109" s="12">
        <v>1955.9</v>
      </c>
      <c r="K109" t="str">
        <f t="shared" si="15"/>
        <v>2009-08-28</v>
      </c>
      <c r="L109" s="3" t="e">
        <f t="shared" si="11"/>
        <v>#N/A</v>
      </c>
      <c r="AB109" t="s">
        <v>790</v>
      </c>
      <c r="AC109">
        <v>0.63716048140315296</v>
      </c>
      <c r="AD109">
        <v>0.71334277989057804</v>
      </c>
      <c r="AE109" s="8" t="str">
        <f t="shared" si="12"/>
        <v>2011-06-07</v>
      </c>
      <c r="AF109" s="9" t="str">
        <f t="shared" si="13"/>
        <v>6/7/2011</v>
      </c>
      <c r="AG109" s="8">
        <f t="shared" si="14"/>
        <v>0.63716048140315296</v>
      </c>
    </row>
    <row r="110" spans="1:33">
      <c r="A110" s="2">
        <f t="shared" si="17"/>
        <v>201303</v>
      </c>
      <c r="B110" s="12" t="s">
        <v>204</v>
      </c>
      <c r="C110" s="12">
        <v>0.88631407683414698</v>
      </c>
      <c r="D110" s="12">
        <v>0.86829940875669698</v>
      </c>
      <c r="E110" s="8" t="str">
        <f t="shared" si="16"/>
        <v>2013-01-17</v>
      </c>
      <c r="H110" s="8">
        <f t="shared" si="10"/>
        <v>200936</v>
      </c>
      <c r="I110" s="13">
        <v>40060</v>
      </c>
      <c r="J110" s="12">
        <v>2383.6999999999998</v>
      </c>
      <c r="K110" t="str">
        <f t="shared" si="15"/>
        <v>2009-09-04</v>
      </c>
      <c r="L110" s="3" t="e">
        <f t="shared" si="11"/>
        <v>#N/A</v>
      </c>
      <c r="AB110" t="s">
        <v>791</v>
      </c>
      <c r="AC110">
        <v>0.63716048140315296</v>
      </c>
      <c r="AD110">
        <v>0.71334277989057804</v>
      </c>
      <c r="AE110" s="8" t="str">
        <f t="shared" si="12"/>
        <v>2011-06-08</v>
      </c>
      <c r="AF110" s="9" t="str">
        <f t="shared" si="13"/>
        <v>6/8/2011</v>
      </c>
      <c r="AG110" s="8">
        <f t="shared" si="14"/>
        <v>0.63716048140315296</v>
      </c>
    </row>
    <row r="111" spans="1:33">
      <c r="A111" s="2">
        <f t="shared" si="17"/>
        <v>201304</v>
      </c>
      <c r="B111" s="12" t="s">
        <v>208</v>
      </c>
      <c r="C111" s="12">
        <v>0.88379536104531298</v>
      </c>
      <c r="D111" s="12">
        <v>0.86829940875669698</v>
      </c>
      <c r="E111" s="8" t="str">
        <f t="shared" si="16"/>
        <v>2013-01-24</v>
      </c>
      <c r="H111" s="8">
        <f t="shared" si="10"/>
        <v>200937</v>
      </c>
      <c r="I111" s="13">
        <v>40067</v>
      </c>
      <c r="J111" s="12">
        <v>2216.3000000000002</v>
      </c>
      <c r="K111" t="str">
        <f t="shared" si="15"/>
        <v>2009-09-11</v>
      </c>
      <c r="L111" s="3" t="e">
        <f t="shared" si="11"/>
        <v>#N/A</v>
      </c>
      <c r="AB111" t="s">
        <v>792</v>
      </c>
      <c r="AC111">
        <v>0.74321907249207297</v>
      </c>
      <c r="AD111">
        <v>0.77123997272585598</v>
      </c>
      <c r="AE111" s="8" t="str">
        <f t="shared" si="12"/>
        <v>2011-06-09</v>
      </c>
      <c r="AF111" s="9" t="str">
        <f t="shared" si="13"/>
        <v>6/9/2011</v>
      </c>
      <c r="AG111" s="8">
        <f t="shared" si="14"/>
        <v>0.74321907249207297</v>
      </c>
    </row>
    <row r="112" spans="1:33">
      <c r="A112" s="2">
        <f t="shared" si="17"/>
        <v>201305</v>
      </c>
      <c r="B112" s="12" t="s">
        <v>213</v>
      </c>
      <c r="C112" s="12">
        <v>0.84748759806752005</v>
      </c>
      <c r="D112" s="12">
        <v>0.84429162931833002</v>
      </c>
      <c r="E112" s="8" t="str">
        <f t="shared" si="16"/>
        <v>2013-01-31</v>
      </c>
      <c r="H112" s="8">
        <f t="shared" si="10"/>
        <v>200938</v>
      </c>
      <c r="I112" s="13">
        <v>40074</v>
      </c>
      <c r="J112" s="12">
        <v>2632.2</v>
      </c>
      <c r="K112" t="str">
        <f t="shared" si="15"/>
        <v>2009-09-18</v>
      </c>
      <c r="L112" s="3" t="e">
        <f t="shared" si="11"/>
        <v>#N/A</v>
      </c>
      <c r="AB112" t="s">
        <v>793</v>
      </c>
      <c r="AC112">
        <v>0.74321907249207297</v>
      </c>
      <c r="AD112">
        <v>0.77123997272585598</v>
      </c>
      <c r="AE112" s="8" t="str">
        <f t="shared" si="12"/>
        <v>2011-06-10</v>
      </c>
      <c r="AF112" s="9" t="str">
        <f t="shared" si="13"/>
        <v>6/10/2011</v>
      </c>
      <c r="AG112" s="8">
        <f t="shared" si="14"/>
        <v>0.74321907249207297</v>
      </c>
    </row>
    <row r="113" spans="1:33">
      <c r="A113" s="2">
        <f t="shared" si="17"/>
        <v>201306</v>
      </c>
      <c r="B113" s="12" t="s">
        <v>218</v>
      </c>
      <c r="C113" s="12">
        <v>0.79744674672768501</v>
      </c>
      <c r="D113" s="12">
        <v>0.79280272472703195</v>
      </c>
      <c r="E113" s="8" t="str">
        <f t="shared" si="16"/>
        <v>2013-02-07</v>
      </c>
      <c r="H113" s="8">
        <f t="shared" si="10"/>
        <v>200939</v>
      </c>
      <c r="I113" s="13">
        <v>40081</v>
      </c>
      <c r="J113" s="12">
        <v>2655.8</v>
      </c>
      <c r="K113" t="str">
        <f t="shared" si="15"/>
        <v>2009-09-25</v>
      </c>
      <c r="L113" s="3" t="e">
        <f t="shared" si="11"/>
        <v>#N/A</v>
      </c>
      <c r="AB113" t="s">
        <v>794</v>
      </c>
      <c r="AC113">
        <v>0.74321907249207297</v>
      </c>
      <c r="AD113">
        <v>0.77123997272585598</v>
      </c>
      <c r="AE113" s="8" t="str">
        <f t="shared" si="12"/>
        <v>2011-06-13</v>
      </c>
      <c r="AF113" s="9" t="str">
        <f t="shared" si="13"/>
        <v>6/13/2011</v>
      </c>
      <c r="AG113" s="8">
        <f t="shared" si="14"/>
        <v>0.74321907249207297</v>
      </c>
    </row>
    <row r="114" spans="1:33">
      <c r="A114" s="2">
        <f t="shared" si="17"/>
        <v>201307</v>
      </c>
      <c r="B114" s="12" t="s">
        <v>223</v>
      </c>
      <c r="C114" s="12">
        <v>0.79744674672768501</v>
      </c>
      <c r="D114" s="12">
        <v>0.79280272472703195</v>
      </c>
      <c r="E114" s="8" t="str">
        <f t="shared" si="16"/>
        <v>2013-02-14</v>
      </c>
      <c r="H114" s="8">
        <f t="shared" si="10"/>
        <v>200940</v>
      </c>
      <c r="I114" s="13">
        <v>40088</v>
      </c>
      <c r="J114" s="12">
        <v>3230.9</v>
      </c>
      <c r="K114" t="str">
        <f t="shared" si="15"/>
        <v>2009-10-02</v>
      </c>
      <c r="L114" s="3" t="e">
        <f t="shared" si="11"/>
        <v>#N/A</v>
      </c>
      <c r="AB114" t="s">
        <v>795</v>
      </c>
      <c r="AC114">
        <v>0.74321907249207297</v>
      </c>
      <c r="AD114">
        <v>0.77123997272585598</v>
      </c>
      <c r="AE114" s="8" t="str">
        <f t="shared" si="12"/>
        <v>2011-06-14</v>
      </c>
      <c r="AF114" s="9" t="str">
        <f t="shared" si="13"/>
        <v>6/14/2011</v>
      </c>
      <c r="AG114" s="8">
        <f t="shared" si="14"/>
        <v>0.74321907249207297</v>
      </c>
    </row>
    <row r="115" spans="1:33">
      <c r="A115" s="2">
        <f t="shared" si="17"/>
        <v>201308</v>
      </c>
      <c r="B115" s="12" t="s">
        <v>227</v>
      </c>
      <c r="C115" s="12">
        <v>0.75767121274966998</v>
      </c>
      <c r="D115" s="12">
        <v>0.79280272472703195</v>
      </c>
      <c r="E115" s="8" t="str">
        <f t="shared" si="16"/>
        <v>2013-02-21</v>
      </c>
      <c r="H115" s="8">
        <f t="shared" si="10"/>
        <v>200941</v>
      </c>
      <c r="I115" s="13">
        <v>40095</v>
      </c>
      <c r="J115" s="12">
        <v>3280.3</v>
      </c>
      <c r="K115" t="str">
        <f t="shared" si="15"/>
        <v>2009-10-09</v>
      </c>
      <c r="L115" s="3" t="e">
        <f t="shared" si="11"/>
        <v>#N/A</v>
      </c>
      <c r="AB115" t="s">
        <v>796</v>
      </c>
      <c r="AC115">
        <v>0.74321907249207297</v>
      </c>
      <c r="AD115">
        <v>0.77123997272585598</v>
      </c>
      <c r="AE115" s="8" t="str">
        <f t="shared" si="12"/>
        <v>2011-06-15</v>
      </c>
      <c r="AF115" s="9" t="str">
        <f t="shared" si="13"/>
        <v>6/15/2011</v>
      </c>
      <c r="AG115" s="8">
        <f t="shared" si="14"/>
        <v>0.74321907249207297</v>
      </c>
    </row>
    <row r="116" spans="1:33">
      <c r="A116" s="2">
        <f t="shared" si="17"/>
        <v>201309</v>
      </c>
      <c r="B116" s="12" t="s">
        <v>232</v>
      </c>
      <c r="C116" s="12">
        <v>0.81599621049204496</v>
      </c>
      <c r="D116" s="12">
        <v>0.81605505896187003</v>
      </c>
      <c r="E116" s="8" t="str">
        <f t="shared" si="16"/>
        <v>2013-02-28</v>
      </c>
      <c r="H116" s="8">
        <f t="shared" si="10"/>
        <v>200942</v>
      </c>
      <c r="I116" s="13">
        <v>40102</v>
      </c>
      <c r="J116" s="12">
        <v>2774.7</v>
      </c>
      <c r="K116" t="str">
        <f t="shared" si="15"/>
        <v>2009-10-16</v>
      </c>
      <c r="L116" s="3" t="e">
        <f t="shared" si="11"/>
        <v>#N/A</v>
      </c>
      <c r="AB116" t="s">
        <v>797</v>
      </c>
      <c r="AC116">
        <v>0.72196170225835998</v>
      </c>
      <c r="AD116">
        <v>0.73470590913004696</v>
      </c>
      <c r="AE116" s="8" t="str">
        <f t="shared" si="12"/>
        <v>2011-06-16</v>
      </c>
      <c r="AF116" s="9" t="str">
        <f t="shared" si="13"/>
        <v>6/16/2011</v>
      </c>
      <c r="AG116" s="8">
        <f t="shared" si="14"/>
        <v>0.72196170225835998</v>
      </c>
    </row>
    <row r="117" spans="1:33">
      <c r="A117" s="2">
        <f t="shared" si="17"/>
        <v>201310</v>
      </c>
      <c r="B117" s="12" t="s">
        <v>237</v>
      </c>
      <c r="C117" s="12">
        <v>0.81254588826988305</v>
      </c>
      <c r="D117" s="12">
        <v>0.79336572209039502</v>
      </c>
      <c r="E117" s="8" t="str">
        <f t="shared" si="16"/>
        <v>2013-03-07</v>
      </c>
      <c r="H117" s="8">
        <f t="shared" si="10"/>
        <v>200943</v>
      </c>
      <c r="I117" s="13">
        <v>40109</v>
      </c>
      <c r="J117" s="12">
        <v>2304</v>
      </c>
      <c r="K117" t="str">
        <f t="shared" si="15"/>
        <v>2009-10-23</v>
      </c>
      <c r="L117" s="3" t="e">
        <f t="shared" si="11"/>
        <v>#N/A</v>
      </c>
      <c r="AB117" t="s">
        <v>798</v>
      </c>
      <c r="AC117">
        <v>0.72196170225835998</v>
      </c>
      <c r="AD117">
        <v>0.73470590913004696</v>
      </c>
      <c r="AE117" s="8" t="str">
        <f t="shared" si="12"/>
        <v>2011-06-17</v>
      </c>
      <c r="AF117" s="9" t="str">
        <f t="shared" si="13"/>
        <v>6/17/2011</v>
      </c>
      <c r="AG117" s="8">
        <f t="shared" si="14"/>
        <v>0.72196170225835998</v>
      </c>
    </row>
    <row r="118" spans="1:33">
      <c r="A118" s="2">
        <f t="shared" si="17"/>
        <v>201311</v>
      </c>
      <c r="B118" s="12" t="s">
        <v>242</v>
      </c>
      <c r="C118" s="12">
        <v>0.70260073761186803</v>
      </c>
      <c r="D118" s="12">
        <v>0.77030058380194599</v>
      </c>
      <c r="E118" s="8" t="str">
        <f t="shared" si="16"/>
        <v>2013-03-14</v>
      </c>
      <c r="H118" s="8">
        <f t="shared" si="10"/>
        <v>200944</v>
      </c>
      <c r="I118" s="13">
        <v>40116</v>
      </c>
      <c r="J118" s="12">
        <v>2715.2</v>
      </c>
      <c r="K118" t="str">
        <f t="shared" si="15"/>
        <v>2009-10-30</v>
      </c>
      <c r="L118" s="3" t="e">
        <f t="shared" si="11"/>
        <v>#N/A</v>
      </c>
      <c r="AB118" t="s">
        <v>799</v>
      </c>
      <c r="AC118">
        <v>0.72196170225835998</v>
      </c>
      <c r="AD118">
        <v>0.73470590913004696</v>
      </c>
      <c r="AE118" s="8" t="str">
        <f t="shared" si="12"/>
        <v>2011-06-20</v>
      </c>
      <c r="AF118" s="9" t="str">
        <f t="shared" si="13"/>
        <v>6/20/2011</v>
      </c>
      <c r="AG118" s="8">
        <f t="shared" si="14"/>
        <v>0.72196170225835998</v>
      </c>
    </row>
    <row r="119" spans="1:33">
      <c r="A119" s="2">
        <f t="shared" si="17"/>
        <v>201312</v>
      </c>
      <c r="B119" s="12" t="s">
        <v>247</v>
      </c>
      <c r="C119" s="12">
        <v>0.76832708554350604</v>
      </c>
      <c r="D119" s="12">
        <v>0.77030058380194599</v>
      </c>
      <c r="E119" s="8" t="str">
        <f t="shared" si="16"/>
        <v>2013-03-21</v>
      </c>
      <c r="H119" s="8">
        <f t="shared" si="10"/>
        <v>200945</v>
      </c>
      <c r="I119" s="13">
        <v>40123</v>
      </c>
      <c r="J119" s="12">
        <v>2996</v>
      </c>
      <c r="K119" t="str">
        <f t="shared" si="15"/>
        <v>2009-11-06</v>
      </c>
      <c r="L119" s="3" t="e">
        <f t="shared" si="11"/>
        <v>#N/A</v>
      </c>
      <c r="AB119" t="s">
        <v>800</v>
      </c>
      <c r="AC119">
        <v>0.72196170225835998</v>
      </c>
      <c r="AD119">
        <v>0.73470590913004696</v>
      </c>
      <c r="AE119" s="8" t="str">
        <f t="shared" si="12"/>
        <v>2011-06-21</v>
      </c>
      <c r="AF119" s="9" t="str">
        <f t="shared" si="13"/>
        <v>6/21/2011</v>
      </c>
      <c r="AG119" s="8">
        <f t="shared" si="14"/>
        <v>0.72196170225835998</v>
      </c>
    </row>
    <row r="120" spans="1:33">
      <c r="A120" s="2">
        <f t="shared" si="17"/>
        <v>201313</v>
      </c>
      <c r="B120" s="12" t="s">
        <v>252</v>
      </c>
      <c r="C120" s="12">
        <v>0.73085022058809701</v>
      </c>
      <c r="D120" s="12">
        <v>0.77030058380194599</v>
      </c>
      <c r="E120" s="8" t="str">
        <f t="shared" si="16"/>
        <v>2013-03-28</v>
      </c>
      <c r="H120" s="8">
        <f t="shared" si="10"/>
        <v>200946</v>
      </c>
      <c r="I120" s="13">
        <v>40130</v>
      </c>
      <c r="J120" s="12">
        <v>2975.7</v>
      </c>
      <c r="K120" t="str">
        <f t="shared" si="15"/>
        <v>2009-11-13</v>
      </c>
      <c r="L120" s="3" t="e">
        <f t="shared" si="11"/>
        <v>#N/A</v>
      </c>
      <c r="AB120" t="s">
        <v>801</v>
      </c>
      <c r="AC120">
        <v>0.72196170225835998</v>
      </c>
      <c r="AD120">
        <v>0.73470590913004696</v>
      </c>
      <c r="AE120" s="8" t="str">
        <f t="shared" si="12"/>
        <v>2011-06-22</v>
      </c>
      <c r="AF120" s="9" t="str">
        <f t="shared" si="13"/>
        <v>6/22/2011</v>
      </c>
      <c r="AG120" s="8">
        <f t="shared" si="14"/>
        <v>0.72196170225835998</v>
      </c>
    </row>
    <row r="121" spans="1:33">
      <c r="A121" s="2">
        <f t="shared" si="17"/>
        <v>201314</v>
      </c>
      <c r="B121" s="12" t="s">
        <v>256</v>
      </c>
      <c r="C121" s="12">
        <v>0.74812714109915801</v>
      </c>
      <c r="D121" s="12">
        <v>0.74540194436003504</v>
      </c>
      <c r="E121" s="8" t="str">
        <f t="shared" si="16"/>
        <v>2013-04-04</v>
      </c>
      <c r="H121" s="8">
        <f t="shared" si="10"/>
        <v>200947</v>
      </c>
      <c r="I121" s="13">
        <v>40137</v>
      </c>
      <c r="J121" s="12">
        <v>2815.1</v>
      </c>
      <c r="K121" t="str">
        <f t="shared" si="15"/>
        <v>2009-11-20</v>
      </c>
      <c r="L121" s="3" t="e">
        <f t="shared" si="11"/>
        <v>#N/A</v>
      </c>
      <c r="AB121" t="s">
        <v>802</v>
      </c>
      <c r="AC121">
        <v>0.72196170225835998</v>
      </c>
      <c r="AD121">
        <v>0.73470590913004696</v>
      </c>
      <c r="AE121" s="8" t="str">
        <f t="shared" si="12"/>
        <v>2011-06-23</v>
      </c>
      <c r="AF121" s="9" t="str">
        <f t="shared" si="13"/>
        <v>6/23/2011</v>
      </c>
      <c r="AG121" s="8">
        <f t="shared" si="14"/>
        <v>0.72196170225835998</v>
      </c>
    </row>
    <row r="122" spans="1:33">
      <c r="A122" s="2">
        <f t="shared" si="17"/>
        <v>201315</v>
      </c>
      <c r="B122" s="12" t="s">
        <v>261</v>
      </c>
      <c r="C122" s="12">
        <v>0.81951890925716098</v>
      </c>
      <c r="D122" s="12">
        <v>0.79292898793245203</v>
      </c>
      <c r="E122" s="8" t="str">
        <f t="shared" si="16"/>
        <v>2013-04-11</v>
      </c>
      <c r="H122" s="8">
        <f t="shared" si="10"/>
        <v>200948</v>
      </c>
      <c r="I122" s="13">
        <v>40144</v>
      </c>
      <c r="J122" s="12">
        <v>2958.4</v>
      </c>
      <c r="K122" t="str">
        <f t="shared" si="15"/>
        <v>2009-11-27</v>
      </c>
      <c r="L122" s="3" t="e">
        <f t="shared" si="11"/>
        <v>#N/A</v>
      </c>
      <c r="AB122" t="s">
        <v>803</v>
      </c>
      <c r="AC122">
        <v>0.72196170225835998</v>
      </c>
      <c r="AD122">
        <v>0.73470590913004696</v>
      </c>
      <c r="AE122" s="8" t="str">
        <f t="shared" si="12"/>
        <v>2011-06-24</v>
      </c>
      <c r="AF122" s="9" t="str">
        <f t="shared" si="13"/>
        <v>6/24/2011</v>
      </c>
      <c r="AG122" s="8">
        <f t="shared" si="14"/>
        <v>0.72196170225835998</v>
      </c>
    </row>
    <row r="123" spans="1:33">
      <c r="A123" s="2">
        <f t="shared" si="17"/>
        <v>201316</v>
      </c>
      <c r="B123" s="12" t="s">
        <v>266</v>
      </c>
      <c r="C123" s="12">
        <v>0.82637993200499604</v>
      </c>
      <c r="D123" s="12">
        <v>0.79292898793245203</v>
      </c>
      <c r="E123" s="8" t="str">
        <f t="shared" si="16"/>
        <v>2013-04-18</v>
      </c>
      <c r="H123" s="8">
        <f t="shared" si="10"/>
        <v>200949</v>
      </c>
      <c r="I123" s="13">
        <v>40151</v>
      </c>
      <c r="J123" s="12">
        <v>3312.7</v>
      </c>
      <c r="K123" t="str">
        <f t="shared" si="15"/>
        <v>2009-12-04</v>
      </c>
      <c r="L123" s="3" t="e">
        <f t="shared" si="11"/>
        <v>#N/A</v>
      </c>
      <c r="AB123" t="s">
        <v>804</v>
      </c>
      <c r="AC123">
        <v>0.72196170225835998</v>
      </c>
      <c r="AD123">
        <v>0.73470590913004696</v>
      </c>
      <c r="AE123" s="8" t="str">
        <f t="shared" si="12"/>
        <v>2011-06-27</v>
      </c>
      <c r="AF123" s="9" t="str">
        <f t="shared" si="13"/>
        <v>6/27/2011</v>
      </c>
      <c r="AG123" s="8">
        <f t="shared" si="14"/>
        <v>0.72196170225835998</v>
      </c>
    </row>
    <row r="124" spans="1:33">
      <c r="A124" s="2">
        <f t="shared" si="17"/>
        <v>201317</v>
      </c>
      <c r="B124" s="12" t="s">
        <v>271</v>
      </c>
      <c r="C124" s="12">
        <v>0.82478602429419601</v>
      </c>
      <c r="D124" s="12">
        <v>0.79292898793245203</v>
      </c>
      <c r="E124" s="8" t="str">
        <f t="shared" si="16"/>
        <v>2013-04-25</v>
      </c>
      <c r="H124" s="8">
        <f t="shared" si="10"/>
        <v>200950</v>
      </c>
      <c r="I124" s="13">
        <v>40158</v>
      </c>
      <c r="J124" s="12">
        <v>3354</v>
      </c>
      <c r="K124" t="str">
        <f t="shared" si="15"/>
        <v>2009-12-11</v>
      </c>
      <c r="L124" s="3" t="e">
        <f t="shared" si="11"/>
        <v>#N/A</v>
      </c>
      <c r="AB124" t="s">
        <v>805</v>
      </c>
      <c r="AC124">
        <v>0.72196170225835998</v>
      </c>
      <c r="AD124">
        <v>0.73470590913004696</v>
      </c>
      <c r="AE124" s="8" t="str">
        <f t="shared" si="12"/>
        <v>2011-06-28</v>
      </c>
      <c r="AF124" s="9" t="str">
        <f t="shared" si="13"/>
        <v>6/28/2011</v>
      </c>
      <c r="AG124" s="8">
        <f t="shared" si="14"/>
        <v>0.72196170225835998</v>
      </c>
    </row>
    <row r="125" spans="1:33">
      <c r="A125" s="2">
        <f t="shared" si="17"/>
        <v>201318</v>
      </c>
      <c r="B125" s="12" t="s">
        <v>276</v>
      </c>
      <c r="C125" s="12">
        <v>0.816862820958143</v>
      </c>
      <c r="D125" s="12">
        <v>0.84016992125619905</v>
      </c>
      <c r="E125" s="8" t="str">
        <f t="shared" si="16"/>
        <v>2013-05-02</v>
      </c>
      <c r="H125" s="8">
        <f t="shared" si="10"/>
        <v>200951</v>
      </c>
      <c r="I125" s="13">
        <v>40165</v>
      </c>
      <c r="J125" s="12">
        <v>2988.7</v>
      </c>
      <c r="K125" t="str">
        <f t="shared" si="15"/>
        <v>2009-12-18</v>
      </c>
      <c r="L125" s="3" t="e">
        <f t="shared" si="11"/>
        <v>#N/A</v>
      </c>
      <c r="AB125" t="s">
        <v>806</v>
      </c>
      <c r="AC125">
        <v>0.72196170225835998</v>
      </c>
      <c r="AD125">
        <v>0.73470590913004696</v>
      </c>
      <c r="AE125" s="8" t="str">
        <f t="shared" si="12"/>
        <v>2011-06-29</v>
      </c>
      <c r="AF125" s="9" t="str">
        <f t="shared" si="13"/>
        <v>6/29/2011</v>
      </c>
      <c r="AG125" s="8">
        <f t="shared" si="14"/>
        <v>0.72196170225835998</v>
      </c>
    </row>
    <row r="126" spans="1:33">
      <c r="A126" s="2">
        <f t="shared" si="17"/>
        <v>201319</v>
      </c>
      <c r="B126" s="12" t="s">
        <v>281</v>
      </c>
      <c r="C126" s="12">
        <v>0.80807149473903706</v>
      </c>
      <c r="D126" s="12">
        <v>0.78421186121359299</v>
      </c>
      <c r="E126" s="8" t="str">
        <f t="shared" si="16"/>
        <v>2013-05-09</v>
      </c>
      <c r="H126" s="8">
        <f t="shared" si="10"/>
        <v>200952</v>
      </c>
      <c r="I126" s="13">
        <v>40172</v>
      </c>
      <c r="J126" s="12">
        <v>2038.4</v>
      </c>
      <c r="K126" t="str">
        <f t="shared" si="15"/>
        <v>2009-12-25</v>
      </c>
      <c r="L126" s="3" t="e">
        <f t="shared" si="11"/>
        <v>#N/A</v>
      </c>
      <c r="AB126" t="s">
        <v>807</v>
      </c>
      <c r="AC126">
        <v>0.68885444787085304</v>
      </c>
      <c r="AD126">
        <v>0.73470590913004696</v>
      </c>
      <c r="AE126" s="8" t="str">
        <f t="shared" si="12"/>
        <v>2011-06-30</v>
      </c>
      <c r="AF126" s="9" t="str">
        <f t="shared" si="13"/>
        <v>6/30/2011</v>
      </c>
      <c r="AG126" s="8">
        <f t="shared" si="14"/>
        <v>0.68885444787085304</v>
      </c>
    </row>
    <row r="127" spans="1:33">
      <c r="A127" s="2">
        <f t="shared" si="17"/>
        <v>201320</v>
      </c>
      <c r="B127" s="12" t="s">
        <v>1005</v>
      </c>
      <c r="C127" s="12">
        <v>0.77783403735744605</v>
      </c>
      <c r="D127" s="12">
        <v>0.74298534969832897</v>
      </c>
      <c r="E127" s="8" t="str">
        <f t="shared" si="16"/>
        <v>2013-05-16</v>
      </c>
      <c r="H127" s="8">
        <f t="shared" si="10"/>
        <v>201001</v>
      </c>
      <c r="I127" s="13">
        <v>40179</v>
      </c>
      <c r="J127" s="12">
        <v>2021.1</v>
      </c>
      <c r="K127" t="str">
        <f t="shared" si="15"/>
        <v>2010-01-01</v>
      </c>
      <c r="L127" s="3" t="e">
        <f t="shared" si="11"/>
        <v>#N/A</v>
      </c>
      <c r="AB127" t="s">
        <v>808</v>
      </c>
      <c r="AC127">
        <v>0.68335549039476995</v>
      </c>
      <c r="AD127">
        <v>0.72841885782454296</v>
      </c>
      <c r="AE127" s="8" t="str">
        <f t="shared" si="12"/>
        <v>2011-07-01</v>
      </c>
      <c r="AF127" s="9" t="str">
        <f t="shared" si="13"/>
        <v>7/1/2011</v>
      </c>
      <c r="AG127" s="8">
        <f t="shared" si="14"/>
        <v>0.68335549039476995</v>
      </c>
    </row>
    <row r="128" spans="1:33">
      <c r="A128" s="2">
        <f t="shared" si="17"/>
        <v>201321</v>
      </c>
      <c r="B128" s="12" t="s">
        <v>289</v>
      </c>
      <c r="C128" s="12">
        <v>0.69528028144530996</v>
      </c>
      <c r="D128" s="12">
        <v>0.72025605083465505</v>
      </c>
      <c r="E128" s="8" t="str">
        <f t="shared" si="16"/>
        <v>2013-05-23</v>
      </c>
      <c r="H128" s="8">
        <f t="shared" si="10"/>
        <v>201002</v>
      </c>
      <c r="I128" s="13">
        <v>40186</v>
      </c>
      <c r="J128" s="12">
        <v>2430</v>
      </c>
      <c r="K128" t="str">
        <f t="shared" si="15"/>
        <v>2010-01-08</v>
      </c>
      <c r="L128" s="3" t="e">
        <f t="shared" si="11"/>
        <v>#N/A</v>
      </c>
      <c r="AB128" t="s">
        <v>809</v>
      </c>
      <c r="AC128">
        <v>0.68335549039476995</v>
      </c>
      <c r="AD128">
        <v>0.72841885782454296</v>
      </c>
      <c r="AE128" s="8" t="str">
        <f t="shared" si="12"/>
        <v>2011-07-05</v>
      </c>
      <c r="AF128" s="9" t="str">
        <f t="shared" si="13"/>
        <v>7/5/2011</v>
      </c>
      <c r="AG128" s="8">
        <f t="shared" si="14"/>
        <v>0.68335549039476995</v>
      </c>
    </row>
    <row r="129" spans="1:33">
      <c r="A129" s="2">
        <f t="shared" si="17"/>
        <v>201322</v>
      </c>
      <c r="B129" s="12" t="s">
        <v>292</v>
      </c>
      <c r="C129" s="12">
        <v>0.63267241864898405</v>
      </c>
      <c r="D129" s="12">
        <v>0.591796170879196</v>
      </c>
      <c r="E129" s="8" t="str">
        <f t="shared" si="16"/>
        <v>2013-05-30</v>
      </c>
      <c r="H129" s="8">
        <f t="shared" si="10"/>
        <v>201003</v>
      </c>
      <c r="I129" s="13">
        <v>40193</v>
      </c>
      <c r="J129" s="12">
        <v>2638.2</v>
      </c>
      <c r="K129" t="str">
        <f t="shared" si="15"/>
        <v>2010-01-15</v>
      </c>
      <c r="L129" s="3" t="e">
        <f t="shared" si="11"/>
        <v>#N/A</v>
      </c>
      <c r="AB129" t="s">
        <v>810</v>
      </c>
      <c r="AC129">
        <v>0.68335549039476995</v>
      </c>
      <c r="AD129">
        <v>0.72841885782454296</v>
      </c>
      <c r="AE129" s="8" t="str">
        <f t="shared" si="12"/>
        <v>2011-07-06</v>
      </c>
      <c r="AF129" s="9" t="str">
        <f t="shared" si="13"/>
        <v>7/6/2011</v>
      </c>
      <c r="AG129" s="8">
        <f t="shared" si="14"/>
        <v>0.68335549039476995</v>
      </c>
    </row>
    <row r="130" spans="1:33">
      <c r="A130" s="2">
        <f t="shared" si="17"/>
        <v>201323</v>
      </c>
      <c r="B130" s="12" t="s">
        <v>297</v>
      </c>
      <c r="C130" s="12">
        <v>0.60569175356282701</v>
      </c>
      <c r="D130" s="12">
        <v>0.55408508468166695</v>
      </c>
      <c r="E130" s="8" t="str">
        <f t="shared" si="16"/>
        <v>2013-06-06</v>
      </c>
      <c r="H130" s="8">
        <f t="shared" ref="H130:H193" si="18">WEEKNUM(I130)+100*YEAR(I130)</f>
        <v>201004</v>
      </c>
      <c r="I130" s="13">
        <v>40200</v>
      </c>
      <c r="J130" s="12">
        <v>2192.1</v>
      </c>
      <c r="K130" t="str">
        <f t="shared" si="15"/>
        <v>2010-01-22</v>
      </c>
      <c r="L130" s="3" t="e">
        <f t="shared" ref="L130:L193" si="19">VLOOKUP(H130,$A$4:$C$218,3, FALSE)</f>
        <v>#N/A</v>
      </c>
      <c r="AB130" t="s">
        <v>811</v>
      </c>
      <c r="AC130">
        <v>0.60410549631050603</v>
      </c>
      <c r="AD130">
        <v>0.64909255345717398</v>
      </c>
      <c r="AE130" s="8" t="str">
        <f t="shared" ref="AE130:AE193" si="20">MID(AB130,2,10)</f>
        <v>2011-07-07</v>
      </c>
      <c r="AF130" s="9" t="str">
        <f t="shared" ref="AF130:AF193" si="21">TEXT(AE130,"m/d/yyyy")</f>
        <v>7/7/2011</v>
      </c>
      <c r="AG130" s="8">
        <f t="shared" ref="AG130:AG193" si="22">AC130</f>
        <v>0.60410549631050603</v>
      </c>
    </row>
    <row r="131" spans="1:33">
      <c r="A131" s="2">
        <f t="shared" si="17"/>
        <v>201324</v>
      </c>
      <c r="B131" s="12" t="s">
        <v>301</v>
      </c>
      <c r="C131" s="12">
        <v>0.57343184072471898</v>
      </c>
      <c r="D131" s="12">
        <v>0.54237641845658602</v>
      </c>
      <c r="E131" s="8" t="str">
        <f t="shared" si="16"/>
        <v>2013-06-13</v>
      </c>
      <c r="H131" s="8">
        <f t="shared" si="18"/>
        <v>201005</v>
      </c>
      <c r="I131" s="13">
        <v>40207</v>
      </c>
      <c r="J131" s="12">
        <v>2763.6</v>
      </c>
      <c r="K131" t="str">
        <f t="shared" ref="K131:K194" si="23">TEXT(I131,"yyyy-mm-dd")</f>
        <v>2010-01-29</v>
      </c>
      <c r="L131" s="3" t="e">
        <f t="shared" si="19"/>
        <v>#N/A</v>
      </c>
      <c r="AB131" t="s">
        <v>812</v>
      </c>
      <c r="AC131">
        <v>0.60410549631050603</v>
      </c>
      <c r="AD131">
        <v>0.64909255345717398</v>
      </c>
      <c r="AE131" s="8" t="str">
        <f t="shared" si="20"/>
        <v>2011-07-08</v>
      </c>
      <c r="AF131" s="9" t="str">
        <f t="shared" si="21"/>
        <v>7/8/2011</v>
      </c>
      <c r="AG131" s="8">
        <f t="shared" si="22"/>
        <v>0.60410549631050603</v>
      </c>
    </row>
    <row r="132" spans="1:33">
      <c r="A132" s="2">
        <f t="shared" si="17"/>
        <v>201325</v>
      </c>
      <c r="B132" s="12" t="s">
        <v>306</v>
      </c>
      <c r="C132" s="12">
        <v>0.58795254732817603</v>
      </c>
      <c r="D132" s="12">
        <v>0.55408508468166695</v>
      </c>
      <c r="E132" s="8" t="str">
        <f t="shared" si="16"/>
        <v>2013-06-20</v>
      </c>
      <c r="H132" s="8">
        <f t="shared" si="18"/>
        <v>201006</v>
      </c>
      <c r="I132" s="13">
        <v>40214</v>
      </c>
      <c r="J132" s="12">
        <v>2807.8</v>
      </c>
      <c r="K132" t="str">
        <f t="shared" si="23"/>
        <v>2010-02-05</v>
      </c>
      <c r="L132" s="3" t="e">
        <f t="shared" si="19"/>
        <v>#N/A</v>
      </c>
      <c r="AB132" t="s">
        <v>813</v>
      </c>
      <c r="AC132">
        <v>0.60410549631050603</v>
      </c>
      <c r="AD132">
        <v>0.64909255345717398</v>
      </c>
      <c r="AE132" s="8" t="str">
        <f t="shared" si="20"/>
        <v>2011-07-11</v>
      </c>
      <c r="AF132" s="9" t="str">
        <f t="shared" si="21"/>
        <v>7/11/2011</v>
      </c>
      <c r="AG132" s="8">
        <f t="shared" si="22"/>
        <v>0.60410549631050603</v>
      </c>
    </row>
    <row r="133" spans="1:33">
      <c r="A133" s="2">
        <f t="shared" si="17"/>
        <v>201326</v>
      </c>
      <c r="B133" s="12" t="s">
        <v>310</v>
      </c>
      <c r="C133" s="12">
        <v>0.39082116641682302</v>
      </c>
      <c r="D133" s="12">
        <v>0.39415834927746801</v>
      </c>
      <c r="E133" s="8" t="str">
        <f t="shared" ref="E133:E196" si="24">MID(B133,2,10)</f>
        <v>2013-06-27</v>
      </c>
      <c r="H133" s="8">
        <f t="shared" si="18"/>
        <v>201007</v>
      </c>
      <c r="I133" s="13">
        <v>40221</v>
      </c>
      <c r="J133" s="12">
        <v>2781.2</v>
      </c>
      <c r="K133" t="str">
        <f t="shared" si="23"/>
        <v>2010-02-12</v>
      </c>
      <c r="L133" s="3" t="e">
        <f t="shared" si="19"/>
        <v>#N/A</v>
      </c>
      <c r="AB133" t="s">
        <v>814</v>
      </c>
      <c r="AC133">
        <v>0.60410549631050603</v>
      </c>
      <c r="AD133">
        <v>0.64909255345717398</v>
      </c>
      <c r="AE133" s="8" t="str">
        <f t="shared" si="20"/>
        <v>2011-07-12</v>
      </c>
      <c r="AF133" s="9" t="str">
        <f t="shared" si="21"/>
        <v>7/12/2011</v>
      </c>
      <c r="AG133" s="8">
        <f t="shared" si="22"/>
        <v>0.60410549631050603</v>
      </c>
    </row>
    <row r="134" spans="1:33">
      <c r="A134" s="2">
        <f t="shared" si="17"/>
        <v>201327</v>
      </c>
      <c r="B134" s="12" t="s">
        <v>314</v>
      </c>
      <c r="C134" s="12">
        <v>0.43308646421209301</v>
      </c>
      <c r="D134" s="12">
        <v>0.44134838880670302</v>
      </c>
      <c r="E134" s="8" t="str">
        <f t="shared" si="24"/>
        <v>2013-07-03</v>
      </c>
      <c r="H134" s="8">
        <f t="shared" si="18"/>
        <v>201008</v>
      </c>
      <c r="I134" s="13">
        <v>40228</v>
      </c>
      <c r="J134" s="12">
        <v>2474.9</v>
      </c>
      <c r="K134" t="str">
        <f t="shared" si="23"/>
        <v>2010-02-19</v>
      </c>
      <c r="L134" s="3" t="e">
        <f t="shared" si="19"/>
        <v>#N/A</v>
      </c>
      <c r="AB134" t="s">
        <v>815</v>
      </c>
      <c r="AC134">
        <v>0.60410549631050603</v>
      </c>
      <c r="AD134">
        <v>0.64909255345717398</v>
      </c>
      <c r="AE134" s="8" t="str">
        <f t="shared" si="20"/>
        <v>2011-07-13</v>
      </c>
      <c r="AF134" s="9" t="str">
        <f t="shared" si="21"/>
        <v>7/13/2011</v>
      </c>
      <c r="AG134" s="8">
        <f t="shared" si="22"/>
        <v>0.60410549631050603</v>
      </c>
    </row>
    <row r="135" spans="1:33">
      <c r="A135" s="2">
        <f t="shared" si="17"/>
        <v>201328</v>
      </c>
      <c r="B135" s="12" t="s">
        <v>319</v>
      </c>
      <c r="C135" s="12">
        <v>0.31856955774356599</v>
      </c>
      <c r="D135" s="12">
        <v>0.33963235301832501</v>
      </c>
      <c r="E135" s="8" t="str">
        <f t="shared" si="24"/>
        <v>2013-07-11</v>
      </c>
      <c r="H135" s="8">
        <f t="shared" si="18"/>
        <v>201009</v>
      </c>
      <c r="I135" s="13">
        <v>40235</v>
      </c>
      <c r="J135" s="12">
        <v>2971.5</v>
      </c>
      <c r="K135" t="str">
        <f t="shared" si="23"/>
        <v>2010-02-26</v>
      </c>
      <c r="L135" s="3" t="e">
        <f t="shared" si="19"/>
        <v>#N/A</v>
      </c>
      <c r="AB135" t="s">
        <v>816</v>
      </c>
      <c r="AC135">
        <v>0.68335549039476995</v>
      </c>
      <c r="AD135">
        <v>0.72841885782454296</v>
      </c>
      <c r="AE135" s="8" t="str">
        <f t="shared" si="20"/>
        <v>2011-07-14</v>
      </c>
      <c r="AF135" s="9" t="str">
        <f t="shared" si="21"/>
        <v>7/14/2011</v>
      </c>
      <c r="AG135" s="8">
        <f t="shared" si="22"/>
        <v>0.68335549039476995</v>
      </c>
    </row>
    <row r="136" spans="1:33">
      <c r="A136" s="2">
        <f t="shared" si="17"/>
        <v>201329</v>
      </c>
      <c r="B136" s="12" t="s">
        <v>323</v>
      </c>
      <c r="C136" s="12">
        <v>0.42624975952077698</v>
      </c>
      <c r="D136" s="12">
        <v>0.42258876241454801</v>
      </c>
      <c r="E136" s="8" t="str">
        <f t="shared" si="24"/>
        <v>2013-07-18</v>
      </c>
      <c r="H136" s="8">
        <f t="shared" si="18"/>
        <v>201010</v>
      </c>
      <c r="I136" s="13">
        <v>40242</v>
      </c>
      <c r="J136" s="12">
        <v>2937.6</v>
      </c>
      <c r="K136" t="str">
        <f t="shared" si="23"/>
        <v>2010-03-05</v>
      </c>
      <c r="L136" s="3" t="e">
        <f t="shared" si="19"/>
        <v>#N/A</v>
      </c>
      <c r="AB136" t="s">
        <v>817</v>
      </c>
      <c r="AC136">
        <v>0.68335549039476995</v>
      </c>
      <c r="AD136">
        <v>0.72841885782454296</v>
      </c>
      <c r="AE136" s="8" t="str">
        <f t="shared" si="20"/>
        <v>2011-07-15</v>
      </c>
      <c r="AF136" s="9" t="str">
        <f t="shared" si="21"/>
        <v>7/15/2011</v>
      </c>
      <c r="AG136" s="8">
        <f t="shared" si="22"/>
        <v>0.68335549039476995</v>
      </c>
    </row>
    <row r="137" spans="1:33">
      <c r="A137" s="2">
        <f t="shared" si="17"/>
        <v>201330</v>
      </c>
      <c r="B137" s="12" t="s">
        <v>327</v>
      </c>
      <c r="C137" s="12">
        <v>0.42922629610906499</v>
      </c>
      <c r="D137" s="12">
        <v>0.43288655726990599</v>
      </c>
      <c r="E137" s="8" t="str">
        <f t="shared" si="24"/>
        <v>2013-07-25</v>
      </c>
      <c r="H137" s="8">
        <f t="shared" si="18"/>
        <v>201011</v>
      </c>
      <c r="I137" s="13">
        <v>40249</v>
      </c>
      <c r="J137" s="12">
        <v>2847.2</v>
      </c>
      <c r="K137" t="str">
        <f t="shared" si="23"/>
        <v>2010-03-12</v>
      </c>
      <c r="L137" s="3" t="e">
        <f t="shared" si="19"/>
        <v>#N/A</v>
      </c>
      <c r="AB137" t="s">
        <v>818</v>
      </c>
      <c r="AC137">
        <v>0.68335549039476995</v>
      </c>
      <c r="AD137">
        <v>0.72841885782454296</v>
      </c>
      <c r="AE137" s="8" t="str">
        <f t="shared" si="20"/>
        <v>2011-07-18</v>
      </c>
      <c r="AF137" s="9" t="str">
        <f t="shared" si="21"/>
        <v>7/18/2011</v>
      </c>
      <c r="AG137" s="8">
        <f t="shared" si="22"/>
        <v>0.68335549039476995</v>
      </c>
    </row>
    <row r="138" spans="1:33">
      <c r="A138" s="2">
        <f t="shared" si="17"/>
        <v>201331</v>
      </c>
      <c r="B138" s="12" t="s">
        <v>332</v>
      </c>
      <c r="C138" s="12">
        <v>0.40917398895536999</v>
      </c>
      <c r="D138" s="12">
        <v>0.40514213578765101</v>
      </c>
      <c r="E138" s="8" t="str">
        <f t="shared" si="24"/>
        <v>2013-08-01</v>
      </c>
      <c r="H138" s="8">
        <f t="shared" si="18"/>
        <v>201012</v>
      </c>
      <c r="I138" s="13">
        <v>40256</v>
      </c>
      <c r="J138" s="12">
        <v>2617.6999999999998</v>
      </c>
      <c r="K138" t="str">
        <f t="shared" si="23"/>
        <v>2010-03-19</v>
      </c>
      <c r="L138" s="3" t="e">
        <f t="shared" si="19"/>
        <v>#N/A</v>
      </c>
      <c r="AB138" t="s">
        <v>819</v>
      </c>
      <c r="AC138">
        <v>0.68335549039476995</v>
      </c>
      <c r="AD138">
        <v>0.72841885782454296</v>
      </c>
      <c r="AE138" s="8" t="str">
        <f t="shared" si="20"/>
        <v>2011-07-19</v>
      </c>
      <c r="AF138" s="9" t="str">
        <f t="shared" si="21"/>
        <v>7/19/2011</v>
      </c>
      <c r="AG138" s="8">
        <f t="shared" si="22"/>
        <v>0.68335549039476995</v>
      </c>
    </row>
    <row r="139" spans="1:33">
      <c r="A139" s="2">
        <f t="shared" si="17"/>
        <v>201332</v>
      </c>
      <c r="B139" s="12" t="s">
        <v>337</v>
      </c>
      <c r="C139" s="12">
        <v>0.40797811985401</v>
      </c>
      <c r="D139" s="12">
        <v>0.38923445313101501</v>
      </c>
      <c r="E139" s="8" t="str">
        <f t="shared" si="24"/>
        <v>2013-08-08</v>
      </c>
      <c r="H139" s="8">
        <f t="shared" si="18"/>
        <v>201013</v>
      </c>
      <c r="I139" s="13">
        <v>40263</v>
      </c>
      <c r="J139" s="12">
        <v>2577.1999999999998</v>
      </c>
      <c r="K139" t="str">
        <f t="shared" si="23"/>
        <v>2010-03-26</v>
      </c>
      <c r="L139" s="3" t="e">
        <f t="shared" si="19"/>
        <v>#N/A</v>
      </c>
      <c r="AB139" t="s">
        <v>820</v>
      </c>
      <c r="AC139">
        <v>0.68335549039476995</v>
      </c>
      <c r="AD139">
        <v>0.72841885782454296</v>
      </c>
      <c r="AE139" s="8" t="str">
        <f t="shared" si="20"/>
        <v>2011-07-20</v>
      </c>
      <c r="AF139" s="9" t="str">
        <f t="shared" si="21"/>
        <v>7/20/2011</v>
      </c>
      <c r="AG139" s="8">
        <f t="shared" si="22"/>
        <v>0.68335549039476995</v>
      </c>
    </row>
    <row r="140" spans="1:33">
      <c r="A140" s="2">
        <f t="shared" si="17"/>
        <v>201333</v>
      </c>
      <c r="B140" s="12" t="s">
        <v>1006</v>
      </c>
      <c r="C140" s="12">
        <v>0.40797811985401</v>
      </c>
      <c r="D140" s="12">
        <v>0.38923445313101501</v>
      </c>
      <c r="E140" s="8" t="str">
        <f t="shared" si="24"/>
        <v>2013-08-15</v>
      </c>
      <c r="H140" s="8">
        <f t="shared" si="18"/>
        <v>201014</v>
      </c>
      <c r="I140" s="13">
        <v>40270</v>
      </c>
      <c r="J140" s="12">
        <v>2051.3000000000002</v>
      </c>
      <c r="K140" t="str">
        <f t="shared" si="23"/>
        <v>2010-04-02</v>
      </c>
      <c r="L140" s="3" t="e">
        <f t="shared" si="19"/>
        <v>#N/A</v>
      </c>
      <c r="AB140" t="s">
        <v>821</v>
      </c>
      <c r="AC140">
        <v>0.66675683999516899</v>
      </c>
      <c r="AD140">
        <v>0.72841885782454296</v>
      </c>
      <c r="AE140" s="8" t="str">
        <f t="shared" si="20"/>
        <v>2011-07-21</v>
      </c>
      <c r="AF140" s="9" t="str">
        <f t="shared" si="21"/>
        <v>7/21/2011</v>
      </c>
      <c r="AG140" s="8">
        <f t="shared" si="22"/>
        <v>0.66675683999516899</v>
      </c>
    </row>
    <row r="141" spans="1:33">
      <c r="A141" s="2">
        <f t="shared" si="17"/>
        <v>201334</v>
      </c>
      <c r="B141" s="12" t="s">
        <v>340</v>
      </c>
      <c r="C141" s="12">
        <v>0.28211495793674202</v>
      </c>
      <c r="D141" s="12">
        <v>0.296933152378349</v>
      </c>
      <c r="E141" s="8" t="str">
        <f t="shared" si="24"/>
        <v>2013-08-22</v>
      </c>
      <c r="H141" s="8">
        <f t="shared" si="18"/>
        <v>201015</v>
      </c>
      <c r="I141" s="13">
        <v>40277</v>
      </c>
      <c r="J141" s="12">
        <v>1892.5</v>
      </c>
      <c r="K141" t="str">
        <f t="shared" si="23"/>
        <v>2010-04-09</v>
      </c>
      <c r="L141" s="3" t="e">
        <f t="shared" si="19"/>
        <v>#N/A</v>
      </c>
      <c r="AB141" t="s">
        <v>822</v>
      </c>
      <c r="AC141">
        <v>0.66675683999516899</v>
      </c>
      <c r="AD141">
        <v>0.72841885782454296</v>
      </c>
      <c r="AE141" s="8" t="str">
        <f t="shared" si="20"/>
        <v>2011-07-22</v>
      </c>
      <c r="AF141" s="9" t="str">
        <f t="shared" si="21"/>
        <v>7/22/2011</v>
      </c>
      <c r="AG141" s="8">
        <f t="shared" si="22"/>
        <v>0.66675683999516899</v>
      </c>
    </row>
    <row r="142" spans="1:33">
      <c r="A142" s="2">
        <f t="shared" si="17"/>
        <v>201335</v>
      </c>
      <c r="B142" s="12" t="s">
        <v>343</v>
      </c>
      <c r="C142" s="12">
        <v>0.32707732602530398</v>
      </c>
      <c r="D142" s="12">
        <v>0.33208289269783797</v>
      </c>
      <c r="E142" s="8" t="str">
        <f t="shared" si="24"/>
        <v>2013-08-29</v>
      </c>
      <c r="H142" s="8">
        <f t="shared" si="18"/>
        <v>201016</v>
      </c>
      <c r="I142" s="13">
        <v>40284</v>
      </c>
      <c r="J142" s="12">
        <v>2217</v>
      </c>
      <c r="K142" t="str">
        <f t="shared" si="23"/>
        <v>2010-04-16</v>
      </c>
      <c r="L142" s="3" t="e">
        <f t="shared" si="19"/>
        <v>#N/A</v>
      </c>
      <c r="AB142" t="s">
        <v>823</v>
      </c>
      <c r="AC142">
        <v>0.66675683999516899</v>
      </c>
      <c r="AD142">
        <v>0.72841885782454296</v>
      </c>
      <c r="AE142" s="8" t="str">
        <f t="shared" si="20"/>
        <v>2011-07-25</v>
      </c>
      <c r="AF142" s="9" t="str">
        <f t="shared" si="21"/>
        <v>7/25/2011</v>
      </c>
      <c r="AG142" s="8">
        <f t="shared" si="22"/>
        <v>0.66675683999516899</v>
      </c>
    </row>
    <row r="143" spans="1:33">
      <c r="A143" s="2">
        <f t="shared" si="17"/>
        <v>201336</v>
      </c>
      <c r="B143" s="12" t="s">
        <v>347</v>
      </c>
      <c r="C143" s="12">
        <v>0.28186492560364501</v>
      </c>
      <c r="D143" s="12">
        <v>0.31267387911115302</v>
      </c>
      <c r="E143" s="8" t="str">
        <f t="shared" si="24"/>
        <v>2013-09-05</v>
      </c>
      <c r="H143" s="8">
        <f t="shared" si="18"/>
        <v>201017</v>
      </c>
      <c r="I143" s="13">
        <v>40291</v>
      </c>
      <c r="J143" s="12">
        <v>1984.5</v>
      </c>
      <c r="K143" t="str">
        <f t="shared" si="23"/>
        <v>2010-04-23</v>
      </c>
      <c r="L143" s="3" t="e">
        <f t="shared" si="19"/>
        <v>#N/A</v>
      </c>
      <c r="AB143" t="s">
        <v>824</v>
      </c>
      <c r="AC143">
        <v>0.66675683999516899</v>
      </c>
      <c r="AD143">
        <v>0.72841885782454296</v>
      </c>
      <c r="AE143" s="8" t="str">
        <f t="shared" si="20"/>
        <v>2011-07-26</v>
      </c>
      <c r="AF143" s="9" t="str">
        <f t="shared" si="21"/>
        <v>7/26/2011</v>
      </c>
      <c r="AG143" s="8">
        <f t="shared" si="22"/>
        <v>0.66675683999516899</v>
      </c>
    </row>
    <row r="144" spans="1:33">
      <c r="A144" s="2">
        <f t="shared" si="17"/>
        <v>201337</v>
      </c>
      <c r="B144" s="12" t="s">
        <v>352</v>
      </c>
      <c r="C144" s="12">
        <v>0.27463010199382099</v>
      </c>
      <c r="D144" s="12">
        <v>0.28526437258549803</v>
      </c>
      <c r="E144" s="8" t="str">
        <f t="shared" si="24"/>
        <v>2013-09-12</v>
      </c>
      <c r="H144" s="8">
        <f t="shared" si="18"/>
        <v>201018</v>
      </c>
      <c r="I144" s="13">
        <v>40298</v>
      </c>
      <c r="J144" s="12">
        <v>1953.3</v>
      </c>
      <c r="K144" t="str">
        <f t="shared" si="23"/>
        <v>2010-04-30</v>
      </c>
      <c r="L144" s="3" t="e">
        <f t="shared" si="19"/>
        <v>#N/A</v>
      </c>
      <c r="AB144" t="s">
        <v>825</v>
      </c>
      <c r="AC144">
        <v>0.66675683999516899</v>
      </c>
      <c r="AD144">
        <v>0.72841885782454296</v>
      </c>
      <c r="AE144" s="8" t="str">
        <f t="shared" si="20"/>
        <v>2011-07-27</v>
      </c>
      <c r="AF144" s="9" t="str">
        <f t="shared" si="21"/>
        <v>7/27/2011</v>
      </c>
      <c r="AG144" s="8">
        <f t="shared" si="22"/>
        <v>0.66675683999516899</v>
      </c>
    </row>
    <row r="145" spans="1:33">
      <c r="A145" s="2">
        <f t="shared" si="17"/>
        <v>201338</v>
      </c>
      <c r="B145" s="12" t="s">
        <v>357</v>
      </c>
      <c r="C145" s="12">
        <v>0.33277831045649597</v>
      </c>
      <c r="D145" s="12">
        <v>0.31960346462661599</v>
      </c>
      <c r="E145" s="8" t="str">
        <f t="shared" si="24"/>
        <v>2013-09-19</v>
      </c>
      <c r="H145" s="8">
        <f t="shared" si="18"/>
        <v>201019</v>
      </c>
      <c r="I145" s="13">
        <v>40305</v>
      </c>
      <c r="J145" s="12">
        <v>2303.6</v>
      </c>
      <c r="K145" t="str">
        <f t="shared" si="23"/>
        <v>2010-05-07</v>
      </c>
      <c r="L145" s="3" t="e">
        <f t="shared" si="19"/>
        <v>#N/A</v>
      </c>
      <c r="AB145" t="s">
        <v>826</v>
      </c>
      <c r="AC145">
        <v>0.63117786454290503</v>
      </c>
      <c r="AD145">
        <v>0.70723750051679102</v>
      </c>
      <c r="AE145" s="8" t="str">
        <f t="shared" si="20"/>
        <v>2011-07-28</v>
      </c>
      <c r="AF145" s="9" t="str">
        <f t="shared" si="21"/>
        <v>7/28/2011</v>
      </c>
      <c r="AG145" s="8">
        <f t="shared" si="22"/>
        <v>0.63117786454290503</v>
      </c>
    </row>
    <row r="146" spans="1:33">
      <c r="A146" s="2">
        <f t="shared" si="17"/>
        <v>201339</v>
      </c>
      <c r="B146" s="12" t="s">
        <v>362</v>
      </c>
      <c r="C146" s="12">
        <v>0.40445747526612702</v>
      </c>
      <c r="D146" s="12">
        <v>0.40931665882096602</v>
      </c>
      <c r="E146" s="8" t="str">
        <f t="shared" si="24"/>
        <v>2013-09-26</v>
      </c>
      <c r="H146" s="8">
        <f t="shared" si="18"/>
        <v>201020</v>
      </c>
      <c r="I146" s="13">
        <v>40312</v>
      </c>
      <c r="J146" s="12">
        <v>2668.6</v>
      </c>
      <c r="K146" t="str">
        <f t="shared" si="23"/>
        <v>2010-05-14</v>
      </c>
      <c r="L146" s="3" t="e">
        <f t="shared" si="19"/>
        <v>#N/A</v>
      </c>
      <c r="AB146" t="s">
        <v>827</v>
      </c>
      <c r="AC146">
        <v>0.63117786454290503</v>
      </c>
      <c r="AD146">
        <v>0.70723750051679102</v>
      </c>
      <c r="AE146" s="8" t="str">
        <f t="shared" si="20"/>
        <v>2011-07-29</v>
      </c>
      <c r="AF146" s="9" t="str">
        <f t="shared" si="21"/>
        <v>7/29/2011</v>
      </c>
      <c r="AG146" s="8">
        <f t="shared" si="22"/>
        <v>0.63117786454290503</v>
      </c>
    </row>
    <row r="147" spans="1:33">
      <c r="A147" s="2">
        <f t="shared" si="17"/>
        <v>201340</v>
      </c>
      <c r="B147" s="12" t="s">
        <v>367</v>
      </c>
      <c r="C147" s="12">
        <v>0.41528178559290602</v>
      </c>
      <c r="D147" s="12">
        <v>0.42830267803114203</v>
      </c>
      <c r="E147" s="8" t="str">
        <f t="shared" si="24"/>
        <v>2013-10-03</v>
      </c>
      <c r="H147" s="8">
        <f t="shared" si="18"/>
        <v>201021</v>
      </c>
      <c r="I147" s="13">
        <v>40319</v>
      </c>
      <c r="J147" s="12">
        <v>3154.9</v>
      </c>
      <c r="K147" t="str">
        <f t="shared" si="23"/>
        <v>2010-05-21</v>
      </c>
      <c r="L147" s="3" t="e">
        <f t="shared" si="19"/>
        <v>#N/A</v>
      </c>
      <c r="AB147" t="s">
        <v>828</v>
      </c>
      <c r="AC147">
        <v>0.62428536264518097</v>
      </c>
      <c r="AD147">
        <v>0.69796967786111896</v>
      </c>
      <c r="AE147" s="8" t="str">
        <f t="shared" si="20"/>
        <v>2011-08-01</v>
      </c>
      <c r="AF147" s="9" t="str">
        <f t="shared" si="21"/>
        <v>8/1/2011</v>
      </c>
      <c r="AG147" s="8">
        <f t="shared" si="22"/>
        <v>0.62428536264518097</v>
      </c>
    </row>
    <row r="148" spans="1:33">
      <c r="A148" s="2">
        <f t="shared" si="17"/>
        <v>201341</v>
      </c>
      <c r="B148" s="12" t="s">
        <v>371</v>
      </c>
      <c r="C148" s="12">
        <v>0.41314719259777</v>
      </c>
      <c r="D148" s="12">
        <v>0.42830267803114203</v>
      </c>
      <c r="E148" s="8" t="str">
        <f t="shared" si="24"/>
        <v>2013-10-10</v>
      </c>
      <c r="H148" s="8">
        <f t="shared" si="18"/>
        <v>201022</v>
      </c>
      <c r="I148" s="13">
        <v>40326</v>
      </c>
      <c r="J148" s="12">
        <v>3239.2</v>
      </c>
      <c r="K148" t="str">
        <f t="shared" si="23"/>
        <v>2010-05-28</v>
      </c>
      <c r="L148" s="3" t="e">
        <f t="shared" si="19"/>
        <v>#N/A</v>
      </c>
      <c r="AB148" t="s">
        <v>829</v>
      </c>
      <c r="AC148">
        <v>0.62428536264518097</v>
      </c>
      <c r="AD148">
        <v>0.69796967786111896</v>
      </c>
      <c r="AE148" s="8" t="str">
        <f t="shared" si="20"/>
        <v>2011-08-02</v>
      </c>
      <c r="AF148" s="9" t="str">
        <f t="shared" si="21"/>
        <v>8/2/2011</v>
      </c>
      <c r="AG148" s="8">
        <f t="shared" si="22"/>
        <v>0.62428536264518097</v>
      </c>
    </row>
    <row r="149" spans="1:33">
      <c r="A149" s="2">
        <f t="shared" si="17"/>
        <v>201342</v>
      </c>
      <c r="B149" s="12" t="s">
        <v>374</v>
      </c>
      <c r="C149" s="12">
        <v>0.402324815903361</v>
      </c>
      <c r="D149" s="12">
        <v>0.40878142747471002</v>
      </c>
      <c r="E149" s="8" t="str">
        <f t="shared" si="24"/>
        <v>2013-10-17</v>
      </c>
      <c r="H149" s="8">
        <f t="shared" si="18"/>
        <v>201023</v>
      </c>
      <c r="I149" s="13">
        <v>40333</v>
      </c>
      <c r="J149" s="12">
        <v>2781.6</v>
      </c>
      <c r="K149" t="str">
        <f t="shared" si="23"/>
        <v>2010-06-04</v>
      </c>
      <c r="L149" s="3" t="e">
        <f t="shared" si="19"/>
        <v>#N/A</v>
      </c>
      <c r="AB149" t="s">
        <v>830</v>
      </c>
      <c r="AC149">
        <v>0.62428536264518097</v>
      </c>
      <c r="AD149">
        <v>0.69796967786111896</v>
      </c>
      <c r="AE149" s="8" t="str">
        <f t="shared" si="20"/>
        <v>2011-08-03</v>
      </c>
      <c r="AF149" s="9" t="str">
        <f t="shared" si="21"/>
        <v>8/3/2011</v>
      </c>
      <c r="AG149" s="8">
        <f t="shared" si="22"/>
        <v>0.62428536264518097</v>
      </c>
    </row>
    <row r="150" spans="1:33">
      <c r="A150" s="2">
        <f t="shared" si="17"/>
        <v>201343</v>
      </c>
      <c r="B150" s="12" t="s">
        <v>379</v>
      </c>
      <c r="C150" s="12">
        <v>0.431569129246685</v>
      </c>
      <c r="D150" s="12">
        <v>0.44669826910791499</v>
      </c>
      <c r="E150" s="8" t="str">
        <f t="shared" si="24"/>
        <v>2013-10-24</v>
      </c>
      <c r="H150" s="8">
        <f t="shared" si="18"/>
        <v>201024</v>
      </c>
      <c r="I150" s="13">
        <v>40340</v>
      </c>
      <c r="J150" s="12">
        <v>3387.8</v>
      </c>
      <c r="K150" t="str">
        <f t="shared" si="23"/>
        <v>2010-06-11</v>
      </c>
      <c r="L150" s="3" t="e">
        <f t="shared" si="19"/>
        <v>#N/A</v>
      </c>
      <c r="AB150" t="s">
        <v>831</v>
      </c>
      <c r="AC150">
        <v>0.82328819503805495</v>
      </c>
      <c r="AD150">
        <v>0.86764865263259905</v>
      </c>
      <c r="AE150" s="8" t="str">
        <f t="shared" si="20"/>
        <v>2011-08-04</v>
      </c>
      <c r="AF150" s="9" t="str">
        <f t="shared" si="21"/>
        <v>8/4/2011</v>
      </c>
      <c r="AG150" s="8">
        <f t="shared" si="22"/>
        <v>0.82328819503805495</v>
      </c>
    </row>
    <row r="151" spans="1:33">
      <c r="A151" s="2">
        <f t="shared" si="17"/>
        <v>201344</v>
      </c>
      <c r="B151" s="12" t="s">
        <v>382</v>
      </c>
      <c r="C151" s="12">
        <v>0.46054051472194202</v>
      </c>
      <c r="D151" s="12">
        <v>0.45964385308807498</v>
      </c>
      <c r="E151" s="8" t="str">
        <f t="shared" si="24"/>
        <v>2013-10-31</v>
      </c>
      <c r="H151" s="8">
        <f t="shared" si="18"/>
        <v>201025</v>
      </c>
      <c r="I151" s="13">
        <v>40347</v>
      </c>
      <c r="J151" s="12">
        <v>3107.1</v>
      </c>
      <c r="K151" t="str">
        <f t="shared" si="23"/>
        <v>2010-06-18</v>
      </c>
      <c r="L151" s="3" t="e">
        <f t="shared" si="19"/>
        <v>#N/A</v>
      </c>
      <c r="AB151" t="s">
        <v>832</v>
      </c>
      <c r="AC151">
        <v>0.82328819503805495</v>
      </c>
      <c r="AD151">
        <v>0.86764865263259905</v>
      </c>
      <c r="AE151" s="8" t="str">
        <f t="shared" si="20"/>
        <v>2011-08-05</v>
      </c>
      <c r="AF151" s="9" t="str">
        <f t="shared" si="21"/>
        <v>8/5/2011</v>
      </c>
      <c r="AG151" s="8">
        <f t="shared" si="22"/>
        <v>0.82328819503805495</v>
      </c>
    </row>
    <row r="152" spans="1:33">
      <c r="A152" s="2">
        <f t="shared" ref="A152:A215" si="25">WEEKNUM(E152)+YEAR(E152)*100</f>
        <v>201345</v>
      </c>
      <c r="B152" s="12" t="s">
        <v>387</v>
      </c>
      <c r="C152" s="12">
        <v>0.42159370418067099</v>
      </c>
      <c r="D152" s="12">
        <v>0.43295361460468001</v>
      </c>
      <c r="E152" s="8" t="str">
        <f t="shared" si="24"/>
        <v>2013-11-07</v>
      </c>
      <c r="H152" s="8">
        <f t="shared" si="18"/>
        <v>201026</v>
      </c>
      <c r="I152" s="13">
        <v>40354</v>
      </c>
      <c r="J152" s="12">
        <v>3546.2</v>
      </c>
      <c r="K152" t="str">
        <f t="shared" si="23"/>
        <v>2010-06-25</v>
      </c>
      <c r="L152" s="3" t="e">
        <f t="shared" si="19"/>
        <v>#N/A</v>
      </c>
      <c r="AB152" t="s">
        <v>833</v>
      </c>
      <c r="AC152">
        <v>0.82328819503805495</v>
      </c>
      <c r="AD152">
        <v>0.86764865263259905</v>
      </c>
      <c r="AE152" s="8" t="str">
        <f t="shared" si="20"/>
        <v>2011-08-08</v>
      </c>
      <c r="AF152" s="9" t="str">
        <f t="shared" si="21"/>
        <v>8/8/2011</v>
      </c>
      <c r="AG152" s="8">
        <f t="shared" si="22"/>
        <v>0.82328819503805495</v>
      </c>
    </row>
    <row r="153" spans="1:33">
      <c r="A153" s="2">
        <f t="shared" si="25"/>
        <v>201346</v>
      </c>
      <c r="B153" s="12" t="s">
        <v>1007</v>
      </c>
      <c r="C153" s="12">
        <v>0.38756459325455</v>
      </c>
      <c r="D153" s="12">
        <v>0.388032483497667</v>
      </c>
      <c r="E153" s="8" t="str">
        <f t="shared" si="24"/>
        <v>2013-11-14</v>
      </c>
      <c r="H153" s="8">
        <f t="shared" si="18"/>
        <v>201027</v>
      </c>
      <c r="I153" s="13">
        <v>40361</v>
      </c>
      <c r="J153" s="12">
        <v>3925.9</v>
      </c>
      <c r="K153" t="str">
        <f t="shared" si="23"/>
        <v>2010-07-02</v>
      </c>
      <c r="L153" s="3" t="e">
        <f t="shared" si="19"/>
        <v>#N/A</v>
      </c>
      <c r="AB153" t="s">
        <v>834</v>
      </c>
      <c r="AC153">
        <v>0.82328819503805495</v>
      </c>
      <c r="AD153">
        <v>0.86764865263259905</v>
      </c>
      <c r="AE153" s="8" t="str">
        <f t="shared" si="20"/>
        <v>2011-08-09</v>
      </c>
      <c r="AF153" s="9" t="str">
        <f t="shared" si="21"/>
        <v>8/9/2011</v>
      </c>
      <c r="AG153" s="8">
        <f t="shared" si="22"/>
        <v>0.82328819503805495</v>
      </c>
    </row>
    <row r="154" spans="1:33">
      <c r="A154" s="2">
        <f t="shared" si="25"/>
        <v>201347</v>
      </c>
      <c r="B154" s="12" t="s">
        <v>394</v>
      </c>
      <c r="C154" s="12">
        <v>0.41410653536495001</v>
      </c>
      <c r="D154" s="12">
        <v>0.432613913383393</v>
      </c>
      <c r="E154" s="8" t="str">
        <f t="shared" si="24"/>
        <v>2013-11-21</v>
      </c>
      <c r="H154" s="8">
        <f t="shared" si="18"/>
        <v>201028</v>
      </c>
      <c r="I154" s="13">
        <v>40368</v>
      </c>
      <c r="J154" s="12">
        <v>3925.8</v>
      </c>
      <c r="K154" t="str">
        <f t="shared" si="23"/>
        <v>2010-07-09</v>
      </c>
      <c r="L154" s="3" t="e">
        <f t="shared" si="19"/>
        <v>#N/A</v>
      </c>
      <c r="AB154" t="s">
        <v>835</v>
      </c>
      <c r="AC154">
        <v>0.82328819503805495</v>
      </c>
      <c r="AD154">
        <v>0.86764865263259905</v>
      </c>
      <c r="AE154" s="8" t="str">
        <f t="shared" si="20"/>
        <v>2011-08-10</v>
      </c>
      <c r="AF154" s="9" t="str">
        <f t="shared" si="21"/>
        <v>8/10/2011</v>
      </c>
      <c r="AG154" s="8">
        <f t="shared" si="22"/>
        <v>0.82328819503805495</v>
      </c>
    </row>
    <row r="155" spans="1:33">
      <c r="A155" s="2">
        <f t="shared" si="25"/>
        <v>201348</v>
      </c>
      <c r="B155" s="12" t="s">
        <v>398</v>
      </c>
      <c r="C155" s="12">
        <v>0.39699815933228</v>
      </c>
      <c r="D155" s="12">
        <v>0.41335369904436697</v>
      </c>
      <c r="E155" s="8" t="str">
        <f t="shared" si="24"/>
        <v>2013-11-27</v>
      </c>
      <c r="H155" s="8">
        <f t="shared" si="18"/>
        <v>201029</v>
      </c>
      <c r="I155" s="13">
        <v>40375</v>
      </c>
      <c r="J155" s="12">
        <v>4345.3999999999996</v>
      </c>
      <c r="K155" t="str">
        <f t="shared" si="23"/>
        <v>2010-07-16</v>
      </c>
      <c r="L155" s="3" t="e">
        <f t="shared" si="19"/>
        <v>#N/A</v>
      </c>
      <c r="AB155" t="s">
        <v>836</v>
      </c>
      <c r="AC155">
        <v>0.834040070391601</v>
      </c>
      <c r="AD155">
        <v>0.88875019752941398</v>
      </c>
      <c r="AE155" s="8" t="str">
        <f t="shared" si="20"/>
        <v>2011-08-11</v>
      </c>
      <c r="AF155" s="9" t="str">
        <f t="shared" si="21"/>
        <v>8/11/2011</v>
      </c>
      <c r="AG155" s="8">
        <f t="shared" si="22"/>
        <v>0.834040070391601</v>
      </c>
    </row>
    <row r="156" spans="1:33">
      <c r="A156" s="2">
        <f t="shared" si="25"/>
        <v>201349</v>
      </c>
      <c r="B156" s="12" t="s">
        <v>402</v>
      </c>
      <c r="C156" s="12">
        <v>0.37338021104571001</v>
      </c>
      <c r="D156" s="12">
        <v>0.34590013117591401</v>
      </c>
      <c r="E156" s="8" t="str">
        <f t="shared" si="24"/>
        <v>2013-12-05</v>
      </c>
      <c r="H156" s="8">
        <f t="shared" si="18"/>
        <v>201030</v>
      </c>
      <c r="I156" s="13">
        <v>40382</v>
      </c>
      <c r="J156" s="12">
        <v>4097.3</v>
      </c>
      <c r="K156" t="str">
        <f t="shared" si="23"/>
        <v>2010-07-23</v>
      </c>
      <c r="L156" s="3" t="e">
        <f t="shared" si="19"/>
        <v>#N/A</v>
      </c>
      <c r="AB156" t="s">
        <v>837</v>
      </c>
      <c r="AC156">
        <v>0.834040070391601</v>
      </c>
      <c r="AD156">
        <v>0.88875019752941398</v>
      </c>
      <c r="AE156" s="8" t="str">
        <f t="shared" si="20"/>
        <v>2011-08-12</v>
      </c>
      <c r="AF156" s="9" t="str">
        <f t="shared" si="21"/>
        <v>8/12/2011</v>
      </c>
      <c r="AG156" s="8">
        <f t="shared" si="22"/>
        <v>0.834040070391601</v>
      </c>
    </row>
    <row r="157" spans="1:33">
      <c r="A157" s="2">
        <f t="shared" si="25"/>
        <v>201350</v>
      </c>
      <c r="B157" s="12" t="s">
        <v>407</v>
      </c>
      <c r="C157" s="12">
        <v>0.37072062674784101</v>
      </c>
      <c r="D157" s="12">
        <v>0.338899899479228</v>
      </c>
      <c r="E157" s="8" t="str">
        <f t="shared" si="24"/>
        <v>2013-12-12</v>
      </c>
      <c r="H157" s="8">
        <f t="shared" si="18"/>
        <v>201031</v>
      </c>
      <c r="I157" s="13">
        <v>40389</v>
      </c>
      <c r="J157" s="12">
        <v>4155.5</v>
      </c>
      <c r="K157" t="str">
        <f t="shared" si="23"/>
        <v>2010-07-30</v>
      </c>
      <c r="L157" s="3" t="e">
        <f t="shared" si="19"/>
        <v>#N/A</v>
      </c>
      <c r="AB157" t="s">
        <v>838</v>
      </c>
      <c r="AC157">
        <v>0.834040070391601</v>
      </c>
      <c r="AD157">
        <v>0.88875019752941398</v>
      </c>
      <c r="AE157" s="8" t="str">
        <f t="shared" si="20"/>
        <v>2011-08-15</v>
      </c>
      <c r="AF157" s="9" t="str">
        <f t="shared" si="21"/>
        <v>8/15/2011</v>
      </c>
      <c r="AG157" s="8">
        <f t="shared" si="22"/>
        <v>0.834040070391601</v>
      </c>
    </row>
    <row r="158" spans="1:33">
      <c r="A158" s="2">
        <f t="shared" si="25"/>
        <v>201351</v>
      </c>
      <c r="B158" s="12" t="s">
        <v>411</v>
      </c>
      <c r="C158" s="12">
        <v>0.339745677776082</v>
      </c>
      <c r="D158" s="12">
        <v>0.31945692741593201</v>
      </c>
      <c r="E158" s="8" t="str">
        <f t="shared" si="24"/>
        <v>2013-12-19</v>
      </c>
      <c r="H158" s="8">
        <f t="shared" si="18"/>
        <v>201032</v>
      </c>
      <c r="I158" s="13">
        <v>40396</v>
      </c>
      <c r="J158" s="12">
        <v>4147.1000000000004</v>
      </c>
      <c r="K158" t="str">
        <f t="shared" si="23"/>
        <v>2010-08-06</v>
      </c>
      <c r="L158" s="3" t="e">
        <f t="shared" si="19"/>
        <v>#N/A</v>
      </c>
      <c r="AB158" t="s">
        <v>839</v>
      </c>
      <c r="AC158">
        <v>0.834040070391601</v>
      </c>
      <c r="AD158">
        <v>0.88875019752941398</v>
      </c>
      <c r="AE158" s="8" t="str">
        <f t="shared" si="20"/>
        <v>2011-08-16</v>
      </c>
      <c r="AF158" s="9" t="str">
        <f t="shared" si="21"/>
        <v>8/16/2011</v>
      </c>
      <c r="AG158" s="8">
        <f t="shared" si="22"/>
        <v>0.834040070391601</v>
      </c>
    </row>
    <row r="159" spans="1:33">
      <c r="A159" s="2">
        <f t="shared" si="25"/>
        <v>201352</v>
      </c>
      <c r="B159" s="12" t="s">
        <v>415</v>
      </c>
      <c r="C159" s="12">
        <v>0.33029809597210902</v>
      </c>
      <c r="D159" s="12">
        <v>0.31945692741593201</v>
      </c>
      <c r="E159" s="8" t="str">
        <f t="shared" si="24"/>
        <v>2013-12-26</v>
      </c>
      <c r="H159" s="8">
        <f t="shared" si="18"/>
        <v>201033</v>
      </c>
      <c r="I159" s="13">
        <v>40403</v>
      </c>
      <c r="J159" s="12">
        <v>4940.8999999999996</v>
      </c>
      <c r="K159" t="str">
        <f t="shared" si="23"/>
        <v>2010-08-13</v>
      </c>
      <c r="L159" s="3" t="e">
        <f t="shared" si="19"/>
        <v>#N/A</v>
      </c>
      <c r="AB159" t="s">
        <v>840</v>
      </c>
      <c r="AC159">
        <v>0.834040070391601</v>
      </c>
      <c r="AD159">
        <v>0.88875019752941398</v>
      </c>
      <c r="AE159" s="8" t="str">
        <f t="shared" si="20"/>
        <v>2011-08-17</v>
      </c>
      <c r="AF159" s="9" t="str">
        <f t="shared" si="21"/>
        <v>8/17/2011</v>
      </c>
      <c r="AG159" s="8">
        <f t="shared" si="22"/>
        <v>0.834040070391601</v>
      </c>
    </row>
    <row r="160" spans="1:33">
      <c r="A160" s="2">
        <f t="shared" si="25"/>
        <v>201401</v>
      </c>
      <c r="B160" s="12" t="s">
        <v>419</v>
      </c>
      <c r="C160" s="12">
        <v>0.26212623729092299</v>
      </c>
      <c r="D160" s="12">
        <v>0.280034252041158</v>
      </c>
      <c r="E160" s="8" t="str">
        <f t="shared" si="24"/>
        <v>2014-01-02</v>
      </c>
      <c r="H160" s="8">
        <f t="shared" si="18"/>
        <v>201034</v>
      </c>
      <c r="I160" s="13">
        <v>40410</v>
      </c>
      <c r="J160" s="12">
        <v>5260.7</v>
      </c>
      <c r="K160" t="str">
        <f t="shared" si="23"/>
        <v>2010-08-20</v>
      </c>
      <c r="L160" s="3" t="e">
        <f t="shared" si="19"/>
        <v>#N/A</v>
      </c>
      <c r="AB160" t="s">
        <v>841</v>
      </c>
      <c r="AC160">
        <v>0.86081674392019403</v>
      </c>
      <c r="AD160">
        <v>0.91199672693643197</v>
      </c>
      <c r="AE160" s="8" t="str">
        <f t="shared" si="20"/>
        <v>2011-08-18</v>
      </c>
      <c r="AF160" s="9" t="str">
        <f t="shared" si="21"/>
        <v>8/18/2011</v>
      </c>
      <c r="AG160" s="8">
        <f t="shared" si="22"/>
        <v>0.86081674392019403</v>
      </c>
    </row>
    <row r="161" spans="1:33">
      <c r="A161" s="2">
        <f t="shared" si="25"/>
        <v>201402</v>
      </c>
      <c r="B161" s="12" t="s">
        <v>423</v>
      </c>
      <c r="C161" s="12">
        <v>0.29022600492529399</v>
      </c>
      <c r="D161" s="12">
        <v>0.28637334307655798</v>
      </c>
      <c r="E161" s="8" t="str">
        <f t="shared" si="24"/>
        <v>2014-01-09</v>
      </c>
      <c r="H161" s="8">
        <f t="shared" si="18"/>
        <v>201035</v>
      </c>
      <c r="I161" s="13">
        <v>40417</v>
      </c>
      <c r="J161" s="12">
        <v>5431.5</v>
      </c>
      <c r="K161" t="str">
        <f t="shared" si="23"/>
        <v>2010-08-27</v>
      </c>
      <c r="L161" s="3" t="e">
        <f t="shared" si="19"/>
        <v>#N/A</v>
      </c>
      <c r="AB161" t="s">
        <v>842</v>
      </c>
      <c r="AC161">
        <v>0.86081674392019403</v>
      </c>
      <c r="AD161">
        <v>0.91199672693643197</v>
      </c>
      <c r="AE161" s="8" t="str">
        <f t="shared" si="20"/>
        <v>2011-08-19</v>
      </c>
      <c r="AF161" s="9" t="str">
        <f t="shared" si="21"/>
        <v>8/19/2011</v>
      </c>
      <c r="AG161" s="8">
        <f t="shared" si="22"/>
        <v>0.86081674392019403</v>
      </c>
    </row>
    <row r="162" spans="1:33">
      <c r="A162" s="2">
        <f t="shared" si="25"/>
        <v>201403</v>
      </c>
      <c r="B162" s="12" t="s">
        <v>428</v>
      </c>
      <c r="C162" s="12">
        <v>0.36774882579493101</v>
      </c>
      <c r="D162" s="12">
        <v>0.33873121393027</v>
      </c>
      <c r="E162" s="8" t="str">
        <f t="shared" si="24"/>
        <v>2014-01-16</v>
      </c>
      <c r="H162" s="8">
        <f t="shared" si="18"/>
        <v>201036</v>
      </c>
      <c r="I162" s="13">
        <v>40424</v>
      </c>
      <c r="J162" s="12">
        <v>5214.6000000000004</v>
      </c>
      <c r="K162" t="str">
        <f t="shared" si="23"/>
        <v>2010-09-03</v>
      </c>
      <c r="L162" s="3" t="e">
        <f t="shared" si="19"/>
        <v>#N/A</v>
      </c>
      <c r="AB162" t="s">
        <v>843</v>
      </c>
      <c r="AC162">
        <v>0.86081674392019403</v>
      </c>
      <c r="AD162">
        <v>0.91199672693643197</v>
      </c>
      <c r="AE162" s="8" t="str">
        <f t="shared" si="20"/>
        <v>2011-08-22</v>
      </c>
      <c r="AF162" s="9" t="str">
        <f t="shared" si="21"/>
        <v>8/22/2011</v>
      </c>
      <c r="AG162" s="8">
        <f t="shared" si="22"/>
        <v>0.86081674392019403</v>
      </c>
    </row>
    <row r="163" spans="1:33">
      <c r="A163" s="2">
        <f t="shared" si="25"/>
        <v>201404</v>
      </c>
      <c r="B163" s="12" t="s">
        <v>432</v>
      </c>
      <c r="C163" s="12">
        <v>0.37084428304329597</v>
      </c>
      <c r="D163" s="12">
        <v>0.353219859413124</v>
      </c>
      <c r="E163" s="8" t="str">
        <f t="shared" si="24"/>
        <v>2014-01-23</v>
      </c>
      <c r="H163" s="8">
        <f t="shared" si="18"/>
        <v>201037</v>
      </c>
      <c r="I163" s="13">
        <v>40431</v>
      </c>
      <c r="J163" s="12">
        <v>4663.8</v>
      </c>
      <c r="K163" t="str">
        <f t="shared" si="23"/>
        <v>2010-09-10</v>
      </c>
      <c r="L163" s="3" t="e">
        <f t="shared" si="19"/>
        <v>#N/A</v>
      </c>
      <c r="AB163" t="s">
        <v>844</v>
      </c>
      <c r="AC163">
        <v>0.86081674392019403</v>
      </c>
      <c r="AD163">
        <v>0.91199672693643197</v>
      </c>
      <c r="AE163" s="8" t="str">
        <f t="shared" si="20"/>
        <v>2011-08-23</v>
      </c>
      <c r="AF163" s="9" t="str">
        <f t="shared" si="21"/>
        <v>8/23/2011</v>
      </c>
      <c r="AG163" s="8">
        <f t="shared" si="22"/>
        <v>0.86081674392019403</v>
      </c>
    </row>
    <row r="164" spans="1:33">
      <c r="A164" s="2">
        <f t="shared" si="25"/>
        <v>201405</v>
      </c>
      <c r="B164" s="12" t="s">
        <v>437</v>
      </c>
      <c r="C164" s="12">
        <v>0.38160196936392599</v>
      </c>
      <c r="D164" s="12">
        <v>0.37043232651615798</v>
      </c>
      <c r="E164" s="8" t="str">
        <f t="shared" si="24"/>
        <v>2014-01-30</v>
      </c>
      <c r="H164" s="8">
        <f t="shared" si="18"/>
        <v>201038</v>
      </c>
      <c r="I164" s="13">
        <v>40438</v>
      </c>
      <c r="J164" s="12">
        <v>4624.6000000000004</v>
      </c>
      <c r="K164" t="str">
        <f t="shared" si="23"/>
        <v>2010-09-17</v>
      </c>
      <c r="L164" s="3" t="e">
        <f t="shared" si="19"/>
        <v>#N/A</v>
      </c>
      <c r="AB164" t="s">
        <v>845</v>
      </c>
      <c r="AC164">
        <v>0.86081674392019403</v>
      </c>
      <c r="AD164">
        <v>0.91199672693643197</v>
      </c>
      <c r="AE164" s="8" t="str">
        <f t="shared" si="20"/>
        <v>2011-08-24</v>
      </c>
      <c r="AF164" s="9" t="str">
        <f t="shared" si="21"/>
        <v>8/24/2011</v>
      </c>
      <c r="AG164" s="8">
        <f t="shared" si="22"/>
        <v>0.86081674392019403</v>
      </c>
    </row>
    <row r="165" spans="1:33">
      <c r="A165" s="2">
        <f t="shared" si="25"/>
        <v>201406</v>
      </c>
      <c r="B165" s="12" t="s">
        <v>442</v>
      </c>
      <c r="C165" s="12">
        <v>0.40068103493110202</v>
      </c>
      <c r="D165" s="12">
        <v>0.418633438360556</v>
      </c>
      <c r="E165" s="8" t="str">
        <f t="shared" si="24"/>
        <v>2014-02-06</v>
      </c>
      <c r="H165" s="8">
        <f t="shared" si="18"/>
        <v>201039</v>
      </c>
      <c r="I165" s="13">
        <v>40445</v>
      </c>
      <c r="J165" s="12">
        <v>4549.3</v>
      </c>
      <c r="K165" t="str">
        <f t="shared" si="23"/>
        <v>2010-09-24</v>
      </c>
      <c r="L165" s="3" t="e">
        <f t="shared" si="19"/>
        <v>#N/A</v>
      </c>
      <c r="AB165" t="s">
        <v>846</v>
      </c>
      <c r="AC165">
        <v>0.84691794883119798</v>
      </c>
      <c r="AD165">
        <v>0.91199672693643197</v>
      </c>
      <c r="AE165" s="8" t="str">
        <f t="shared" si="20"/>
        <v>2011-08-25</v>
      </c>
      <c r="AF165" s="9" t="str">
        <f t="shared" si="21"/>
        <v>8/25/2011</v>
      </c>
      <c r="AG165" s="8">
        <f t="shared" si="22"/>
        <v>0.84691794883119798</v>
      </c>
    </row>
    <row r="166" spans="1:33">
      <c r="A166" s="2">
        <f t="shared" si="25"/>
        <v>201407</v>
      </c>
      <c r="B166" s="12" t="s">
        <v>447</v>
      </c>
      <c r="C166" s="12">
        <v>0.38532630107915999</v>
      </c>
      <c r="D166" s="12">
        <v>0.369585902390552</v>
      </c>
      <c r="E166" s="8" t="str">
        <f t="shared" si="24"/>
        <v>2014-02-13</v>
      </c>
      <c r="H166" s="8">
        <f t="shared" si="18"/>
        <v>201040</v>
      </c>
      <c r="I166" s="13">
        <v>40452</v>
      </c>
      <c r="J166" s="12">
        <v>4395.5</v>
      </c>
      <c r="K166" t="str">
        <f t="shared" si="23"/>
        <v>2010-10-01</v>
      </c>
      <c r="L166" s="3" t="e">
        <f t="shared" si="19"/>
        <v>#N/A</v>
      </c>
      <c r="AB166" t="s">
        <v>847</v>
      </c>
      <c r="AC166">
        <v>0.84691794883119798</v>
      </c>
      <c r="AD166">
        <v>0.91199672693643197</v>
      </c>
      <c r="AE166" s="8" t="str">
        <f t="shared" si="20"/>
        <v>2011-08-26</v>
      </c>
      <c r="AF166" s="9" t="str">
        <f t="shared" si="21"/>
        <v>8/26/2011</v>
      </c>
      <c r="AG166" s="8">
        <f t="shared" si="22"/>
        <v>0.84691794883119798</v>
      </c>
    </row>
    <row r="167" spans="1:33">
      <c r="A167" s="2">
        <f t="shared" si="25"/>
        <v>201408</v>
      </c>
      <c r="B167" s="12" t="s">
        <v>451</v>
      </c>
      <c r="C167" s="12">
        <v>0.375571977518594</v>
      </c>
      <c r="D167" s="12">
        <v>0.361925733732405</v>
      </c>
      <c r="E167" s="8" t="str">
        <f t="shared" si="24"/>
        <v>2014-02-20</v>
      </c>
      <c r="H167" s="8">
        <f t="shared" si="18"/>
        <v>201041</v>
      </c>
      <c r="I167" s="13">
        <v>40459</v>
      </c>
      <c r="J167" s="12">
        <v>5455.4</v>
      </c>
      <c r="K167" t="str">
        <f t="shared" si="23"/>
        <v>2010-10-08</v>
      </c>
      <c r="L167" s="3" t="e">
        <f t="shared" si="19"/>
        <v>#N/A</v>
      </c>
      <c r="AB167" t="s">
        <v>848</v>
      </c>
      <c r="AC167">
        <v>0.84691794883119798</v>
      </c>
      <c r="AD167">
        <v>0.91199672693643197</v>
      </c>
      <c r="AE167" s="8" t="str">
        <f t="shared" si="20"/>
        <v>2011-08-29</v>
      </c>
      <c r="AF167" s="9" t="str">
        <f t="shared" si="21"/>
        <v>8/29/2011</v>
      </c>
      <c r="AG167" s="8">
        <f t="shared" si="22"/>
        <v>0.84691794883119798</v>
      </c>
    </row>
    <row r="168" spans="1:33">
      <c r="A168" s="2">
        <f t="shared" si="25"/>
        <v>201409</v>
      </c>
      <c r="B168" s="12" t="s">
        <v>456</v>
      </c>
      <c r="C168" s="12">
        <v>0.36967404481869198</v>
      </c>
      <c r="D168" s="12">
        <v>0.35259700499086699</v>
      </c>
      <c r="E168" s="8" t="str">
        <f t="shared" si="24"/>
        <v>2014-02-27</v>
      </c>
      <c r="H168" s="8">
        <f t="shared" si="18"/>
        <v>201042</v>
      </c>
      <c r="I168" s="13">
        <v>40466</v>
      </c>
      <c r="J168" s="12">
        <v>4768.6000000000004</v>
      </c>
      <c r="K168" t="str">
        <f t="shared" si="23"/>
        <v>2010-10-15</v>
      </c>
      <c r="L168" s="3" t="e">
        <f t="shared" si="19"/>
        <v>#N/A</v>
      </c>
      <c r="AB168" t="s">
        <v>849</v>
      </c>
      <c r="AC168">
        <v>0.84691794883119798</v>
      </c>
      <c r="AD168">
        <v>0.91199672693643197</v>
      </c>
      <c r="AE168" s="8" t="str">
        <f t="shared" si="20"/>
        <v>2011-08-30</v>
      </c>
      <c r="AF168" s="9" t="str">
        <f t="shared" si="21"/>
        <v>8/30/2011</v>
      </c>
      <c r="AG168" s="8">
        <f t="shared" si="22"/>
        <v>0.84691794883119798</v>
      </c>
    </row>
    <row r="169" spans="1:33">
      <c r="A169" s="2">
        <f t="shared" si="25"/>
        <v>201410</v>
      </c>
      <c r="B169" s="12" t="s">
        <v>461</v>
      </c>
      <c r="C169" s="12">
        <v>0.383169637258365</v>
      </c>
      <c r="D169" s="12">
        <v>0.365947253047751</v>
      </c>
      <c r="E169" s="8" t="str">
        <f t="shared" si="24"/>
        <v>2014-03-06</v>
      </c>
      <c r="H169" s="8">
        <f t="shared" si="18"/>
        <v>201043</v>
      </c>
      <c r="I169" s="13">
        <v>40473</v>
      </c>
      <c r="J169" s="12">
        <v>4904.2</v>
      </c>
      <c r="K169" t="str">
        <f t="shared" si="23"/>
        <v>2010-10-22</v>
      </c>
      <c r="L169" s="3" t="e">
        <f t="shared" si="19"/>
        <v>#N/A</v>
      </c>
      <c r="AB169" t="s">
        <v>850</v>
      </c>
      <c r="AC169">
        <v>0.84691794883119798</v>
      </c>
      <c r="AD169">
        <v>0.91199672693643197</v>
      </c>
      <c r="AE169" s="8" t="str">
        <f t="shared" si="20"/>
        <v>2011-08-31</v>
      </c>
      <c r="AF169" s="9" t="str">
        <f t="shared" si="21"/>
        <v>8/31/2011</v>
      </c>
      <c r="AG169" s="8">
        <f t="shared" si="22"/>
        <v>0.84691794883119798</v>
      </c>
    </row>
    <row r="170" spans="1:33">
      <c r="A170" s="2">
        <f t="shared" si="25"/>
        <v>201411</v>
      </c>
      <c r="B170" s="12" t="s">
        <v>466</v>
      </c>
      <c r="C170" s="12">
        <v>0.36933430427665598</v>
      </c>
      <c r="D170" s="12">
        <v>0.34988680837895503</v>
      </c>
      <c r="E170" s="8" t="str">
        <f t="shared" si="24"/>
        <v>2014-03-13</v>
      </c>
      <c r="H170" s="8">
        <f t="shared" si="18"/>
        <v>201044</v>
      </c>
      <c r="I170" s="13">
        <v>40480</v>
      </c>
      <c r="J170" s="12">
        <v>4568.1000000000004</v>
      </c>
      <c r="K170" t="str">
        <f t="shared" si="23"/>
        <v>2010-10-29</v>
      </c>
      <c r="L170" s="3" t="e">
        <f t="shared" si="19"/>
        <v>#N/A</v>
      </c>
      <c r="AB170" t="s">
        <v>851</v>
      </c>
      <c r="AC170">
        <v>0.841117996149364</v>
      </c>
      <c r="AD170">
        <v>0.91187041906889699</v>
      </c>
      <c r="AE170" s="8" t="str">
        <f t="shared" si="20"/>
        <v>2011-09-01</v>
      </c>
      <c r="AF170" s="9" t="str">
        <f t="shared" si="21"/>
        <v>9/1/2011</v>
      </c>
      <c r="AG170" s="8">
        <f t="shared" si="22"/>
        <v>0.841117996149364</v>
      </c>
    </row>
    <row r="171" spans="1:33">
      <c r="A171" s="2">
        <f t="shared" si="25"/>
        <v>201412</v>
      </c>
      <c r="B171" s="12" t="s">
        <v>471</v>
      </c>
      <c r="C171" s="12">
        <v>0.38030249532079302</v>
      </c>
      <c r="D171" s="12">
        <v>0.365947253047751</v>
      </c>
      <c r="E171" s="8" t="str">
        <f t="shared" si="24"/>
        <v>2014-03-20</v>
      </c>
      <c r="H171" s="8">
        <f t="shared" si="18"/>
        <v>201045</v>
      </c>
      <c r="I171" s="13">
        <v>40487</v>
      </c>
      <c r="J171" s="12">
        <v>4836.3999999999996</v>
      </c>
      <c r="K171" t="str">
        <f t="shared" si="23"/>
        <v>2010-11-05</v>
      </c>
      <c r="L171" s="3" t="e">
        <f t="shared" si="19"/>
        <v>#N/A</v>
      </c>
      <c r="AB171" t="s">
        <v>852</v>
      </c>
      <c r="AC171">
        <v>0.841117996149364</v>
      </c>
      <c r="AD171">
        <v>0.91187041906889699</v>
      </c>
      <c r="AE171" s="8" t="str">
        <f t="shared" si="20"/>
        <v>2011-09-02</v>
      </c>
      <c r="AF171" s="9" t="str">
        <f t="shared" si="21"/>
        <v>9/2/2011</v>
      </c>
      <c r="AG171" s="8">
        <f t="shared" si="22"/>
        <v>0.841117996149364</v>
      </c>
    </row>
    <row r="172" spans="1:33">
      <c r="A172" s="2">
        <f t="shared" si="25"/>
        <v>201413</v>
      </c>
      <c r="B172" s="12" t="s">
        <v>476</v>
      </c>
      <c r="C172" s="12">
        <v>0.36565400061255998</v>
      </c>
      <c r="D172" s="12">
        <v>0.34076202088993601</v>
      </c>
      <c r="E172" s="8" t="str">
        <f t="shared" si="24"/>
        <v>2014-03-27</v>
      </c>
      <c r="H172" s="8">
        <f t="shared" si="18"/>
        <v>201046</v>
      </c>
      <c r="I172" s="13">
        <v>40494</v>
      </c>
      <c r="J172" s="12">
        <v>4015.2</v>
      </c>
      <c r="K172" t="str">
        <f t="shared" si="23"/>
        <v>2010-11-12</v>
      </c>
      <c r="L172" s="3" t="e">
        <f t="shared" si="19"/>
        <v>#N/A</v>
      </c>
      <c r="AB172" t="s">
        <v>853</v>
      </c>
      <c r="AC172">
        <v>0.841117996149364</v>
      </c>
      <c r="AD172">
        <v>0.91187041906889699</v>
      </c>
      <c r="AE172" s="8" t="str">
        <f t="shared" si="20"/>
        <v>2011-09-06</v>
      </c>
      <c r="AF172" s="9" t="str">
        <f t="shared" si="21"/>
        <v>9/6/2011</v>
      </c>
      <c r="AG172" s="8">
        <f t="shared" si="22"/>
        <v>0.841117996149364</v>
      </c>
    </row>
    <row r="173" spans="1:33">
      <c r="A173" s="2">
        <f t="shared" si="25"/>
        <v>201414</v>
      </c>
      <c r="B173" s="12" t="s">
        <v>481</v>
      </c>
      <c r="C173" s="12">
        <v>0.35521926568999201</v>
      </c>
      <c r="D173" s="12">
        <v>0.32045868201101502</v>
      </c>
      <c r="E173" s="8" t="str">
        <f t="shared" si="24"/>
        <v>2014-04-03</v>
      </c>
      <c r="H173" s="8">
        <f t="shared" si="18"/>
        <v>201047</v>
      </c>
      <c r="I173" s="13">
        <v>40501</v>
      </c>
      <c r="J173" s="12">
        <v>4009.2</v>
      </c>
      <c r="K173" t="str">
        <f t="shared" si="23"/>
        <v>2010-11-19</v>
      </c>
      <c r="L173" s="3" t="e">
        <f t="shared" si="19"/>
        <v>#N/A</v>
      </c>
      <c r="AB173" t="s">
        <v>854</v>
      </c>
      <c r="AC173">
        <v>0.841117996149364</v>
      </c>
      <c r="AD173">
        <v>0.91187041906889699</v>
      </c>
      <c r="AE173" s="8" t="str">
        <f t="shared" si="20"/>
        <v>2011-09-07</v>
      </c>
      <c r="AF173" s="9" t="str">
        <f t="shared" si="21"/>
        <v>9/7/2011</v>
      </c>
      <c r="AG173" s="8">
        <f t="shared" si="22"/>
        <v>0.841117996149364</v>
      </c>
    </row>
    <row r="174" spans="1:33">
      <c r="A174" s="2">
        <f t="shared" si="25"/>
        <v>201415</v>
      </c>
      <c r="B174" s="12" t="s">
        <v>486</v>
      </c>
      <c r="C174" s="12">
        <v>0.36683376695248798</v>
      </c>
      <c r="D174" s="12">
        <v>0.34341616068980901</v>
      </c>
      <c r="E174" s="8" t="str">
        <f t="shared" si="24"/>
        <v>2014-04-10</v>
      </c>
      <c r="H174" s="8">
        <f t="shared" si="18"/>
        <v>201048</v>
      </c>
      <c r="I174" s="13">
        <v>40508</v>
      </c>
      <c r="J174" s="12">
        <v>3151.8</v>
      </c>
      <c r="K174" t="str">
        <f t="shared" si="23"/>
        <v>2010-11-26</v>
      </c>
      <c r="L174" s="3" t="e">
        <f t="shared" si="19"/>
        <v>#N/A</v>
      </c>
      <c r="AB174" t="s">
        <v>855</v>
      </c>
      <c r="AC174">
        <v>0.87810314526122002</v>
      </c>
      <c r="AD174">
        <v>0.93360184365153998</v>
      </c>
      <c r="AE174" s="8" t="str">
        <f t="shared" si="20"/>
        <v>2011-09-08</v>
      </c>
      <c r="AF174" s="9" t="str">
        <f t="shared" si="21"/>
        <v>9/8/2011</v>
      </c>
      <c r="AG174" s="8">
        <f t="shared" si="22"/>
        <v>0.87810314526122002</v>
      </c>
    </row>
    <row r="175" spans="1:33">
      <c r="A175" s="2">
        <f t="shared" si="25"/>
        <v>201416</v>
      </c>
      <c r="B175" s="12" t="s">
        <v>491</v>
      </c>
      <c r="C175" s="12">
        <v>0.38166972699665502</v>
      </c>
      <c r="D175" s="12">
        <v>0.35973898425891498</v>
      </c>
      <c r="E175" s="8" t="str">
        <f t="shared" si="24"/>
        <v>2014-04-17</v>
      </c>
      <c r="H175" s="8">
        <f t="shared" si="18"/>
        <v>201049</v>
      </c>
      <c r="I175" s="13">
        <v>40515</v>
      </c>
      <c r="J175" s="12">
        <v>3066.2</v>
      </c>
      <c r="K175" t="str">
        <f t="shared" si="23"/>
        <v>2010-12-03</v>
      </c>
      <c r="L175" s="3" t="e">
        <f t="shared" si="19"/>
        <v>#N/A</v>
      </c>
      <c r="AB175" t="s">
        <v>856</v>
      </c>
      <c r="AC175">
        <v>0.87810314526122002</v>
      </c>
      <c r="AD175">
        <v>0.93360184365153998</v>
      </c>
      <c r="AE175" s="8" t="str">
        <f t="shared" si="20"/>
        <v>2011-09-09</v>
      </c>
      <c r="AF175" s="9" t="str">
        <f t="shared" si="21"/>
        <v>9/9/2011</v>
      </c>
      <c r="AG175" s="8">
        <f t="shared" si="22"/>
        <v>0.87810314526122002</v>
      </c>
    </row>
    <row r="176" spans="1:33">
      <c r="A176" s="2">
        <f t="shared" si="25"/>
        <v>201417</v>
      </c>
      <c r="B176" s="12" t="s">
        <v>495</v>
      </c>
      <c r="C176" s="12">
        <v>0.37393962817107101</v>
      </c>
      <c r="D176" s="12">
        <v>0.350918695924617</v>
      </c>
      <c r="E176" s="8" t="str">
        <f t="shared" si="24"/>
        <v>2014-04-24</v>
      </c>
      <c r="H176" s="8">
        <f t="shared" si="18"/>
        <v>201050</v>
      </c>
      <c r="I176" s="13">
        <v>40522</v>
      </c>
      <c r="J176" s="12">
        <v>3067.3</v>
      </c>
      <c r="K176" t="str">
        <f t="shared" si="23"/>
        <v>2010-12-10</v>
      </c>
      <c r="L176" s="3" t="e">
        <f t="shared" si="19"/>
        <v>#N/A</v>
      </c>
      <c r="AB176" t="s">
        <v>857</v>
      </c>
      <c r="AC176">
        <v>0.87810314526122002</v>
      </c>
      <c r="AD176">
        <v>0.93360184365153998</v>
      </c>
      <c r="AE176" s="8" t="str">
        <f t="shared" si="20"/>
        <v>2011-09-12</v>
      </c>
      <c r="AF176" s="9" t="str">
        <f t="shared" si="21"/>
        <v>9/12/2011</v>
      </c>
      <c r="AG176" s="8">
        <f t="shared" si="22"/>
        <v>0.87810314526122002</v>
      </c>
    </row>
    <row r="177" spans="1:33">
      <c r="A177" s="2">
        <f t="shared" si="25"/>
        <v>201418</v>
      </c>
      <c r="B177" s="12" t="s">
        <v>500</v>
      </c>
      <c r="C177" s="12">
        <v>0.37360583835556399</v>
      </c>
      <c r="D177" s="12">
        <v>0.35336796816711802</v>
      </c>
      <c r="E177" s="8" t="str">
        <f t="shared" si="24"/>
        <v>2014-05-01</v>
      </c>
      <c r="H177" s="8">
        <f t="shared" si="18"/>
        <v>201051</v>
      </c>
      <c r="I177" s="13">
        <v>40529</v>
      </c>
      <c r="J177" s="12">
        <v>2319.9</v>
      </c>
      <c r="K177" t="str">
        <f t="shared" si="23"/>
        <v>2010-12-17</v>
      </c>
      <c r="L177" s="3" t="e">
        <f t="shared" si="19"/>
        <v>#N/A</v>
      </c>
      <c r="AB177" t="s">
        <v>858</v>
      </c>
      <c r="AC177">
        <v>0.87810314526122002</v>
      </c>
      <c r="AD177">
        <v>0.93360184365153998</v>
      </c>
      <c r="AE177" s="8" t="str">
        <f t="shared" si="20"/>
        <v>2011-09-13</v>
      </c>
      <c r="AF177" s="9" t="str">
        <f t="shared" si="21"/>
        <v>9/13/2011</v>
      </c>
      <c r="AG177" s="8">
        <f t="shared" si="22"/>
        <v>0.87810314526122002</v>
      </c>
    </row>
    <row r="178" spans="1:33">
      <c r="A178" s="2">
        <f t="shared" si="25"/>
        <v>201419</v>
      </c>
      <c r="B178" s="12" t="s">
        <v>507</v>
      </c>
      <c r="C178" s="12">
        <v>0.409756747537739</v>
      </c>
      <c r="D178" s="12">
        <v>0.41786151971871899</v>
      </c>
      <c r="E178" s="8" t="str">
        <f t="shared" si="24"/>
        <v>2014-05-08</v>
      </c>
      <c r="H178" s="8">
        <f t="shared" si="18"/>
        <v>201052</v>
      </c>
      <c r="I178" s="13">
        <v>40536</v>
      </c>
      <c r="J178" s="12">
        <v>2185.5</v>
      </c>
      <c r="K178" t="str">
        <f t="shared" si="23"/>
        <v>2010-12-24</v>
      </c>
      <c r="L178" s="3" t="e">
        <f t="shared" si="19"/>
        <v>#N/A</v>
      </c>
      <c r="AB178" t="s">
        <v>859</v>
      </c>
      <c r="AC178">
        <v>0.87810314526122002</v>
      </c>
      <c r="AD178">
        <v>0.93360184365153998</v>
      </c>
      <c r="AE178" s="8" t="str">
        <f t="shared" si="20"/>
        <v>2011-09-14</v>
      </c>
      <c r="AF178" s="9" t="str">
        <f t="shared" si="21"/>
        <v>9/14/2011</v>
      </c>
      <c r="AG178" s="8">
        <f t="shared" si="22"/>
        <v>0.87810314526122002</v>
      </c>
    </row>
    <row r="179" spans="1:33">
      <c r="A179" s="2">
        <f t="shared" si="25"/>
        <v>201420</v>
      </c>
      <c r="B179" s="12" t="s">
        <v>512</v>
      </c>
      <c r="C179" s="12">
        <v>0.41321534069517601</v>
      </c>
      <c r="D179" s="12">
        <v>0.41786151971871899</v>
      </c>
      <c r="E179" s="8" t="str">
        <f t="shared" si="24"/>
        <v>2014-05-15</v>
      </c>
      <c r="H179" s="8">
        <f t="shared" si="18"/>
        <v>201053</v>
      </c>
      <c r="I179" s="13">
        <v>40543</v>
      </c>
      <c r="J179" s="12">
        <v>2249.6</v>
      </c>
      <c r="K179" t="str">
        <f t="shared" si="23"/>
        <v>2010-12-31</v>
      </c>
      <c r="L179" s="3" t="e">
        <f t="shared" si="19"/>
        <v>#N/A</v>
      </c>
      <c r="AB179" t="s">
        <v>860</v>
      </c>
      <c r="AC179">
        <v>0.90145744662456295</v>
      </c>
      <c r="AD179">
        <v>0.93360184365153998</v>
      </c>
      <c r="AE179" s="8" t="str">
        <f t="shared" si="20"/>
        <v>2011-09-15</v>
      </c>
      <c r="AF179" s="9" t="str">
        <f t="shared" si="21"/>
        <v>9/15/2011</v>
      </c>
      <c r="AG179" s="8">
        <f t="shared" si="22"/>
        <v>0.90145744662456295</v>
      </c>
    </row>
    <row r="180" spans="1:33">
      <c r="A180" s="2">
        <f t="shared" si="25"/>
        <v>201421</v>
      </c>
      <c r="B180" s="12" t="s">
        <v>517</v>
      </c>
      <c r="C180" s="12">
        <v>0.44799454346559803</v>
      </c>
      <c r="D180" s="12">
        <v>0.472094852473675</v>
      </c>
      <c r="E180" s="8" t="str">
        <f t="shared" si="24"/>
        <v>2014-05-22</v>
      </c>
      <c r="H180" s="8">
        <f t="shared" si="18"/>
        <v>201102</v>
      </c>
      <c r="I180" s="13">
        <v>40550</v>
      </c>
      <c r="J180" s="12">
        <v>2344.3000000000002</v>
      </c>
      <c r="K180" t="str">
        <f t="shared" si="23"/>
        <v>2011-01-07</v>
      </c>
      <c r="L180" s="3">
        <f t="shared" si="19"/>
        <v>0.62402170072443097</v>
      </c>
      <c r="AB180" t="s">
        <v>861</v>
      </c>
      <c r="AC180">
        <v>0.90145744662456295</v>
      </c>
      <c r="AD180">
        <v>0.93360184365153998</v>
      </c>
      <c r="AE180" s="8" t="str">
        <f t="shared" si="20"/>
        <v>2011-09-16</v>
      </c>
      <c r="AF180" s="9" t="str">
        <f t="shared" si="21"/>
        <v>9/16/2011</v>
      </c>
      <c r="AG180" s="8">
        <f t="shared" si="22"/>
        <v>0.90145744662456295</v>
      </c>
    </row>
    <row r="181" spans="1:33">
      <c r="A181" s="2">
        <f t="shared" si="25"/>
        <v>201422</v>
      </c>
      <c r="B181" s="12" t="s">
        <v>521</v>
      </c>
      <c r="C181" s="12">
        <v>0.463620204949516</v>
      </c>
      <c r="D181" s="12">
        <v>0.472094852473675</v>
      </c>
      <c r="E181" s="8" t="str">
        <f t="shared" si="24"/>
        <v>2014-05-29</v>
      </c>
      <c r="H181" s="8">
        <f t="shared" si="18"/>
        <v>201103</v>
      </c>
      <c r="I181" s="13">
        <v>40557</v>
      </c>
      <c r="J181" s="12">
        <v>2528.6999999999998</v>
      </c>
      <c r="K181" t="str">
        <f t="shared" si="23"/>
        <v>2011-01-14</v>
      </c>
      <c r="L181" s="3">
        <f t="shared" si="19"/>
        <v>0.62817294477626895</v>
      </c>
      <c r="AB181" t="s">
        <v>862</v>
      </c>
      <c r="AC181">
        <v>0.90145744662456295</v>
      </c>
      <c r="AD181">
        <v>0.93360184365153998</v>
      </c>
      <c r="AE181" s="8" t="str">
        <f t="shared" si="20"/>
        <v>2011-09-19</v>
      </c>
      <c r="AF181" s="9" t="str">
        <f t="shared" si="21"/>
        <v>9/19/2011</v>
      </c>
      <c r="AG181" s="8">
        <f t="shared" si="22"/>
        <v>0.90145744662456295</v>
      </c>
    </row>
    <row r="182" spans="1:33">
      <c r="A182" s="2">
        <f t="shared" si="25"/>
        <v>201423</v>
      </c>
      <c r="B182" s="12" t="s">
        <v>526</v>
      </c>
      <c r="C182" s="12">
        <v>0.46847875373528802</v>
      </c>
      <c r="D182" s="12">
        <v>0.48850569167931202</v>
      </c>
      <c r="E182" s="8" t="str">
        <f t="shared" si="24"/>
        <v>2014-06-05</v>
      </c>
      <c r="H182" s="8">
        <f t="shared" si="18"/>
        <v>201104</v>
      </c>
      <c r="I182" s="13">
        <v>40564</v>
      </c>
      <c r="J182" s="12">
        <v>2129.6999999999998</v>
      </c>
      <c r="K182" t="str">
        <f t="shared" si="23"/>
        <v>2011-01-21</v>
      </c>
      <c r="L182" s="3">
        <f t="shared" si="19"/>
        <v>0.62597730951219799</v>
      </c>
      <c r="AB182" t="s">
        <v>863</v>
      </c>
      <c r="AC182">
        <v>0.90145744662456295</v>
      </c>
      <c r="AD182">
        <v>0.93360184365153998</v>
      </c>
      <c r="AE182" s="8" t="str">
        <f t="shared" si="20"/>
        <v>2011-09-20</v>
      </c>
      <c r="AF182" s="9" t="str">
        <f t="shared" si="21"/>
        <v>9/20/2011</v>
      </c>
      <c r="AG182" s="8">
        <f t="shared" si="22"/>
        <v>0.90145744662456295</v>
      </c>
    </row>
    <row r="183" spans="1:33">
      <c r="A183" s="2">
        <f t="shared" si="25"/>
        <v>201424</v>
      </c>
      <c r="B183" s="12" t="s">
        <v>531</v>
      </c>
      <c r="C183" s="12">
        <v>0.41096738430920399</v>
      </c>
      <c r="D183" s="12">
        <v>0.433590651577685</v>
      </c>
      <c r="E183" s="8" t="str">
        <f t="shared" si="24"/>
        <v>2014-06-12</v>
      </c>
      <c r="H183" s="8">
        <f t="shared" si="18"/>
        <v>201105</v>
      </c>
      <c r="I183" s="13">
        <v>40571</v>
      </c>
      <c r="J183" s="12">
        <v>2371.1</v>
      </c>
      <c r="K183" t="str">
        <f t="shared" si="23"/>
        <v>2011-01-28</v>
      </c>
      <c r="L183" s="3">
        <f t="shared" si="19"/>
        <v>0.62392159162868699</v>
      </c>
      <c r="AB183" t="s">
        <v>864</v>
      </c>
      <c r="AC183">
        <v>0.90145744662456295</v>
      </c>
      <c r="AD183">
        <v>0.93360184365153998</v>
      </c>
      <c r="AE183" s="8" t="str">
        <f t="shared" si="20"/>
        <v>2011-09-21</v>
      </c>
      <c r="AF183" s="9" t="str">
        <f t="shared" si="21"/>
        <v>9/21/2011</v>
      </c>
      <c r="AG183" s="8">
        <f t="shared" si="22"/>
        <v>0.90145744662456295</v>
      </c>
    </row>
    <row r="184" spans="1:33">
      <c r="A184" s="2">
        <f t="shared" si="25"/>
        <v>201425</v>
      </c>
      <c r="B184" s="12" t="s">
        <v>536</v>
      </c>
      <c r="C184" s="12">
        <v>0.426359386921487</v>
      </c>
      <c r="D184" s="12">
        <v>0.463304449518251</v>
      </c>
      <c r="E184" s="8" t="str">
        <f t="shared" si="24"/>
        <v>2014-06-19</v>
      </c>
      <c r="H184" s="8">
        <f t="shared" si="18"/>
        <v>201106</v>
      </c>
      <c r="I184" s="13">
        <v>40578</v>
      </c>
      <c r="J184" s="12">
        <v>2190.4</v>
      </c>
      <c r="K184" t="str">
        <f t="shared" si="23"/>
        <v>2011-02-04</v>
      </c>
      <c r="L184" s="3">
        <f t="shared" si="19"/>
        <v>0.60653142223595202</v>
      </c>
      <c r="AB184" t="s">
        <v>865</v>
      </c>
      <c r="AC184">
        <v>0.90145744662456295</v>
      </c>
      <c r="AD184">
        <v>0.93360184365153998</v>
      </c>
      <c r="AE184" s="8" t="str">
        <f t="shared" si="20"/>
        <v>2011-09-22</v>
      </c>
      <c r="AF184" s="9" t="str">
        <f t="shared" si="21"/>
        <v>9/22/2011</v>
      </c>
      <c r="AG184" s="8">
        <f t="shared" si="22"/>
        <v>0.90145744662456295</v>
      </c>
    </row>
    <row r="185" spans="1:33">
      <c r="A185" s="2">
        <f t="shared" si="25"/>
        <v>201426</v>
      </c>
      <c r="B185" s="12" t="s">
        <v>541</v>
      </c>
      <c r="C185" s="12">
        <v>0.46847875373528802</v>
      </c>
      <c r="D185" s="12">
        <v>0.48850569167931202</v>
      </c>
      <c r="E185" s="8" t="str">
        <f t="shared" si="24"/>
        <v>2014-06-26</v>
      </c>
      <c r="H185" s="8">
        <f t="shared" si="18"/>
        <v>201107</v>
      </c>
      <c r="I185" s="13">
        <v>40585</v>
      </c>
      <c r="J185" s="12">
        <v>1953.2</v>
      </c>
      <c r="K185" t="str">
        <f t="shared" si="23"/>
        <v>2011-02-11</v>
      </c>
      <c r="L185" s="3">
        <f t="shared" si="19"/>
        <v>0.50868797673712296</v>
      </c>
      <c r="AB185" t="s">
        <v>866</v>
      </c>
      <c r="AC185">
        <v>0.90145744662456295</v>
      </c>
      <c r="AD185">
        <v>0.93360184365153998</v>
      </c>
      <c r="AE185" s="8" t="str">
        <f t="shared" si="20"/>
        <v>2011-09-23</v>
      </c>
      <c r="AF185" s="9" t="str">
        <f t="shared" si="21"/>
        <v>9/23/2011</v>
      </c>
      <c r="AG185" s="8">
        <f t="shared" si="22"/>
        <v>0.90145744662456295</v>
      </c>
    </row>
    <row r="186" spans="1:33">
      <c r="A186" s="2">
        <f t="shared" si="25"/>
        <v>201427</v>
      </c>
      <c r="B186" s="12" t="s">
        <v>546</v>
      </c>
      <c r="C186" s="12">
        <v>0.481783217502605</v>
      </c>
      <c r="D186" s="12">
        <v>0.49466175550737201</v>
      </c>
      <c r="E186" s="8" t="str">
        <f t="shared" si="24"/>
        <v>2014-07-03</v>
      </c>
      <c r="H186" s="8">
        <f t="shared" si="18"/>
        <v>201108</v>
      </c>
      <c r="I186" s="13">
        <v>40592</v>
      </c>
      <c r="J186" s="12">
        <v>2325.3000000000002</v>
      </c>
      <c r="K186" t="str">
        <f t="shared" si="23"/>
        <v>2011-02-18</v>
      </c>
      <c r="L186" s="3">
        <f t="shared" si="19"/>
        <v>0.52965901814335503</v>
      </c>
      <c r="AB186" t="s">
        <v>867</v>
      </c>
      <c r="AC186">
        <v>0.90145744662456295</v>
      </c>
      <c r="AD186">
        <v>0.93360184365153998</v>
      </c>
      <c r="AE186" s="8" t="str">
        <f t="shared" si="20"/>
        <v>2011-09-26</v>
      </c>
      <c r="AF186" s="9" t="str">
        <f t="shared" si="21"/>
        <v>9/26/2011</v>
      </c>
      <c r="AG186" s="8">
        <f t="shared" si="22"/>
        <v>0.90145744662456295</v>
      </c>
    </row>
    <row r="187" spans="1:33">
      <c r="A187" s="2">
        <f t="shared" si="25"/>
        <v>201428</v>
      </c>
      <c r="B187" s="12" t="s">
        <v>550</v>
      </c>
      <c r="C187" s="12">
        <v>0.42147742037559999</v>
      </c>
      <c r="D187" s="12">
        <v>0.43417002461779802</v>
      </c>
      <c r="E187" s="8" t="str">
        <f t="shared" si="24"/>
        <v>2014-07-10</v>
      </c>
      <c r="H187" s="8">
        <f t="shared" si="18"/>
        <v>201109</v>
      </c>
      <c r="I187" s="13">
        <v>40599</v>
      </c>
      <c r="J187" s="12">
        <v>2155.5</v>
      </c>
      <c r="K187" t="str">
        <f t="shared" si="23"/>
        <v>2011-02-25</v>
      </c>
      <c r="L187" s="3">
        <f t="shared" si="19"/>
        <v>0.57709503787578098</v>
      </c>
      <c r="AB187" t="s">
        <v>868</v>
      </c>
      <c r="AC187">
        <v>0.90145744662456295</v>
      </c>
      <c r="AD187">
        <v>0.93360184365153998</v>
      </c>
      <c r="AE187" s="8" t="str">
        <f t="shared" si="20"/>
        <v>2011-09-27</v>
      </c>
      <c r="AF187" s="9" t="str">
        <f t="shared" si="21"/>
        <v>9/27/2011</v>
      </c>
      <c r="AG187" s="8">
        <f t="shared" si="22"/>
        <v>0.90145744662456295</v>
      </c>
    </row>
    <row r="188" spans="1:33">
      <c r="A188" s="2">
        <f t="shared" si="25"/>
        <v>201429</v>
      </c>
      <c r="B188" s="12" t="s">
        <v>555</v>
      </c>
      <c r="C188" s="12">
        <v>0.451552968278365</v>
      </c>
      <c r="D188" s="12">
        <v>0.47157959219647799</v>
      </c>
      <c r="E188" s="8" t="str">
        <f t="shared" si="24"/>
        <v>2014-07-17</v>
      </c>
      <c r="H188" s="8">
        <f t="shared" si="18"/>
        <v>201110</v>
      </c>
      <c r="I188" s="13">
        <v>40606</v>
      </c>
      <c r="J188" s="12">
        <v>2539.4</v>
      </c>
      <c r="K188" t="str">
        <f t="shared" si="23"/>
        <v>2011-03-04</v>
      </c>
      <c r="L188" s="3">
        <f t="shared" si="19"/>
        <v>0.59224775585706502</v>
      </c>
      <c r="AB188" t="s">
        <v>869</v>
      </c>
      <c r="AC188">
        <v>0.90145744662456295</v>
      </c>
      <c r="AD188">
        <v>0.93360184365153998</v>
      </c>
      <c r="AE188" s="8" t="str">
        <f t="shared" si="20"/>
        <v>2011-09-28</v>
      </c>
      <c r="AF188" s="9" t="str">
        <f t="shared" si="21"/>
        <v>9/28/2011</v>
      </c>
      <c r="AG188" s="8">
        <f t="shared" si="22"/>
        <v>0.90145744662456295</v>
      </c>
    </row>
    <row r="189" spans="1:33">
      <c r="A189" s="2">
        <f t="shared" si="25"/>
        <v>201430</v>
      </c>
      <c r="B189" s="12" t="s">
        <v>560</v>
      </c>
      <c r="C189" s="12">
        <v>0.451552968278365</v>
      </c>
      <c r="D189" s="12">
        <v>0.47157959219647799</v>
      </c>
      <c r="E189" s="8" t="str">
        <f t="shared" si="24"/>
        <v>2014-07-24</v>
      </c>
      <c r="H189" s="8">
        <f t="shared" si="18"/>
        <v>201111</v>
      </c>
      <c r="I189" s="13">
        <v>40613</v>
      </c>
      <c r="J189" s="12">
        <v>2563.6</v>
      </c>
      <c r="K189" t="str">
        <f t="shared" si="23"/>
        <v>2011-03-11</v>
      </c>
      <c r="L189" s="3">
        <f t="shared" si="19"/>
        <v>0.590905707896624</v>
      </c>
      <c r="AB189" t="s">
        <v>870</v>
      </c>
      <c r="AC189">
        <v>0.94573089516350395</v>
      </c>
      <c r="AD189">
        <v>0.97670030100241401</v>
      </c>
      <c r="AE189" s="8" t="str">
        <f t="shared" si="20"/>
        <v>2011-09-29</v>
      </c>
      <c r="AF189" s="9" t="str">
        <f t="shared" si="21"/>
        <v>9/29/2011</v>
      </c>
      <c r="AG189" s="8">
        <f t="shared" si="22"/>
        <v>0.94573089516350395</v>
      </c>
    </row>
    <row r="190" spans="1:33">
      <c r="A190" s="2">
        <f t="shared" si="25"/>
        <v>201431</v>
      </c>
      <c r="B190" s="12" t="s">
        <v>565</v>
      </c>
      <c r="C190" s="12">
        <v>0.45923072088835198</v>
      </c>
      <c r="D190" s="12">
        <v>0.471755212080052</v>
      </c>
      <c r="E190" s="8" t="str">
        <f t="shared" si="24"/>
        <v>2014-07-31</v>
      </c>
      <c r="H190" s="8">
        <f t="shared" si="18"/>
        <v>201112</v>
      </c>
      <c r="I190" s="13">
        <v>40620</v>
      </c>
      <c r="J190" s="12">
        <v>2620.8000000000002</v>
      </c>
      <c r="K190" t="str">
        <f t="shared" si="23"/>
        <v>2011-03-18</v>
      </c>
      <c r="L190" s="3">
        <f t="shared" si="19"/>
        <v>0.60261779474869903</v>
      </c>
      <c r="AB190" t="s">
        <v>871</v>
      </c>
      <c r="AC190">
        <v>0.94573089516350395</v>
      </c>
      <c r="AD190">
        <v>0.97670030100241401</v>
      </c>
      <c r="AE190" s="8" t="str">
        <f t="shared" si="20"/>
        <v>2011-09-30</v>
      </c>
      <c r="AF190" s="9" t="str">
        <f t="shared" si="21"/>
        <v>9/30/2011</v>
      </c>
      <c r="AG190" s="8">
        <f t="shared" si="22"/>
        <v>0.94573089516350395</v>
      </c>
    </row>
    <row r="191" spans="1:33">
      <c r="A191" s="2">
        <f t="shared" si="25"/>
        <v>201432</v>
      </c>
      <c r="B191" s="12" t="s">
        <v>570</v>
      </c>
      <c r="C191" s="12">
        <v>0.42413376349642801</v>
      </c>
      <c r="D191" s="12">
        <v>0.46314495912161602</v>
      </c>
      <c r="E191" s="8" t="str">
        <f t="shared" si="24"/>
        <v>2014-08-07</v>
      </c>
      <c r="H191" s="8">
        <f t="shared" si="18"/>
        <v>201113</v>
      </c>
      <c r="I191" s="13">
        <v>40627</v>
      </c>
      <c r="J191" s="12">
        <v>2350.6999999999998</v>
      </c>
      <c r="K191" t="str">
        <f t="shared" si="23"/>
        <v>2011-03-25</v>
      </c>
      <c r="L191" s="3">
        <f t="shared" si="19"/>
        <v>0.59950595681897501</v>
      </c>
      <c r="AB191" t="s">
        <v>872</v>
      </c>
      <c r="AC191">
        <v>0.93998305132982396</v>
      </c>
      <c r="AD191">
        <v>0.96687258769350704</v>
      </c>
      <c r="AE191" s="8" t="str">
        <f t="shared" si="20"/>
        <v>2011-10-03</v>
      </c>
      <c r="AF191" s="9" t="str">
        <f t="shared" si="21"/>
        <v>10/3/2011</v>
      </c>
      <c r="AG191" s="8">
        <f t="shared" si="22"/>
        <v>0.93998305132982396</v>
      </c>
    </row>
    <row r="192" spans="1:33">
      <c r="A192" s="2">
        <f t="shared" si="25"/>
        <v>201433</v>
      </c>
      <c r="B192" s="12" t="s">
        <v>575</v>
      </c>
      <c r="C192" s="12">
        <v>0.45575254137027599</v>
      </c>
      <c r="D192" s="12">
        <v>0.46330124419819801</v>
      </c>
      <c r="E192" s="8" t="str">
        <f t="shared" si="24"/>
        <v>2014-08-14</v>
      </c>
      <c r="H192" s="8">
        <f t="shared" si="18"/>
        <v>201114</v>
      </c>
      <c r="I192" s="13">
        <v>40634</v>
      </c>
      <c r="J192" s="12">
        <v>2194.4</v>
      </c>
      <c r="K192" t="str">
        <f t="shared" si="23"/>
        <v>2011-04-01</v>
      </c>
      <c r="L192" s="3">
        <f t="shared" si="19"/>
        <v>0.59322570820163401</v>
      </c>
      <c r="AB192" t="s">
        <v>873</v>
      </c>
      <c r="AC192">
        <v>0.93998305132982396</v>
      </c>
      <c r="AD192">
        <v>0.96687258769350704</v>
      </c>
      <c r="AE192" s="8" t="str">
        <f t="shared" si="20"/>
        <v>2011-10-04</v>
      </c>
      <c r="AF192" s="9" t="str">
        <f t="shared" si="21"/>
        <v>10/4/2011</v>
      </c>
      <c r="AG192" s="8">
        <f t="shared" si="22"/>
        <v>0.93998305132982396</v>
      </c>
    </row>
    <row r="193" spans="1:33">
      <c r="A193" s="2">
        <f t="shared" si="25"/>
        <v>201434</v>
      </c>
      <c r="B193" s="12" t="s">
        <v>580</v>
      </c>
      <c r="C193" s="12">
        <v>0.49084413664233301</v>
      </c>
      <c r="D193" s="12">
        <v>0.49842162264710099</v>
      </c>
      <c r="E193" s="8" t="str">
        <f t="shared" si="24"/>
        <v>2014-08-21</v>
      </c>
      <c r="H193" s="8">
        <f t="shared" si="18"/>
        <v>201115</v>
      </c>
      <c r="I193" s="13">
        <v>40641</v>
      </c>
      <c r="J193" s="12">
        <v>2010.6</v>
      </c>
      <c r="K193" t="str">
        <f t="shared" si="23"/>
        <v>2011-04-08</v>
      </c>
      <c r="L193" s="3">
        <f t="shared" si="19"/>
        <v>0.58542144661011897</v>
      </c>
      <c r="AB193" t="s">
        <v>874</v>
      </c>
      <c r="AC193">
        <v>0.93998305132982396</v>
      </c>
      <c r="AD193">
        <v>0.96687258769350704</v>
      </c>
      <c r="AE193" s="8" t="str">
        <f t="shared" si="20"/>
        <v>2011-10-05</v>
      </c>
      <c r="AF193" s="9" t="str">
        <f t="shared" si="21"/>
        <v>10/5/2011</v>
      </c>
      <c r="AG193" s="8">
        <f t="shared" si="22"/>
        <v>0.93998305132982396</v>
      </c>
    </row>
    <row r="194" spans="1:33">
      <c r="A194" s="2">
        <f t="shared" si="25"/>
        <v>201435</v>
      </c>
      <c r="B194" s="12" t="s">
        <v>585</v>
      </c>
      <c r="C194" s="12">
        <v>0.49084413664233301</v>
      </c>
      <c r="D194" s="12">
        <v>0.49842162264710099</v>
      </c>
      <c r="E194" s="8" t="str">
        <f t="shared" si="24"/>
        <v>2014-08-28</v>
      </c>
      <c r="H194" s="8">
        <f t="shared" ref="H194:H257" si="26">WEEKNUM(I194)+100*YEAR(I194)</f>
        <v>201116</v>
      </c>
      <c r="I194" s="13">
        <v>40648</v>
      </c>
      <c r="J194" s="12">
        <v>2065.3000000000002</v>
      </c>
      <c r="K194" t="str">
        <f t="shared" si="23"/>
        <v>2011-04-15</v>
      </c>
      <c r="L194" s="3">
        <f t="shared" ref="L194:L257" si="27">VLOOKUP(H194,$A$4:$C$218,3, FALSE)</f>
        <v>0.58155199492979504</v>
      </c>
      <c r="AB194" t="s">
        <v>875</v>
      </c>
      <c r="AC194">
        <v>0.976205342266112</v>
      </c>
      <c r="AD194">
        <v>0.999790656375939</v>
      </c>
      <c r="AE194" s="8" t="str">
        <f t="shared" ref="AE194:AE257" si="28">MID(AB194,2,10)</f>
        <v>2011-10-06</v>
      </c>
      <c r="AF194" s="9" t="str">
        <f t="shared" ref="AF194:AF257" si="29">TEXT(AE194,"m/d/yyyy")</f>
        <v>10/6/2011</v>
      </c>
      <c r="AG194" s="8">
        <f t="shared" ref="AG194:AG257" si="30">AC194</f>
        <v>0.976205342266112</v>
      </c>
    </row>
    <row r="195" spans="1:33">
      <c r="A195" s="2">
        <f t="shared" si="25"/>
        <v>201436</v>
      </c>
      <c r="B195" s="12" t="s">
        <v>589</v>
      </c>
      <c r="C195" s="12">
        <v>0.487326419100717</v>
      </c>
      <c r="D195" s="12">
        <v>0.49059964366845799</v>
      </c>
      <c r="E195" s="8" t="str">
        <f t="shared" si="24"/>
        <v>2014-09-04</v>
      </c>
      <c r="H195" s="8">
        <f t="shared" si="26"/>
        <v>201117</v>
      </c>
      <c r="I195" s="13">
        <v>40654</v>
      </c>
      <c r="J195" s="12">
        <v>2091.4</v>
      </c>
      <c r="K195" t="str">
        <f t="shared" ref="K195:K258" si="31">TEXT(I195,"yyyy-mm-dd")</f>
        <v>2011-04-21</v>
      </c>
      <c r="L195" s="3">
        <f t="shared" si="27"/>
        <v>0.59356262313394503</v>
      </c>
      <c r="AB195" t="s">
        <v>876</v>
      </c>
      <c r="AC195">
        <v>0.976205342266112</v>
      </c>
      <c r="AD195">
        <v>0.999790656375939</v>
      </c>
      <c r="AE195" s="8" t="str">
        <f t="shared" si="28"/>
        <v>2011-10-07</v>
      </c>
      <c r="AF195" s="9" t="str">
        <f t="shared" si="29"/>
        <v>10/7/2011</v>
      </c>
      <c r="AG195" s="8">
        <f t="shared" si="30"/>
        <v>0.976205342266112</v>
      </c>
    </row>
    <row r="196" spans="1:33">
      <c r="A196" s="2">
        <f t="shared" si="25"/>
        <v>201437</v>
      </c>
      <c r="B196" s="12" t="s">
        <v>594</v>
      </c>
      <c r="C196" s="12">
        <v>0.47415919522438099</v>
      </c>
      <c r="D196" s="12">
        <v>0.47818761234055601</v>
      </c>
      <c r="E196" s="8" t="str">
        <f t="shared" si="24"/>
        <v>2014-09-11</v>
      </c>
      <c r="H196" s="8">
        <f t="shared" si="26"/>
        <v>201118</v>
      </c>
      <c r="I196" s="13">
        <v>40662</v>
      </c>
      <c r="J196" s="12">
        <v>2220.1</v>
      </c>
      <c r="K196" t="str">
        <f t="shared" si="31"/>
        <v>2011-04-29</v>
      </c>
      <c r="L196" s="3">
        <f t="shared" si="27"/>
        <v>0.59445921362542897</v>
      </c>
      <c r="AB196" t="s">
        <v>877</v>
      </c>
      <c r="AC196">
        <v>0.976205342266112</v>
      </c>
      <c r="AD196">
        <v>0.999790656375939</v>
      </c>
      <c r="AE196" s="8" t="str">
        <f t="shared" si="28"/>
        <v>2011-10-10</v>
      </c>
      <c r="AF196" s="9" t="str">
        <f t="shared" si="29"/>
        <v>10/10/2011</v>
      </c>
      <c r="AG196" s="8">
        <f t="shared" si="30"/>
        <v>0.976205342266112</v>
      </c>
    </row>
    <row r="197" spans="1:33">
      <c r="A197" s="2">
        <f t="shared" si="25"/>
        <v>201438</v>
      </c>
      <c r="B197" s="12" t="s">
        <v>599</v>
      </c>
      <c r="C197" s="12">
        <v>0.39816728626756598</v>
      </c>
      <c r="D197" s="12">
        <v>0.39005558385727102</v>
      </c>
      <c r="E197" s="8" t="str">
        <f t="shared" ref="E197:E228" si="32">MID(B197,2,10)</f>
        <v>2014-09-18</v>
      </c>
      <c r="H197" s="8">
        <f t="shared" si="26"/>
        <v>201119</v>
      </c>
      <c r="I197" s="13">
        <v>40669</v>
      </c>
      <c r="J197" s="12">
        <v>2414.9</v>
      </c>
      <c r="K197" t="str">
        <f t="shared" si="31"/>
        <v>2011-05-06</v>
      </c>
      <c r="L197" s="3">
        <f t="shared" si="27"/>
        <v>0.59391131067456004</v>
      </c>
      <c r="AB197" t="s">
        <v>878</v>
      </c>
      <c r="AC197">
        <v>0.976205342266112</v>
      </c>
      <c r="AD197">
        <v>0.999790656375939</v>
      </c>
      <c r="AE197" s="8" t="str">
        <f t="shared" si="28"/>
        <v>2011-10-11</v>
      </c>
      <c r="AF197" s="9" t="str">
        <f t="shared" si="29"/>
        <v>10/11/2011</v>
      </c>
      <c r="AG197" s="8">
        <f t="shared" si="30"/>
        <v>0.976205342266112</v>
      </c>
    </row>
    <row r="198" spans="1:33">
      <c r="A198" s="2">
        <f t="shared" si="25"/>
        <v>201439</v>
      </c>
      <c r="B198" s="12" t="s">
        <v>605</v>
      </c>
      <c r="C198" s="12">
        <v>0.413732301706637</v>
      </c>
      <c r="D198" s="12">
        <v>0.430722024719978</v>
      </c>
      <c r="E198" s="8" t="str">
        <f t="shared" si="32"/>
        <v>2014-09-25</v>
      </c>
      <c r="H198" s="8">
        <f t="shared" si="26"/>
        <v>201120</v>
      </c>
      <c r="I198" s="13">
        <v>40676</v>
      </c>
      <c r="J198" s="12">
        <v>2742.2</v>
      </c>
      <c r="K198" t="str">
        <f t="shared" si="31"/>
        <v>2011-05-13</v>
      </c>
      <c r="L198" s="3">
        <f t="shared" si="27"/>
        <v>0.60662155942019902</v>
      </c>
      <c r="AB198" t="s">
        <v>879</v>
      </c>
      <c r="AC198">
        <v>0.976205342266112</v>
      </c>
      <c r="AD198">
        <v>0.999790656375939</v>
      </c>
      <c r="AE198" s="8" t="str">
        <f t="shared" si="28"/>
        <v>2011-10-12</v>
      </c>
      <c r="AF198" s="9" t="str">
        <f t="shared" si="29"/>
        <v>10/12/2011</v>
      </c>
      <c r="AG198" s="8">
        <f t="shared" si="30"/>
        <v>0.976205342266112</v>
      </c>
    </row>
    <row r="199" spans="1:33">
      <c r="A199" s="2">
        <f t="shared" si="25"/>
        <v>201440</v>
      </c>
      <c r="B199" s="12" t="s">
        <v>610</v>
      </c>
      <c r="C199" s="12">
        <v>0.43232059685066698</v>
      </c>
      <c r="D199" s="12">
        <v>0.44563246463246797</v>
      </c>
      <c r="E199" s="8" t="str">
        <f t="shared" si="32"/>
        <v>2014-10-02</v>
      </c>
      <c r="H199" s="8">
        <f t="shared" si="26"/>
        <v>201121</v>
      </c>
      <c r="I199" s="13">
        <v>40683</v>
      </c>
      <c r="J199" s="12">
        <v>2764.6</v>
      </c>
      <c r="K199" t="str">
        <f t="shared" si="31"/>
        <v>2011-05-20</v>
      </c>
      <c r="L199" s="3">
        <f t="shared" si="27"/>
        <v>0.61264076908113696</v>
      </c>
      <c r="AB199" t="s">
        <v>880</v>
      </c>
      <c r="AC199">
        <v>0.86848651507328101</v>
      </c>
      <c r="AD199">
        <v>0.92382582368575195</v>
      </c>
      <c r="AE199" s="8" t="str">
        <f t="shared" si="28"/>
        <v>2011-10-13</v>
      </c>
      <c r="AF199" s="9" t="str">
        <f t="shared" si="29"/>
        <v>10/13/2011</v>
      </c>
      <c r="AG199" s="8">
        <f t="shared" si="30"/>
        <v>0.86848651507328101</v>
      </c>
    </row>
    <row r="200" spans="1:33">
      <c r="A200" s="2">
        <f t="shared" si="25"/>
        <v>201441</v>
      </c>
      <c r="B200" s="12" t="s">
        <v>615</v>
      </c>
      <c r="C200" s="12">
        <v>0.47165449273347199</v>
      </c>
      <c r="D200" s="12">
        <v>0.47864204374188801</v>
      </c>
      <c r="E200" s="8" t="str">
        <f t="shared" si="32"/>
        <v>2014-10-09</v>
      </c>
      <c r="H200" s="8">
        <f t="shared" si="26"/>
        <v>201122</v>
      </c>
      <c r="I200" s="13">
        <v>40690</v>
      </c>
      <c r="J200" s="12">
        <v>2619.6999999999998</v>
      </c>
      <c r="K200" t="str">
        <f t="shared" si="31"/>
        <v>2011-05-27</v>
      </c>
      <c r="L200" s="3">
        <f t="shared" si="27"/>
        <v>0.615993636080996</v>
      </c>
      <c r="AB200" t="s">
        <v>881</v>
      </c>
      <c r="AC200">
        <v>0.86848651507328101</v>
      </c>
      <c r="AD200">
        <v>0.92382582368575195</v>
      </c>
      <c r="AE200" s="8" t="str">
        <f t="shared" si="28"/>
        <v>2011-10-14</v>
      </c>
      <c r="AF200" s="9" t="str">
        <f t="shared" si="29"/>
        <v>10/14/2011</v>
      </c>
      <c r="AG200" s="8">
        <f t="shared" si="30"/>
        <v>0.86848651507328101</v>
      </c>
    </row>
    <row r="201" spans="1:33">
      <c r="A201" s="2">
        <f t="shared" si="25"/>
        <v>201442</v>
      </c>
      <c r="B201" s="12" t="s">
        <v>620</v>
      </c>
      <c r="C201" s="12">
        <v>0.57517284737260699</v>
      </c>
      <c r="D201" s="12">
        <v>0.55762171395347704</v>
      </c>
      <c r="E201" s="8" t="str">
        <f t="shared" si="32"/>
        <v>2014-10-16</v>
      </c>
      <c r="H201" s="8">
        <f t="shared" si="26"/>
        <v>201123</v>
      </c>
      <c r="I201" s="13">
        <v>40697</v>
      </c>
      <c r="J201" s="12">
        <v>2648</v>
      </c>
      <c r="K201" t="str">
        <f t="shared" si="31"/>
        <v>2011-06-03</v>
      </c>
      <c r="L201" s="3">
        <f t="shared" si="27"/>
        <v>0.66311590107349005</v>
      </c>
      <c r="AB201" t="s">
        <v>882</v>
      </c>
      <c r="AC201">
        <v>0.86848651507328101</v>
      </c>
      <c r="AD201">
        <v>0.92382582368575195</v>
      </c>
      <c r="AE201" s="8" t="str">
        <f t="shared" si="28"/>
        <v>2011-10-17</v>
      </c>
      <c r="AF201" s="9" t="str">
        <f t="shared" si="29"/>
        <v>10/17/2011</v>
      </c>
      <c r="AG201" s="8">
        <f t="shared" si="30"/>
        <v>0.86848651507328101</v>
      </c>
    </row>
    <row r="202" spans="1:33">
      <c r="A202" s="2">
        <f t="shared" si="25"/>
        <v>201443</v>
      </c>
      <c r="B202" s="12" t="s">
        <v>625</v>
      </c>
      <c r="C202" s="12">
        <v>0.58745733896979602</v>
      </c>
      <c r="D202" s="12">
        <v>0.55762171395347704</v>
      </c>
      <c r="E202" s="8" t="str">
        <f t="shared" si="32"/>
        <v>2014-10-23</v>
      </c>
      <c r="H202" s="8">
        <f t="shared" si="26"/>
        <v>201124</v>
      </c>
      <c r="I202" s="13">
        <v>40704</v>
      </c>
      <c r="J202" s="12">
        <v>3101.7</v>
      </c>
      <c r="K202" t="str">
        <f t="shared" si="31"/>
        <v>2011-06-10</v>
      </c>
      <c r="L202" s="3">
        <f t="shared" si="27"/>
        <v>0.74517189360077896</v>
      </c>
      <c r="AB202" t="s">
        <v>883</v>
      </c>
      <c r="AC202">
        <v>0.86848651507328101</v>
      </c>
      <c r="AD202">
        <v>0.92382582368575195</v>
      </c>
      <c r="AE202" s="8" t="str">
        <f t="shared" si="28"/>
        <v>2011-10-18</v>
      </c>
      <c r="AF202" s="9" t="str">
        <f t="shared" si="29"/>
        <v>10/18/2011</v>
      </c>
      <c r="AG202" s="8">
        <f t="shared" si="30"/>
        <v>0.86848651507328101</v>
      </c>
    </row>
    <row r="203" spans="1:33">
      <c r="A203" s="2">
        <f t="shared" si="25"/>
        <v>201444</v>
      </c>
      <c r="B203" s="12" t="s">
        <v>630</v>
      </c>
      <c r="C203" s="12">
        <v>0.57181297396619601</v>
      </c>
      <c r="D203" s="12">
        <v>0.55762171395347704</v>
      </c>
      <c r="E203" s="8" t="str">
        <f t="shared" si="32"/>
        <v>2014-10-30</v>
      </c>
      <c r="H203" s="8">
        <f t="shared" si="26"/>
        <v>201125</v>
      </c>
      <c r="I203" s="13">
        <v>40711</v>
      </c>
      <c r="J203" s="12">
        <v>2857.9</v>
      </c>
      <c r="K203" t="str">
        <f t="shared" si="31"/>
        <v>2011-06-17</v>
      </c>
      <c r="L203" s="3">
        <f t="shared" si="27"/>
        <v>0.72397022872334404</v>
      </c>
      <c r="AB203" t="s">
        <v>884</v>
      </c>
      <c r="AC203">
        <v>0.86848651507328101</v>
      </c>
      <c r="AD203">
        <v>0.92382582368575195</v>
      </c>
      <c r="AE203" s="8" t="str">
        <f t="shared" si="28"/>
        <v>2011-10-19</v>
      </c>
      <c r="AF203" s="9" t="str">
        <f t="shared" si="29"/>
        <v>10/19/2011</v>
      </c>
      <c r="AG203" s="8">
        <f t="shared" si="30"/>
        <v>0.86848651507328101</v>
      </c>
    </row>
    <row r="204" spans="1:33">
      <c r="A204" s="2">
        <f t="shared" si="25"/>
        <v>201445</v>
      </c>
      <c r="B204" s="12" t="s">
        <v>635</v>
      </c>
      <c r="C204" s="12">
        <v>0.548579829179903</v>
      </c>
      <c r="D204" s="12">
        <v>0.56134459063090603</v>
      </c>
      <c r="E204" s="8" t="str">
        <f t="shared" si="32"/>
        <v>2014-11-06</v>
      </c>
      <c r="H204" s="8">
        <f t="shared" si="26"/>
        <v>201126</v>
      </c>
      <c r="I204" s="13">
        <v>40718</v>
      </c>
      <c r="J204" s="12">
        <v>2809.5</v>
      </c>
      <c r="K204" t="str">
        <f t="shared" si="31"/>
        <v>2011-06-24</v>
      </c>
      <c r="L204" s="3">
        <f t="shared" si="27"/>
        <v>0.66311590107349005</v>
      </c>
      <c r="AB204" t="s">
        <v>885</v>
      </c>
      <c r="AC204">
        <v>0.87857948382126905</v>
      </c>
      <c r="AD204">
        <v>0.92382582368575195</v>
      </c>
      <c r="AE204" s="8" t="str">
        <f t="shared" si="28"/>
        <v>2011-10-20</v>
      </c>
      <c r="AF204" s="9" t="str">
        <f t="shared" si="29"/>
        <v>10/20/2011</v>
      </c>
      <c r="AG204" s="8">
        <f t="shared" si="30"/>
        <v>0.87857948382126905</v>
      </c>
    </row>
    <row r="205" spans="1:33">
      <c r="A205" s="2">
        <f t="shared" si="25"/>
        <v>201446</v>
      </c>
      <c r="B205" s="12" t="s">
        <v>639</v>
      </c>
      <c r="C205" s="12">
        <v>0.55497671209744104</v>
      </c>
      <c r="D205" s="12">
        <v>0.56134459063090603</v>
      </c>
      <c r="E205" s="8" t="str">
        <f t="shared" si="32"/>
        <v>2014-11-13</v>
      </c>
      <c r="H205" s="8">
        <f t="shared" si="26"/>
        <v>201127</v>
      </c>
      <c r="I205" s="13">
        <v>40725</v>
      </c>
      <c r="J205" s="12">
        <v>2527.5</v>
      </c>
      <c r="K205" t="str">
        <f t="shared" si="31"/>
        <v>2011-07-01</v>
      </c>
      <c r="L205" s="3">
        <f t="shared" si="27"/>
        <v>0.69050447134038195</v>
      </c>
      <c r="AB205" t="s">
        <v>886</v>
      </c>
      <c r="AC205">
        <v>0.87857948382126905</v>
      </c>
      <c r="AD205">
        <v>0.92382582368575195</v>
      </c>
      <c r="AE205" s="8" t="str">
        <f t="shared" si="28"/>
        <v>2011-10-21</v>
      </c>
      <c r="AF205" s="9" t="str">
        <f t="shared" si="29"/>
        <v>10/21/2011</v>
      </c>
      <c r="AG205" s="8">
        <f t="shared" si="30"/>
        <v>0.87857948382126905</v>
      </c>
    </row>
    <row r="206" spans="1:33">
      <c r="A206" s="2">
        <f t="shared" si="25"/>
        <v>201447</v>
      </c>
      <c r="B206" s="12" t="s">
        <v>644</v>
      </c>
      <c r="C206" s="12">
        <v>0.56606721089043699</v>
      </c>
      <c r="D206" s="12">
        <v>0.56134459063090603</v>
      </c>
      <c r="E206" s="8" t="str">
        <f t="shared" si="32"/>
        <v>2014-11-20</v>
      </c>
      <c r="H206" s="8">
        <f t="shared" si="26"/>
        <v>201128</v>
      </c>
      <c r="I206" s="13">
        <v>40732</v>
      </c>
      <c r="J206" s="12">
        <v>2362.6999999999998</v>
      </c>
      <c r="K206" t="str">
        <f t="shared" si="31"/>
        <v>2011-07-08</v>
      </c>
      <c r="L206" s="3">
        <f t="shared" si="27"/>
        <v>0.60410549631050603</v>
      </c>
      <c r="AB206" t="s">
        <v>887</v>
      </c>
      <c r="AC206">
        <v>0.87857948382126905</v>
      </c>
      <c r="AD206">
        <v>0.92382582368575195</v>
      </c>
      <c r="AE206" s="8" t="str">
        <f t="shared" si="28"/>
        <v>2011-10-24</v>
      </c>
      <c r="AF206" s="9" t="str">
        <f t="shared" si="29"/>
        <v>10/24/2011</v>
      </c>
      <c r="AG206" s="8">
        <f t="shared" si="30"/>
        <v>0.87857948382126905</v>
      </c>
    </row>
    <row r="207" spans="1:33">
      <c r="A207" s="2">
        <f t="shared" si="25"/>
        <v>201448</v>
      </c>
      <c r="B207" s="12" t="s">
        <v>648</v>
      </c>
      <c r="C207" s="12">
        <v>0.57290983086857505</v>
      </c>
      <c r="D207" s="12">
        <v>0.56134459063090603</v>
      </c>
      <c r="E207" s="8" t="str">
        <f t="shared" si="32"/>
        <v>2014-11-26</v>
      </c>
      <c r="H207" s="8">
        <f t="shared" si="26"/>
        <v>201129</v>
      </c>
      <c r="I207" s="13">
        <v>40739</v>
      </c>
      <c r="J207" s="12">
        <v>2923.8</v>
      </c>
      <c r="K207" t="str">
        <f t="shared" si="31"/>
        <v>2011-07-15</v>
      </c>
      <c r="L207" s="3">
        <f t="shared" si="27"/>
        <v>0.684475421712614</v>
      </c>
      <c r="AB207" t="s">
        <v>888</v>
      </c>
      <c r="AC207">
        <v>0.87857948382126905</v>
      </c>
      <c r="AD207">
        <v>0.92382582368575195</v>
      </c>
      <c r="AE207" s="8" t="str">
        <f t="shared" si="28"/>
        <v>2011-10-25</v>
      </c>
      <c r="AF207" s="9" t="str">
        <f t="shared" si="29"/>
        <v>10/25/2011</v>
      </c>
      <c r="AG207" s="8">
        <f t="shared" si="30"/>
        <v>0.87857948382126905</v>
      </c>
    </row>
    <row r="208" spans="1:33">
      <c r="A208" s="2">
        <f t="shared" si="25"/>
        <v>201449</v>
      </c>
      <c r="B208" s="12" t="s">
        <v>653</v>
      </c>
      <c r="C208" s="12">
        <v>0.59279776197128298</v>
      </c>
      <c r="D208" s="12">
        <v>0.58747297810505505</v>
      </c>
      <c r="E208" s="8" t="str">
        <f t="shared" si="32"/>
        <v>2014-12-04</v>
      </c>
      <c r="H208" s="8">
        <f t="shared" si="26"/>
        <v>201130</v>
      </c>
      <c r="I208" s="13">
        <v>40746</v>
      </c>
      <c r="J208" s="12">
        <v>2769.6</v>
      </c>
      <c r="K208" t="str">
        <f t="shared" si="31"/>
        <v>2011-07-22</v>
      </c>
      <c r="L208" s="3">
        <f t="shared" si="27"/>
        <v>0.66675683999516899</v>
      </c>
      <c r="AB208" t="s">
        <v>889</v>
      </c>
      <c r="AC208">
        <v>0.87857948382126905</v>
      </c>
      <c r="AD208">
        <v>0.92382582368575195</v>
      </c>
      <c r="AE208" s="8" t="str">
        <f t="shared" si="28"/>
        <v>2011-10-26</v>
      </c>
      <c r="AF208" s="9" t="str">
        <f t="shared" si="29"/>
        <v>10/26/2011</v>
      </c>
      <c r="AG208" s="8">
        <f t="shared" si="30"/>
        <v>0.87857948382126905</v>
      </c>
    </row>
    <row r="209" spans="1:33">
      <c r="A209" s="2">
        <f t="shared" si="25"/>
        <v>201450</v>
      </c>
      <c r="B209" s="12" t="s">
        <v>658</v>
      </c>
      <c r="C209" s="12">
        <v>0.57867105076839898</v>
      </c>
      <c r="D209" s="12">
        <v>0.55923412101628101</v>
      </c>
      <c r="E209" s="8" t="str">
        <f t="shared" si="32"/>
        <v>2014-12-11</v>
      </c>
      <c r="H209" s="8">
        <f t="shared" si="26"/>
        <v>201131</v>
      </c>
      <c r="I209" s="13">
        <v>40753</v>
      </c>
      <c r="J209" s="12">
        <v>2974.1</v>
      </c>
      <c r="K209" t="str">
        <f t="shared" si="31"/>
        <v>2011-07-29</v>
      </c>
      <c r="L209" s="3">
        <f t="shared" si="27"/>
        <v>0.61660059317974703</v>
      </c>
      <c r="AB209" t="s">
        <v>890</v>
      </c>
      <c r="AC209">
        <v>0.88617155990762297</v>
      </c>
      <c r="AD209">
        <v>0.92382582368575195</v>
      </c>
      <c r="AE209" s="8" t="str">
        <f t="shared" si="28"/>
        <v>2011-10-27</v>
      </c>
      <c r="AF209" s="9" t="str">
        <f t="shared" si="29"/>
        <v>10/27/2011</v>
      </c>
      <c r="AG209" s="8">
        <f t="shared" si="30"/>
        <v>0.88617155990762297</v>
      </c>
    </row>
    <row r="210" spans="1:33">
      <c r="A210" s="2">
        <f t="shared" si="25"/>
        <v>201451</v>
      </c>
      <c r="B210" s="12" t="s">
        <v>663</v>
      </c>
      <c r="C210" s="12">
        <v>0.61554969638107904</v>
      </c>
      <c r="D210" s="12">
        <v>0.61435347220240899</v>
      </c>
      <c r="E210" s="8" t="str">
        <f t="shared" si="32"/>
        <v>2014-12-18</v>
      </c>
      <c r="H210" s="8">
        <f t="shared" si="26"/>
        <v>201132</v>
      </c>
      <c r="I210" s="13">
        <v>40760</v>
      </c>
      <c r="J210" s="12">
        <v>3880.9</v>
      </c>
      <c r="K210" t="str">
        <f t="shared" si="31"/>
        <v>2011-08-05</v>
      </c>
      <c r="L210" s="3">
        <f t="shared" si="27"/>
        <v>0.81803711941746404</v>
      </c>
      <c r="AB210" t="s">
        <v>891</v>
      </c>
      <c r="AC210">
        <v>0.88617155990762297</v>
      </c>
      <c r="AD210">
        <v>0.92382582368575195</v>
      </c>
      <c r="AE210" s="8" t="str">
        <f t="shared" si="28"/>
        <v>2011-10-28</v>
      </c>
      <c r="AF210" s="9" t="str">
        <f t="shared" si="29"/>
        <v>10/28/2011</v>
      </c>
      <c r="AG210" s="8">
        <f t="shared" si="30"/>
        <v>0.88617155990762297</v>
      </c>
    </row>
    <row r="211" spans="1:33">
      <c r="A211" s="2">
        <f t="shared" si="25"/>
        <v>201452</v>
      </c>
      <c r="B211" s="12" t="s">
        <v>667</v>
      </c>
      <c r="C211" s="12">
        <v>0.605746362235419</v>
      </c>
      <c r="D211" s="12">
        <v>0.61435347220240899</v>
      </c>
      <c r="E211" s="8" t="str">
        <f t="shared" si="32"/>
        <v>2014-12-24</v>
      </c>
      <c r="H211" s="8">
        <f t="shared" si="26"/>
        <v>201133</v>
      </c>
      <c r="I211" s="13">
        <v>40767</v>
      </c>
      <c r="J211" s="12">
        <v>4184.3999999999996</v>
      </c>
      <c r="K211" t="str">
        <f t="shared" si="31"/>
        <v>2011-08-12</v>
      </c>
      <c r="L211" s="3">
        <f t="shared" si="27"/>
        <v>0.83404184296119299</v>
      </c>
      <c r="AB211" t="s">
        <v>892</v>
      </c>
      <c r="AC211">
        <v>0.88617155990762297</v>
      </c>
      <c r="AD211">
        <v>0.92382582368575195</v>
      </c>
      <c r="AE211" s="8" t="str">
        <f t="shared" si="28"/>
        <v>2011-10-31</v>
      </c>
      <c r="AF211" s="9" t="str">
        <f t="shared" si="29"/>
        <v>10/31/2011</v>
      </c>
      <c r="AG211" s="8">
        <f t="shared" si="30"/>
        <v>0.88617155990762297</v>
      </c>
    </row>
    <row r="212" spans="1:33">
      <c r="A212" s="2">
        <f t="shared" si="25"/>
        <v>201453</v>
      </c>
      <c r="B212" s="12" t="s">
        <v>671</v>
      </c>
      <c r="C212" s="12">
        <v>0.59072795930158895</v>
      </c>
      <c r="D212" s="12">
        <v>0.58747297810505505</v>
      </c>
      <c r="E212" s="8" t="str">
        <f t="shared" si="32"/>
        <v>2014-12-31</v>
      </c>
      <c r="H212" s="8">
        <f t="shared" si="26"/>
        <v>201134</v>
      </c>
      <c r="I212" s="13">
        <v>40774</v>
      </c>
      <c r="J212" s="12">
        <v>4110.8</v>
      </c>
      <c r="K212" t="str">
        <f t="shared" si="31"/>
        <v>2011-08-19</v>
      </c>
      <c r="L212" s="3">
        <f t="shared" si="27"/>
        <v>0.86117434904403201</v>
      </c>
      <c r="AB212" t="s">
        <v>893</v>
      </c>
      <c r="AC212">
        <v>0.87154314951038103</v>
      </c>
      <c r="AD212">
        <v>0.906137936459536</v>
      </c>
      <c r="AE212" s="8" t="str">
        <f t="shared" si="28"/>
        <v>2011-11-01</v>
      </c>
      <c r="AF212" s="9" t="str">
        <f t="shared" si="29"/>
        <v>11/1/2011</v>
      </c>
      <c r="AG212" s="8">
        <f t="shared" si="30"/>
        <v>0.87154314951038103</v>
      </c>
    </row>
    <row r="213" spans="1:33">
      <c r="A213" s="2">
        <f t="shared" si="25"/>
        <v>201502</v>
      </c>
      <c r="B213" s="12" t="s">
        <v>676</v>
      </c>
      <c r="C213" s="12">
        <v>0.63580141506138299</v>
      </c>
      <c r="D213" s="12">
        <v>0.65755713981391395</v>
      </c>
      <c r="E213" s="8" t="str">
        <f t="shared" si="32"/>
        <v>2015-01-08</v>
      </c>
      <c r="H213" s="8">
        <f t="shared" si="26"/>
        <v>201135</v>
      </c>
      <c r="I213" s="13">
        <v>40781</v>
      </c>
      <c r="J213" s="12">
        <v>3601.3</v>
      </c>
      <c r="K213" t="str">
        <f t="shared" si="31"/>
        <v>2011-08-26</v>
      </c>
      <c r="L213" s="3">
        <f t="shared" si="27"/>
        <v>0.84714025108084801</v>
      </c>
      <c r="AB213" t="s">
        <v>894</v>
      </c>
      <c r="AC213">
        <v>0.87154314951038103</v>
      </c>
      <c r="AD213">
        <v>0.906137936459536</v>
      </c>
      <c r="AE213" s="8" t="str">
        <f t="shared" si="28"/>
        <v>2011-11-02</v>
      </c>
      <c r="AF213" s="9" t="str">
        <f t="shared" si="29"/>
        <v>11/2/2011</v>
      </c>
      <c r="AG213" s="8">
        <f t="shared" si="30"/>
        <v>0.87154314951038103</v>
      </c>
    </row>
    <row r="214" spans="1:33">
      <c r="A214" s="2">
        <f t="shared" si="25"/>
        <v>201503</v>
      </c>
      <c r="B214" s="12" t="s">
        <v>681</v>
      </c>
      <c r="C214" s="12">
        <v>0.66264885680248997</v>
      </c>
      <c r="D214" s="12">
        <v>0.70760511252878899</v>
      </c>
      <c r="E214" s="8" t="str">
        <f t="shared" si="32"/>
        <v>2015-01-15</v>
      </c>
      <c r="H214" s="8">
        <f t="shared" si="26"/>
        <v>201136</v>
      </c>
      <c r="I214" s="13">
        <v>40788</v>
      </c>
      <c r="J214" s="12">
        <v>3372</v>
      </c>
      <c r="K214" t="str">
        <f t="shared" si="31"/>
        <v>2011-09-02</v>
      </c>
      <c r="L214" s="3">
        <f t="shared" si="27"/>
        <v>0.84129278814437103</v>
      </c>
      <c r="AB214" t="s">
        <v>895</v>
      </c>
      <c r="AC214">
        <v>0.93444271648805399</v>
      </c>
      <c r="AD214">
        <v>0.94896087986943201</v>
      </c>
      <c r="AE214" s="8" t="str">
        <f t="shared" si="28"/>
        <v>2011-11-03</v>
      </c>
      <c r="AF214" s="9" t="str">
        <f t="shared" si="29"/>
        <v>11/3/2011</v>
      </c>
      <c r="AG214" s="8">
        <f t="shared" si="30"/>
        <v>0.93444271648805399</v>
      </c>
    </row>
    <row r="215" spans="1:33">
      <c r="A215" s="2">
        <f t="shared" si="25"/>
        <v>201504</v>
      </c>
      <c r="B215" s="12" t="s">
        <v>1000</v>
      </c>
      <c r="C215" s="12">
        <v>0.664741267487021</v>
      </c>
      <c r="D215" s="12">
        <v>0.70760511252878899</v>
      </c>
      <c r="E215" s="8" t="str">
        <f t="shared" si="32"/>
        <v>2015-01-22</v>
      </c>
      <c r="H215" s="8">
        <f t="shared" si="26"/>
        <v>201137</v>
      </c>
      <c r="I215" s="13">
        <v>40795</v>
      </c>
      <c r="J215" s="12">
        <v>3571.7</v>
      </c>
      <c r="K215" t="str">
        <f t="shared" si="31"/>
        <v>2011-09-09</v>
      </c>
      <c r="L215" s="3">
        <f t="shared" si="27"/>
        <v>0.87859103936280603</v>
      </c>
      <c r="AB215" t="s">
        <v>896</v>
      </c>
      <c r="AC215">
        <v>0.93444271648805399</v>
      </c>
      <c r="AD215">
        <v>0.94896087986943201</v>
      </c>
      <c r="AE215" s="8" t="str">
        <f t="shared" si="28"/>
        <v>2011-11-04</v>
      </c>
      <c r="AF215" s="9" t="str">
        <f t="shared" si="29"/>
        <v>11/4/2011</v>
      </c>
      <c r="AG215" s="8">
        <f t="shared" si="30"/>
        <v>0.93444271648805399</v>
      </c>
    </row>
    <row r="216" spans="1:33">
      <c r="A216" s="2">
        <f t="shared" ref="A216:A228" si="33">WEEKNUM(E216)+YEAR(E216)*100</f>
        <v>201505</v>
      </c>
      <c r="B216" s="12" t="s">
        <v>1001</v>
      </c>
      <c r="C216" s="12">
        <v>0.66264885680248997</v>
      </c>
      <c r="D216" s="12">
        <v>0.70760511252878899</v>
      </c>
      <c r="E216" s="8" t="str">
        <f t="shared" si="32"/>
        <v>2015-01-29</v>
      </c>
      <c r="H216" s="8">
        <f t="shared" si="26"/>
        <v>201138</v>
      </c>
      <c r="I216" s="13">
        <v>40802</v>
      </c>
      <c r="J216" s="12">
        <v>4033.78</v>
      </c>
      <c r="K216" t="str">
        <f t="shared" si="31"/>
        <v>2011-09-16</v>
      </c>
      <c r="L216" s="3">
        <f t="shared" si="27"/>
        <v>0.90242289630358996</v>
      </c>
      <c r="AB216" t="s">
        <v>897</v>
      </c>
      <c r="AC216">
        <v>0.93444271648805399</v>
      </c>
      <c r="AD216">
        <v>0.94896087986943201</v>
      </c>
      <c r="AE216" s="8" t="str">
        <f t="shared" si="28"/>
        <v>2011-11-07</v>
      </c>
      <c r="AF216" s="9" t="str">
        <f t="shared" si="29"/>
        <v>11/7/2011</v>
      </c>
      <c r="AG216" s="8">
        <f t="shared" si="30"/>
        <v>0.93444271648805399</v>
      </c>
    </row>
    <row r="217" spans="1:33">
      <c r="A217" s="2">
        <f t="shared" si="33"/>
        <v>201506</v>
      </c>
      <c r="B217" s="12" t="s">
        <v>1002</v>
      </c>
      <c r="C217" s="12">
        <v>0.68438167594716104</v>
      </c>
      <c r="D217" s="12">
        <v>0.709795405231334</v>
      </c>
      <c r="E217" s="8" t="str">
        <f t="shared" si="32"/>
        <v>2015-02-05</v>
      </c>
      <c r="H217" s="8">
        <f t="shared" si="26"/>
        <v>201139</v>
      </c>
      <c r="I217" s="13">
        <v>40809</v>
      </c>
      <c r="J217" s="12">
        <v>4512.13</v>
      </c>
      <c r="K217" t="str">
        <f t="shared" si="31"/>
        <v>2011-09-23</v>
      </c>
      <c r="L217" s="3">
        <f t="shared" si="27"/>
        <v>0.90242289630358996</v>
      </c>
      <c r="AB217" t="s">
        <v>898</v>
      </c>
      <c r="AC217">
        <v>0.93444271648805399</v>
      </c>
      <c r="AD217">
        <v>0.94896087986943201</v>
      </c>
      <c r="AE217" s="8" t="str">
        <f t="shared" si="28"/>
        <v>2011-11-08</v>
      </c>
      <c r="AF217" s="9" t="str">
        <f t="shared" si="29"/>
        <v>11/8/2011</v>
      </c>
      <c r="AG217" s="8">
        <f t="shared" si="30"/>
        <v>0.93444271648805399</v>
      </c>
    </row>
    <row r="218" spans="1:33">
      <c r="A218" s="2">
        <f t="shared" si="33"/>
        <v>201507</v>
      </c>
      <c r="B218" s="12" t="s">
        <v>1003</v>
      </c>
      <c r="C218" s="12">
        <v>0.64890841265420796</v>
      </c>
      <c r="D218" s="12">
        <v>0.709795405231334</v>
      </c>
      <c r="E218" s="8" t="str">
        <f t="shared" si="32"/>
        <v>2015-02-12</v>
      </c>
      <c r="H218" s="8">
        <f t="shared" si="26"/>
        <v>201140</v>
      </c>
      <c r="I218" s="13">
        <v>40816</v>
      </c>
      <c r="J218" s="12">
        <v>4241.8</v>
      </c>
      <c r="K218" t="str">
        <f t="shared" si="31"/>
        <v>2011-09-30</v>
      </c>
      <c r="L218" s="3">
        <f t="shared" si="27"/>
        <v>0.94644262124543399</v>
      </c>
      <c r="AB218" t="s">
        <v>899</v>
      </c>
      <c r="AC218">
        <v>0.93444271648805399</v>
      </c>
      <c r="AD218">
        <v>0.94896087986943201</v>
      </c>
      <c r="AE218" s="8" t="str">
        <f t="shared" si="28"/>
        <v>2011-11-09</v>
      </c>
      <c r="AF218" s="9" t="str">
        <f t="shared" si="29"/>
        <v>11/9/2011</v>
      </c>
      <c r="AG218" s="8">
        <f t="shared" si="30"/>
        <v>0.93444271648805399</v>
      </c>
    </row>
    <row r="219" spans="1:33">
      <c r="A219" s="2">
        <f t="shared" si="33"/>
        <v>201508</v>
      </c>
      <c r="B219" s="12" t="s">
        <v>1008</v>
      </c>
      <c r="C219" s="12">
        <v>0.62651628119673397</v>
      </c>
      <c r="D219" s="12">
        <v>0.65221835687993301</v>
      </c>
      <c r="E219" s="8" t="str">
        <f t="shared" si="32"/>
        <v>2015-02-19</v>
      </c>
      <c r="H219" s="8">
        <f t="shared" si="26"/>
        <v>201141</v>
      </c>
      <c r="I219" s="13">
        <v>40823</v>
      </c>
      <c r="J219" s="12">
        <v>4251.1000000000004</v>
      </c>
      <c r="K219" t="str">
        <f t="shared" si="31"/>
        <v>2011-10-07</v>
      </c>
      <c r="L219" s="3">
        <f t="shared" si="27"/>
        <v>0.967252006042155</v>
      </c>
      <c r="AB219" t="s">
        <v>900</v>
      </c>
      <c r="AC219">
        <v>0.94361195161193201</v>
      </c>
      <c r="AD219">
        <v>0.97193701769959195</v>
      </c>
      <c r="AE219" s="8" t="str">
        <f t="shared" si="28"/>
        <v>2011-11-10</v>
      </c>
      <c r="AF219" s="9" t="str">
        <f t="shared" si="29"/>
        <v>11/10/2011</v>
      </c>
      <c r="AG219" s="8">
        <f t="shared" si="30"/>
        <v>0.94361195161193201</v>
      </c>
    </row>
    <row r="220" spans="1:33">
      <c r="A220" s="2">
        <f t="shared" si="33"/>
        <v>201509</v>
      </c>
      <c r="B220" s="12" t="s">
        <v>1009</v>
      </c>
      <c r="C220" s="12">
        <v>0.61098575112407705</v>
      </c>
      <c r="D220" s="12">
        <v>0.61336049919407798</v>
      </c>
      <c r="E220" s="8" t="str">
        <f t="shared" si="32"/>
        <v>2015-02-26</v>
      </c>
      <c r="H220" s="8">
        <f t="shared" si="26"/>
        <v>201142</v>
      </c>
      <c r="I220" s="13">
        <v>40830</v>
      </c>
      <c r="J220" s="12">
        <v>3553.2</v>
      </c>
      <c r="K220" t="str">
        <f t="shared" si="31"/>
        <v>2011-10-14</v>
      </c>
      <c r="L220" s="3">
        <f t="shared" si="27"/>
        <v>0.84917694017596201</v>
      </c>
      <c r="AB220" t="s">
        <v>901</v>
      </c>
      <c r="AC220">
        <v>0.94361195161193201</v>
      </c>
      <c r="AD220">
        <v>0.97193701769959195</v>
      </c>
      <c r="AE220" s="8" t="str">
        <f t="shared" si="28"/>
        <v>2011-11-11</v>
      </c>
      <c r="AF220" s="9" t="str">
        <f t="shared" si="29"/>
        <v>11/11/2011</v>
      </c>
      <c r="AG220" s="8">
        <f t="shared" si="30"/>
        <v>0.94361195161193201</v>
      </c>
    </row>
    <row r="221" spans="1:33">
      <c r="A221" s="2">
        <f t="shared" si="33"/>
        <v>201510</v>
      </c>
      <c r="B221" s="12" t="s">
        <v>1010</v>
      </c>
      <c r="C221" s="12">
        <v>0.61966926616186602</v>
      </c>
      <c r="D221" s="12">
        <v>0.63839277960313001</v>
      </c>
      <c r="E221" s="8" t="str">
        <f t="shared" si="32"/>
        <v>2015-03-05</v>
      </c>
      <c r="H221" s="8">
        <f t="shared" si="26"/>
        <v>201143</v>
      </c>
      <c r="I221" s="13">
        <v>40837</v>
      </c>
      <c r="J221" s="12">
        <v>3719.3</v>
      </c>
      <c r="K221" t="str">
        <f t="shared" si="31"/>
        <v>2011-10-21</v>
      </c>
      <c r="L221" s="3">
        <f t="shared" si="27"/>
        <v>0.85635864773186399</v>
      </c>
      <c r="AB221" t="s">
        <v>902</v>
      </c>
      <c r="AC221">
        <v>0.94361195161193201</v>
      </c>
      <c r="AD221">
        <v>0.97193701769959195</v>
      </c>
      <c r="AE221" s="8" t="str">
        <f t="shared" si="28"/>
        <v>2011-11-14</v>
      </c>
      <c r="AF221" s="9" t="str">
        <f t="shared" si="29"/>
        <v>11/14/2011</v>
      </c>
      <c r="AG221" s="8">
        <f t="shared" si="30"/>
        <v>0.94361195161193201</v>
      </c>
    </row>
    <row r="222" spans="1:33">
      <c r="A222" s="2">
        <f t="shared" si="33"/>
        <v>201511</v>
      </c>
      <c r="B222" s="12" t="s">
        <v>1011</v>
      </c>
      <c r="C222" s="12">
        <v>0.57559445438514301</v>
      </c>
      <c r="D222" s="12">
        <v>0.57176179310807096</v>
      </c>
      <c r="E222" s="8" t="str">
        <f t="shared" si="32"/>
        <v>2015-03-12</v>
      </c>
      <c r="H222" s="8">
        <f t="shared" si="26"/>
        <v>201144</v>
      </c>
      <c r="I222" s="13">
        <v>40844</v>
      </c>
      <c r="J222" s="12">
        <v>3695</v>
      </c>
      <c r="K222" t="str">
        <f t="shared" si="31"/>
        <v>2011-10-28</v>
      </c>
      <c r="L222" s="3">
        <f t="shared" si="27"/>
        <v>0.86512672485653097</v>
      </c>
      <c r="AB222" t="s">
        <v>903</v>
      </c>
      <c r="AC222">
        <v>0.94361195161193201</v>
      </c>
      <c r="AD222">
        <v>0.97193701769959195</v>
      </c>
      <c r="AE222" s="8" t="str">
        <f t="shared" si="28"/>
        <v>2011-11-15</v>
      </c>
      <c r="AF222" s="9" t="str">
        <f t="shared" si="29"/>
        <v>11/15/2011</v>
      </c>
      <c r="AG222" s="8">
        <f t="shared" si="30"/>
        <v>0.94361195161193201</v>
      </c>
    </row>
    <row r="223" spans="1:33">
      <c r="A223" s="2">
        <f t="shared" si="33"/>
        <v>201512</v>
      </c>
      <c r="B223" s="12" t="s">
        <v>1012</v>
      </c>
      <c r="C223" s="12">
        <v>0.609371962286406</v>
      </c>
      <c r="D223" s="12">
        <v>0.62435778035201805</v>
      </c>
      <c r="E223" s="8" t="str">
        <f t="shared" si="32"/>
        <v>2015-03-19</v>
      </c>
      <c r="H223" s="8">
        <f t="shared" si="26"/>
        <v>201145</v>
      </c>
      <c r="I223" s="13">
        <v>40851</v>
      </c>
      <c r="J223" s="12">
        <v>4137.6000000000004</v>
      </c>
      <c r="K223" t="str">
        <f t="shared" si="31"/>
        <v>2011-11-04</v>
      </c>
      <c r="L223" s="3">
        <f t="shared" si="27"/>
        <v>0.93485323798856301</v>
      </c>
      <c r="AB223" t="s">
        <v>904</v>
      </c>
      <c r="AC223">
        <v>0.94361195161193201</v>
      </c>
      <c r="AD223">
        <v>0.97193701769959195</v>
      </c>
      <c r="AE223" s="8" t="str">
        <f t="shared" si="28"/>
        <v>2011-11-16</v>
      </c>
      <c r="AF223" s="9" t="str">
        <f t="shared" si="29"/>
        <v>11/16/2011</v>
      </c>
      <c r="AG223" s="8">
        <f t="shared" si="30"/>
        <v>0.94361195161193201</v>
      </c>
    </row>
    <row r="224" spans="1:33">
      <c r="A224" s="2">
        <f t="shared" si="33"/>
        <v>201513</v>
      </c>
      <c r="B224" s="12" t="s">
        <v>1013</v>
      </c>
      <c r="C224" s="12">
        <v>0.64195316325793905</v>
      </c>
      <c r="D224" s="12">
        <v>0.69977124002475199</v>
      </c>
      <c r="E224" s="8" t="str">
        <f t="shared" si="32"/>
        <v>2015-03-26</v>
      </c>
      <c r="H224" s="8">
        <f t="shared" si="26"/>
        <v>201146</v>
      </c>
      <c r="I224" s="13">
        <v>40858</v>
      </c>
      <c r="J224" s="12">
        <v>3664.5</v>
      </c>
      <c r="K224" t="str">
        <f t="shared" si="31"/>
        <v>2011-11-11</v>
      </c>
      <c r="L224" s="3">
        <f t="shared" si="27"/>
        <v>0.94404770550683104</v>
      </c>
      <c r="AB224" t="s">
        <v>905</v>
      </c>
      <c r="AC224">
        <v>0.93444271648805399</v>
      </c>
      <c r="AD224">
        <v>0.94896087986943201</v>
      </c>
      <c r="AE224" s="8" t="str">
        <f t="shared" si="28"/>
        <v>2011-11-17</v>
      </c>
      <c r="AF224" s="9" t="str">
        <f t="shared" si="29"/>
        <v>11/17/2011</v>
      </c>
      <c r="AG224" s="8">
        <f t="shared" si="30"/>
        <v>0.93444271648805399</v>
      </c>
    </row>
    <row r="225" spans="1:33">
      <c r="A225" s="2">
        <f t="shared" si="33"/>
        <v>201513</v>
      </c>
      <c r="B225" s="12" t="s">
        <v>1013</v>
      </c>
      <c r="C225" s="12">
        <v>0.64195316325793905</v>
      </c>
      <c r="D225" s="12">
        <v>0.69977124002475199</v>
      </c>
      <c r="E225" s="8" t="str">
        <f t="shared" si="32"/>
        <v>2015-03-26</v>
      </c>
      <c r="H225" s="8">
        <f t="shared" si="26"/>
        <v>201147</v>
      </c>
      <c r="I225" s="13">
        <v>40865</v>
      </c>
      <c r="J225" s="12">
        <v>3466.8</v>
      </c>
      <c r="K225" t="str">
        <f t="shared" si="31"/>
        <v>2011-11-18</v>
      </c>
      <c r="L225" s="3">
        <f t="shared" si="27"/>
        <v>0.93485323798856301</v>
      </c>
      <c r="AB225" t="s">
        <v>906</v>
      </c>
      <c r="AC225">
        <v>0.93444271648805399</v>
      </c>
      <c r="AD225">
        <v>0.94896087986943201</v>
      </c>
      <c r="AE225" s="8" t="str">
        <f t="shared" si="28"/>
        <v>2011-11-18</v>
      </c>
      <c r="AF225" s="9" t="str">
        <f t="shared" si="29"/>
        <v>11/18/2011</v>
      </c>
      <c r="AG225" s="8">
        <f t="shared" si="30"/>
        <v>0.93444271648805399</v>
      </c>
    </row>
    <row r="226" spans="1:33">
      <c r="A226" s="2">
        <f t="shared" si="33"/>
        <v>201514</v>
      </c>
      <c r="B226" s="12" t="s">
        <v>1017</v>
      </c>
      <c r="C226" s="12">
        <v>0.62812472062617597</v>
      </c>
      <c r="D226" s="12">
        <v>0.65246093338439903</v>
      </c>
      <c r="E226" s="8" t="str">
        <f t="shared" si="32"/>
        <v>2015-04-02</v>
      </c>
      <c r="H226" s="8">
        <f t="shared" si="26"/>
        <v>201148</v>
      </c>
      <c r="I226" s="13">
        <v>40872</v>
      </c>
      <c r="J226" s="12">
        <v>2941.3</v>
      </c>
      <c r="K226" t="str">
        <f t="shared" si="31"/>
        <v>2011-11-25</v>
      </c>
      <c r="L226" s="3">
        <f t="shared" si="27"/>
        <v>0.94997170807452402</v>
      </c>
      <c r="AB226" t="s">
        <v>907</v>
      </c>
      <c r="AC226">
        <v>0.93444271648805399</v>
      </c>
      <c r="AD226">
        <v>0.94896087986943201</v>
      </c>
      <c r="AE226" s="8" t="str">
        <f t="shared" si="28"/>
        <v>2011-11-21</v>
      </c>
      <c r="AF226" s="9" t="str">
        <f t="shared" si="29"/>
        <v>11/21/2011</v>
      </c>
      <c r="AG226" s="8">
        <f t="shared" si="30"/>
        <v>0.93444271648805399</v>
      </c>
    </row>
    <row r="227" spans="1:33">
      <c r="A227" s="2">
        <f t="shared" si="33"/>
        <v>201515</v>
      </c>
      <c r="B227" s="12" t="s">
        <v>1018</v>
      </c>
      <c r="C227" s="12">
        <v>0.64478767281568505</v>
      </c>
      <c r="D227" s="12">
        <v>0.68461798141438002</v>
      </c>
      <c r="E227" s="8" t="str">
        <f t="shared" si="32"/>
        <v>2015-04-09</v>
      </c>
      <c r="H227" s="8">
        <f t="shared" si="26"/>
        <v>201149</v>
      </c>
      <c r="I227" s="13">
        <v>40879</v>
      </c>
      <c r="J227" s="12">
        <v>3394.7</v>
      </c>
      <c r="K227" t="str">
        <f t="shared" si="31"/>
        <v>2011-12-02</v>
      </c>
      <c r="L227" s="3">
        <f t="shared" si="27"/>
        <v>0.91542628506626</v>
      </c>
      <c r="AB227" t="s">
        <v>908</v>
      </c>
      <c r="AC227">
        <v>0.93444271648805399</v>
      </c>
      <c r="AD227">
        <v>0.94896087986943201</v>
      </c>
      <c r="AE227" s="8" t="str">
        <f t="shared" si="28"/>
        <v>2011-11-22</v>
      </c>
      <c r="AF227" s="9" t="str">
        <f t="shared" si="29"/>
        <v>11/22/2011</v>
      </c>
      <c r="AG227" s="8">
        <f t="shared" si="30"/>
        <v>0.93444271648805399</v>
      </c>
    </row>
    <row r="228" spans="1:33">
      <c r="A228" s="2">
        <f t="shared" si="33"/>
        <v>201516</v>
      </c>
      <c r="B228" s="12" t="s">
        <v>1019</v>
      </c>
      <c r="C228" s="12">
        <v>0.63088888629855699</v>
      </c>
      <c r="D228" s="12">
        <v>0.66615240597270797</v>
      </c>
      <c r="E228" s="8" t="str">
        <f t="shared" si="32"/>
        <v>2015-04-16</v>
      </c>
      <c r="H228" s="8">
        <f t="shared" si="26"/>
        <v>201150</v>
      </c>
      <c r="I228" s="13">
        <v>40886</v>
      </c>
      <c r="J228" s="12">
        <v>3708.6</v>
      </c>
      <c r="K228" t="str">
        <f t="shared" si="31"/>
        <v>2011-12-09</v>
      </c>
      <c r="L228" s="3">
        <f t="shared" si="27"/>
        <v>0.92487460681698297</v>
      </c>
      <c r="AB228" t="s">
        <v>909</v>
      </c>
      <c r="AC228">
        <v>0.94997170807452402</v>
      </c>
      <c r="AD228">
        <v>0.97193701769959195</v>
      </c>
      <c r="AE228" s="8" t="str">
        <f t="shared" si="28"/>
        <v>2011-11-23</v>
      </c>
      <c r="AF228" s="9" t="str">
        <f t="shared" si="29"/>
        <v>11/23/2011</v>
      </c>
      <c r="AG228" s="8">
        <f t="shared" si="30"/>
        <v>0.94997170807452402</v>
      </c>
    </row>
    <row r="229" spans="1:33">
      <c r="H229" s="8">
        <f t="shared" si="26"/>
        <v>201151</v>
      </c>
      <c r="I229" s="13">
        <v>40893</v>
      </c>
      <c r="J229" s="12">
        <v>3676.1</v>
      </c>
      <c r="K229" t="str">
        <f t="shared" si="31"/>
        <v>2011-12-16</v>
      </c>
      <c r="L229" s="3">
        <f t="shared" si="27"/>
        <v>0.93969161247928701</v>
      </c>
      <c r="AB229" t="s">
        <v>910</v>
      </c>
      <c r="AC229">
        <v>0.94997170807452402</v>
      </c>
      <c r="AD229">
        <v>0.97193701769959195</v>
      </c>
      <c r="AE229" s="8" t="str">
        <f t="shared" si="28"/>
        <v>2011-11-25</v>
      </c>
      <c r="AF229" s="9" t="str">
        <f t="shared" si="29"/>
        <v>11/25/2011</v>
      </c>
      <c r="AG229" s="8">
        <f t="shared" si="30"/>
        <v>0.94997170807452402</v>
      </c>
    </row>
    <row r="230" spans="1:33">
      <c r="H230" s="8">
        <f t="shared" si="26"/>
        <v>201152</v>
      </c>
      <c r="I230" s="13">
        <v>40900</v>
      </c>
      <c r="J230" s="12">
        <v>3684.5</v>
      </c>
      <c r="K230" t="str">
        <f t="shared" si="31"/>
        <v>2011-12-23</v>
      </c>
      <c r="L230" s="3">
        <f t="shared" si="27"/>
        <v>0.96019586623642394</v>
      </c>
      <c r="AB230" t="s">
        <v>911</v>
      </c>
      <c r="AC230">
        <v>0.94997170807452402</v>
      </c>
      <c r="AD230">
        <v>0.97193701769959195</v>
      </c>
      <c r="AE230" s="8" t="str">
        <f t="shared" si="28"/>
        <v>2011-11-28</v>
      </c>
      <c r="AF230" s="9" t="str">
        <f t="shared" si="29"/>
        <v>11/28/2011</v>
      </c>
      <c r="AG230" s="8">
        <f t="shared" si="30"/>
        <v>0.94997170807452402</v>
      </c>
    </row>
    <row r="231" spans="1:33">
      <c r="H231" s="8">
        <f t="shared" si="26"/>
        <v>201153</v>
      </c>
      <c r="I231" s="13">
        <v>40907</v>
      </c>
      <c r="J231" s="12">
        <v>3608.1</v>
      </c>
      <c r="K231" t="str">
        <f t="shared" si="31"/>
        <v>2011-12-30</v>
      </c>
      <c r="L231" s="3">
        <f t="shared" si="27"/>
        <v>0.94762260030460199</v>
      </c>
      <c r="AB231" t="s">
        <v>912</v>
      </c>
      <c r="AC231">
        <v>0.94997170807452402</v>
      </c>
      <c r="AD231">
        <v>0.97193701769959195</v>
      </c>
      <c r="AE231" s="8" t="str">
        <f t="shared" si="28"/>
        <v>2011-11-29</v>
      </c>
      <c r="AF231" s="9" t="str">
        <f t="shared" si="29"/>
        <v>11/29/2011</v>
      </c>
      <c r="AG231" s="8">
        <f t="shared" si="30"/>
        <v>0.94997170807452402</v>
      </c>
    </row>
    <row r="232" spans="1:33">
      <c r="H232" s="8">
        <f t="shared" si="26"/>
        <v>201201</v>
      </c>
      <c r="I232" s="13">
        <v>40914</v>
      </c>
      <c r="J232" s="12">
        <v>3668.3</v>
      </c>
      <c r="K232" t="str">
        <f t="shared" si="31"/>
        <v>2012-01-06</v>
      </c>
      <c r="L232" s="3">
        <f t="shared" si="27"/>
        <v>0.94481773750585696</v>
      </c>
      <c r="AB232" t="s">
        <v>913</v>
      </c>
      <c r="AC232">
        <v>0.94997170807452402</v>
      </c>
      <c r="AD232">
        <v>0.97193701769959195</v>
      </c>
      <c r="AE232" s="8" t="str">
        <f t="shared" si="28"/>
        <v>2011-11-30</v>
      </c>
      <c r="AF232" s="9" t="str">
        <f t="shared" si="29"/>
        <v>11/30/2011</v>
      </c>
      <c r="AG232" s="8">
        <f t="shared" si="30"/>
        <v>0.94997170807452402</v>
      </c>
    </row>
    <row r="233" spans="1:33">
      <c r="H233" s="8">
        <f t="shared" si="26"/>
        <v>201202</v>
      </c>
      <c r="I233" s="13">
        <v>40921</v>
      </c>
      <c r="J233" s="12">
        <v>4626.5</v>
      </c>
      <c r="K233" t="str">
        <f t="shared" si="31"/>
        <v>2012-01-13</v>
      </c>
      <c r="L233" s="3">
        <f t="shared" si="27"/>
        <v>0.95320351892281396</v>
      </c>
      <c r="AB233" t="s">
        <v>914</v>
      </c>
      <c r="AC233">
        <v>0.91507025140832299</v>
      </c>
      <c r="AD233">
        <v>0.92419999876805803</v>
      </c>
      <c r="AE233" s="8" t="str">
        <f t="shared" si="28"/>
        <v>2011-12-01</v>
      </c>
      <c r="AF233" s="9" t="str">
        <f t="shared" si="29"/>
        <v>12/1/2011</v>
      </c>
      <c r="AG233" s="8">
        <f t="shared" si="30"/>
        <v>0.91507025140832299</v>
      </c>
    </row>
    <row r="234" spans="1:33">
      <c r="H234" s="8">
        <f t="shared" si="26"/>
        <v>201203</v>
      </c>
      <c r="I234" s="13">
        <v>40928</v>
      </c>
      <c r="J234" s="12">
        <v>4326.3999999999996</v>
      </c>
      <c r="K234" t="str">
        <f t="shared" si="31"/>
        <v>2012-01-20</v>
      </c>
      <c r="L234" s="3">
        <f t="shared" si="27"/>
        <v>0.95182771809710398</v>
      </c>
      <c r="AB234" t="s">
        <v>915</v>
      </c>
      <c r="AC234">
        <v>0.91507025140832299</v>
      </c>
      <c r="AD234">
        <v>0.92419999876805803</v>
      </c>
      <c r="AE234" s="8" t="str">
        <f t="shared" si="28"/>
        <v>2011-12-02</v>
      </c>
      <c r="AF234" s="9" t="str">
        <f t="shared" si="29"/>
        <v>12/2/2011</v>
      </c>
      <c r="AG234" s="8">
        <f t="shared" si="30"/>
        <v>0.91507025140832299</v>
      </c>
    </row>
    <row r="235" spans="1:33">
      <c r="H235" s="8">
        <f t="shared" si="26"/>
        <v>201204</v>
      </c>
      <c r="I235" s="13">
        <v>40935</v>
      </c>
      <c r="J235" s="12">
        <v>4184.3</v>
      </c>
      <c r="K235" t="str">
        <f t="shared" si="31"/>
        <v>2012-01-27</v>
      </c>
      <c r="L235" s="3">
        <f t="shared" si="27"/>
        <v>0.91861521434498905</v>
      </c>
      <c r="AB235" t="s">
        <v>916</v>
      </c>
      <c r="AC235">
        <v>0.91507025140832299</v>
      </c>
      <c r="AD235">
        <v>0.92419999876805803</v>
      </c>
      <c r="AE235" s="8" t="str">
        <f t="shared" si="28"/>
        <v>2011-12-05</v>
      </c>
      <c r="AF235" s="9" t="str">
        <f t="shared" si="29"/>
        <v>12/5/2011</v>
      </c>
      <c r="AG235" s="8">
        <f t="shared" si="30"/>
        <v>0.91507025140832299</v>
      </c>
    </row>
    <row r="236" spans="1:33">
      <c r="H236" s="8">
        <f t="shared" si="26"/>
        <v>201205</v>
      </c>
      <c r="I236" s="13">
        <v>40942</v>
      </c>
      <c r="J236" s="12">
        <v>4617.1000000000004</v>
      </c>
      <c r="K236" t="str">
        <f t="shared" si="31"/>
        <v>2012-02-03</v>
      </c>
      <c r="L236" s="3">
        <f t="shared" si="27"/>
        <v>0.94107838104995301</v>
      </c>
      <c r="AB236" t="s">
        <v>917</v>
      </c>
      <c r="AC236">
        <v>0.91507025140832299</v>
      </c>
      <c r="AD236">
        <v>0.92419999876805803</v>
      </c>
      <c r="AE236" s="8" t="str">
        <f t="shared" si="28"/>
        <v>2011-12-06</v>
      </c>
      <c r="AF236" s="9" t="str">
        <f t="shared" si="29"/>
        <v>12/6/2011</v>
      </c>
      <c r="AG236" s="8">
        <f t="shared" si="30"/>
        <v>0.91507025140832299</v>
      </c>
    </row>
    <row r="237" spans="1:33">
      <c r="H237" s="8">
        <f t="shared" si="26"/>
        <v>201206</v>
      </c>
      <c r="I237" s="13">
        <v>40949</v>
      </c>
      <c r="J237" s="12">
        <v>4716.1000000000004</v>
      </c>
      <c r="K237" t="str">
        <f t="shared" si="31"/>
        <v>2012-02-10</v>
      </c>
      <c r="L237" s="3">
        <f t="shared" si="27"/>
        <v>0.94107838104995301</v>
      </c>
      <c r="AB237" t="s">
        <v>918</v>
      </c>
      <c r="AC237">
        <v>0.91507025140832299</v>
      </c>
      <c r="AD237">
        <v>0.92419999876805803</v>
      </c>
      <c r="AE237" s="8" t="str">
        <f t="shared" si="28"/>
        <v>2011-12-07</v>
      </c>
      <c r="AF237" s="9" t="str">
        <f t="shared" si="29"/>
        <v>12/7/2011</v>
      </c>
      <c r="AG237" s="8">
        <f t="shared" si="30"/>
        <v>0.91507025140832299</v>
      </c>
    </row>
    <row r="238" spans="1:33">
      <c r="H238" s="8">
        <f t="shared" si="26"/>
        <v>201207</v>
      </c>
      <c r="I238" s="13">
        <v>40956</v>
      </c>
      <c r="J238" s="12">
        <v>4466.8999999999996</v>
      </c>
      <c r="K238" t="str">
        <f t="shared" si="31"/>
        <v>2012-02-17</v>
      </c>
      <c r="L238" s="3">
        <f t="shared" si="27"/>
        <v>0.94107838104995301</v>
      </c>
      <c r="AB238" t="s">
        <v>919</v>
      </c>
      <c r="AC238">
        <v>0.92424960668246803</v>
      </c>
      <c r="AD238">
        <v>0.94688538908647302</v>
      </c>
      <c r="AE238" s="8" t="str">
        <f t="shared" si="28"/>
        <v>2011-12-08</v>
      </c>
      <c r="AF238" s="9" t="str">
        <f t="shared" si="29"/>
        <v>12/8/2011</v>
      </c>
      <c r="AG238" s="8">
        <f t="shared" si="30"/>
        <v>0.92424960668246803</v>
      </c>
    </row>
    <row r="239" spans="1:33">
      <c r="H239" s="8">
        <f t="shared" si="26"/>
        <v>201208</v>
      </c>
      <c r="I239" s="13">
        <v>40963</v>
      </c>
      <c r="J239" s="12">
        <v>4379.1000000000004</v>
      </c>
      <c r="K239" t="str">
        <f t="shared" si="31"/>
        <v>2012-02-24</v>
      </c>
      <c r="L239" s="3">
        <f t="shared" si="27"/>
        <v>0.90921329115869698</v>
      </c>
      <c r="AB239" t="s">
        <v>920</v>
      </c>
      <c r="AC239">
        <v>0.92424960668246803</v>
      </c>
      <c r="AD239">
        <v>0.94688538908647302</v>
      </c>
      <c r="AE239" s="8" t="str">
        <f t="shared" si="28"/>
        <v>2011-12-09</v>
      </c>
      <c r="AF239" s="9" t="str">
        <f t="shared" si="29"/>
        <v>12/9/2011</v>
      </c>
      <c r="AG239" s="8">
        <f t="shared" si="30"/>
        <v>0.92424960668246803</v>
      </c>
    </row>
    <row r="240" spans="1:33">
      <c r="H240" s="8">
        <f t="shared" si="26"/>
        <v>201209</v>
      </c>
      <c r="I240" s="13">
        <v>40970</v>
      </c>
      <c r="J240" s="12">
        <v>4277.6000000000004</v>
      </c>
      <c r="K240" t="str">
        <f t="shared" si="31"/>
        <v>2012-03-02</v>
      </c>
      <c r="L240" s="3">
        <f t="shared" si="27"/>
        <v>0.91584710240533496</v>
      </c>
      <c r="AB240" t="s">
        <v>921</v>
      </c>
      <c r="AC240">
        <v>0.92424960668246803</v>
      </c>
      <c r="AD240">
        <v>0.94688538908647302</v>
      </c>
      <c r="AE240" s="8" t="str">
        <f t="shared" si="28"/>
        <v>2011-12-12</v>
      </c>
      <c r="AF240" s="9" t="str">
        <f t="shared" si="29"/>
        <v>12/12/2011</v>
      </c>
      <c r="AG240" s="8">
        <f t="shared" si="30"/>
        <v>0.92424960668246803</v>
      </c>
    </row>
    <row r="241" spans="8:33">
      <c r="H241" s="8">
        <f t="shared" si="26"/>
        <v>201210</v>
      </c>
      <c r="I241" s="13">
        <v>40977</v>
      </c>
      <c r="J241" s="12">
        <v>4063.4</v>
      </c>
      <c r="K241" t="str">
        <f t="shared" si="31"/>
        <v>2012-03-09</v>
      </c>
      <c r="L241" s="3">
        <f t="shared" si="27"/>
        <v>0.91902765125865904</v>
      </c>
      <c r="AB241" t="s">
        <v>922</v>
      </c>
      <c r="AC241">
        <v>0.92424960668246803</v>
      </c>
      <c r="AD241">
        <v>0.94688538908647302</v>
      </c>
      <c r="AE241" s="8" t="str">
        <f t="shared" si="28"/>
        <v>2011-12-13</v>
      </c>
      <c r="AF241" s="9" t="str">
        <f t="shared" si="29"/>
        <v>12/13/2011</v>
      </c>
      <c r="AG241" s="8">
        <f t="shared" si="30"/>
        <v>0.92424960668246803</v>
      </c>
    </row>
    <row r="242" spans="8:33">
      <c r="H242" s="8">
        <f t="shared" si="26"/>
        <v>201211</v>
      </c>
      <c r="I242" s="13">
        <v>40984</v>
      </c>
      <c r="J242" s="12">
        <v>3715.2</v>
      </c>
      <c r="K242" t="str">
        <f t="shared" si="31"/>
        <v>2012-03-16</v>
      </c>
      <c r="L242" s="3">
        <f t="shared" si="27"/>
        <v>0.90514599034862198</v>
      </c>
      <c r="AB242" t="s">
        <v>923</v>
      </c>
      <c r="AC242">
        <v>0.92424960668246803</v>
      </c>
      <c r="AD242">
        <v>0.94688538908647302</v>
      </c>
      <c r="AE242" s="8" t="str">
        <f t="shared" si="28"/>
        <v>2011-12-14</v>
      </c>
      <c r="AF242" s="9" t="str">
        <f t="shared" si="29"/>
        <v>12/14/2011</v>
      </c>
      <c r="AG242" s="8">
        <f t="shared" si="30"/>
        <v>0.92424960668246803</v>
      </c>
    </row>
    <row r="243" spans="8:33">
      <c r="H243" s="8">
        <f t="shared" si="26"/>
        <v>201212</v>
      </c>
      <c r="I243" s="13">
        <v>40991</v>
      </c>
      <c r="J243" s="12">
        <v>3588.4</v>
      </c>
      <c r="K243" t="str">
        <f t="shared" si="31"/>
        <v>2012-03-23</v>
      </c>
      <c r="L243" s="3">
        <f t="shared" si="27"/>
        <v>0.78959380464288298</v>
      </c>
      <c r="AB243" t="s">
        <v>924</v>
      </c>
      <c r="AC243">
        <v>0.95314447637365096</v>
      </c>
      <c r="AD243">
        <v>0.96370014594022202</v>
      </c>
      <c r="AE243" s="8" t="str">
        <f t="shared" si="28"/>
        <v>2011-12-15</v>
      </c>
      <c r="AF243" s="9" t="str">
        <f t="shared" si="29"/>
        <v>12/15/2011</v>
      </c>
      <c r="AG243" s="8">
        <f t="shared" si="30"/>
        <v>0.95314447637365096</v>
      </c>
    </row>
    <row r="244" spans="8:33">
      <c r="H244" s="8">
        <f t="shared" si="26"/>
        <v>201213</v>
      </c>
      <c r="I244" s="13">
        <v>40998</v>
      </c>
      <c r="J244" s="12">
        <v>3699.5</v>
      </c>
      <c r="K244" t="str">
        <f t="shared" si="31"/>
        <v>2012-03-30</v>
      </c>
      <c r="L244" s="3">
        <f t="shared" si="27"/>
        <v>0.87490910290764401</v>
      </c>
      <c r="AB244" t="s">
        <v>925</v>
      </c>
      <c r="AC244">
        <v>0.95314447637365096</v>
      </c>
      <c r="AD244">
        <v>0.96370014594022202</v>
      </c>
      <c r="AE244" s="8" t="str">
        <f t="shared" si="28"/>
        <v>2011-12-16</v>
      </c>
      <c r="AF244" s="9" t="str">
        <f t="shared" si="29"/>
        <v>12/16/2011</v>
      </c>
      <c r="AG244" s="8">
        <f t="shared" si="30"/>
        <v>0.95314447637365096</v>
      </c>
    </row>
    <row r="245" spans="8:33">
      <c r="H245" s="8">
        <f t="shared" si="26"/>
        <v>201214</v>
      </c>
      <c r="I245" s="13">
        <v>41005</v>
      </c>
      <c r="J245" s="12">
        <v>3549.3</v>
      </c>
      <c r="K245" t="str">
        <f t="shared" si="31"/>
        <v>2012-04-06</v>
      </c>
      <c r="L245" s="3">
        <f t="shared" si="27"/>
        <v>0.86928745494692705</v>
      </c>
      <c r="AB245" t="s">
        <v>926</v>
      </c>
      <c r="AC245">
        <v>0.95314447637365096</v>
      </c>
      <c r="AD245">
        <v>0.96370014594022202</v>
      </c>
      <c r="AE245" s="8" t="str">
        <f t="shared" si="28"/>
        <v>2011-12-19</v>
      </c>
      <c r="AF245" s="9" t="str">
        <f t="shared" si="29"/>
        <v>12/19/2011</v>
      </c>
      <c r="AG245" s="8">
        <f t="shared" si="30"/>
        <v>0.95314447637365096</v>
      </c>
    </row>
    <row r="246" spans="8:33">
      <c r="H246" s="8">
        <f t="shared" si="26"/>
        <v>201215</v>
      </c>
      <c r="I246" s="13">
        <v>41012</v>
      </c>
      <c r="J246" s="12">
        <v>4144.3</v>
      </c>
      <c r="K246" t="str">
        <f t="shared" si="31"/>
        <v>2012-04-13</v>
      </c>
      <c r="L246" s="3">
        <f t="shared" si="27"/>
        <v>0.90849340717481797</v>
      </c>
      <c r="AB246" t="s">
        <v>927</v>
      </c>
      <c r="AC246">
        <v>0.95314447637365096</v>
      </c>
      <c r="AD246">
        <v>0.96370014594022202</v>
      </c>
      <c r="AE246" s="8" t="str">
        <f t="shared" si="28"/>
        <v>2011-12-20</v>
      </c>
      <c r="AF246" s="9" t="str">
        <f t="shared" si="29"/>
        <v>12/20/2011</v>
      </c>
      <c r="AG246" s="8">
        <f t="shared" si="30"/>
        <v>0.95314447637365096</v>
      </c>
    </row>
    <row r="247" spans="8:33">
      <c r="H247" s="8">
        <f t="shared" si="26"/>
        <v>201216</v>
      </c>
      <c r="I247" s="13">
        <v>41019</v>
      </c>
      <c r="J247" s="12">
        <v>3892.2</v>
      </c>
      <c r="K247" t="str">
        <f t="shared" si="31"/>
        <v>2012-04-20</v>
      </c>
      <c r="L247" s="3">
        <f t="shared" si="27"/>
        <v>0.90349839031693802</v>
      </c>
      <c r="AB247" t="s">
        <v>928</v>
      </c>
      <c r="AC247">
        <v>0.95314447637365096</v>
      </c>
      <c r="AD247">
        <v>0.96370014594022202</v>
      </c>
      <c r="AE247" s="8" t="str">
        <f t="shared" si="28"/>
        <v>2011-12-21</v>
      </c>
      <c r="AF247" s="9" t="str">
        <f t="shared" si="29"/>
        <v>12/21/2011</v>
      </c>
      <c r="AG247" s="8">
        <f t="shared" si="30"/>
        <v>0.95314447637365096</v>
      </c>
    </row>
    <row r="248" spans="8:33">
      <c r="H248" s="8">
        <f t="shared" si="26"/>
        <v>201217</v>
      </c>
      <c r="I248" s="13">
        <v>41026</v>
      </c>
      <c r="J248" s="12">
        <v>3856</v>
      </c>
      <c r="K248" t="str">
        <f t="shared" si="31"/>
        <v>2012-04-27</v>
      </c>
      <c r="L248" s="3">
        <f t="shared" si="27"/>
        <v>0.90849340717481797</v>
      </c>
      <c r="AB248" t="s">
        <v>929</v>
      </c>
      <c r="AC248">
        <v>0.96018409449731501</v>
      </c>
      <c r="AD248">
        <v>0.96370014594022202</v>
      </c>
      <c r="AE248" s="8" t="str">
        <f t="shared" si="28"/>
        <v>2011-12-22</v>
      </c>
      <c r="AF248" s="9" t="str">
        <f t="shared" si="29"/>
        <v>12/22/2011</v>
      </c>
      <c r="AG248" s="8">
        <f t="shared" si="30"/>
        <v>0.96018409449731501</v>
      </c>
    </row>
    <row r="249" spans="8:33">
      <c r="H249" s="8">
        <f t="shared" si="26"/>
        <v>201218</v>
      </c>
      <c r="I249" s="13">
        <v>41033</v>
      </c>
      <c r="J249" s="12">
        <v>3924.4</v>
      </c>
      <c r="K249" t="str">
        <f t="shared" si="31"/>
        <v>2012-05-04</v>
      </c>
      <c r="L249" s="3">
        <f t="shared" si="27"/>
        <v>0.89225108632442696</v>
      </c>
      <c r="AB249" t="s">
        <v>930</v>
      </c>
      <c r="AC249">
        <v>0.96018409449731501</v>
      </c>
      <c r="AD249">
        <v>0.96370014594022202</v>
      </c>
      <c r="AE249" s="8" t="str">
        <f t="shared" si="28"/>
        <v>2011-12-23</v>
      </c>
      <c r="AF249" s="9" t="str">
        <f t="shared" si="29"/>
        <v>12/23/2011</v>
      </c>
      <c r="AG249" s="8">
        <f t="shared" si="30"/>
        <v>0.96018409449731501</v>
      </c>
    </row>
    <row r="250" spans="8:33">
      <c r="H250" s="8">
        <f t="shared" si="26"/>
        <v>201219</v>
      </c>
      <c r="I250" s="13">
        <v>41040</v>
      </c>
      <c r="J250" s="12">
        <v>4482</v>
      </c>
      <c r="K250" t="str">
        <f t="shared" si="31"/>
        <v>2012-05-11</v>
      </c>
      <c r="L250" s="3">
        <f t="shared" si="27"/>
        <v>0.89337268606647202</v>
      </c>
      <c r="AB250" t="s">
        <v>931</v>
      </c>
      <c r="AC250">
        <v>0.96018409449731501</v>
      </c>
      <c r="AD250">
        <v>0.96370014594022202</v>
      </c>
      <c r="AE250" s="8" t="str">
        <f t="shared" si="28"/>
        <v>2011-12-27</v>
      </c>
      <c r="AF250" s="9" t="str">
        <f t="shared" si="29"/>
        <v>12/27/2011</v>
      </c>
      <c r="AG250" s="8">
        <f t="shared" si="30"/>
        <v>0.96018409449731501</v>
      </c>
    </row>
    <row r="251" spans="8:33">
      <c r="H251" s="8">
        <f t="shared" si="26"/>
        <v>201220</v>
      </c>
      <c r="I251" s="13">
        <v>41047</v>
      </c>
      <c r="J251" s="12">
        <v>4732</v>
      </c>
      <c r="K251" t="str">
        <f t="shared" si="31"/>
        <v>2012-05-18</v>
      </c>
      <c r="L251" s="3">
        <f t="shared" si="27"/>
        <v>0.89489979671430897</v>
      </c>
      <c r="AB251" t="s">
        <v>932</v>
      </c>
      <c r="AC251">
        <v>0.96018409449731501</v>
      </c>
      <c r="AD251">
        <v>0.96370014594022202</v>
      </c>
      <c r="AE251" s="8" t="str">
        <f t="shared" si="28"/>
        <v>2011-12-28</v>
      </c>
      <c r="AF251" s="9" t="str">
        <f t="shared" si="29"/>
        <v>12/28/2011</v>
      </c>
      <c r="AG251" s="8">
        <f t="shared" si="30"/>
        <v>0.96018409449731501</v>
      </c>
    </row>
    <row r="252" spans="8:33">
      <c r="H252" s="8">
        <f t="shared" si="26"/>
        <v>201221</v>
      </c>
      <c r="I252" s="13">
        <v>41054</v>
      </c>
      <c r="J252" s="12">
        <v>4675.8999999999996</v>
      </c>
      <c r="K252" t="str">
        <f t="shared" si="31"/>
        <v>2012-05-25</v>
      </c>
      <c r="L252" s="3">
        <f t="shared" si="27"/>
        <v>0.89443957907281701</v>
      </c>
      <c r="AB252" t="s">
        <v>933</v>
      </c>
      <c r="AC252">
        <v>0.946426701963341</v>
      </c>
      <c r="AD252">
        <v>0.96370014594022202</v>
      </c>
      <c r="AE252" s="8" t="str">
        <f t="shared" si="28"/>
        <v>2011-12-29</v>
      </c>
      <c r="AF252" s="9" t="str">
        <f t="shared" si="29"/>
        <v>12/29/2011</v>
      </c>
      <c r="AG252" s="8">
        <f t="shared" si="30"/>
        <v>0.946426701963341</v>
      </c>
    </row>
    <row r="253" spans="8:33">
      <c r="H253" s="8">
        <f t="shared" si="26"/>
        <v>201222</v>
      </c>
      <c r="I253" s="13">
        <v>41061</v>
      </c>
      <c r="J253" s="12">
        <v>4736</v>
      </c>
      <c r="K253" t="str">
        <f t="shared" si="31"/>
        <v>2012-06-01</v>
      </c>
      <c r="L253" s="3">
        <f t="shared" si="27"/>
        <v>0.895121220846959</v>
      </c>
      <c r="AB253" t="s">
        <v>934</v>
      </c>
      <c r="AC253">
        <v>0.946426701963341</v>
      </c>
      <c r="AD253">
        <v>0.96370014594022202</v>
      </c>
      <c r="AE253" s="8" t="str">
        <f t="shared" si="28"/>
        <v>2011-12-30</v>
      </c>
      <c r="AF253" s="9" t="str">
        <f t="shared" si="29"/>
        <v>12/30/2011</v>
      </c>
      <c r="AG253" s="8">
        <f t="shared" si="30"/>
        <v>0.946426701963341</v>
      </c>
    </row>
    <row r="254" spans="8:33">
      <c r="H254" s="8">
        <f t="shared" si="26"/>
        <v>201223</v>
      </c>
      <c r="I254" s="13">
        <v>41068</v>
      </c>
      <c r="J254" s="12">
        <v>5590</v>
      </c>
      <c r="K254" t="str">
        <f t="shared" si="31"/>
        <v>2012-06-08</v>
      </c>
      <c r="L254" s="3">
        <f t="shared" si="27"/>
        <v>0.89201954495855595</v>
      </c>
      <c r="AB254" t="s">
        <v>935</v>
      </c>
      <c r="AC254">
        <v>0.93504552892939297</v>
      </c>
      <c r="AD254">
        <v>0.94521629687954201</v>
      </c>
      <c r="AE254" s="8" t="str">
        <f t="shared" si="28"/>
        <v>2012-01-03</v>
      </c>
      <c r="AF254" s="9" t="str">
        <f t="shared" si="29"/>
        <v>1/3/2012</v>
      </c>
      <c r="AG254" s="8">
        <f t="shared" si="30"/>
        <v>0.93504552892939297</v>
      </c>
    </row>
    <row r="255" spans="8:33">
      <c r="H255" s="8">
        <f t="shared" si="26"/>
        <v>201224</v>
      </c>
      <c r="I255" s="13">
        <v>41075</v>
      </c>
      <c r="J255" s="12">
        <v>4719.6000000000004</v>
      </c>
      <c r="K255" t="str">
        <f t="shared" si="31"/>
        <v>2012-06-15</v>
      </c>
      <c r="L255" s="3">
        <f t="shared" si="27"/>
        <v>0.886674497978159</v>
      </c>
      <c r="AB255" t="s">
        <v>936</v>
      </c>
      <c r="AC255">
        <v>0.93504552892939297</v>
      </c>
      <c r="AD255">
        <v>0.94521629687954201</v>
      </c>
      <c r="AE255" s="8" t="str">
        <f t="shared" si="28"/>
        <v>2012-01-04</v>
      </c>
      <c r="AF255" s="9" t="str">
        <f t="shared" si="29"/>
        <v>1/4/2012</v>
      </c>
      <c r="AG255" s="8">
        <f t="shared" si="30"/>
        <v>0.93504552892939297</v>
      </c>
    </row>
    <row r="256" spans="8:33">
      <c r="H256" s="8">
        <f t="shared" si="26"/>
        <v>201225</v>
      </c>
      <c r="I256" s="13">
        <v>41082</v>
      </c>
      <c r="J256" s="12">
        <v>4585.8</v>
      </c>
      <c r="K256" t="str">
        <f t="shared" si="31"/>
        <v>2012-06-22</v>
      </c>
      <c r="L256" s="3">
        <f t="shared" si="27"/>
        <v>0.89407594990163797</v>
      </c>
      <c r="AB256" t="s">
        <v>937</v>
      </c>
      <c r="AC256">
        <v>0.951307534663687</v>
      </c>
      <c r="AD256">
        <v>0.94521629687954201</v>
      </c>
      <c r="AE256" s="8" t="str">
        <f t="shared" si="28"/>
        <v>2012-01-05</v>
      </c>
      <c r="AF256" s="9" t="str">
        <f t="shared" si="29"/>
        <v>1/5/2012</v>
      </c>
      <c r="AG256" s="8">
        <f t="shared" si="30"/>
        <v>0.951307534663687</v>
      </c>
    </row>
    <row r="257" spans="8:33">
      <c r="H257" s="8">
        <f t="shared" si="26"/>
        <v>201226</v>
      </c>
      <c r="I257" s="13">
        <v>41089</v>
      </c>
      <c r="J257" s="12">
        <v>4372.2</v>
      </c>
      <c r="K257" t="str">
        <f t="shared" si="31"/>
        <v>2012-06-29</v>
      </c>
      <c r="L257" s="3">
        <f t="shared" si="27"/>
        <v>0.89407594990163797</v>
      </c>
      <c r="AB257" t="s">
        <v>938</v>
      </c>
      <c r="AC257">
        <v>0.951307534663687</v>
      </c>
      <c r="AD257">
        <v>0.94521629687954201</v>
      </c>
      <c r="AE257" s="8" t="str">
        <f t="shared" si="28"/>
        <v>2012-01-06</v>
      </c>
      <c r="AF257" s="9" t="str">
        <f t="shared" si="29"/>
        <v>1/6/2012</v>
      </c>
      <c r="AG257" s="8">
        <f t="shared" si="30"/>
        <v>0.951307534663687</v>
      </c>
    </row>
    <row r="258" spans="8:33">
      <c r="H258" s="8">
        <f t="shared" ref="H258:H321" si="34">WEEKNUM(I258)+100*YEAR(I258)</f>
        <v>201227</v>
      </c>
      <c r="I258" s="13">
        <v>41096</v>
      </c>
      <c r="J258" s="12">
        <v>4267.8999999999996</v>
      </c>
      <c r="K258" t="str">
        <f t="shared" si="31"/>
        <v>2012-07-06</v>
      </c>
      <c r="L258" s="3">
        <f t="shared" ref="L258:L321" si="35">VLOOKUP(H258,$A$4:$C$218,3, FALSE)</f>
        <v>0.88191141048608501</v>
      </c>
      <c r="AB258" t="s">
        <v>939</v>
      </c>
      <c r="AC258">
        <v>0.951307534663687</v>
      </c>
      <c r="AD258">
        <v>0.94521629687954201</v>
      </c>
      <c r="AE258" s="8" t="str">
        <f t="shared" ref="AE258:AE321" si="36">MID(AB258,2,10)</f>
        <v>2012-01-09</v>
      </c>
      <c r="AF258" s="9" t="str">
        <f t="shared" ref="AF258:AF321" si="37">TEXT(AE258,"m/d/yyyy")</f>
        <v>1/9/2012</v>
      </c>
      <c r="AG258" s="8">
        <f t="shared" ref="AG258:AG321" si="38">AC258</f>
        <v>0.951307534663687</v>
      </c>
    </row>
    <row r="259" spans="8:33">
      <c r="H259" s="8">
        <f t="shared" si="34"/>
        <v>201228</v>
      </c>
      <c r="I259" s="13">
        <v>41103</v>
      </c>
      <c r="J259" s="12">
        <v>5246.8</v>
      </c>
      <c r="K259" t="str">
        <f t="shared" ref="K259:K322" si="39">TEXT(I259,"yyyy-mm-dd")</f>
        <v>2012-07-13</v>
      </c>
      <c r="L259" s="3">
        <f t="shared" si="35"/>
        <v>0.94551237246929398</v>
      </c>
      <c r="AB259" t="s">
        <v>940</v>
      </c>
      <c r="AC259">
        <v>0.951307534663687</v>
      </c>
      <c r="AD259">
        <v>0.94521629687954201</v>
      </c>
      <c r="AE259" s="8" t="str">
        <f t="shared" si="36"/>
        <v>2012-01-10</v>
      </c>
      <c r="AF259" s="9" t="str">
        <f t="shared" si="37"/>
        <v>1/10/2012</v>
      </c>
      <c r="AG259" s="8">
        <f t="shared" si="38"/>
        <v>0.951307534663687</v>
      </c>
    </row>
    <row r="260" spans="8:33">
      <c r="H260" s="8">
        <f t="shared" si="34"/>
        <v>201229</v>
      </c>
      <c r="I260" s="13">
        <v>41110</v>
      </c>
      <c r="J260" s="12">
        <v>5383.1</v>
      </c>
      <c r="K260" t="str">
        <f t="shared" si="39"/>
        <v>2012-07-20</v>
      </c>
      <c r="L260" s="3">
        <f t="shared" si="35"/>
        <v>0.97186924857157997</v>
      </c>
      <c r="AB260" t="s">
        <v>941</v>
      </c>
      <c r="AC260">
        <v>0.951307534663687</v>
      </c>
      <c r="AD260">
        <v>0.94521629687954201</v>
      </c>
      <c r="AE260" s="8" t="str">
        <f t="shared" si="36"/>
        <v>2012-01-11</v>
      </c>
      <c r="AF260" s="9" t="str">
        <f t="shared" si="37"/>
        <v>1/11/2012</v>
      </c>
      <c r="AG260" s="8">
        <f t="shared" si="38"/>
        <v>0.951307534663687</v>
      </c>
    </row>
    <row r="261" spans="8:33">
      <c r="H261" s="8">
        <f t="shared" si="34"/>
        <v>201230</v>
      </c>
      <c r="I261" s="13">
        <v>41117</v>
      </c>
      <c r="J261" s="12">
        <v>5492.1</v>
      </c>
      <c r="K261" t="str">
        <f t="shared" si="39"/>
        <v>2012-07-27</v>
      </c>
      <c r="L261" s="3">
        <f t="shared" si="35"/>
        <v>0.98451993370244095</v>
      </c>
      <c r="AB261" t="s">
        <v>942</v>
      </c>
      <c r="AC261">
        <v>0.95320351892281396</v>
      </c>
      <c r="AD261">
        <v>0.94521629687954201</v>
      </c>
      <c r="AE261" s="8" t="str">
        <f t="shared" si="36"/>
        <v>2012-01-12</v>
      </c>
      <c r="AF261" s="9" t="str">
        <f t="shared" si="37"/>
        <v>1/12/2012</v>
      </c>
      <c r="AG261" s="8">
        <f t="shared" si="38"/>
        <v>0.95320351892281396</v>
      </c>
    </row>
    <row r="262" spans="8:33">
      <c r="H262" s="8">
        <f t="shared" si="34"/>
        <v>201231</v>
      </c>
      <c r="I262" s="13">
        <v>41124</v>
      </c>
      <c r="J262" s="12">
        <v>5444.3</v>
      </c>
      <c r="K262" t="str">
        <f t="shared" si="39"/>
        <v>2012-08-03</v>
      </c>
      <c r="L262" s="3">
        <f t="shared" si="35"/>
        <v>0.93852225394978095</v>
      </c>
      <c r="AB262" t="s">
        <v>943</v>
      </c>
      <c r="AC262">
        <v>0.95320351892281396</v>
      </c>
      <c r="AD262">
        <v>0.94521629687954201</v>
      </c>
      <c r="AE262" s="8" t="str">
        <f t="shared" si="36"/>
        <v>2012-01-13</v>
      </c>
      <c r="AF262" s="9" t="str">
        <f t="shared" si="37"/>
        <v>1/13/2012</v>
      </c>
      <c r="AG262" s="8">
        <f t="shared" si="38"/>
        <v>0.95320351892281396</v>
      </c>
    </row>
    <row r="263" spans="8:33">
      <c r="H263" s="8">
        <f t="shared" si="34"/>
        <v>201232</v>
      </c>
      <c r="I263" s="13">
        <v>41131</v>
      </c>
      <c r="J263" s="12">
        <v>5172.2</v>
      </c>
      <c r="K263" t="str">
        <f t="shared" si="39"/>
        <v>2012-08-10</v>
      </c>
      <c r="L263" s="3">
        <f t="shared" si="35"/>
        <v>0.92408794393225502</v>
      </c>
      <c r="AB263" t="s">
        <v>944</v>
      </c>
      <c r="AC263">
        <v>0.95320351892281396</v>
      </c>
      <c r="AD263">
        <v>0.94521629687954201</v>
      </c>
      <c r="AE263" s="8" t="str">
        <f t="shared" si="36"/>
        <v>2012-01-17</v>
      </c>
      <c r="AF263" s="9" t="str">
        <f t="shared" si="37"/>
        <v>1/17/2012</v>
      </c>
      <c r="AG263" s="8">
        <f t="shared" si="38"/>
        <v>0.95320351892281396</v>
      </c>
    </row>
    <row r="264" spans="8:33">
      <c r="H264" s="8">
        <f t="shared" si="34"/>
        <v>201233</v>
      </c>
      <c r="I264" s="13">
        <v>41138</v>
      </c>
      <c r="J264" s="12">
        <v>4671.1000000000004</v>
      </c>
      <c r="K264" t="str">
        <f t="shared" si="39"/>
        <v>2012-08-17</v>
      </c>
      <c r="L264" s="3">
        <f t="shared" si="35"/>
        <v>0.88445471641937101</v>
      </c>
      <c r="AB264" t="s">
        <v>945</v>
      </c>
      <c r="AC264">
        <v>0.95320351892281396</v>
      </c>
      <c r="AD264">
        <v>0.94521629687954201</v>
      </c>
      <c r="AE264" s="8" t="str">
        <f t="shared" si="36"/>
        <v>2012-01-18</v>
      </c>
      <c r="AF264" s="9" t="str">
        <f t="shared" si="37"/>
        <v>1/18/2012</v>
      </c>
      <c r="AG264" s="8">
        <f t="shared" si="38"/>
        <v>0.95320351892281396</v>
      </c>
    </row>
    <row r="265" spans="8:33">
      <c r="H265" s="8">
        <f t="shared" si="34"/>
        <v>201234</v>
      </c>
      <c r="I265" s="13">
        <v>41145</v>
      </c>
      <c r="J265" s="12">
        <v>4423</v>
      </c>
      <c r="K265" t="str">
        <f t="shared" si="39"/>
        <v>2012-08-24</v>
      </c>
      <c r="L265" s="3">
        <f t="shared" si="35"/>
        <v>0.85694996797233802</v>
      </c>
      <c r="AB265" t="s">
        <v>946</v>
      </c>
      <c r="AC265">
        <v>0.95352518495215399</v>
      </c>
      <c r="AD265">
        <v>0.94521629687954201</v>
      </c>
      <c r="AE265" s="8" t="str">
        <f t="shared" si="36"/>
        <v>2012-01-19</v>
      </c>
      <c r="AF265" s="9" t="str">
        <f t="shared" si="37"/>
        <v>1/19/2012</v>
      </c>
      <c r="AG265" s="8">
        <f t="shared" si="38"/>
        <v>0.95352518495215399</v>
      </c>
    </row>
    <row r="266" spans="8:33">
      <c r="H266" s="8">
        <f t="shared" si="34"/>
        <v>201235</v>
      </c>
      <c r="I266" s="13">
        <v>41152</v>
      </c>
      <c r="J266" s="12">
        <v>4273.1000000000004</v>
      </c>
      <c r="K266" t="str">
        <f t="shared" si="39"/>
        <v>2012-08-31</v>
      </c>
      <c r="L266" s="3">
        <f t="shared" si="35"/>
        <v>0.92408794393225502</v>
      </c>
      <c r="AB266" t="s">
        <v>947</v>
      </c>
      <c r="AC266">
        <v>0.95352518495215399</v>
      </c>
      <c r="AD266">
        <v>0.94521629687954201</v>
      </c>
      <c r="AE266" s="8" t="str">
        <f t="shared" si="36"/>
        <v>2012-01-20</v>
      </c>
      <c r="AF266" s="9" t="str">
        <f t="shared" si="37"/>
        <v>1/20/2012</v>
      </c>
      <c r="AG266" s="8">
        <f t="shared" si="38"/>
        <v>0.95352518495215399</v>
      </c>
    </row>
    <row r="267" spans="8:33">
      <c r="H267" s="8">
        <f t="shared" si="34"/>
        <v>201236</v>
      </c>
      <c r="I267" s="13">
        <v>41159</v>
      </c>
      <c r="J267" s="12">
        <v>4779.1000000000004</v>
      </c>
      <c r="K267" t="str">
        <f t="shared" si="39"/>
        <v>2012-09-07</v>
      </c>
      <c r="L267" s="3">
        <f t="shared" si="35"/>
        <v>0.91761037893987496</v>
      </c>
      <c r="AB267" t="s">
        <v>948</v>
      </c>
      <c r="AC267">
        <v>0.95352518495215399</v>
      </c>
      <c r="AD267">
        <v>0.94521629687954201</v>
      </c>
      <c r="AE267" s="8" t="str">
        <f t="shared" si="36"/>
        <v>2012-01-23</v>
      </c>
      <c r="AF267" s="9" t="str">
        <f t="shared" si="37"/>
        <v>1/23/2012</v>
      </c>
      <c r="AG267" s="8">
        <f t="shared" si="38"/>
        <v>0.95352518495215399</v>
      </c>
    </row>
    <row r="268" spans="8:33">
      <c r="H268" s="8">
        <f t="shared" si="34"/>
        <v>201237</v>
      </c>
      <c r="I268" s="13">
        <v>41166</v>
      </c>
      <c r="J268" s="12">
        <v>4823.3</v>
      </c>
      <c r="K268" t="str">
        <f t="shared" si="39"/>
        <v>2012-09-14</v>
      </c>
      <c r="L268" s="3">
        <f t="shared" si="35"/>
        <v>0.940476462565773</v>
      </c>
      <c r="AB268" t="s">
        <v>949</v>
      </c>
      <c r="AC268">
        <v>0.95352518495215399</v>
      </c>
      <c r="AD268">
        <v>0.94521629687954201</v>
      </c>
      <c r="AE268" s="8" t="str">
        <f t="shared" si="36"/>
        <v>2012-01-24</v>
      </c>
      <c r="AF268" s="9" t="str">
        <f t="shared" si="37"/>
        <v>1/24/2012</v>
      </c>
      <c r="AG268" s="8">
        <f t="shared" si="38"/>
        <v>0.95352518495215399</v>
      </c>
    </row>
    <row r="269" spans="8:33">
      <c r="H269" s="8">
        <f t="shared" si="34"/>
        <v>201238</v>
      </c>
      <c r="I269" s="13">
        <v>41173</v>
      </c>
      <c r="J269" s="12">
        <v>4979</v>
      </c>
      <c r="K269" t="str">
        <f t="shared" si="39"/>
        <v>2012-09-21</v>
      </c>
      <c r="L269" s="3">
        <f t="shared" si="35"/>
        <v>0.95891425076544701</v>
      </c>
      <c r="AB269" t="s">
        <v>950</v>
      </c>
      <c r="AC269">
        <v>0.95352518495215399</v>
      </c>
      <c r="AD269">
        <v>0.94521629687954201</v>
      </c>
      <c r="AE269" s="8" t="str">
        <f t="shared" si="36"/>
        <v>2012-01-25</v>
      </c>
      <c r="AF269" s="9" t="str">
        <f t="shared" si="37"/>
        <v>1/25/2012</v>
      </c>
      <c r="AG269" s="8">
        <f t="shared" si="38"/>
        <v>0.95352518495215399</v>
      </c>
    </row>
    <row r="270" spans="8:33">
      <c r="H270" s="8">
        <f t="shared" si="34"/>
        <v>201239</v>
      </c>
      <c r="I270" s="13">
        <v>41180</v>
      </c>
      <c r="J270" s="12">
        <v>5965.5</v>
      </c>
      <c r="K270" t="str">
        <f t="shared" si="39"/>
        <v>2012-09-28</v>
      </c>
      <c r="L270" s="3">
        <f t="shared" si="35"/>
        <v>0.96459917415866603</v>
      </c>
      <c r="AB270" t="s">
        <v>951</v>
      </c>
      <c r="AC270">
        <v>0.91861521434498905</v>
      </c>
      <c r="AD270">
        <v>0.92836813009332497</v>
      </c>
      <c r="AE270" s="8" t="str">
        <f t="shared" si="36"/>
        <v>2012-01-26</v>
      </c>
      <c r="AF270" s="9" t="str">
        <f t="shared" si="37"/>
        <v>1/26/2012</v>
      </c>
      <c r="AG270" s="8">
        <f t="shared" si="38"/>
        <v>0.91861521434498905</v>
      </c>
    </row>
    <row r="271" spans="8:33">
      <c r="H271" s="8">
        <f t="shared" si="34"/>
        <v>201240</v>
      </c>
      <c r="I271" s="13">
        <v>41187</v>
      </c>
      <c r="J271" s="12">
        <v>5892.5</v>
      </c>
      <c r="K271" t="str">
        <f t="shared" si="39"/>
        <v>2012-10-05</v>
      </c>
      <c r="L271" s="3">
        <f t="shared" si="35"/>
        <v>0.95362908529618595</v>
      </c>
      <c r="AB271" t="s">
        <v>952</v>
      </c>
      <c r="AC271">
        <v>0.91861521434498905</v>
      </c>
      <c r="AD271">
        <v>0.92836813009332497</v>
      </c>
      <c r="AE271" s="8" t="str">
        <f t="shared" si="36"/>
        <v>2012-01-27</v>
      </c>
      <c r="AF271" s="9" t="str">
        <f t="shared" si="37"/>
        <v>1/27/2012</v>
      </c>
      <c r="AG271" s="8">
        <f t="shared" si="38"/>
        <v>0.91861521434498905</v>
      </c>
    </row>
    <row r="272" spans="8:33">
      <c r="H272" s="8">
        <f t="shared" si="34"/>
        <v>201241</v>
      </c>
      <c r="I272" s="13">
        <v>41194</v>
      </c>
      <c r="J272" s="12">
        <v>5572.2</v>
      </c>
      <c r="K272" t="str">
        <f t="shared" si="39"/>
        <v>2012-10-12</v>
      </c>
      <c r="L272" s="3">
        <f t="shared" si="35"/>
        <v>0.95159604304738399</v>
      </c>
      <c r="AB272" t="s">
        <v>953</v>
      </c>
      <c r="AC272">
        <v>0.91861521434498905</v>
      </c>
      <c r="AD272">
        <v>0.92836813009332497</v>
      </c>
      <c r="AE272" s="8" t="str">
        <f t="shared" si="36"/>
        <v>2012-01-30</v>
      </c>
      <c r="AF272" s="9" t="str">
        <f t="shared" si="37"/>
        <v>1/30/2012</v>
      </c>
      <c r="AG272" s="8">
        <f t="shared" si="38"/>
        <v>0.91861521434498905</v>
      </c>
    </row>
    <row r="273" spans="8:33">
      <c r="H273" s="8">
        <f t="shared" si="34"/>
        <v>201242</v>
      </c>
      <c r="I273" s="13">
        <v>41201</v>
      </c>
      <c r="J273" s="12">
        <v>4847.2</v>
      </c>
      <c r="K273" t="str">
        <f t="shared" si="39"/>
        <v>2012-10-19</v>
      </c>
      <c r="L273" s="3">
        <f t="shared" si="35"/>
        <v>0.95277295236812298</v>
      </c>
      <c r="AB273" t="s">
        <v>954</v>
      </c>
      <c r="AC273">
        <v>0.91861521434498905</v>
      </c>
      <c r="AD273">
        <v>0.92836813009332497</v>
      </c>
      <c r="AE273" s="8" t="str">
        <f t="shared" si="36"/>
        <v>2012-01-31</v>
      </c>
      <c r="AF273" s="9" t="str">
        <f t="shared" si="37"/>
        <v>1/31/2012</v>
      </c>
      <c r="AG273" s="8">
        <f t="shared" si="38"/>
        <v>0.91861521434498905</v>
      </c>
    </row>
    <row r="274" spans="8:33">
      <c r="H274" s="8">
        <f t="shared" si="34"/>
        <v>201243</v>
      </c>
      <c r="I274" s="13">
        <v>41208</v>
      </c>
      <c r="J274" s="12">
        <v>4550.7</v>
      </c>
      <c r="K274" t="str">
        <f t="shared" si="39"/>
        <v>2012-10-26</v>
      </c>
      <c r="L274" s="3">
        <f t="shared" si="35"/>
        <v>0.95079229345734495</v>
      </c>
      <c r="AB274" t="s">
        <v>955</v>
      </c>
      <c r="AC274">
        <v>0.90547247005091003</v>
      </c>
      <c r="AD274">
        <v>0.90939509439675204</v>
      </c>
      <c r="AE274" s="8" t="str">
        <f t="shared" si="36"/>
        <v>2012-02-01</v>
      </c>
      <c r="AF274" s="9" t="str">
        <f t="shared" si="37"/>
        <v>2/1/2012</v>
      </c>
      <c r="AG274" s="8">
        <f t="shared" si="38"/>
        <v>0.90547247005091003</v>
      </c>
    </row>
    <row r="275" spans="8:33">
      <c r="H275" s="8">
        <f t="shared" si="34"/>
        <v>201244</v>
      </c>
      <c r="I275" s="13">
        <v>41215</v>
      </c>
      <c r="J275" s="12">
        <v>4297.7</v>
      </c>
      <c r="K275" t="str">
        <f t="shared" si="39"/>
        <v>2012-11-02</v>
      </c>
      <c r="L275" s="3">
        <f t="shared" si="35"/>
        <v>0.92571311512973697</v>
      </c>
      <c r="AB275" t="s">
        <v>956</v>
      </c>
      <c r="AC275">
        <v>0.942309298561672</v>
      </c>
      <c r="AD275">
        <v>0.92614028462655495</v>
      </c>
      <c r="AE275" s="8" t="str">
        <f t="shared" si="36"/>
        <v>2012-02-02</v>
      </c>
      <c r="AF275" s="9" t="str">
        <f t="shared" si="37"/>
        <v>2/2/2012</v>
      </c>
      <c r="AG275" s="8">
        <f t="shared" si="38"/>
        <v>0.942309298561672</v>
      </c>
    </row>
    <row r="276" spans="8:33">
      <c r="H276" s="8">
        <f t="shared" si="34"/>
        <v>201245</v>
      </c>
      <c r="I276" s="13">
        <v>41222</v>
      </c>
      <c r="J276" s="12">
        <v>4856.1000000000004</v>
      </c>
      <c r="K276" t="str">
        <f t="shared" si="39"/>
        <v>2012-11-09</v>
      </c>
      <c r="L276" s="3">
        <f t="shared" si="35"/>
        <v>0.92529425270600996</v>
      </c>
      <c r="AB276" t="s">
        <v>957</v>
      </c>
      <c r="AC276">
        <v>0.942309298561672</v>
      </c>
      <c r="AD276">
        <v>0.92614028462655495</v>
      </c>
      <c r="AE276" s="8" t="str">
        <f t="shared" si="36"/>
        <v>2012-02-03</v>
      </c>
      <c r="AF276" s="9" t="str">
        <f t="shared" si="37"/>
        <v>2/3/2012</v>
      </c>
      <c r="AG276" s="8">
        <f t="shared" si="38"/>
        <v>0.942309298561672</v>
      </c>
    </row>
    <row r="277" spans="8:33">
      <c r="H277" s="8">
        <f t="shared" si="34"/>
        <v>201246</v>
      </c>
      <c r="I277" s="13">
        <v>41229</v>
      </c>
      <c r="J277" s="12">
        <v>4702.3999999999996</v>
      </c>
      <c r="K277" t="str">
        <f t="shared" si="39"/>
        <v>2012-11-16</v>
      </c>
      <c r="L277" s="3">
        <f t="shared" si="35"/>
        <v>0.92772026190850898</v>
      </c>
      <c r="AB277" t="s">
        <v>958</v>
      </c>
      <c r="AC277">
        <v>0.942309298561672</v>
      </c>
      <c r="AD277">
        <v>0.92614028462655495</v>
      </c>
      <c r="AE277" s="8" t="str">
        <f t="shared" si="36"/>
        <v>2012-02-06</v>
      </c>
      <c r="AF277" s="9" t="str">
        <f t="shared" si="37"/>
        <v>2/6/2012</v>
      </c>
      <c r="AG277" s="8">
        <f t="shared" si="38"/>
        <v>0.942309298561672</v>
      </c>
    </row>
    <row r="278" spans="8:33">
      <c r="H278" s="8">
        <f t="shared" si="34"/>
        <v>201247</v>
      </c>
      <c r="I278" s="13">
        <v>41236</v>
      </c>
      <c r="J278" s="12">
        <v>4666.8</v>
      </c>
      <c r="K278" t="str">
        <f t="shared" si="39"/>
        <v>2012-11-23</v>
      </c>
      <c r="L278" s="3">
        <f t="shared" si="35"/>
        <v>0.92993011952820803</v>
      </c>
      <c r="AB278" t="s">
        <v>959</v>
      </c>
      <c r="AC278">
        <v>0.942309298561672</v>
      </c>
      <c r="AD278">
        <v>0.92614028462655495</v>
      </c>
      <c r="AE278" s="8" t="str">
        <f t="shared" si="36"/>
        <v>2012-02-07</v>
      </c>
      <c r="AF278" s="9" t="str">
        <f t="shared" si="37"/>
        <v>2/7/2012</v>
      </c>
      <c r="AG278" s="8">
        <f t="shared" si="38"/>
        <v>0.942309298561672</v>
      </c>
    </row>
    <row r="279" spans="8:33">
      <c r="H279" s="8">
        <f t="shared" si="34"/>
        <v>201248</v>
      </c>
      <c r="I279" s="13">
        <v>41243</v>
      </c>
      <c r="J279" s="12">
        <v>4943</v>
      </c>
      <c r="K279" t="str">
        <f t="shared" si="39"/>
        <v>2012-11-30</v>
      </c>
      <c r="L279" s="10">
        <f t="shared" si="35"/>
        <v>0.92756020040727505</v>
      </c>
      <c r="AB279" t="s">
        <v>960</v>
      </c>
      <c r="AC279">
        <v>0.942309298561672</v>
      </c>
      <c r="AD279">
        <v>0.92614028462655495</v>
      </c>
      <c r="AE279" s="8" t="str">
        <f t="shared" si="36"/>
        <v>2012-02-08</v>
      </c>
      <c r="AF279" s="9" t="str">
        <f t="shared" si="37"/>
        <v>2/8/2012</v>
      </c>
      <c r="AG279" s="8">
        <f t="shared" si="38"/>
        <v>0.942309298561672</v>
      </c>
    </row>
    <row r="280" spans="8:33">
      <c r="H280" s="8">
        <f t="shared" si="34"/>
        <v>201249</v>
      </c>
      <c r="I280" s="13">
        <v>41250</v>
      </c>
      <c r="J280" s="12">
        <v>5368.1</v>
      </c>
      <c r="K280" t="str">
        <f t="shared" si="39"/>
        <v>2012-12-07</v>
      </c>
      <c r="L280" s="10">
        <f t="shared" si="35"/>
        <v>0.91054790878492298</v>
      </c>
      <c r="AB280" t="s">
        <v>961</v>
      </c>
      <c r="AC280">
        <v>0.942309298561672</v>
      </c>
      <c r="AD280">
        <v>0.92614028462655495</v>
      </c>
      <c r="AE280" s="8" t="str">
        <f t="shared" si="36"/>
        <v>2012-02-09</v>
      </c>
      <c r="AF280" s="9" t="str">
        <f t="shared" si="37"/>
        <v>2/9/2012</v>
      </c>
      <c r="AG280" s="8">
        <f t="shared" si="38"/>
        <v>0.942309298561672</v>
      </c>
    </row>
    <row r="281" spans="8:33">
      <c r="H281" s="8">
        <f t="shared" si="34"/>
        <v>201250</v>
      </c>
      <c r="I281" s="13">
        <v>41257</v>
      </c>
      <c r="J281" s="12">
        <v>4564.3999999999996</v>
      </c>
      <c r="K281" t="str">
        <f t="shared" si="39"/>
        <v>2012-12-14</v>
      </c>
      <c r="L281" s="10">
        <f t="shared" si="35"/>
        <v>0.91261368517922603</v>
      </c>
      <c r="AB281" t="s">
        <v>962</v>
      </c>
      <c r="AC281">
        <v>0.942309298561672</v>
      </c>
      <c r="AD281">
        <v>0.92614028462655495</v>
      </c>
      <c r="AE281" s="8" t="str">
        <f t="shared" si="36"/>
        <v>2012-02-10</v>
      </c>
      <c r="AF281" s="9" t="str">
        <f t="shared" si="37"/>
        <v>2/10/2012</v>
      </c>
      <c r="AG281" s="8">
        <f t="shared" si="38"/>
        <v>0.942309298561672</v>
      </c>
    </row>
    <row r="282" spans="8:33">
      <c r="H282" s="8">
        <f t="shared" si="34"/>
        <v>201251</v>
      </c>
      <c r="I282" s="13">
        <v>41264</v>
      </c>
      <c r="J282" s="12">
        <v>3983.2</v>
      </c>
      <c r="K282" t="str">
        <f t="shared" si="39"/>
        <v>2012-12-21</v>
      </c>
      <c r="L282" s="10">
        <f t="shared" si="35"/>
        <v>0.909651579188403</v>
      </c>
      <c r="AB282" t="s">
        <v>963</v>
      </c>
      <c r="AC282">
        <v>0.942309298561672</v>
      </c>
      <c r="AD282">
        <v>0.92614028462655495</v>
      </c>
      <c r="AE282" s="8" t="str">
        <f t="shared" si="36"/>
        <v>2012-02-13</v>
      </c>
      <c r="AF282" s="9" t="str">
        <f t="shared" si="37"/>
        <v>2/13/2012</v>
      </c>
      <c r="AG282" s="8">
        <f t="shared" si="38"/>
        <v>0.942309298561672</v>
      </c>
    </row>
    <row r="283" spans="8:33">
      <c r="H283" s="8">
        <f t="shared" si="34"/>
        <v>201252</v>
      </c>
      <c r="I283" s="13">
        <v>41271</v>
      </c>
      <c r="J283" s="12">
        <v>3488.9</v>
      </c>
      <c r="K283" t="str">
        <f t="shared" si="39"/>
        <v>2012-12-28</v>
      </c>
      <c r="L283" s="10">
        <f t="shared" si="35"/>
        <v>0.91018597538933199</v>
      </c>
      <c r="AB283" t="s">
        <v>964</v>
      </c>
      <c r="AC283">
        <v>0.942309298561672</v>
      </c>
      <c r="AD283">
        <v>0.92614028462655495</v>
      </c>
      <c r="AE283" s="8" t="str">
        <f t="shared" si="36"/>
        <v>2012-02-14</v>
      </c>
      <c r="AF283" s="9" t="str">
        <f t="shared" si="37"/>
        <v>2/14/2012</v>
      </c>
      <c r="AG283" s="8">
        <f t="shared" si="38"/>
        <v>0.942309298561672</v>
      </c>
    </row>
    <row r="284" spans="8:33">
      <c r="H284" s="8">
        <f t="shared" si="34"/>
        <v>201301</v>
      </c>
      <c r="I284" s="13">
        <v>41278</v>
      </c>
      <c r="J284" s="12">
        <v>3896.4</v>
      </c>
      <c r="K284" t="str">
        <f t="shared" si="39"/>
        <v>2013-01-04</v>
      </c>
      <c r="L284" s="10">
        <f t="shared" si="35"/>
        <v>0.88829814088555903</v>
      </c>
      <c r="AB284" t="s">
        <v>965</v>
      </c>
      <c r="AC284">
        <v>0.942309298561672</v>
      </c>
      <c r="AD284">
        <v>0.92614028462655495</v>
      </c>
      <c r="AE284" s="8" t="str">
        <f t="shared" si="36"/>
        <v>2012-02-15</v>
      </c>
      <c r="AF284" s="9" t="str">
        <f t="shared" si="37"/>
        <v>2/15/2012</v>
      </c>
      <c r="AG284" s="8">
        <f t="shared" si="38"/>
        <v>0.942309298561672</v>
      </c>
    </row>
    <row r="285" spans="8:33">
      <c r="H285" s="8">
        <f t="shared" si="34"/>
        <v>201302</v>
      </c>
      <c r="I285" s="13">
        <v>41285</v>
      </c>
      <c r="J285" s="12">
        <v>4554.3999999999996</v>
      </c>
      <c r="K285" t="str">
        <f t="shared" si="39"/>
        <v>2013-01-11</v>
      </c>
      <c r="L285" s="10">
        <f t="shared" si="35"/>
        <v>0.88507237465235999</v>
      </c>
      <c r="AB285" t="s">
        <v>966</v>
      </c>
      <c r="AC285">
        <v>0.942309298561672</v>
      </c>
      <c r="AD285">
        <v>0.92614028462655495</v>
      </c>
      <c r="AE285" s="8" t="str">
        <f t="shared" si="36"/>
        <v>2012-02-16</v>
      </c>
      <c r="AF285" s="9" t="str">
        <f t="shared" si="37"/>
        <v>2/16/2012</v>
      </c>
      <c r="AG285" s="8">
        <f t="shared" si="38"/>
        <v>0.942309298561672</v>
      </c>
    </row>
    <row r="286" spans="8:33">
      <c r="H286" s="8">
        <f t="shared" si="34"/>
        <v>201303</v>
      </c>
      <c r="I286" s="13">
        <v>41292</v>
      </c>
      <c r="J286" s="12">
        <v>4937.3999999999996</v>
      </c>
      <c r="K286" t="str">
        <f t="shared" si="39"/>
        <v>2013-01-18</v>
      </c>
      <c r="L286" s="10">
        <f t="shared" si="35"/>
        <v>0.88631407683414698</v>
      </c>
      <c r="AB286" t="s">
        <v>967</v>
      </c>
      <c r="AC286">
        <v>0.942309298561672</v>
      </c>
      <c r="AD286">
        <v>0.92614028462655495</v>
      </c>
      <c r="AE286" s="8" t="str">
        <f t="shared" si="36"/>
        <v>2012-02-17</v>
      </c>
      <c r="AF286" s="9" t="str">
        <f t="shared" si="37"/>
        <v>2/17/2012</v>
      </c>
      <c r="AG286" s="8">
        <f t="shared" si="38"/>
        <v>0.942309298561672</v>
      </c>
    </row>
    <row r="287" spans="8:33">
      <c r="H287" s="8">
        <f t="shared" si="34"/>
        <v>201304</v>
      </c>
      <c r="I287" s="13">
        <v>41299</v>
      </c>
      <c r="J287" s="12">
        <v>4433.6000000000004</v>
      </c>
      <c r="K287" t="str">
        <f t="shared" si="39"/>
        <v>2013-01-25</v>
      </c>
      <c r="L287" s="10">
        <f t="shared" si="35"/>
        <v>0.88379536104531298</v>
      </c>
      <c r="AB287" t="s">
        <v>968</v>
      </c>
      <c r="AC287">
        <v>0.942309298561672</v>
      </c>
      <c r="AD287">
        <v>0.92614028462655495</v>
      </c>
      <c r="AE287" s="8" t="str">
        <f t="shared" si="36"/>
        <v>2012-02-21</v>
      </c>
      <c r="AF287" s="9" t="str">
        <f t="shared" si="37"/>
        <v>2/21/2012</v>
      </c>
      <c r="AG287" s="8">
        <f t="shared" si="38"/>
        <v>0.942309298561672</v>
      </c>
    </row>
    <row r="288" spans="8:33">
      <c r="H288" s="8">
        <f t="shared" si="34"/>
        <v>201305</v>
      </c>
      <c r="I288" s="13">
        <v>41306</v>
      </c>
      <c r="J288" s="12">
        <v>4579</v>
      </c>
      <c r="K288" t="str">
        <f t="shared" si="39"/>
        <v>2013-02-01</v>
      </c>
      <c r="L288" s="10">
        <f t="shared" si="35"/>
        <v>0.84748759806752005</v>
      </c>
      <c r="AB288" t="s">
        <v>969</v>
      </c>
      <c r="AC288">
        <v>0.942309298561672</v>
      </c>
      <c r="AD288">
        <v>0.92614028462655495</v>
      </c>
      <c r="AE288" s="8" t="str">
        <f t="shared" si="36"/>
        <v>2012-02-22</v>
      </c>
      <c r="AF288" s="9" t="str">
        <f t="shared" si="37"/>
        <v>2/22/2012</v>
      </c>
      <c r="AG288" s="8">
        <f t="shared" si="38"/>
        <v>0.942309298561672</v>
      </c>
    </row>
    <row r="289" spans="8:33">
      <c r="H289" s="8">
        <f t="shared" si="34"/>
        <v>201306</v>
      </c>
      <c r="I289" s="13">
        <v>41313</v>
      </c>
      <c r="J289" s="12">
        <v>4284.3</v>
      </c>
      <c r="K289" t="str">
        <f t="shared" si="39"/>
        <v>2013-02-08</v>
      </c>
      <c r="L289" s="10">
        <f t="shared" si="35"/>
        <v>0.79744674672768501</v>
      </c>
      <c r="AB289" t="s">
        <v>970</v>
      </c>
      <c r="AC289">
        <v>0.92275139849227505</v>
      </c>
      <c r="AD289">
        <v>0.92614028462655495</v>
      </c>
      <c r="AE289" s="8" t="str">
        <f t="shared" si="36"/>
        <v>2012-02-23</v>
      </c>
      <c r="AF289" s="9" t="str">
        <f t="shared" si="37"/>
        <v>2/23/2012</v>
      </c>
      <c r="AG289" s="8">
        <f t="shared" si="38"/>
        <v>0.92275139849227505</v>
      </c>
    </row>
    <row r="290" spans="8:33">
      <c r="H290" s="8">
        <f t="shared" si="34"/>
        <v>201307</v>
      </c>
      <c r="I290" s="13">
        <v>41320</v>
      </c>
      <c r="J290" s="12">
        <v>4261.8</v>
      </c>
      <c r="K290" t="str">
        <f t="shared" si="39"/>
        <v>2013-02-15</v>
      </c>
      <c r="L290" s="10">
        <f t="shared" si="35"/>
        <v>0.79744674672768501</v>
      </c>
      <c r="AB290" t="s">
        <v>971</v>
      </c>
      <c r="AC290">
        <v>0.942309298561672</v>
      </c>
      <c r="AD290">
        <v>0.92614028462655495</v>
      </c>
      <c r="AE290" s="8" t="str">
        <f t="shared" si="36"/>
        <v>2012-02-24</v>
      </c>
      <c r="AF290" s="9" t="str">
        <f t="shared" si="37"/>
        <v>2/24/2012</v>
      </c>
      <c r="AG290" s="8">
        <f t="shared" si="38"/>
        <v>0.942309298561672</v>
      </c>
    </row>
    <row r="291" spans="8:33">
      <c r="H291" s="8">
        <f t="shared" si="34"/>
        <v>201308</v>
      </c>
      <c r="I291" s="13">
        <v>41327</v>
      </c>
      <c r="J291" s="12">
        <v>4136.3</v>
      </c>
      <c r="K291" t="str">
        <f t="shared" si="39"/>
        <v>2013-02-22</v>
      </c>
      <c r="L291" s="10">
        <f t="shared" si="35"/>
        <v>0.75767121274966998</v>
      </c>
      <c r="AB291" t="s">
        <v>972</v>
      </c>
      <c r="AC291">
        <v>0.92275139849227505</v>
      </c>
      <c r="AD291">
        <v>0.92614028462655495</v>
      </c>
      <c r="AE291" s="8" t="str">
        <f t="shared" si="36"/>
        <v>2012-02-27</v>
      </c>
      <c r="AF291" s="9" t="str">
        <f t="shared" si="37"/>
        <v>2/27/2012</v>
      </c>
      <c r="AG291" s="8">
        <f t="shared" si="38"/>
        <v>0.92275139849227505</v>
      </c>
    </row>
    <row r="292" spans="8:33">
      <c r="H292" s="8">
        <f t="shared" si="34"/>
        <v>201309</v>
      </c>
      <c r="I292" s="13">
        <v>41334</v>
      </c>
      <c r="J292" s="12">
        <v>4724.8999999999996</v>
      </c>
      <c r="K292" t="str">
        <f t="shared" si="39"/>
        <v>2013-03-01</v>
      </c>
      <c r="L292" s="10">
        <f t="shared" si="35"/>
        <v>0.81599621049204496</v>
      </c>
      <c r="AB292" t="s">
        <v>973</v>
      </c>
      <c r="AC292">
        <v>0.92275139849227505</v>
      </c>
      <c r="AD292">
        <v>0.92614028462655495</v>
      </c>
      <c r="AE292" s="8" t="str">
        <f t="shared" si="36"/>
        <v>2012-02-28</v>
      </c>
      <c r="AF292" s="9" t="str">
        <f t="shared" si="37"/>
        <v>2/28/2012</v>
      </c>
      <c r="AG292" s="8">
        <f t="shared" si="38"/>
        <v>0.92275139849227505</v>
      </c>
    </row>
    <row r="293" spans="8:33">
      <c r="H293" s="8">
        <f t="shared" si="34"/>
        <v>201310</v>
      </c>
      <c r="I293" s="13">
        <v>41341</v>
      </c>
      <c r="J293" s="12">
        <v>4485.2</v>
      </c>
      <c r="K293" t="str">
        <f t="shared" si="39"/>
        <v>2013-03-08</v>
      </c>
      <c r="L293" s="10">
        <f t="shared" si="35"/>
        <v>0.81254588826988305</v>
      </c>
      <c r="AB293" t="s">
        <v>974</v>
      </c>
      <c r="AC293">
        <v>0.92275139849227505</v>
      </c>
      <c r="AD293">
        <v>0.92614028462655495</v>
      </c>
      <c r="AE293" s="8" t="str">
        <f t="shared" si="36"/>
        <v>2012-02-29</v>
      </c>
      <c r="AF293" s="9" t="str">
        <f t="shared" si="37"/>
        <v>2/29/2012</v>
      </c>
      <c r="AG293" s="8">
        <f t="shared" si="38"/>
        <v>0.92275139849227505</v>
      </c>
    </row>
    <row r="294" spans="8:33">
      <c r="H294" s="8">
        <f t="shared" si="34"/>
        <v>201311</v>
      </c>
      <c r="I294" s="13">
        <v>41348</v>
      </c>
      <c r="J294" s="12">
        <v>4111.3</v>
      </c>
      <c r="K294" t="str">
        <f t="shared" si="39"/>
        <v>2013-03-15</v>
      </c>
      <c r="L294" s="10">
        <f t="shared" si="35"/>
        <v>0.70260073761186803</v>
      </c>
      <c r="AB294" t="s">
        <v>975</v>
      </c>
      <c r="AC294">
        <v>0.91952398603163898</v>
      </c>
      <c r="AD294">
        <v>0.895000652888853</v>
      </c>
      <c r="AE294" s="8" t="str">
        <f t="shared" si="36"/>
        <v>2012-03-01</v>
      </c>
      <c r="AF294" s="9" t="str">
        <f t="shared" si="37"/>
        <v>3/1/2012</v>
      </c>
      <c r="AG294" s="8">
        <f t="shared" si="38"/>
        <v>0.91952398603163898</v>
      </c>
    </row>
    <row r="295" spans="8:33">
      <c r="H295" s="8">
        <f t="shared" si="34"/>
        <v>201312</v>
      </c>
      <c r="I295" s="13">
        <v>41355</v>
      </c>
      <c r="J295" s="12">
        <v>4412.8999999999996</v>
      </c>
      <c r="K295" t="str">
        <f t="shared" si="39"/>
        <v>2013-03-22</v>
      </c>
      <c r="L295" s="10">
        <f t="shared" si="35"/>
        <v>0.76832708554350604</v>
      </c>
      <c r="AB295" t="s">
        <v>976</v>
      </c>
      <c r="AC295">
        <v>0.91952398603163898</v>
      </c>
      <c r="AD295">
        <v>0.895000652888853</v>
      </c>
      <c r="AE295" s="8" t="str">
        <f t="shared" si="36"/>
        <v>2012-03-02</v>
      </c>
      <c r="AF295" s="9" t="str">
        <f t="shared" si="37"/>
        <v>3/2/2012</v>
      </c>
      <c r="AG295" s="8">
        <f t="shared" si="38"/>
        <v>0.91952398603163898</v>
      </c>
    </row>
    <row r="296" spans="8:33">
      <c r="H296" s="8">
        <f t="shared" si="34"/>
        <v>201313</v>
      </c>
      <c r="I296" s="13">
        <v>41361</v>
      </c>
      <c r="J296" s="12">
        <v>4119.2</v>
      </c>
      <c r="K296" t="str">
        <f t="shared" si="39"/>
        <v>2013-03-28</v>
      </c>
      <c r="L296" s="10">
        <f t="shared" si="35"/>
        <v>0.73085022058809701</v>
      </c>
      <c r="AB296" t="s">
        <v>977</v>
      </c>
      <c r="AC296">
        <v>0.91952398603163898</v>
      </c>
      <c r="AD296">
        <v>0.895000652888853</v>
      </c>
      <c r="AE296" s="8" t="str">
        <f t="shared" si="36"/>
        <v>2012-03-05</v>
      </c>
      <c r="AF296" s="9" t="str">
        <f t="shared" si="37"/>
        <v>3/5/2012</v>
      </c>
      <c r="AG296" s="8">
        <f t="shared" si="38"/>
        <v>0.91952398603163898</v>
      </c>
    </row>
    <row r="297" spans="8:33">
      <c r="H297" s="8">
        <f t="shared" si="34"/>
        <v>201314</v>
      </c>
      <c r="I297" s="13">
        <v>41369</v>
      </c>
      <c r="J297" s="12">
        <v>4528.8999999999996</v>
      </c>
      <c r="K297" t="str">
        <f t="shared" si="39"/>
        <v>2013-04-05</v>
      </c>
      <c r="L297" s="10">
        <f t="shared" si="35"/>
        <v>0.74812714109915801</v>
      </c>
      <c r="AB297" t="s">
        <v>978</v>
      </c>
      <c r="AC297">
        <v>0.91952398603163898</v>
      </c>
      <c r="AD297">
        <v>0.895000652888853</v>
      </c>
      <c r="AE297" s="8" t="str">
        <f t="shared" si="36"/>
        <v>2012-03-06</v>
      </c>
      <c r="AF297" s="9" t="str">
        <f t="shared" si="37"/>
        <v>3/6/2012</v>
      </c>
      <c r="AG297" s="8">
        <f t="shared" si="38"/>
        <v>0.91952398603163898</v>
      </c>
    </row>
    <row r="298" spans="8:33">
      <c r="H298" s="8">
        <f t="shared" si="34"/>
        <v>201315</v>
      </c>
      <c r="I298" s="13">
        <v>41376</v>
      </c>
      <c r="J298" s="12">
        <v>4726.8999999999996</v>
      </c>
      <c r="K298" t="str">
        <f t="shared" si="39"/>
        <v>2013-04-12</v>
      </c>
      <c r="L298" s="10">
        <f t="shared" si="35"/>
        <v>0.81951890925716098</v>
      </c>
      <c r="AB298" t="s">
        <v>979</v>
      </c>
      <c r="AC298">
        <v>0.91952398603163898</v>
      </c>
      <c r="AD298">
        <v>0.895000652888853</v>
      </c>
      <c r="AE298" s="8" t="str">
        <f t="shared" si="36"/>
        <v>2012-03-07</v>
      </c>
      <c r="AF298" s="9" t="str">
        <f t="shared" si="37"/>
        <v>3/7/2012</v>
      </c>
      <c r="AG298" s="8">
        <f t="shared" si="38"/>
        <v>0.91952398603163898</v>
      </c>
    </row>
    <row r="299" spans="8:33">
      <c r="H299" s="8">
        <f t="shared" si="34"/>
        <v>201316</v>
      </c>
      <c r="I299" s="13">
        <v>41383</v>
      </c>
      <c r="J299" s="12">
        <v>4672.1000000000004</v>
      </c>
      <c r="K299" t="str">
        <f t="shared" si="39"/>
        <v>2013-04-19</v>
      </c>
      <c r="L299" s="10">
        <f t="shared" si="35"/>
        <v>0.82637993200499604</v>
      </c>
      <c r="AB299" t="s">
        <v>980</v>
      </c>
      <c r="AC299">
        <v>0.920801695575303</v>
      </c>
      <c r="AD299">
        <v>0.895000652888853</v>
      </c>
      <c r="AE299" s="8" t="str">
        <f t="shared" si="36"/>
        <v>2012-03-08</v>
      </c>
      <c r="AF299" s="9" t="str">
        <f t="shared" si="37"/>
        <v>3/8/2012</v>
      </c>
      <c r="AG299" s="8">
        <f t="shared" si="38"/>
        <v>0.920801695575303</v>
      </c>
    </row>
    <row r="300" spans="8:33">
      <c r="H300" s="8">
        <f t="shared" si="34"/>
        <v>201317</v>
      </c>
      <c r="I300" s="13">
        <v>41390</v>
      </c>
      <c r="J300" s="12">
        <v>4854.1000000000004</v>
      </c>
      <c r="K300" t="str">
        <f t="shared" si="39"/>
        <v>2013-04-26</v>
      </c>
      <c r="L300" s="10">
        <f t="shared" si="35"/>
        <v>0.82478602429419601</v>
      </c>
      <c r="M300" s="3">
        <f>AVERAGE(L250:L303)</f>
        <v>0.88003028732596034</v>
      </c>
      <c r="AB300" t="s">
        <v>981</v>
      </c>
      <c r="AC300">
        <v>0.920801695575303</v>
      </c>
      <c r="AD300">
        <v>0.895000652888853</v>
      </c>
      <c r="AE300" s="8" t="str">
        <f t="shared" si="36"/>
        <v>2012-03-09</v>
      </c>
      <c r="AF300" s="9" t="str">
        <f t="shared" si="37"/>
        <v>3/9/2012</v>
      </c>
      <c r="AG300" s="8">
        <f t="shared" si="38"/>
        <v>0.920801695575303</v>
      </c>
    </row>
    <row r="301" spans="8:33">
      <c r="H301" s="8">
        <f t="shared" si="34"/>
        <v>201318</v>
      </c>
      <c r="I301" s="13">
        <v>41397</v>
      </c>
      <c r="J301" s="12">
        <v>5279.9</v>
      </c>
      <c r="K301" t="str">
        <f t="shared" si="39"/>
        <v>2013-05-03</v>
      </c>
      <c r="L301" s="10">
        <f t="shared" si="35"/>
        <v>0.816862820958143</v>
      </c>
      <c r="AB301" t="s">
        <v>982</v>
      </c>
      <c r="AC301">
        <v>0.920801695575303</v>
      </c>
      <c r="AD301">
        <v>0.895000652888853</v>
      </c>
      <c r="AE301" s="8" t="str">
        <f t="shared" si="36"/>
        <v>2012-03-12</v>
      </c>
      <c r="AF301" s="9" t="str">
        <f t="shared" si="37"/>
        <v>3/12/2012</v>
      </c>
      <c r="AG301" s="8">
        <f t="shared" si="38"/>
        <v>0.920801695575303</v>
      </c>
    </row>
    <row r="302" spans="8:33">
      <c r="H302" s="8">
        <f t="shared" si="34"/>
        <v>201319</v>
      </c>
      <c r="I302" s="13">
        <v>41404</v>
      </c>
      <c r="J302" s="12">
        <v>4797.2</v>
      </c>
      <c r="K302" t="str">
        <f t="shared" si="39"/>
        <v>2013-05-10</v>
      </c>
      <c r="L302" s="10">
        <f t="shared" si="35"/>
        <v>0.80807149473903706</v>
      </c>
      <c r="AB302" t="s">
        <v>983</v>
      </c>
      <c r="AC302">
        <v>0.920801695575303</v>
      </c>
      <c r="AD302">
        <v>0.895000652888853</v>
      </c>
      <c r="AE302" s="8" t="str">
        <f t="shared" si="36"/>
        <v>2012-03-13</v>
      </c>
      <c r="AF302" s="9" t="str">
        <f t="shared" si="37"/>
        <v>3/13/2012</v>
      </c>
      <c r="AG302" s="8">
        <f t="shared" si="38"/>
        <v>0.920801695575303</v>
      </c>
    </row>
    <row r="303" spans="8:33">
      <c r="H303" s="8">
        <f t="shared" si="34"/>
        <v>201320</v>
      </c>
      <c r="I303" s="13">
        <v>41409</v>
      </c>
      <c r="J303" s="12">
        <v>4241.5</v>
      </c>
      <c r="K303" t="str">
        <f t="shared" si="39"/>
        <v>2013-05-15</v>
      </c>
      <c r="L303" s="10">
        <f t="shared" si="35"/>
        <v>0.77783403735744605</v>
      </c>
      <c r="AB303" t="s">
        <v>984</v>
      </c>
      <c r="AC303">
        <v>0.920801695575303</v>
      </c>
      <c r="AD303">
        <v>0.895000652888853</v>
      </c>
      <c r="AE303" s="8" t="str">
        <f t="shared" si="36"/>
        <v>2012-03-14</v>
      </c>
      <c r="AF303" s="9" t="str">
        <f t="shared" si="37"/>
        <v>3/14/2012</v>
      </c>
      <c r="AG303" s="8">
        <f t="shared" si="38"/>
        <v>0.920801695575303</v>
      </c>
    </row>
    <row r="304" spans="8:33">
      <c r="H304" s="8">
        <f t="shared" si="34"/>
        <v>201321</v>
      </c>
      <c r="I304" s="13">
        <v>41418</v>
      </c>
      <c r="J304" s="12">
        <v>3709.4</v>
      </c>
      <c r="K304" t="str">
        <f t="shared" si="39"/>
        <v>2013-05-24</v>
      </c>
      <c r="L304" s="10">
        <f t="shared" si="35"/>
        <v>0.69528028144530996</v>
      </c>
      <c r="AB304" t="s">
        <v>985</v>
      </c>
      <c r="AC304">
        <v>0.91685044012466899</v>
      </c>
      <c r="AD304">
        <v>0.895000652888853</v>
      </c>
      <c r="AE304" s="8" t="str">
        <f t="shared" si="36"/>
        <v>2012-03-15</v>
      </c>
      <c r="AF304" s="9" t="str">
        <f t="shared" si="37"/>
        <v>3/15/2012</v>
      </c>
      <c r="AG304" s="8">
        <f t="shared" si="38"/>
        <v>0.91685044012466899</v>
      </c>
    </row>
    <row r="305" spans="8:33">
      <c r="H305" s="8">
        <f t="shared" si="34"/>
        <v>201322</v>
      </c>
      <c r="I305" s="13">
        <v>41425</v>
      </c>
      <c r="J305" s="12">
        <v>3163.6</v>
      </c>
      <c r="K305" t="str">
        <f t="shared" si="39"/>
        <v>2013-05-31</v>
      </c>
      <c r="L305" s="10">
        <f t="shared" si="35"/>
        <v>0.63267241864898405</v>
      </c>
      <c r="AB305" t="s">
        <v>986</v>
      </c>
      <c r="AC305">
        <v>0.91685044012466899</v>
      </c>
      <c r="AD305">
        <v>0.895000652888853</v>
      </c>
      <c r="AE305" s="8" t="str">
        <f t="shared" si="36"/>
        <v>2012-03-16</v>
      </c>
      <c r="AF305" s="9" t="str">
        <f t="shared" si="37"/>
        <v>3/16/2012</v>
      </c>
      <c r="AG305" s="8">
        <f t="shared" si="38"/>
        <v>0.91685044012466899</v>
      </c>
    </row>
    <row r="306" spans="8:33">
      <c r="H306" s="8">
        <f t="shared" si="34"/>
        <v>201323</v>
      </c>
      <c r="I306" s="13">
        <v>41432</v>
      </c>
      <c r="J306" s="12">
        <v>3339.8</v>
      </c>
      <c r="K306" t="str">
        <f t="shared" si="39"/>
        <v>2013-06-07</v>
      </c>
      <c r="L306" s="10">
        <f t="shared" si="35"/>
        <v>0.60569175356282701</v>
      </c>
      <c r="AB306" t="s">
        <v>987</v>
      </c>
      <c r="AC306">
        <v>0.91685044012466899</v>
      </c>
      <c r="AD306">
        <v>0.895000652888853</v>
      </c>
      <c r="AE306" s="8" t="str">
        <f t="shared" si="36"/>
        <v>2012-03-19</v>
      </c>
      <c r="AF306" s="9" t="str">
        <f t="shared" si="37"/>
        <v>3/19/2012</v>
      </c>
      <c r="AG306" s="8">
        <f t="shared" si="38"/>
        <v>0.91685044012466899</v>
      </c>
    </row>
    <row r="307" spans="8:33">
      <c r="H307" s="8">
        <f t="shared" si="34"/>
        <v>201324</v>
      </c>
      <c r="I307" s="13">
        <v>41439</v>
      </c>
      <c r="J307" s="12">
        <v>3214.4</v>
      </c>
      <c r="K307" t="str">
        <f t="shared" si="39"/>
        <v>2013-06-14</v>
      </c>
      <c r="L307" s="10">
        <f t="shared" si="35"/>
        <v>0.57343184072471898</v>
      </c>
      <c r="AB307" t="s">
        <v>988</v>
      </c>
      <c r="AC307">
        <v>0.91685044012466899</v>
      </c>
      <c r="AD307">
        <v>0.895000652888853</v>
      </c>
      <c r="AE307" s="8" t="str">
        <f t="shared" si="36"/>
        <v>2012-03-20</v>
      </c>
      <c r="AF307" s="9" t="str">
        <f t="shared" si="37"/>
        <v>3/20/2012</v>
      </c>
      <c r="AG307" s="8">
        <f t="shared" si="38"/>
        <v>0.91685044012466899</v>
      </c>
    </row>
    <row r="308" spans="8:33">
      <c r="H308" s="8">
        <f t="shared" si="34"/>
        <v>201325</v>
      </c>
      <c r="I308" s="13">
        <v>41446</v>
      </c>
      <c r="J308" s="12">
        <v>3040.1</v>
      </c>
      <c r="K308" t="str">
        <f t="shared" si="39"/>
        <v>2013-06-21</v>
      </c>
      <c r="L308" s="10">
        <f t="shared" si="35"/>
        <v>0.58795254732817603</v>
      </c>
      <c r="AB308" t="s">
        <v>989</v>
      </c>
      <c r="AC308">
        <v>0.91685044012466899</v>
      </c>
      <c r="AD308">
        <v>0.895000652888853</v>
      </c>
      <c r="AE308" s="8" t="str">
        <f t="shared" si="36"/>
        <v>2012-03-21</v>
      </c>
      <c r="AF308" s="9" t="str">
        <f t="shared" si="37"/>
        <v>3/21/2012</v>
      </c>
      <c r="AG308" s="8">
        <f t="shared" si="38"/>
        <v>0.91685044012466899</v>
      </c>
    </row>
    <row r="309" spans="8:33">
      <c r="H309" s="8">
        <f t="shared" si="34"/>
        <v>201326</v>
      </c>
      <c r="I309" s="13">
        <v>41453</v>
      </c>
      <c r="J309" s="12">
        <v>2573.4</v>
      </c>
      <c r="K309" t="str">
        <f t="shared" si="39"/>
        <v>2013-06-28</v>
      </c>
      <c r="L309" s="10">
        <f t="shared" si="35"/>
        <v>0.39082116641682302</v>
      </c>
      <c r="AB309" t="s">
        <v>990</v>
      </c>
      <c r="AC309">
        <v>0.80564025680948503</v>
      </c>
      <c r="AD309">
        <v>0.83516574517154496</v>
      </c>
      <c r="AE309" s="8" t="str">
        <f t="shared" si="36"/>
        <v>2012-03-22</v>
      </c>
      <c r="AF309" s="9" t="str">
        <f t="shared" si="37"/>
        <v>3/22/2012</v>
      </c>
      <c r="AG309" s="8">
        <f t="shared" si="38"/>
        <v>0.80564025680948503</v>
      </c>
    </row>
    <row r="310" spans="8:33">
      <c r="H310" s="8">
        <f t="shared" si="34"/>
        <v>201327</v>
      </c>
      <c r="I310" s="13">
        <v>41460</v>
      </c>
      <c r="J310" s="12">
        <v>2417.8000000000002</v>
      </c>
      <c r="K310" t="str">
        <f t="shared" si="39"/>
        <v>2013-07-05</v>
      </c>
      <c r="L310" s="10">
        <f t="shared" si="35"/>
        <v>0.43308646421209301</v>
      </c>
      <c r="AB310" t="s">
        <v>991</v>
      </c>
      <c r="AC310">
        <v>0.80564025680948503</v>
      </c>
      <c r="AD310">
        <v>0.83516574517154496</v>
      </c>
      <c r="AE310" s="8" t="str">
        <f t="shared" si="36"/>
        <v>2012-03-23</v>
      </c>
      <c r="AF310" s="9" t="str">
        <f t="shared" si="37"/>
        <v>3/23/2012</v>
      </c>
      <c r="AG310" s="8">
        <f t="shared" si="38"/>
        <v>0.80564025680948503</v>
      </c>
    </row>
    <row r="311" spans="8:33">
      <c r="H311" s="8">
        <f t="shared" si="34"/>
        <v>201328</v>
      </c>
      <c r="I311" s="13">
        <v>41467</v>
      </c>
      <c r="J311" s="12">
        <v>2242.1999999999998</v>
      </c>
      <c r="K311" t="str">
        <f t="shared" si="39"/>
        <v>2013-07-12</v>
      </c>
      <c r="L311" s="10">
        <f t="shared" si="35"/>
        <v>0.31856955774356599</v>
      </c>
      <c r="AB311" t="s">
        <v>992</v>
      </c>
      <c r="AC311">
        <v>0.80564025680948503</v>
      </c>
      <c r="AD311">
        <v>0.83516574517154496</v>
      </c>
      <c r="AE311" s="8" t="str">
        <f t="shared" si="36"/>
        <v>2012-03-26</v>
      </c>
      <c r="AF311" s="9" t="str">
        <f t="shared" si="37"/>
        <v>3/26/2012</v>
      </c>
      <c r="AG311" s="8">
        <f t="shared" si="38"/>
        <v>0.80564025680948503</v>
      </c>
    </row>
    <row r="312" spans="8:33">
      <c r="H312" s="8">
        <f t="shared" si="34"/>
        <v>201329</v>
      </c>
      <c r="I312" s="13">
        <v>41474</v>
      </c>
      <c r="J312" s="12">
        <v>2288</v>
      </c>
      <c r="K312" t="str">
        <f t="shared" si="39"/>
        <v>2013-07-19</v>
      </c>
      <c r="L312" s="10">
        <f t="shared" si="35"/>
        <v>0.42624975952077698</v>
      </c>
      <c r="AB312" t="s">
        <v>993</v>
      </c>
      <c r="AC312">
        <v>0.80564025680948503</v>
      </c>
      <c r="AD312">
        <v>0.83516574517154496</v>
      </c>
      <c r="AE312" s="8" t="str">
        <f t="shared" si="36"/>
        <v>2012-03-27</v>
      </c>
      <c r="AF312" s="9" t="str">
        <f t="shared" si="37"/>
        <v>3/27/2012</v>
      </c>
      <c r="AG312" s="8">
        <f t="shared" si="38"/>
        <v>0.80564025680948503</v>
      </c>
    </row>
    <row r="313" spans="8:33">
      <c r="H313" s="8">
        <f t="shared" si="34"/>
        <v>201330</v>
      </c>
      <c r="I313" s="13">
        <v>41481</v>
      </c>
      <c r="J313" s="12">
        <v>2218.3000000000002</v>
      </c>
      <c r="K313" t="str">
        <f t="shared" si="39"/>
        <v>2013-07-26</v>
      </c>
      <c r="L313" s="10">
        <f t="shared" si="35"/>
        <v>0.42922629610906499</v>
      </c>
      <c r="AB313" t="s">
        <v>994</v>
      </c>
      <c r="AC313">
        <v>0.80564025680948503</v>
      </c>
      <c r="AD313">
        <v>0.83516574517154496</v>
      </c>
      <c r="AE313" s="8" t="str">
        <f t="shared" si="36"/>
        <v>2012-03-28</v>
      </c>
      <c r="AF313" s="9" t="str">
        <f t="shared" si="37"/>
        <v>3/28/2012</v>
      </c>
      <c r="AG313" s="8">
        <f t="shared" si="38"/>
        <v>0.80564025680948503</v>
      </c>
    </row>
    <row r="314" spans="8:33">
      <c r="H314" s="8">
        <f t="shared" si="34"/>
        <v>201331</v>
      </c>
      <c r="I314" s="13">
        <v>41488</v>
      </c>
      <c r="J314" s="12">
        <v>2228.9</v>
      </c>
      <c r="K314" t="str">
        <f t="shared" si="39"/>
        <v>2013-08-02</v>
      </c>
      <c r="L314" s="10">
        <f t="shared" si="35"/>
        <v>0.40917398895536999</v>
      </c>
      <c r="AB314" t="s">
        <v>995</v>
      </c>
      <c r="AC314">
        <v>0.87350901373716205</v>
      </c>
      <c r="AD314">
        <v>0.87861592060091498</v>
      </c>
      <c r="AE314" s="8" t="str">
        <f t="shared" si="36"/>
        <v>2012-03-29</v>
      </c>
      <c r="AF314" s="9" t="str">
        <f t="shared" si="37"/>
        <v>3/29/2012</v>
      </c>
      <c r="AG314" s="8">
        <f t="shared" si="38"/>
        <v>0.87350901373716205</v>
      </c>
    </row>
    <row r="315" spans="8:33">
      <c r="H315" s="8">
        <f t="shared" si="34"/>
        <v>201332</v>
      </c>
      <c r="I315" s="13">
        <v>41495</v>
      </c>
      <c r="J315" s="12">
        <v>2110.6</v>
      </c>
      <c r="K315" t="str">
        <f t="shared" si="39"/>
        <v>2013-08-09</v>
      </c>
      <c r="L315" s="10">
        <f t="shared" si="35"/>
        <v>0.40797811985401</v>
      </c>
      <c r="AB315" t="s">
        <v>996</v>
      </c>
      <c r="AC315">
        <v>0.87350901373716205</v>
      </c>
      <c r="AD315">
        <v>0.87861592060091498</v>
      </c>
      <c r="AE315" s="8" t="str">
        <f t="shared" si="36"/>
        <v>2012-03-30</v>
      </c>
      <c r="AF315" s="9" t="str">
        <f t="shared" si="37"/>
        <v>3/30/2012</v>
      </c>
      <c r="AG315" s="8">
        <f t="shared" si="38"/>
        <v>0.87350901373716205</v>
      </c>
    </row>
    <row r="316" spans="8:33">
      <c r="H316" s="8">
        <f t="shared" si="34"/>
        <v>201334</v>
      </c>
      <c r="I316" s="13">
        <v>41508</v>
      </c>
      <c r="J316" s="12">
        <v>1935.1</v>
      </c>
      <c r="K316" t="str">
        <f t="shared" si="39"/>
        <v>2013-08-22</v>
      </c>
      <c r="L316" s="10">
        <f t="shared" si="35"/>
        <v>0.28211495793674202</v>
      </c>
      <c r="AB316" t="s">
        <v>3</v>
      </c>
      <c r="AC316">
        <v>0.86085196162229005</v>
      </c>
      <c r="AD316">
        <v>0.86207936315662104</v>
      </c>
      <c r="AE316" s="8" t="str">
        <f t="shared" si="36"/>
        <v>2012-04-02</v>
      </c>
      <c r="AF316" s="9" t="str">
        <f t="shared" si="37"/>
        <v>4/2/2012</v>
      </c>
      <c r="AG316" s="8">
        <f t="shared" si="38"/>
        <v>0.86085196162229005</v>
      </c>
    </row>
    <row r="317" spans="8:33">
      <c r="H317" s="8">
        <f t="shared" si="34"/>
        <v>201334</v>
      </c>
      <c r="I317" s="13">
        <v>41509</v>
      </c>
      <c r="J317" s="12">
        <v>1842.6</v>
      </c>
      <c r="K317" t="str">
        <f t="shared" si="39"/>
        <v>2013-08-23</v>
      </c>
      <c r="L317" s="10">
        <f t="shared" si="35"/>
        <v>0.28211495793674202</v>
      </c>
      <c r="AB317" t="s">
        <v>4</v>
      </c>
      <c r="AC317">
        <v>0.86085196162229005</v>
      </c>
      <c r="AD317">
        <v>0.86207936315662104</v>
      </c>
      <c r="AE317" s="8" t="str">
        <f t="shared" si="36"/>
        <v>2012-04-03</v>
      </c>
      <c r="AF317" s="9" t="str">
        <f t="shared" si="37"/>
        <v>4/3/2012</v>
      </c>
      <c r="AG317" s="8">
        <f t="shared" si="38"/>
        <v>0.86085196162229005</v>
      </c>
    </row>
    <row r="318" spans="8:33">
      <c r="H318" s="8">
        <f t="shared" si="34"/>
        <v>201335</v>
      </c>
      <c r="I318" s="13">
        <v>41516</v>
      </c>
      <c r="J318" s="12">
        <v>1909</v>
      </c>
      <c r="K318" t="str">
        <f t="shared" si="39"/>
        <v>2013-08-30</v>
      </c>
      <c r="L318" s="10">
        <f t="shared" si="35"/>
        <v>0.32707732602530398</v>
      </c>
      <c r="AB318" t="s">
        <v>5</v>
      </c>
      <c r="AC318">
        <v>0.86085196162229005</v>
      </c>
      <c r="AD318">
        <v>0.86207936315662104</v>
      </c>
      <c r="AE318" s="8" t="str">
        <f t="shared" si="36"/>
        <v>2012-04-04</v>
      </c>
      <c r="AF318" s="9" t="str">
        <f t="shared" si="37"/>
        <v>4/4/2012</v>
      </c>
      <c r="AG318" s="8">
        <f t="shared" si="38"/>
        <v>0.86085196162229005</v>
      </c>
    </row>
    <row r="319" spans="8:33">
      <c r="H319" s="8">
        <f t="shared" si="34"/>
        <v>201336</v>
      </c>
      <c r="I319" s="13">
        <v>41523</v>
      </c>
      <c r="J319" s="12">
        <v>1512.9</v>
      </c>
      <c r="K319" t="str">
        <f t="shared" si="39"/>
        <v>2013-09-06</v>
      </c>
      <c r="L319" s="10">
        <f t="shared" si="35"/>
        <v>0.28186492560364501</v>
      </c>
      <c r="AB319" t="s">
        <v>6</v>
      </c>
      <c r="AC319">
        <v>0.86928745494692705</v>
      </c>
      <c r="AD319">
        <v>0.86207936315662104</v>
      </c>
      <c r="AE319" s="8" t="str">
        <f t="shared" si="36"/>
        <v>2012-04-05</v>
      </c>
      <c r="AF319" s="9" t="str">
        <f t="shared" si="37"/>
        <v>4/5/2012</v>
      </c>
      <c r="AG319" s="8">
        <f t="shared" si="38"/>
        <v>0.86928745494692705</v>
      </c>
    </row>
    <row r="320" spans="8:33">
      <c r="H320" s="8">
        <f t="shared" si="34"/>
        <v>201337</v>
      </c>
      <c r="I320" s="13">
        <v>41530</v>
      </c>
      <c r="J320" s="12">
        <v>1814</v>
      </c>
      <c r="K320" t="str">
        <f t="shared" si="39"/>
        <v>2013-09-13</v>
      </c>
      <c r="L320" s="10">
        <f t="shared" si="35"/>
        <v>0.27463010199382099</v>
      </c>
      <c r="AB320" t="s">
        <v>7</v>
      </c>
      <c r="AC320">
        <v>0.86928745494692705</v>
      </c>
      <c r="AD320">
        <v>0.86207936315662104</v>
      </c>
      <c r="AE320" s="8" t="str">
        <f t="shared" si="36"/>
        <v>2012-04-06</v>
      </c>
      <c r="AF320" s="9" t="str">
        <f t="shared" si="37"/>
        <v>4/6/2012</v>
      </c>
      <c r="AG320" s="8">
        <f t="shared" si="38"/>
        <v>0.86928745494692705</v>
      </c>
    </row>
    <row r="321" spans="8:33">
      <c r="H321" s="8">
        <f t="shared" si="34"/>
        <v>201338</v>
      </c>
      <c r="I321" s="13">
        <v>41537</v>
      </c>
      <c r="J321" s="12">
        <v>1922.9</v>
      </c>
      <c r="K321" t="str">
        <f t="shared" si="39"/>
        <v>2013-09-20</v>
      </c>
      <c r="L321" s="10">
        <f t="shared" si="35"/>
        <v>0.33277831045649597</v>
      </c>
      <c r="AB321" t="s">
        <v>8</v>
      </c>
      <c r="AC321">
        <v>0.86928745494692705</v>
      </c>
      <c r="AD321">
        <v>0.86207936315662104</v>
      </c>
      <c r="AE321" s="8" t="str">
        <f t="shared" si="36"/>
        <v>2012-04-09</v>
      </c>
      <c r="AF321" s="9" t="str">
        <f t="shared" si="37"/>
        <v>4/9/2012</v>
      </c>
      <c r="AG321" s="8">
        <f t="shared" si="38"/>
        <v>0.86928745494692705</v>
      </c>
    </row>
    <row r="322" spans="8:33">
      <c r="H322" s="8">
        <f t="shared" ref="H322:H385" si="40">WEEKNUM(I322)+100*YEAR(I322)</f>
        <v>201339</v>
      </c>
      <c r="I322" s="13">
        <v>41544</v>
      </c>
      <c r="J322" s="12">
        <v>1956.6</v>
      </c>
      <c r="K322" t="str">
        <f t="shared" si="39"/>
        <v>2013-09-27</v>
      </c>
      <c r="L322" s="10">
        <f t="shared" ref="L322:L385" si="41">VLOOKUP(H322,$A$4:$C$218,3, FALSE)</f>
        <v>0.40445747526612702</v>
      </c>
      <c r="AB322" t="s">
        <v>9</v>
      </c>
      <c r="AC322">
        <v>0.86928745494692705</v>
      </c>
      <c r="AD322">
        <v>0.86207936315662104</v>
      </c>
      <c r="AE322" s="8" t="str">
        <f t="shared" ref="AE322:AE385" si="42">MID(AB322,2,10)</f>
        <v>2012-04-10</v>
      </c>
      <c r="AF322" s="9" t="str">
        <f t="shared" ref="AF322:AF385" si="43">TEXT(AE322,"m/d/yyyy")</f>
        <v>4/10/2012</v>
      </c>
      <c r="AG322" s="8">
        <f t="shared" ref="AG322:AG385" si="44">AC322</f>
        <v>0.86928745494692705</v>
      </c>
    </row>
    <row r="323" spans="8:33">
      <c r="H323" s="8">
        <f t="shared" si="40"/>
        <v>201340</v>
      </c>
      <c r="I323" s="13">
        <v>41551</v>
      </c>
      <c r="J323" s="12">
        <v>2025.3</v>
      </c>
      <c r="K323" t="str">
        <f t="shared" ref="K323:K373" si="45">TEXT(I323,"yyyy-mm-dd")</f>
        <v>2013-10-04</v>
      </c>
      <c r="L323" s="10">
        <f t="shared" si="41"/>
        <v>0.41528178559290602</v>
      </c>
      <c r="AB323" t="s">
        <v>10</v>
      </c>
      <c r="AC323">
        <v>0.86928745494692705</v>
      </c>
      <c r="AD323">
        <v>0.86207936315662104</v>
      </c>
      <c r="AE323" s="8" t="str">
        <f t="shared" si="42"/>
        <v>2012-04-11</v>
      </c>
      <c r="AF323" s="9" t="str">
        <f t="shared" si="43"/>
        <v>4/11/2012</v>
      </c>
      <c r="AG323" s="8">
        <f t="shared" si="44"/>
        <v>0.86928745494692705</v>
      </c>
    </row>
    <row r="324" spans="8:33">
      <c r="H324" s="8">
        <f t="shared" si="40"/>
        <v>201341</v>
      </c>
      <c r="I324" s="13">
        <v>41558</v>
      </c>
      <c r="J324" s="12">
        <v>2102.6999999999998</v>
      </c>
      <c r="K324" t="str">
        <f t="shared" si="45"/>
        <v>2013-10-11</v>
      </c>
      <c r="L324" s="10">
        <f t="shared" si="41"/>
        <v>0.41314719259777</v>
      </c>
      <c r="AB324" t="s">
        <v>11</v>
      </c>
      <c r="AC324">
        <v>0.90843431405369401</v>
      </c>
      <c r="AD324">
        <v>0.87832051991835203</v>
      </c>
      <c r="AE324" s="8" t="str">
        <f t="shared" si="42"/>
        <v>2012-04-12</v>
      </c>
      <c r="AF324" s="9" t="str">
        <f t="shared" si="43"/>
        <v>4/12/2012</v>
      </c>
      <c r="AG324" s="8">
        <f t="shared" si="44"/>
        <v>0.90843431405369401</v>
      </c>
    </row>
    <row r="325" spans="8:33">
      <c r="H325" s="8">
        <f t="shared" si="40"/>
        <v>201342</v>
      </c>
      <c r="I325" s="13">
        <v>41565</v>
      </c>
      <c r="J325" s="12">
        <v>2033.7</v>
      </c>
      <c r="K325" t="str">
        <f t="shared" si="45"/>
        <v>2013-10-18</v>
      </c>
      <c r="L325" s="10">
        <f t="shared" si="41"/>
        <v>0.402324815903361</v>
      </c>
      <c r="AB325" t="s">
        <v>12</v>
      </c>
      <c r="AC325">
        <v>0.90843431405369401</v>
      </c>
      <c r="AD325">
        <v>0.87832051991835203</v>
      </c>
      <c r="AE325" s="8" t="str">
        <f t="shared" si="42"/>
        <v>2012-04-13</v>
      </c>
      <c r="AF325" s="9" t="str">
        <f t="shared" si="43"/>
        <v>4/13/2012</v>
      </c>
      <c r="AG325" s="8">
        <f t="shared" si="44"/>
        <v>0.90843431405369401</v>
      </c>
    </row>
    <row r="326" spans="8:33">
      <c r="H326" s="8">
        <f t="shared" si="40"/>
        <v>201343</v>
      </c>
      <c r="I326" s="13">
        <v>41572</v>
      </c>
      <c r="J326" s="12">
        <v>2211.8000000000002</v>
      </c>
      <c r="K326" t="str">
        <f t="shared" si="45"/>
        <v>2013-10-25</v>
      </c>
      <c r="L326" s="10">
        <f t="shared" si="41"/>
        <v>0.431569129246685</v>
      </c>
      <c r="AB326" t="s">
        <v>13</v>
      </c>
      <c r="AC326">
        <v>0.90843431405369401</v>
      </c>
      <c r="AD326">
        <v>0.87832051991835203</v>
      </c>
      <c r="AE326" s="8" t="str">
        <f t="shared" si="42"/>
        <v>2012-04-16</v>
      </c>
      <c r="AF326" s="9" t="str">
        <f t="shared" si="43"/>
        <v>4/16/2012</v>
      </c>
      <c r="AG326" s="8">
        <f t="shared" si="44"/>
        <v>0.90843431405369401</v>
      </c>
    </row>
    <row r="327" spans="8:33">
      <c r="H327" s="8">
        <f t="shared" si="40"/>
        <v>201344</v>
      </c>
      <c r="I327" s="13">
        <v>41579</v>
      </c>
      <c r="J327" s="12">
        <v>2105.6</v>
      </c>
      <c r="K327" t="str">
        <f t="shared" si="45"/>
        <v>2013-11-01</v>
      </c>
      <c r="L327" s="10">
        <f t="shared" si="41"/>
        <v>0.46054051472194202</v>
      </c>
      <c r="AB327" t="s">
        <v>14</v>
      </c>
      <c r="AC327">
        <v>0.90843431405369401</v>
      </c>
      <c r="AD327">
        <v>0.87832051991835203</v>
      </c>
      <c r="AE327" s="8" t="str">
        <f t="shared" si="42"/>
        <v>2012-04-17</v>
      </c>
      <c r="AF327" s="9" t="str">
        <f t="shared" si="43"/>
        <v>4/17/2012</v>
      </c>
      <c r="AG327" s="8">
        <f t="shared" si="44"/>
        <v>0.90843431405369401</v>
      </c>
    </row>
    <row r="328" spans="8:33">
      <c r="H328" s="8">
        <f t="shared" si="40"/>
        <v>201345</v>
      </c>
      <c r="I328" s="13">
        <v>41586</v>
      </c>
      <c r="J328" s="12">
        <v>2056.9</v>
      </c>
      <c r="K328" t="str">
        <f t="shared" si="45"/>
        <v>2013-11-08</v>
      </c>
      <c r="L328" s="10">
        <f t="shared" si="41"/>
        <v>0.42159370418067099</v>
      </c>
      <c r="AB328" t="s">
        <v>15</v>
      </c>
      <c r="AC328">
        <v>0.90843431405369401</v>
      </c>
      <c r="AD328">
        <v>0.87832051991835203</v>
      </c>
      <c r="AE328" s="8" t="str">
        <f t="shared" si="42"/>
        <v>2012-04-18</v>
      </c>
      <c r="AF328" s="9" t="str">
        <f t="shared" si="43"/>
        <v>4/18/2012</v>
      </c>
      <c r="AG328" s="8">
        <f t="shared" si="44"/>
        <v>0.90843431405369401</v>
      </c>
    </row>
    <row r="329" spans="8:33">
      <c r="H329" s="8">
        <f t="shared" si="40"/>
        <v>201346</v>
      </c>
      <c r="I329" s="13">
        <v>41593</v>
      </c>
      <c r="J329" s="12">
        <v>1903.5</v>
      </c>
      <c r="K329" t="str">
        <f t="shared" si="45"/>
        <v>2013-11-15</v>
      </c>
      <c r="L329" s="10">
        <f t="shared" si="41"/>
        <v>0.38756459325455</v>
      </c>
      <c r="AB329" t="s">
        <v>16</v>
      </c>
      <c r="AC329">
        <v>0.90710064326562501</v>
      </c>
      <c r="AD329">
        <v>0.87832051991835203</v>
      </c>
      <c r="AE329" s="8" t="str">
        <f t="shared" si="42"/>
        <v>2012-04-19</v>
      </c>
      <c r="AF329" s="9" t="str">
        <f t="shared" si="43"/>
        <v>4/19/2012</v>
      </c>
      <c r="AG329" s="8">
        <f t="shared" si="44"/>
        <v>0.90710064326562501</v>
      </c>
    </row>
    <row r="330" spans="8:33">
      <c r="H330" s="8">
        <f t="shared" si="40"/>
        <v>201347</v>
      </c>
      <c r="I330" s="13">
        <v>41600</v>
      </c>
      <c r="J330" s="12">
        <v>1917.2</v>
      </c>
      <c r="K330" t="str">
        <f t="shared" si="45"/>
        <v>2013-11-22</v>
      </c>
      <c r="L330" s="10">
        <f t="shared" si="41"/>
        <v>0.41410653536495001</v>
      </c>
      <c r="AB330" t="s">
        <v>17</v>
      </c>
      <c r="AC330">
        <v>0.90710064326562501</v>
      </c>
      <c r="AD330">
        <v>0.87832051991835203</v>
      </c>
      <c r="AE330" s="8" t="str">
        <f t="shared" si="42"/>
        <v>2012-04-20</v>
      </c>
      <c r="AF330" s="9" t="str">
        <f t="shared" si="43"/>
        <v>4/20/2012</v>
      </c>
      <c r="AG330" s="8">
        <f t="shared" si="44"/>
        <v>0.90710064326562501</v>
      </c>
    </row>
    <row r="331" spans="8:33">
      <c r="H331" s="8">
        <f t="shared" si="40"/>
        <v>201348</v>
      </c>
      <c r="I331" s="13">
        <v>41605</v>
      </c>
      <c r="J331" s="12">
        <v>1561.6</v>
      </c>
      <c r="K331" t="str">
        <f t="shared" si="45"/>
        <v>2013-11-27</v>
      </c>
      <c r="L331" s="10">
        <f t="shared" si="41"/>
        <v>0.39699815933228</v>
      </c>
      <c r="AB331" t="s">
        <v>18</v>
      </c>
      <c r="AC331">
        <v>0.90710064326562501</v>
      </c>
      <c r="AD331">
        <v>0.87832051991835203</v>
      </c>
      <c r="AE331" s="8" t="str">
        <f t="shared" si="42"/>
        <v>2012-04-23</v>
      </c>
      <c r="AF331" s="9" t="str">
        <f t="shared" si="43"/>
        <v>4/23/2012</v>
      </c>
      <c r="AG331" s="8">
        <f t="shared" si="44"/>
        <v>0.90710064326562501</v>
      </c>
    </row>
    <row r="332" spans="8:33">
      <c r="H332" s="8">
        <f t="shared" si="40"/>
        <v>201349</v>
      </c>
      <c r="I332" s="13">
        <v>41614</v>
      </c>
      <c r="J332" s="12">
        <v>1599.4</v>
      </c>
      <c r="K332" t="str">
        <f t="shared" si="45"/>
        <v>2013-12-06</v>
      </c>
      <c r="L332" s="10">
        <f t="shared" si="41"/>
        <v>0.37338021104571001</v>
      </c>
      <c r="AB332" t="s">
        <v>19</v>
      </c>
      <c r="AC332">
        <v>0.90710064326562501</v>
      </c>
      <c r="AD332">
        <v>0.87832051991835203</v>
      </c>
      <c r="AE332" s="8" t="str">
        <f t="shared" si="42"/>
        <v>2012-04-24</v>
      </c>
      <c r="AF332" s="9" t="str">
        <f t="shared" si="43"/>
        <v>4/24/2012</v>
      </c>
      <c r="AG332" s="8">
        <f t="shared" si="44"/>
        <v>0.90710064326562501</v>
      </c>
    </row>
    <row r="333" spans="8:33">
      <c r="H333" s="8">
        <f t="shared" si="40"/>
        <v>201350</v>
      </c>
      <c r="I333" s="13">
        <v>41621</v>
      </c>
      <c r="J333" s="12">
        <v>1529.8</v>
      </c>
      <c r="K333" t="str">
        <f t="shared" si="45"/>
        <v>2013-12-13</v>
      </c>
      <c r="L333" s="10">
        <f t="shared" si="41"/>
        <v>0.37072062674784101</v>
      </c>
      <c r="AB333" t="s">
        <v>20</v>
      </c>
      <c r="AC333">
        <v>0.90710064326562501</v>
      </c>
      <c r="AD333">
        <v>0.87832051991835203</v>
      </c>
      <c r="AE333" s="8" t="str">
        <f t="shared" si="42"/>
        <v>2012-04-25</v>
      </c>
      <c r="AF333" s="9" t="str">
        <f t="shared" si="43"/>
        <v>4/25/2012</v>
      </c>
      <c r="AG333" s="8">
        <f t="shared" si="44"/>
        <v>0.90710064326562501</v>
      </c>
    </row>
    <row r="334" spans="8:33">
      <c r="H334" s="8">
        <f t="shared" si="40"/>
        <v>201351</v>
      </c>
      <c r="I334" s="13">
        <v>41628</v>
      </c>
      <c r="J334" s="12">
        <v>1426.7</v>
      </c>
      <c r="K334" t="str">
        <f t="shared" si="45"/>
        <v>2013-12-20</v>
      </c>
      <c r="L334" s="10">
        <f t="shared" si="41"/>
        <v>0.339745677776082</v>
      </c>
      <c r="AB334" t="s">
        <v>21</v>
      </c>
      <c r="AC334">
        <v>0.90843431405369401</v>
      </c>
      <c r="AD334">
        <v>0.87832051991835203</v>
      </c>
      <c r="AE334" s="8" t="str">
        <f t="shared" si="42"/>
        <v>2012-04-26</v>
      </c>
      <c r="AF334" s="9" t="str">
        <f t="shared" si="43"/>
        <v>4/26/2012</v>
      </c>
      <c r="AG334" s="8">
        <f t="shared" si="44"/>
        <v>0.90843431405369401</v>
      </c>
    </row>
    <row r="335" spans="8:33">
      <c r="H335" s="8">
        <f t="shared" si="40"/>
        <v>201352</v>
      </c>
      <c r="I335" s="13">
        <v>41635</v>
      </c>
      <c r="J335" s="12">
        <v>1277.8</v>
      </c>
      <c r="K335" t="str">
        <f t="shared" si="45"/>
        <v>2013-12-27</v>
      </c>
      <c r="L335" s="10">
        <f t="shared" si="41"/>
        <v>0.33029809597210902</v>
      </c>
      <c r="AB335" t="s">
        <v>22</v>
      </c>
      <c r="AC335">
        <v>0.90843431405369401</v>
      </c>
      <c r="AD335">
        <v>0.87832051991835203</v>
      </c>
      <c r="AE335" s="8" t="str">
        <f t="shared" si="42"/>
        <v>2012-04-27</v>
      </c>
      <c r="AF335" s="9" t="str">
        <f t="shared" si="43"/>
        <v>4/27/2012</v>
      </c>
      <c r="AG335" s="8">
        <f t="shared" si="44"/>
        <v>0.90843431405369401</v>
      </c>
    </row>
    <row r="336" spans="8:33">
      <c r="H336" s="8">
        <f t="shared" si="40"/>
        <v>201401</v>
      </c>
      <c r="I336" s="13">
        <v>41642</v>
      </c>
      <c r="J336" s="12">
        <v>1352.7</v>
      </c>
      <c r="K336" t="str">
        <f t="shared" si="45"/>
        <v>2014-01-03</v>
      </c>
      <c r="L336" s="10">
        <f t="shared" si="41"/>
        <v>0.26212623729092299</v>
      </c>
      <c r="AB336" t="s">
        <v>23</v>
      </c>
      <c r="AC336">
        <v>0.90843431405369401</v>
      </c>
      <c r="AD336">
        <v>0.87832051991835203</v>
      </c>
      <c r="AE336" s="8" t="str">
        <f t="shared" si="42"/>
        <v>2012-04-30</v>
      </c>
      <c r="AF336" s="9" t="str">
        <f t="shared" si="43"/>
        <v>4/30/2012</v>
      </c>
      <c r="AG336" s="8">
        <f t="shared" si="44"/>
        <v>0.90843431405369401</v>
      </c>
    </row>
    <row r="337" spans="8:33">
      <c r="H337" s="8">
        <f t="shared" si="40"/>
        <v>201402</v>
      </c>
      <c r="I337" s="13">
        <v>41649</v>
      </c>
      <c r="J337" s="12">
        <v>1507</v>
      </c>
      <c r="K337" t="str">
        <f t="shared" si="45"/>
        <v>2014-01-10</v>
      </c>
      <c r="L337" s="10">
        <f t="shared" si="41"/>
        <v>0.29022600492529399</v>
      </c>
      <c r="AB337" t="s">
        <v>24</v>
      </c>
      <c r="AC337">
        <v>0.89130997835799997</v>
      </c>
      <c r="AD337">
        <v>0.85500521260680595</v>
      </c>
      <c r="AE337" s="8" t="str">
        <f t="shared" si="42"/>
        <v>2012-05-01</v>
      </c>
      <c r="AF337" s="9" t="str">
        <f t="shared" si="43"/>
        <v>5/1/2012</v>
      </c>
      <c r="AG337" s="8">
        <f t="shared" si="44"/>
        <v>0.89130997835799997</v>
      </c>
    </row>
    <row r="338" spans="8:33">
      <c r="H338" s="8">
        <f t="shared" si="40"/>
        <v>201403</v>
      </c>
      <c r="I338" s="13">
        <v>41656</v>
      </c>
      <c r="J338" s="12">
        <v>1675.8</v>
      </c>
      <c r="K338" t="str">
        <f t="shared" si="45"/>
        <v>2014-01-17</v>
      </c>
      <c r="L338" s="10">
        <f t="shared" si="41"/>
        <v>0.36774882579493101</v>
      </c>
      <c r="AB338" t="s">
        <v>25</v>
      </c>
      <c r="AC338">
        <v>0.89130997835799997</v>
      </c>
      <c r="AD338">
        <v>0.85500521260680595</v>
      </c>
      <c r="AE338" s="8" t="str">
        <f t="shared" si="42"/>
        <v>2012-05-02</v>
      </c>
      <c r="AF338" s="9" t="str">
        <f t="shared" si="43"/>
        <v>5/2/2012</v>
      </c>
      <c r="AG338" s="8">
        <f t="shared" si="44"/>
        <v>0.89130997835799997</v>
      </c>
    </row>
    <row r="339" spans="8:33">
      <c r="H339" s="8">
        <f t="shared" si="40"/>
        <v>201404</v>
      </c>
      <c r="I339" s="13">
        <v>41663</v>
      </c>
      <c r="J339" s="12">
        <v>1601.2</v>
      </c>
      <c r="K339" t="str">
        <f t="shared" si="45"/>
        <v>2014-01-24</v>
      </c>
      <c r="L339" s="10">
        <f t="shared" si="41"/>
        <v>0.37084428304329597</v>
      </c>
      <c r="AB339" t="s">
        <v>26</v>
      </c>
      <c r="AC339">
        <v>0.89320680852935697</v>
      </c>
      <c r="AD339">
        <v>0.87637065206662002</v>
      </c>
      <c r="AE339" s="8" t="str">
        <f t="shared" si="42"/>
        <v>2012-05-03</v>
      </c>
      <c r="AF339" s="9" t="str">
        <f t="shared" si="43"/>
        <v>5/3/2012</v>
      </c>
      <c r="AG339" s="8">
        <f t="shared" si="44"/>
        <v>0.89320680852935697</v>
      </c>
    </row>
    <row r="340" spans="8:33">
      <c r="H340" s="8">
        <f t="shared" si="40"/>
        <v>201405</v>
      </c>
      <c r="I340" s="13">
        <v>41670</v>
      </c>
      <c r="J340" s="12">
        <v>1667.5</v>
      </c>
      <c r="K340" t="str">
        <f t="shared" si="45"/>
        <v>2014-01-31</v>
      </c>
      <c r="L340" s="10">
        <f t="shared" si="41"/>
        <v>0.38160196936392599</v>
      </c>
      <c r="AB340" t="s">
        <v>27</v>
      </c>
      <c r="AC340">
        <v>0.89320680852935697</v>
      </c>
      <c r="AD340">
        <v>0.87637065206662002</v>
      </c>
      <c r="AE340" s="8" t="str">
        <f t="shared" si="42"/>
        <v>2012-05-04</v>
      </c>
      <c r="AF340" s="9" t="str">
        <f t="shared" si="43"/>
        <v>5/4/2012</v>
      </c>
      <c r="AG340" s="8">
        <f t="shared" si="44"/>
        <v>0.89320680852935697</v>
      </c>
    </row>
    <row r="341" spans="8:33">
      <c r="H341" s="8">
        <f t="shared" si="40"/>
        <v>201406</v>
      </c>
      <c r="I341" s="13">
        <v>41677</v>
      </c>
      <c r="J341" s="12">
        <v>1674.2</v>
      </c>
      <c r="K341" t="str">
        <f t="shared" si="45"/>
        <v>2014-02-07</v>
      </c>
      <c r="L341" s="10">
        <f t="shared" si="41"/>
        <v>0.40068103493110202</v>
      </c>
      <c r="AB341" t="s">
        <v>28</v>
      </c>
      <c r="AC341">
        <v>0.89320680852935697</v>
      </c>
      <c r="AD341">
        <v>0.87637065206662002</v>
      </c>
      <c r="AE341" s="8" t="str">
        <f t="shared" si="42"/>
        <v>2012-05-07</v>
      </c>
      <c r="AF341" s="9" t="str">
        <f t="shared" si="43"/>
        <v>5/7/2012</v>
      </c>
      <c r="AG341" s="8">
        <f t="shared" si="44"/>
        <v>0.89320680852935697</v>
      </c>
    </row>
    <row r="342" spans="8:33">
      <c r="H342" s="8">
        <f t="shared" si="40"/>
        <v>201407</v>
      </c>
      <c r="I342" s="13">
        <v>41684</v>
      </c>
      <c r="J342" s="12">
        <v>1650.6</v>
      </c>
      <c r="K342" t="str">
        <f t="shared" si="45"/>
        <v>2014-02-14</v>
      </c>
      <c r="L342" s="10">
        <f t="shared" si="41"/>
        <v>0.38532630107915999</v>
      </c>
      <c r="AB342" t="s">
        <v>29</v>
      </c>
      <c r="AC342">
        <v>0.89320680852935697</v>
      </c>
      <c r="AD342">
        <v>0.87637065206662002</v>
      </c>
      <c r="AE342" s="8" t="str">
        <f t="shared" si="42"/>
        <v>2012-05-08</v>
      </c>
      <c r="AF342" s="9" t="str">
        <f t="shared" si="43"/>
        <v>5/8/2012</v>
      </c>
      <c r="AG342" s="8">
        <f t="shared" si="44"/>
        <v>0.89320680852935697</v>
      </c>
    </row>
    <row r="343" spans="8:33">
      <c r="H343" s="8">
        <f t="shared" si="40"/>
        <v>201408</v>
      </c>
      <c r="I343" s="13">
        <v>41691</v>
      </c>
      <c r="J343" s="12">
        <v>1442.3</v>
      </c>
      <c r="K343" t="str">
        <f t="shared" si="45"/>
        <v>2014-02-21</v>
      </c>
      <c r="L343" s="10">
        <f t="shared" si="41"/>
        <v>0.375571977518594</v>
      </c>
      <c r="AB343" t="s">
        <v>30</v>
      </c>
      <c r="AC343">
        <v>0.89320680852935697</v>
      </c>
      <c r="AD343">
        <v>0.87637065206662002</v>
      </c>
      <c r="AE343" s="8" t="str">
        <f t="shared" si="42"/>
        <v>2012-05-09</v>
      </c>
      <c r="AF343" s="9" t="str">
        <f t="shared" si="43"/>
        <v>5/9/2012</v>
      </c>
      <c r="AG343" s="8">
        <f t="shared" si="44"/>
        <v>0.89320680852935697</v>
      </c>
    </row>
    <row r="344" spans="8:33">
      <c r="H344" s="8">
        <f t="shared" si="40"/>
        <v>201409</v>
      </c>
      <c r="I344" s="13">
        <v>41698</v>
      </c>
      <c r="J344" s="12">
        <v>1600.6</v>
      </c>
      <c r="K344" t="str">
        <f t="shared" si="45"/>
        <v>2014-02-28</v>
      </c>
      <c r="L344" s="10">
        <f t="shared" si="41"/>
        <v>0.36967404481869198</v>
      </c>
      <c r="AB344" t="s">
        <v>31</v>
      </c>
      <c r="AC344">
        <v>0.89335852280722505</v>
      </c>
      <c r="AD344">
        <v>0.87637065206662002</v>
      </c>
      <c r="AE344" s="8" t="str">
        <f t="shared" si="42"/>
        <v>2012-05-10</v>
      </c>
      <c r="AF344" s="9" t="str">
        <f t="shared" si="43"/>
        <v>5/10/2012</v>
      </c>
      <c r="AG344" s="8">
        <f t="shared" si="44"/>
        <v>0.89335852280722505</v>
      </c>
    </row>
    <row r="345" spans="8:33">
      <c r="H345" s="8">
        <f t="shared" si="40"/>
        <v>201410</v>
      </c>
      <c r="I345" s="13">
        <v>41705</v>
      </c>
      <c r="J345" s="12">
        <v>1528</v>
      </c>
      <c r="K345" t="str">
        <f t="shared" si="45"/>
        <v>2014-03-07</v>
      </c>
      <c r="L345" s="10">
        <f t="shared" si="41"/>
        <v>0.383169637258365</v>
      </c>
      <c r="AB345" t="s">
        <v>32</v>
      </c>
      <c r="AC345">
        <v>0.89335852280722505</v>
      </c>
      <c r="AD345">
        <v>0.87637065206662002</v>
      </c>
      <c r="AE345" s="8" t="str">
        <f t="shared" si="42"/>
        <v>2012-05-11</v>
      </c>
      <c r="AF345" s="9" t="str">
        <f t="shared" si="43"/>
        <v>5/11/2012</v>
      </c>
      <c r="AG345" s="8">
        <f t="shared" si="44"/>
        <v>0.89335852280722505</v>
      </c>
    </row>
    <row r="346" spans="8:33">
      <c r="H346" s="8">
        <f t="shared" si="40"/>
        <v>201411</v>
      </c>
      <c r="I346" s="13">
        <v>41712</v>
      </c>
      <c r="J346" s="12">
        <v>1552.1</v>
      </c>
      <c r="K346" t="str">
        <f t="shared" si="45"/>
        <v>2014-03-14</v>
      </c>
      <c r="L346" s="10">
        <f t="shared" si="41"/>
        <v>0.36933430427665598</v>
      </c>
      <c r="AB346" t="s">
        <v>33</v>
      </c>
      <c r="AC346">
        <v>0.89335852280722505</v>
      </c>
      <c r="AD346">
        <v>0.87637065206662002</v>
      </c>
      <c r="AE346" s="8" t="str">
        <f t="shared" si="42"/>
        <v>2012-05-14</v>
      </c>
      <c r="AF346" s="9" t="str">
        <f t="shared" si="43"/>
        <v>5/14/2012</v>
      </c>
      <c r="AG346" s="8">
        <f t="shared" si="44"/>
        <v>0.89335852280722505</v>
      </c>
    </row>
    <row r="347" spans="8:33">
      <c r="H347" s="8">
        <f t="shared" si="40"/>
        <v>201412</v>
      </c>
      <c r="I347" s="13">
        <v>41719</v>
      </c>
      <c r="J347" s="12">
        <v>1426.3</v>
      </c>
      <c r="K347" t="str">
        <f t="shared" si="45"/>
        <v>2014-03-21</v>
      </c>
      <c r="L347" s="10">
        <f t="shared" si="41"/>
        <v>0.38030249532079302</v>
      </c>
      <c r="AB347" t="s">
        <v>34</v>
      </c>
      <c r="AC347">
        <v>0.89335852280722505</v>
      </c>
      <c r="AD347">
        <v>0.87637065206662002</v>
      </c>
      <c r="AE347" s="8" t="str">
        <f t="shared" si="42"/>
        <v>2012-05-15</v>
      </c>
      <c r="AF347" s="9" t="str">
        <f t="shared" si="43"/>
        <v>5/15/2012</v>
      </c>
      <c r="AG347" s="8">
        <f t="shared" si="44"/>
        <v>0.89335852280722505</v>
      </c>
    </row>
    <row r="348" spans="8:33">
      <c r="H348" s="8">
        <f t="shared" si="40"/>
        <v>201413</v>
      </c>
      <c r="I348" s="13">
        <v>41726</v>
      </c>
      <c r="J348" s="12">
        <v>1383.5</v>
      </c>
      <c r="K348" t="str">
        <f t="shared" si="45"/>
        <v>2014-03-28</v>
      </c>
      <c r="L348" s="10">
        <f t="shared" si="41"/>
        <v>0.36565400061255998</v>
      </c>
      <c r="AB348" t="s">
        <v>35</v>
      </c>
      <c r="AC348">
        <v>0.89335852280722505</v>
      </c>
      <c r="AD348">
        <v>0.87637065206662002</v>
      </c>
      <c r="AE348" s="8" t="str">
        <f t="shared" si="42"/>
        <v>2012-05-16</v>
      </c>
      <c r="AF348" s="9" t="str">
        <f t="shared" si="43"/>
        <v>5/16/2012</v>
      </c>
      <c r="AG348" s="8">
        <f t="shared" si="44"/>
        <v>0.89335852280722505</v>
      </c>
    </row>
    <row r="349" spans="8:33">
      <c r="H349" s="8">
        <f t="shared" si="40"/>
        <v>201414</v>
      </c>
      <c r="I349" s="13">
        <v>41733</v>
      </c>
      <c r="J349" s="12">
        <v>1324.7</v>
      </c>
      <c r="K349" t="str">
        <f t="shared" si="45"/>
        <v>2014-04-04</v>
      </c>
      <c r="L349" s="10">
        <f t="shared" si="41"/>
        <v>0.35521926568999201</v>
      </c>
      <c r="AB349" t="s">
        <v>36</v>
      </c>
      <c r="AC349">
        <v>0.89485932552840397</v>
      </c>
      <c r="AD349">
        <v>0.89867761026928294</v>
      </c>
      <c r="AE349" s="8" t="str">
        <f t="shared" si="42"/>
        <v>2012-05-17</v>
      </c>
      <c r="AF349" s="9" t="str">
        <f t="shared" si="43"/>
        <v>5/17/2012</v>
      </c>
      <c r="AG349" s="8">
        <f t="shared" si="44"/>
        <v>0.89485932552840397</v>
      </c>
    </row>
    <row r="350" spans="8:33">
      <c r="H350" s="8">
        <f t="shared" si="40"/>
        <v>201415</v>
      </c>
      <c r="I350" s="13">
        <v>41740</v>
      </c>
      <c r="J350" s="12">
        <v>1429.9</v>
      </c>
      <c r="K350" t="str">
        <f t="shared" si="45"/>
        <v>2014-04-11</v>
      </c>
      <c r="L350" s="10">
        <f t="shared" si="41"/>
        <v>0.36683376695248798</v>
      </c>
      <c r="AB350" t="s">
        <v>37</v>
      </c>
      <c r="AC350">
        <v>0.89485932552840397</v>
      </c>
      <c r="AD350">
        <v>0.89867761026928294</v>
      </c>
      <c r="AE350" s="8" t="str">
        <f t="shared" si="42"/>
        <v>2012-05-18</v>
      </c>
      <c r="AF350" s="9" t="str">
        <f t="shared" si="43"/>
        <v>5/18/2012</v>
      </c>
      <c r="AG350" s="8">
        <f t="shared" si="44"/>
        <v>0.89485932552840397</v>
      </c>
    </row>
    <row r="351" spans="8:33">
      <c r="H351" s="8">
        <f t="shared" si="40"/>
        <v>201416</v>
      </c>
      <c r="I351" s="13">
        <v>41746</v>
      </c>
      <c r="J351" s="12">
        <v>1370.9</v>
      </c>
      <c r="K351" t="str">
        <f t="shared" si="45"/>
        <v>2014-04-17</v>
      </c>
      <c r="L351" s="10">
        <f t="shared" si="41"/>
        <v>0.38166972699665502</v>
      </c>
      <c r="AB351" t="s">
        <v>38</v>
      </c>
      <c r="AC351">
        <v>0.89485932552840397</v>
      </c>
      <c r="AD351">
        <v>0.89867761026928294</v>
      </c>
      <c r="AE351" s="8" t="str">
        <f t="shared" si="42"/>
        <v>2012-05-21</v>
      </c>
      <c r="AF351" s="9" t="str">
        <f t="shared" si="43"/>
        <v>5/21/2012</v>
      </c>
      <c r="AG351" s="8">
        <f t="shared" si="44"/>
        <v>0.89485932552840397</v>
      </c>
    </row>
    <row r="352" spans="8:33">
      <c r="H352" s="8">
        <f t="shared" si="40"/>
        <v>201417</v>
      </c>
      <c r="I352" s="13">
        <v>41754</v>
      </c>
      <c r="J352" s="12">
        <v>1298.0999999999999</v>
      </c>
      <c r="K352" t="str">
        <f t="shared" si="45"/>
        <v>2014-04-25</v>
      </c>
      <c r="L352" s="10">
        <f t="shared" si="41"/>
        <v>0.37393962817107101</v>
      </c>
      <c r="AB352" t="s">
        <v>39</v>
      </c>
      <c r="AC352">
        <v>0.89485932552840397</v>
      </c>
      <c r="AD352">
        <v>0.89867761026928294</v>
      </c>
      <c r="AE352" s="8" t="str">
        <f t="shared" si="42"/>
        <v>2012-05-22</v>
      </c>
      <c r="AF352" s="9" t="str">
        <f t="shared" si="43"/>
        <v>5/22/2012</v>
      </c>
      <c r="AG352" s="8">
        <f t="shared" si="44"/>
        <v>0.89485932552840397</v>
      </c>
    </row>
    <row r="353" spans="8:33">
      <c r="H353" s="8">
        <f t="shared" si="40"/>
        <v>201418</v>
      </c>
      <c r="I353" s="13">
        <v>41761</v>
      </c>
      <c r="J353" s="12">
        <v>1323.9</v>
      </c>
      <c r="K353" t="str">
        <f t="shared" si="45"/>
        <v>2014-05-02</v>
      </c>
      <c r="L353" s="10">
        <f t="shared" si="41"/>
        <v>0.37360583835556399</v>
      </c>
      <c r="AB353" t="s">
        <v>40</v>
      </c>
      <c r="AC353">
        <v>0.89485932552840397</v>
      </c>
      <c r="AD353">
        <v>0.89867761026928294</v>
      </c>
      <c r="AE353" s="8" t="str">
        <f t="shared" si="42"/>
        <v>2012-05-23</v>
      </c>
      <c r="AF353" s="9" t="str">
        <f t="shared" si="43"/>
        <v>5/23/2012</v>
      </c>
      <c r="AG353" s="8">
        <f t="shared" si="44"/>
        <v>0.89485932552840397</v>
      </c>
    </row>
    <row r="354" spans="8:33">
      <c r="H354" s="8">
        <f t="shared" si="40"/>
        <v>201419</v>
      </c>
      <c r="I354" s="13">
        <v>41768</v>
      </c>
      <c r="J354" s="12">
        <v>1400.9</v>
      </c>
      <c r="K354" t="str">
        <f t="shared" si="45"/>
        <v>2014-05-09</v>
      </c>
      <c r="L354" s="10">
        <f t="shared" si="41"/>
        <v>0.409756747537739</v>
      </c>
      <c r="AB354" t="s">
        <v>41</v>
      </c>
      <c r="AC354">
        <v>0.89505966783361102</v>
      </c>
      <c r="AD354">
        <v>0.89867761026928294</v>
      </c>
      <c r="AE354" s="8" t="str">
        <f t="shared" si="42"/>
        <v>2012-05-24</v>
      </c>
      <c r="AF354" s="9" t="str">
        <f t="shared" si="43"/>
        <v>5/24/2012</v>
      </c>
      <c r="AG354" s="8">
        <f t="shared" si="44"/>
        <v>0.89505966783361102</v>
      </c>
    </row>
    <row r="355" spans="8:33">
      <c r="H355" s="8">
        <f t="shared" si="40"/>
        <v>201420</v>
      </c>
      <c r="I355" s="13">
        <v>41775</v>
      </c>
      <c r="J355" s="12">
        <v>1460.6</v>
      </c>
      <c r="K355" t="str">
        <f t="shared" si="45"/>
        <v>2014-05-16</v>
      </c>
      <c r="L355" s="10">
        <f t="shared" si="41"/>
        <v>0.41321534069517601</v>
      </c>
      <c r="AB355" t="s">
        <v>42</v>
      </c>
      <c r="AC355">
        <v>0.89505966783361102</v>
      </c>
      <c r="AD355">
        <v>0.89867761026928294</v>
      </c>
      <c r="AE355" s="8" t="str">
        <f t="shared" si="42"/>
        <v>2012-05-25</v>
      </c>
      <c r="AF355" s="9" t="str">
        <f t="shared" si="43"/>
        <v>5/25/2012</v>
      </c>
      <c r="AG355" s="8">
        <f t="shared" si="44"/>
        <v>0.89505966783361102</v>
      </c>
    </row>
    <row r="356" spans="8:33">
      <c r="H356" s="8">
        <f t="shared" si="40"/>
        <v>201421</v>
      </c>
      <c r="I356" s="13">
        <v>41782</v>
      </c>
      <c r="J356" s="12">
        <v>1453.4</v>
      </c>
      <c r="K356" t="str">
        <f t="shared" si="45"/>
        <v>2014-05-23</v>
      </c>
      <c r="L356" s="10">
        <f t="shared" si="41"/>
        <v>0.44799454346559803</v>
      </c>
      <c r="AB356" t="s">
        <v>43</v>
      </c>
      <c r="AC356">
        <v>0.89505966783361102</v>
      </c>
      <c r="AD356">
        <v>0.89867761026928294</v>
      </c>
      <c r="AE356" s="8" t="str">
        <f t="shared" si="42"/>
        <v>2012-05-29</v>
      </c>
      <c r="AF356" s="9" t="str">
        <f t="shared" si="43"/>
        <v>5/29/2012</v>
      </c>
      <c r="AG356" s="8">
        <f t="shared" si="44"/>
        <v>0.89505966783361102</v>
      </c>
    </row>
    <row r="357" spans="8:33">
      <c r="H357" s="8">
        <f t="shared" si="40"/>
        <v>201422</v>
      </c>
      <c r="I357" s="13">
        <v>41789</v>
      </c>
      <c r="J357" s="12">
        <v>1382.6</v>
      </c>
      <c r="K357" t="str">
        <f t="shared" si="45"/>
        <v>2014-05-30</v>
      </c>
      <c r="L357" s="10">
        <f t="shared" si="41"/>
        <v>0.463620204949516</v>
      </c>
      <c r="AB357" t="s">
        <v>44</v>
      </c>
      <c r="AC357">
        <v>0.89505966783361102</v>
      </c>
      <c r="AD357">
        <v>0.89867761026928294</v>
      </c>
      <c r="AE357" s="8" t="str">
        <f t="shared" si="42"/>
        <v>2012-05-30</v>
      </c>
      <c r="AF357" s="9" t="str">
        <f t="shared" si="43"/>
        <v>5/30/2012</v>
      </c>
      <c r="AG357" s="8">
        <f t="shared" si="44"/>
        <v>0.89505966783361102</v>
      </c>
    </row>
    <row r="358" spans="8:33">
      <c r="H358" s="8">
        <f t="shared" si="40"/>
        <v>201423</v>
      </c>
      <c r="I358" s="13">
        <v>41796</v>
      </c>
      <c r="J358" s="12">
        <v>1516.9</v>
      </c>
      <c r="K358" t="str">
        <f t="shared" si="45"/>
        <v>2014-06-06</v>
      </c>
      <c r="L358" s="10">
        <f t="shared" si="41"/>
        <v>0.46847875373528802</v>
      </c>
      <c r="AB358" t="s">
        <v>45</v>
      </c>
      <c r="AC358">
        <v>0.89598257612375398</v>
      </c>
      <c r="AD358">
        <v>0.95186131056280798</v>
      </c>
      <c r="AE358" s="8" t="str">
        <f t="shared" si="42"/>
        <v>2012-05-31</v>
      </c>
      <c r="AF358" s="9" t="str">
        <f t="shared" si="43"/>
        <v>5/31/2012</v>
      </c>
      <c r="AG358" s="8">
        <f t="shared" si="44"/>
        <v>0.89598257612375398</v>
      </c>
    </row>
    <row r="359" spans="8:33">
      <c r="H359" s="8">
        <f t="shared" si="40"/>
        <v>201424</v>
      </c>
      <c r="I359" s="13">
        <v>41803</v>
      </c>
      <c r="J359" s="12">
        <v>1321.3</v>
      </c>
      <c r="K359" t="str">
        <f t="shared" si="45"/>
        <v>2014-06-13</v>
      </c>
      <c r="L359" s="10">
        <f t="shared" si="41"/>
        <v>0.41096738430920399</v>
      </c>
      <c r="AB359" t="s">
        <v>46</v>
      </c>
      <c r="AC359">
        <v>0.88344911791249303</v>
      </c>
      <c r="AD359">
        <v>0.93682363320593298</v>
      </c>
      <c r="AE359" s="8" t="str">
        <f t="shared" si="42"/>
        <v>2012-06-01</v>
      </c>
      <c r="AF359" s="9" t="str">
        <f t="shared" si="43"/>
        <v>6/1/2012</v>
      </c>
      <c r="AG359" s="8">
        <f t="shared" si="44"/>
        <v>0.88344911791249303</v>
      </c>
    </row>
    <row r="360" spans="8:33">
      <c r="H360" s="8">
        <f t="shared" si="40"/>
        <v>201425</v>
      </c>
      <c r="I360" s="13">
        <v>41810</v>
      </c>
      <c r="J360" s="12">
        <v>1333.5</v>
      </c>
      <c r="K360" t="str">
        <f t="shared" si="45"/>
        <v>2014-06-20</v>
      </c>
      <c r="L360" s="10">
        <f t="shared" si="41"/>
        <v>0.426359386921487</v>
      </c>
      <c r="AB360" t="s">
        <v>47</v>
      </c>
      <c r="AC360">
        <v>0.88344911791249303</v>
      </c>
      <c r="AD360">
        <v>0.93682363320593298</v>
      </c>
      <c r="AE360" s="8" t="str">
        <f t="shared" si="42"/>
        <v>2012-06-04</v>
      </c>
      <c r="AF360" s="9" t="str">
        <f t="shared" si="43"/>
        <v>6/4/2012</v>
      </c>
      <c r="AG360" s="8">
        <f t="shared" si="44"/>
        <v>0.88344911791249303</v>
      </c>
    </row>
    <row r="361" spans="8:33">
      <c r="H361" s="8">
        <f t="shared" si="40"/>
        <v>201426</v>
      </c>
      <c r="I361" s="13">
        <v>41817</v>
      </c>
      <c r="J361" s="12">
        <v>1341.8</v>
      </c>
      <c r="K361" t="str">
        <f t="shared" si="45"/>
        <v>2014-06-27</v>
      </c>
      <c r="L361" s="10">
        <f t="shared" si="41"/>
        <v>0.46847875373528802</v>
      </c>
      <c r="AB361" t="s">
        <v>48</v>
      </c>
      <c r="AC361">
        <v>0.88344911791249303</v>
      </c>
      <c r="AD361">
        <v>0.93682363320593298</v>
      </c>
      <c r="AE361" s="8" t="str">
        <f t="shared" si="42"/>
        <v>2012-06-05</v>
      </c>
      <c r="AF361" s="9" t="str">
        <f t="shared" si="43"/>
        <v>6/5/2012</v>
      </c>
      <c r="AG361" s="8">
        <f t="shared" si="44"/>
        <v>0.88344911791249303</v>
      </c>
    </row>
    <row r="362" spans="8:33">
      <c r="H362" s="8">
        <f t="shared" si="40"/>
        <v>201427</v>
      </c>
      <c r="I362" s="13">
        <v>41823</v>
      </c>
      <c r="J362" s="12">
        <v>1346.8</v>
      </c>
      <c r="K362" t="str">
        <f t="shared" si="45"/>
        <v>2014-07-03</v>
      </c>
      <c r="L362" s="10">
        <f t="shared" si="41"/>
        <v>0.481783217502605</v>
      </c>
      <c r="AB362" t="s">
        <v>49</v>
      </c>
      <c r="AC362">
        <v>0.88344911791249303</v>
      </c>
      <c r="AD362">
        <v>0.93682363320593298</v>
      </c>
      <c r="AE362" s="8" t="str">
        <f t="shared" si="42"/>
        <v>2012-06-06</v>
      </c>
      <c r="AF362" s="9" t="str">
        <f t="shared" si="43"/>
        <v>6/6/2012</v>
      </c>
      <c r="AG362" s="8">
        <f t="shared" si="44"/>
        <v>0.88344911791249303</v>
      </c>
    </row>
    <row r="363" spans="8:33">
      <c r="H363" s="8">
        <f t="shared" si="40"/>
        <v>201428</v>
      </c>
      <c r="I363" s="13">
        <v>41831</v>
      </c>
      <c r="J363" s="12">
        <v>1329.7</v>
      </c>
      <c r="K363" t="str">
        <f t="shared" si="45"/>
        <v>2014-07-11</v>
      </c>
      <c r="L363" s="10">
        <f t="shared" si="41"/>
        <v>0.42147742037559999</v>
      </c>
      <c r="AB363" t="s">
        <v>50</v>
      </c>
      <c r="AC363">
        <v>0.89196946223805695</v>
      </c>
      <c r="AD363">
        <v>0.99958558352539695</v>
      </c>
      <c r="AE363" s="8" t="str">
        <f t="shared" si="42"/>
        <v>2012-06-07</v>
      </c>
      <c r="AF363" s="9" t="str">
        <f t="shared" si="43"/>
        <v>6/7/2012</v>
      </c>
      <c r="AG363" s="8">
        <f t="shared" si="44"/>
        <v>0.89196946223805695</v>
      </c>
    </row>
    <row r="364" spans="8:33">
      <c r="H364" s="8">
        <f t="shared" si="40"/>
        <v>201429</v>
      </c>
      <c r="I364" s="13">
        <v>41838</v>
      </c>
      <c r="J364" s="12">
        <v>1400.7</v>
      </c>
      <c r="K364" t="str">
        <f t="shared" si="45"/>
        <v>2014-07-18</v>
      </c>
      <c r="L364" s="10">
        <f t="shared" si="41"/>
        <v>0.451552968278365</v>
      </c>
      <c r="AB364" t="s">
        <v>51</v>
      </c>
      <c r="AC364">
        <v>0.89196946223805695</v>
      </c>
      <c r="AD364">
        <v>0.99958558352539695</v>
      </c>
      <c r="AE364" s="8" t="str">
        <f t="shared" si="42"/>
        <v>2012-06-08</v>
      </c>
      <c r="AF364" s="9" t="str">
        <f t="shared" si="43"/>
        <v>6/8/2012</v>
      </c>
      <c r="AG364" s="8">
        <f t="shared" si="44"/>
        <v>0.89196946223805695</v>
      </c>
    </row>
    <row r="365" spans="8:33">
      <c r="H365" s="8">
        <f t="shared" si="40"/>
        <v>201430</v>
      </c>
      <c r="I365" s="13">
        <v>41845</v>
      </c>
      <c r="J365" s="12">
        <v>1327.5</v>
      </c>
      <c r="K365" t="str">
        <f t="shared" si="45"/>
        <v>2014-07-25</v>
      </c>
      <c r="L365" s="10">
        <f t="shared" si="41"/>
        <v>0.451552968278365</v>
      </c>
      <c r="AB365" t="s">
        <v>52</v>
      </c>
      <c r="AC365">
        <v>0.89196946223805695</v>
      </c>
      <c r="AD365">
        <v>0.99958558352539695</v>
      </c>
      <c r="AE365" s="8" t="str">
        <f t="shared" si="42"/>
        <v>2012-06-11</v>
      </c>
      <c r="AF365" s="9" t="str">
        <f t="shared" si="43"/>
        <v>6/11/2012</v>
      </c>
      <c r="AG365" s="8">
        <f t="shared" si="44"/>
        <v>0.89196946223805695</v>
      </c>
    </row>
    <row r="366" spans="8:33">
      <c r="H366" s="8">
        <f t="shared" si="40"/>
        <v>201431</v>
      </c>
      <c r="I366" s="13">
        <v>41852</v>
      </c>
      <c r="J366" s="12">
        <v>1373.9</v>
      </c>
      <c r="K366" t="str">
        <f t="shared" si="45"/>
        <v>2014-08-01</v>
      </c>
      <c r="L366" s="10">
        <f t="shared" si="41"/>
        <v>0.45923072088835198</v>
      </c>
      <c r="AB366" t="s">
        <v>53</v>
      </c>
      <c r="AC366">
        <v>0.89196946223805695</v>
      </c>
      <c r="AD366">
        <v>0.99958558352539695</v>
      </c>
      <c r="AE366" s="8" t="str">
        <f t="shared" si="42"/>
        <v>2012-06-12</v>
      </c>
      <c r="AF366" s="9" t="str">
        <f t="shared" si="43"/>
        <v>6/12/2012</v>
      </c>
      <c r="AG366" s="8">
        <f t="shared" si="44"/>
        <v>0.89196946223805695</v>
      </c>
    </row>
    <row r="367" spans="8:33">
      <c r="H367" s="8">
        <f t="shared" si="40"/>
        <v>201432</v>
      </c>
      <c r="I367" s="13">
        <v>41859</v>
      </c>
      <c r="J367" s="12">
        <v>1342.6</v>
      </c>
      <c r="K367" t="str">
        <f t="shared" si="45"/>
        <v>2014-08-08</v>
      </c>
      <c r="L367" s="10">
        <f t="shared" si="41"/>
        <v>0.42413376349642801</v>
      </c>
      <c r="AB367" t="s">
        <v>54</v>
      </c>
      <c r="AC367">
        <v>0.89196946223805695</v>
      </c>
      <c r="AD367">
        <v>0.99958558352539695</v>
      </c>
      <c r="AE367" s="8" t="str">
        <f t="shared" si="42"/>
        <v>2012-06-13</v>
      </c>
      <c r="AF367" s="9" t="str">
        <f t="shared" si="43"/>
        <v>6/13/2012</v>
      </c>
      <c r="AG367" s="8">
        <f t="shared" si="44"/>
        <v>0.89196946223805695</v>
      </c>
    </row>
    <row r="368" spans="8:33">
      <c r="H368" s="8">
        <f t="shared" si="40"/>
        <v>201433</v>
      </c>
      <c r="I368" s="13">
        <v>41866</v>
      </c>
      <c r="J368" s="12">
        <v>1404.9</v>
      </c>
      <c r="K368" t="str">
        <f t="shared" si="45"/>
        <v>2014-08-15</v>
      </c>
      <c r="L368" s="10">
        <f t="shared" si="41"/>
        <v>0.45575254137027599</v>
      </c>
      <c r="AB368" t="s">
        <v>55</v>
      </c>
      <c r="AC368">
        <v>0.88661468253780695</v>
      </c>
      <c r="AD368">
        <v>0.93682363320593298</v>
      </c>
      <c r="AE368" s="8" t="str">
        <f t="shared" si="42"/>
        <v>2012-06-14</v>
      </c>
      <c r="AF368" s="9" t="str">
        <f t="shared" si="43"/>
        <v>6/14/2012</v>
      </c>
      <c r="AG368" s="8">
        <f t="shared" si="44"/>
        <v>0.88661468253780695</v>
      </c>
    </row>
    <row r="369" spans="8:33">
      <c r="H369" s="8">
        <f t="shared" si="40"/>
        <v>201434</v>
      </c>
      <c r="I369" s="13">
        <v>41873</v>
      </c>
      <c r="J369" s="12">
        <v>1439.4</v>
      </c>
      <c r="K369" t="str">
        <f t="shared" si="45"/>
        <v>2014-08-22</v>
      </c>
      <c r="L369" s="10">
        <f t="shared" si="41"/>
        <v>0.49084413664233301</v>
      </c>
      <c r="AB369" t="s">
        <v>56</v>
      </c>
      <c r="AC369">
        <v>0.88661468253780695</v>
      </c>
      <c r="AD369">
        <v>0.93682363320593298</v>
      </c>
      <c r="AE369" s="8" t="str">
        <f t="shared" si="42"/>
        <v>2012-06-15</v>
      </c>
      <c r="AF369" s="9" t="str">
        <f t="shared" si="43"/>
        <v>6/15/2012</v>
      </c>
      <c r="AG369" s="8">
        <f t="shared" si="44"/>
        <v>0.88661468253780695</v>
      </c>
    </row>
    <row r="370" spans="8:33">
      <c r="H370" s="8">
        <f t="shared" si="40"/>
        <v>201435</v>
      </c>
      <c r="I370" s="13">
        <v>41880</v>
      </c>
      <c r="J370" s="12">
        <v>1436</v>
      </c>
      <c r="K370" t="str">
        <f t="shared" si="45"/>
        <v>2014-08-29</v>
      </c>
      <c r="L370" s="10">
        <f t="shared" si="41"/>
        <v>0.49084413664233301</v>
      </c>
      <c r="AB370" t="s">
        <v>57</v>
      </c>
      <c r="AC370">
        <v>0.88661468253780695</v>
      </c>
      <c r="AD370">
        <v>0.93682363320593298</v>
      </c>
      <c r="AE370" s="8" t="str">
        <f t="shared" si="42"/>
        <v>2012-06-18</v>
      </c>
      <c r="AF370" s="9" t="str">
        <f t="shared" si="43"/>
        <v>6/18/2012</v>
      </c>
      <c r="AG370" s="8">
        <f t="shared" si="44"/>
        <v>0.88661468253780695</v>
      </c>
    </row>
    <row r="371" spans="8:33">
      <c r="H371" s="8">
        <f t="shared" si="40"/>
        <v>201436</v>
      </c>
      <c r="I371" s="13">
        <v>41887</v>
      </c>
      <c r="J371" s="12">
        <v>1275.8</v>
      </c>
      <c r="K371" t="str">
        <f t="shared" si="45"/>
        <v>2014-09-05</v>
      </c>
      <c r="L371" s="10">
        <f t="shared" si="41"/>
        <v>0.487326419100717</v>
      </c>
      <c r="AB371" t="s">
        <v>58</v>
      </c>
      <c r="AC371">
        <v>0.88661468253780695</v>
      </c>
      <c r="AD371">
        <v>0.93682363320593298</v>
      </c>
      <c r="AE371" s="8" t="str">
        <f t="shared" si="42"/>
        <v>2012-06-19</v>
      </c>
      <c r="AF371" s="9" t="str">
        <f t="shared" si="43"/>
        <v>6/19/2012</v>
      </c>
      <c r="AG371" s="8">
        <f t="shared" si="44"/>
        <v>0.88661468253780695</v>
      </c>
    </row>
    <row r="372" spans="8:33">
      <c r="H372" s="8">
        <f t="shared" si="40"/>
        <v>201437</v>
      </c>
      <c r="I372" s="13">
        <v>41894</v>
      </c>
      <c r="J372" s="12">
        <v>1398.4</v>
      </c>
      <c r="K372" t="str">
        <f t="shared" si="45"/>
        <v>2014-09-12</v>
      </c>
      <c r="L372" s="10">
        <f t="shared" si="41"/>
        <v>0.47415919522438099</v>
      </c>
      <c r="AB372" t="s">
        <v>59</v>
      </c>
      <c r="AC372">
        <v>0.88661468253780695</v>
      </c>
      <c r="AD372">
        <v>0.93682363320593298</v>
      </c>
      <c r="AE372" s="8" t="str">
        <f t="shared" si="42"/>
        <v>2012-06-20</v>
      </c>
      <c r="AF372" s="9" t="str">
        <f t="shared" si="43"/>
        <v>6/20/2012</v>
      </c>
      <c r="AG372" s="8">
        <f t="shared" si="44"/>
        <v>0.88661468253780695</v>
      </c>
    </row>
    <row r="373" spans="8:33">
      <c r="H373" s="8">
        <f t="shared" si="40"/>
        <v>201438</v>
      </c>
      <c r="I373" s="13">
        <v>41901</v>
      </c>
      <c r="J373" s="12">
        <v>1335.1</v>
      </c>
      <c r="K373" t="str">
        <f t="shared" si="45"/>
        <v>2014-09-19</v>
      </c>
      <c r="L373" s="10">
        <f t="shared" si="41"/>
        <v>0.39816728626756598</v>
      </c>
      <c r="AB373" t="s">
        <v>60</v>
      </c>
      <c r="AC373">
        <v>0.89395578636495998</v>
      </c>
      <c r="AD373">
        <v>0.99958558352539695</v>
      </c>
      <c r="AE373" s="8" t="str">
        <f t="shared" si="42"/>
        <v>2012-06-21</v>
      </c>
      <c r="AF373" s="9" t="str">
        <f t="shared" si="43"/>
        <v>6/21/2012</v>
      </c>
      <c r="AG373" s="8">
        <f t="shared" si="44"/>
        <v>0.89395578636495998</v>
      </c>
    </row>
    <row r="374" spans="8:33">
      <c r="H374" s="8">
        <f t="shared" si="40"/>
        <v>201439</v>
      </c>
      <c r="I374" s="13">
        <v>41908</v>
      </c>
      <c r="J374" s="12">
        <v>1326.2</v>
      </c>
      <c r="K374" t="str">
        <f t="shared" ref="K374:K386" si="46">TEXT(I374,"yyyy-mm-dd")</f>
        <v>2014-09-26</v>
      </c>
      <c r="L374" s="10">
        <f t="shared" si="41"/>
        <v>0.413732301706637</v>
      </c>
      <c r="AB374" t="s">
        <v>61</v>
      </c>
      <c r="AC374">
        <v>0.89395578636495998</v>
      </c>
      <c r="AD374">
        <v>0.99958558352539695</v>
      </c>
      <c r="AE374" s="8" t="str">
        <f t="shared" si="42"/>
        <v>2012-06-22</v>
      </c>
      <c r="AF374" s="9" t="str">
        <f t="shared" si="43"/>
        <v>6/22/2012</v>
      </c>
      <c r="AG374" s="8">
        <f t="shared" si="44"/>
        <v>0.89395578636495998</v>
      </c>
    </row>
    <row r="375" spans="8:33">
      <c r="H375" s="8">
        <f t="shared" si="40"/>
        <v>201440</v>
      </c>
      <c r="I375" s="13">
        <v>41915</v>
      </c>
      <c r="J375" s="12">
        <v>1387.1</v>
      </c>
      <c r="K375" t="str">
        <f t="shared" si="46"/>
        <v>2014-10-03</v>
      </c>
      <c r="L375" s="10">
        <f t="shared" si="41"/>
        <v>0.43232059685066698</v>
      </c>
      <c r="AB375" t="s">
        <v>62</v>
      </c>
      <c r="AC375">
        <v>0.89395578636495998</v>
      </c>
      <c r="AD375">
        <v>0.99958558352539695</v>
      </c>
      <c r="AE375" s="8" t="str">
        <f t="shared" si="42"/>
        <v>2012-06-25</v>
      </c>
      <c r="AF375" s="9" t="str">
        <f t="shared" si="43"/>
        <v>6/25/2012</v>
      </c>
      <c r="AG375" s="8">
        <f t="shared" si="44"/>
        <v>0.89395578636495998</v>
      </c>
    </row>
    <row r="376" spans="8:33">
      <c r="H376" s="8">
        <f t="shared" si="40"/>
        <v>201441</v>
      </c>
      <c r="I376" s="13">
        <v>41922</v>
      </c>
      <c r="J376" s="12">
        <v>1560.6</v>
      </c>
      <c r="K376" t="str">
        <f t="shared" si="46"/>
        <v>2014-10-10</v>
      </c>
      <c r="L376" s="10">
        <f t="shared" si="41"/>
        <v>0.47165449273347199</v>
      </c>
      <c r="AB376" t="s">
        <v>63</v>
      </c>
      <c r="AC376">
        <v>0.89395578636495998</v>
      </c>
      <c r="AD376">
        <v>0.99958558352539695</v>
      </c>
      <c r="AE376" s="8" t="str">
        <f t="shared" si="42"/>
        <v>2012-06-26</v>
      </c>
      <c r="AF376" s="9" t="str">
        <f t="shared" si="43"/>
        <v>6/26/2012</v>
      </c>
      <c r="AG376" s="8">
        <f t="shared" si="44"/>
        <v>0.89395578636495998</v>
      </c>
    </row>
    <row r="377" spans="8:33">
      <c r="H377" s="8">
        <f t="shared" si="40"/>
        <v>201442</v>
      </c>
      <c r="I377" s="13">
        <v>41929</v>
      </c>
      <c r="J377" s="12">
        <v>1898.2</v>
      </c>
      <c r="K377" s="8" t="str">
        <f t="shared" si="46"/>
        <v>2014-10-17</v>
      </c>
      <c r="L377" s="10">
        <f t="shared" si="41"/>
        <v>0.57517284737260699</v>
      </c>
      <c r="AB377" t="s">
        <v>64</v>
      </c>
      <c r="AC377">
        <v>0.89395578636495998</v>
      </c>
      <c r="AD377">
        <v>0.99958558352539695</v>
      </c>
      <c r="AE377" s="8" t="str">
        <f t="shared" si="42"/>
        <v>2012-06-27</v>
      </c>
      <c r="AF377" s="9" t="str">
        <f t="shared" si="43"/>
        <v>6/27/2012</v>
      </c>
      <c r="AG377" s="8">
        <f t="shared" si="44"/>
        <v>0.89395578636495998</v>
      </c>
    </row>
    <row r="378" spans="8:33">
      <c r="H378" s="8">
        <f t="shared" si="40"/>
        <v>201443</v>
      </c>
      <c r="I378" s="13">
        <v>41936</v>
      </c>
      <c r="J378" s="12">
        <v>1713.6</v>
      </c>
      <c r="K378" s="8" t="str">
        <f t="shared" si="46"/>
        <v>2014-10-24</v>
      </c>
      <c r="L378" s="10">
        <f t="shared" si="41"/>
        <v>0.58745733896979602</v>
      </c>
      <c r="AB378" t="s">
        <v>65</v>
      </c>
      <c r="AC378">
        <v>0.89395578636495998</v>
      </c>
      <c r="AD378">
        <v>0.99958558352539695</v>
      </c>
      <c r="AE378" s="8" t="str">
        <f t="shared" si="42"/>
        <v>2012-06-28</v>
      </c>
      <c r="AF378" s="9" t="str">
        <f t="shared" si="43"/>
        <v>6/28/2012</v>
      </c>
      <c r="AG378" s="8">
        <f t="shared" si="44"/>
        <v>0.89395578636495998</v>
      </c>
    </row>
    <row r="379" spans="8:33">
      <c r="H379" s="8">
        <f t="shared" si="40"/>
        <v>201444</v>
      </c>
      <c r="I379" s="13">
        <v>41943</v>
      </c>
      <c r="J379" s="12">
        <v>1604.8</v>
      </c>
      <c r="K379" s="8" t="str">
        <f t="shared" si="46"/>
        <v>2014-10-31</v>
      </c>
      <c r="L379" s="10">
        <f t="shared" si="41"/>
        <v>0.57181297396619601</v>
      </c>
      <c r="AB379" t="s">
        <v>66</v>
      </c>
      <c r="AC379">
        <v>0.89395578636495998</v>
      </c>
      <c r="AD379">
        <v>0.99958558352539695</v>
      </c>
      <c r="AE379" s="8" t="str">
        <f t="shared" si="42"/>
        <v>2012-06-29</v>
      </c>
      <c r="AF379" s="9" t="str">
        <f t="shared" si="43"/>
        <v>6/29/2012</v>
      </c>
      <c r="AG379" s="8">
        <f t="shared" si="44"/>
        <v>0.89395578636495998</v>
      </c>
    </row>
    <row r="380" spans="8:33">
      <c r="H380" s="8">
        <f t="shared" si="40"/>
        <v>201445</v>
      </c>
      <c r="I380" s="13">
        <v>41950</v>
      </c>
      <c r="J380" s="12">
        <v>1565.3</v>
      </c>
      <c r="K380" s="8" t="str">
        <f t="shared" si="46"/>
        <v>2014-11-07</v>
      </c>
      <c r="L380" s="10">
        <f t="shared" si="41"/>
        <v>0.548579829179903</v>
      </c>
      <c r="AB380" t="s">
        <v>67</v>
      </c>
      <c r="AC380">
        <v>0.87735489357143903</v>
      </c>
      <c r="AD380">
        <v>0.98422936854987297</v>
      </c>
      <c r="AE380" s="8" t="str">
        <f t="shared" si="42"/>
        <v>2012-07-02</v>
      </c>
      <c r="AF380" s="9" t="str">
        <f t="shared" si="43"/>
        <v>7/2/2012</v>
      </c>
      <c r="AG380" s="8">
        <f t="shared" si="44"/>
        <v>0.87735489357143903</v>
      </c>
    </row>
    <row r="381" spans="8:33">
      <c r="H381" s="8">
        <f t="shared" si="40"/>
        <v>201446</v>
      </c>
      <c r="I381" s="13">
        <v>41957</v>
      </c>
      <c r="J381" s="12">
        <v>1563.2</v>
      </c>
      <c r="K381" s="8" t="str">
        <f t="shared" si="46"/>
        <v>2014-11-14</v>
      </c>
      <c r="L381" s="10">
        <f t="shared" si="41"/>
        <v>0.55497671209744104</v>
      </c>
      <c r="AB381" t="s">
        <v>68</v>
      </c>
      <c r="AC381">
        <v>0.87735489357143903</v>
      </c>
      <c r="AD381">
        <v>0.98422936854987297</v>
      </c>
      <c r="AE381" s="8" t="str">
        <f t="shared" si="42"/>
        <v>2012-07-03</v>
      </c>
      <c r="AF381" s="9" t="str">
        <f t="shared" si="43"/>
        <v>7/3/2012</v>
      </c>
      <c r="AG381" s="8">
        <f t="shared" si="44"/>
        <v>0.87735489357143903</v>
      </c>
    </row>
    <row r="382" spans="8:33">
      <c r="H382" s="8">
        <f t="shared" si="40"/>
        <v>201447</v>
      </c>
      <c r="I382" s="13">
        <v>41964</v>
      </c>
      <c r="J382" s="12">
        <v>1547.9</v>
      </c>
      <c r="K382" s="8" t="str">
        <f t="shared" si="46"/>
        <v>2014-11-21</v>
      </c>
      <c r="L382" s="10">
        <f t="shared" si="41"/>
        <v>0.56606721089043699</v>
      </c>
      <c r="AB382" t="s">
        <v>69</v>
      </c>
      <c r="AC382">
        <v>0.89133476417306701</v>
      </c>
      <c r="AD382">
        <v>0.98422936854987297</v>
      </c>
      <c r="AE382" s="8" t="str">
        <f t="shared" si="42"/>
        <v>2012-07-05</v>
      </c>
      <c r="AF382" s="9" t="str">
        <f t="shared" si="43"/>
        <v>7/5/2012</v>
      </c>
      <c r="AG382" s="8">
        <f t="shared" si="44"/>
        <v>0.89133476417306701</v>
      </c>
    </row>
    <row r="383" spans="8:33">
      <c r="H383" s="8">
        <f t="shared" si="40"/>
        <v>201448</v>
      </c>
      <c r="I383" s="13">
        <v>41971</v>
      </c>
      <c r="J383" s="12">
        <v>1366.6</v>
      </c>
      <c r="K383" s="8" t="str">
        <f t="shared" si="46"/>
        <v>2014-11-28</v>
      </c>
      <c r="L383" s="10">
        <f t="shared" si="41"/>
        <v>0.57290983086857505</v>
      </c>
      <c r="AB383" t="s">
        <v>70</v>
      </c>
      <c r="AC383">
        <v>0.89133476417306701</v>
      </c>
      <c r="AD383">
        <v>0.98422936854987297</v>
      </c>
      <c r="AE383" s="8" t="str">
        <f t="shared" si="42"/>
        <v>2012-07-06</v>
      </c>
      <c r="AF383" s="9" t="str">
        <f t="shared" si="43"/>
        <v>7/6/2012</v>
      </c>
      <c r="AG383" s="8">
        <f t="shared" si="44"/>
        <v>0.89133476417306701</v>
      </c>
    </row>
    <row r="384" spans="8:33">
      <c r="H384" s="8">
        <f t="shared" si="40"/>
        <v>201449</v>
      </c>
      <c r="I384" s="13">
        <v>41978</v>
      </c>
      <c r="J384" s="12">
        <v>1548.6</v>
      </c>
      <c r="K384" s="8" t="str">
        <f t="shared" si="46"/>
        <v>2014-12-05</v>
      </c>
      <c r="L384" s="10">
        <f t="shared" si="41"/>
        <v>0.59279776197128298</v>
      </c>
      <c r="AB384" t="s">
        <v>71</v>
      </c>
      <c r="AC384">
        <v>0.89133476417306701</v>
      </c>
      <c r="AD384">
        <v>0.98422936854987297</v>
      </c>
      <c r="AE384" s="8" t="str">
        <f t="shared" si="42"/>
        <v>2012-07-09</v>
      </c>
      <c r="AF384" s="9" t="str">
        <f t="shared" si="43"/>
        <v>7/9/2012</v>
      </c>
      <c r="AG384" s="8">
        <f t="shared" si="44"/>
        <v>0.89133476417306701</v>
      </c>
    </row>
    <row r="385" spans="8:33">
      <c r="H385" s="8">
        <f t="shared" si="40"/>
        <v>201450</v>
      </c>
      <c r="I385" s="13">
        <v>41985</v>
      </c>
      <c r="J385" s="12">
        <v>1518.8</v>
      </c>
      <c r="K385" s="8" t="str">
        <f t="shared" si="46"/>
        <v>2014-12-12</v>
      </c>
      <c r="L385" s="10">
        <f t="shared" si="41"/>
        <v>0.57867105076839898</v>
      </c>
      <c r="AB385" t="s">
        <v>72</v>
      </c>
      <c r="AC385">
        <v>0.89133476417306701</v>
      </c>
      <c r="AD385">
        <v>0.98422936854987297</v>
      </c>
      <c r="AE385" s="8" t="str">
        <f t="shared" si="42"/>
        <v>2012-07-10</v>
      </c>
      <c r="AF385" s="9" t="str">
        <f t="shared" si="43"/>
        <v>7/10/2012</v>
      </c>
      <c r="AG385" s="8">
        <f t="shared" si="44"/>
        <v>0.89133476417306701</v>
      </c>
    </row>
    <row r="386" spans="8:33">
      <c r="H386" s="8">
        <f t="shared" ref="H386:H403" si="47">WEEKNUM(I386)+100*YEAR(I386)</f>
        <v>201451</v>
      </c>
      <c r="I386" s="13">
        <v>41992</v>
      </c>
      <c r="J386" s="12">
        <v>1538.7</v>
      </c>
      <c r="K386" s="8" t="str">
        <f t="shared" si="46"/>
        <v>2014-12-19</v>
      </c>
      <c r="L386" s="10">
        <f>VLOOKUP(H386,$A$4:$C$218,3, FALSE)</f>
        <v>0.61554969638107904</v>
      </c>
      <c r="O386" t="s">
        <v>617</v>
      </c>
      <c r="AB386" t="s">
        <v>73</v>
      </c>
      <c r="AC386">
        <v>0.89133476417306701</v>
      </c>
      <c r="AD386">
        <v>0.98422936854987297</v>
      </c>
      <c r="AE386" s="8" t="str">
        <f t="shared" ref="AE386:AE449" si="48">MID(AB386,2,10)</f>
        <v>2012-07-11</v>
      </c>
      <c r="AF386" s="9" t="str">
        <f t="shared" ref="AF386:AF449" si="49">TEXT(AE386,"m/d/yyyy")</f>
        <v>7/11/2012</v>
      </c>
      <c r="AG386" s="8">
        <f t="shared" ref="AG386:AG449" si="50">AC386</f>
        <v>0.89133476417306701</v>
      </c>
    </row>
    <row r="387" spans="8:33">
      <c r="H387" s="8">
        <f t="shared" si="47"/>
        <v>201452</v>
      </c>
      <c r="I387" s="13">
        <v>41999</v>
      </c>
      <c r="J387" s="12">
        <v>1164.2</v>
      </c>
      <c r="K387" s="8" t="str">
        <f t="shared" ref="K387:K390" si="51">TEXT(I387,"yyyy-mm-dd")</f>
        <v>2014-12-26</v>
      </c>
      <c r="L387" s="10">
        <f>VLOOKUP(H387,$A$4:$C$218,3, FALSE)</f>
        <v>0.605746362235419</v>
      </c>
      <c r="AB387" t="s">
        <v>74</v>
      </c>
      <c r="AC387">
        <v>0.944528095453952</v>
      </c>
      <c r="AD387">
        <v>0.98422936854987297</v>
      </c>
      <c r="AE387" s="8" t="str">
        <f t="shared" si="48"/>
        <v>2012-07-12</v>
      </c>
      <c r="AF387" s="9" t="str">
        <f t="shared" si="49"/>
        <v>7/12/2012</v>
      </c>
      <c r="AG387" s="8">
        <f t="shared" si="50"/>
        <v>0.944528095453952</v>
      </c>
    </row>
    <row r="388" spans="8:33">
      <c r="H388" s="8">
        <f t="shared" si="47"/>
        <v>201501</v>
      </c>
      <c r="I388" s="13">
        <v>42006</v>
      </c>
      <c r="J388" s="12">
        <v>1347.6</v>
      </c>
      <c r="K388" s="8" t="str">
        <f t="shared" si="51"/>
        <v>2015-01-02</v>
      </c>
      <c r="L388" s="10">
        <v>0.59072795930158895</v>
      </c>
      <c r="AB388" t="s">
        <v>75</v>
      </c>
      <c r="AC388">
        <v>0.944528095453952</v>
      </c>
      <c r="AD388">
        <v>0.98422936854987297</v>
      </c>
      <c r="AE388" s="8" t="str">
        <f t="shared" si="48"/>
        <v>2012-07-13</v>
      </c>
      <c r="AF388" s="9" t="str">
        <f t="shared" si="49"/>
        <v>7/13/2012</v>
      </c>
      <c r="AG388" s="8">
        <f t="shared" si="50"/>
        <v>0.944528095453952</v>
      </c>
    </row>
    <row r="389" spans="8:33">
      <c r="H389" s="8">
        <f t="shared" si="47"/>
        <v>201502</v>
      </c>
      <c r="I389" s="13">
        <v>42013</v>
      </c>
      <c r="J389" s="12">
        <v>2308.6999999999998</v>
      </c>
      <c r="K389" s="8" t="str">
        <f t="shared" si="51"/>
        <v>2015-01-09</v>
      </c>
      <c r="L389" s="10">
        <f>VLOOKUP(H389,$A$4:$C$218,3, FALSE)</f>
        <v>0.63580141506138299</v>
      </c>
      <c r="AB389" t="s">
        <v>76</v>
      </c>
      <c r="AC389">
        <v>0.944528095453952</v>
      </c>
      <c r="AD389">
        <v>0.98422936854987297</v>
      </c>
      <c r="AE389" s="8" t="str">
        <f t="shared" si="48"/>
        <v>2012-07-16</v>
      </c>
      <c r="AF389" s="9" t="str">
        <f t="shared" si="49"/>
        <v>7/16/2012</v>
      </c>
      <c r="AG389" s="8">
        <f t="shared" si="50"/>
        <v>0.944528095453952</v>
      </c>
    </row>
    <row r="390" spans="8:33">
      <c r="H390">
        <f>WEEKNUM(I390)+100*YEAR(I390)</f>
        <v>201503</v>
      </c>
      <c r="I390" s="13">
        <v>42020</v>
      </c>
      <c r="J390" s="12">
        <v>2799.3</v>
      </c>
      <c r="K390" s="8" t="str">
        <f t="shared" si="51"/>
        <v>2015-01-16</v>
      </c>
      <c r="L390" s="10">
        <f>VLOOKUP(H390,$A$4:$C$218,3, FALSE)</f>
        <v>0.66264885680248997</v>
      </c>
      <c r="AB390" t="s">
        <v>77</v>
      </c>
      <c r="AC390">
        <v>0.944528095453952</v>
      </c>
      <c r="AD390">
        <v>0.98422936854987297</v>
      </c>
      <c r="AE390" s="8" t="str">
        <f t="shared" si="48"/>
        <v>2012-07-17</v>
      </c>
      <c r="AF390" s="9" t="str">
        <f t="shared" si="49"/>
        <v>7/17/2012</v>
      </c>
      <c r="AG390" s="8">
        <f t="shared" si="50"/>
        <v>0.944528095453952</v>
      </c>
    </row>
    <row r="391" spans="8:33">
      <c r="H391" s="8">
        <f t="shared" si="47"/>
        <v>201504</v>
      </c>
      <c r="I391" s="13">
        <v>42027</v>
      </c>
      <c r="J391" s="12">
        <v>2572.3000000000002</v>
      </c>
      <c r="K391" s="8" t="str">
        <f t="shared" ref="K391:K403" si="52">TEXT(I391,"yyyy-mm-dd")</f>
        <v>2015-01-23</v>
      </c>
      <c r="L391" s="10">
        <f t="shared" ref="L391:L393" si="53">VLOOKUP(H391,$A$4:$C$218,3, FALSE)</f>
        <v>0.664741267487021</v>
      </c>
      <c r="AB391" t="s">
        <v>78</v>
      </c>
      <c r="AC391">
        <v>0.944528095453952</v>
      </c>
      <c r="AD391">
        <v>0.98422936854987297</v>
      </c>
      <c r="AE391" s="8" t="str">
        <f t="shared" si="48"/>
        <v>2012-07-18</v>
      </c>
      <c r="AF391" s="9" t="str">
        <f t="shared" si="49"/>
        <v>7/18/2012</v>
      </c>
      <c r="AG391" s="8">
        <f t="shared" si="50"/>
        <v>0.944528095453952</v>
      </c>
    </row>
    <row r="392" spans="8:33">
      <c r="H392" s="8">
        <f t="shared" si="47"/>
        <v>201505</v>
      </c>
      <c r="I392" s="13">
        <v>42034</v>
      </c>
      <c r="J392" s="12">
        <v>2584.8000000000002</v>
      </c>
      <c r="K392" s="8" t="str">
        <f t="shared" si="52"/>
        <v>2015-01-30</v>
      </c>
      <c r="L392" s="10">
        <f t="shared" si="53"/>
        <v>0.66264885680248997</v>
      </c>
      <c r="AB392" t="s">
        <v>79</v>
      </c>
      <c r="AC392">
        <v>0.97186924857157997</v>
      </c>
      <c r="AD392">
        <v>0.99946935696259598</v>
      </c>
      <c r="AE392" s="8" t="str">
        <f t="shared" si="48"/>
        <v>2012-07-19</v>
      </c>
      <c r="AF392" s="9" t="str">
        <f t="shared" si="49"/>
        <v>7/19/2012</v>
      </c>
      <c r="AG392" s="8">
        <f t="shared" si="50"/>
        <v>0.97186924857157997</v>
      </c>
    </row>
    <row r="393" spans="8:33">
      <c r="H393" s="8">
        <f t="shared" si="47"/>
        <v>201506</v>
      </c>
      <c r="I393" s="13">
        <v>42041</v>
      </c>
      <c r="J393" s="12">
        <v>2291.3000000000002</v>
      </c>
      <c r="K393" s="8" t="str">
        <f t="shared" si="52"/>
        <v>2015-02-06</v>
      </c>
      <c r="L393" s="10">
        <f t="shared" si="53"/>
        <v>0.68438167594716104</v>
      </c>
      <c r="AB393" t="s">
        <v>80</v>
      </c>
      <c r="AC393">
        <v>0.97186924857157997</v>
      </c>
      <c r="AD393">
        <v>0.99946935696259598</v>
      </c>
      <c r="AE393" s="8" t="str">
        <f t="shared" si="48"/>
        <v>2012-07-20</v>
      </c>
      <c r="AF393" s="9" t="str">
        <f t="shared" si="49"/>
        <v>7/20/2012</v>
      </c>
      <c r="AG393" s="8">
        <f t="shared" si="50"/>
        <v>0.97186924857157997</v>
      </c>
    </row>
    <row r="394" spans="8:33">
      <c r="H394" s="8">
        <f t="shared" si="47"/>
        <v>201507</v>
      </c>
      <c r="I394" s="13">
        <v>42048</v>
      </c>
      <c r="J394" s="12">
        <v>1904.2</v>
      </c>
      <c r="K394" s="8" t="str">
        <f t="shared" si="52"/>
        <v>2015-02-13</v>
      </c>
      <c r="L394" s="10">
        <f>VLOOKUP(H394,$A$4:$C$225,3, FALSE)</f>
        <v>0.64890841265420796</v>
      </c>
      <c r="AB394" t="s">
        <v>81</v>
      </c>
      <c r="AC394">
        <v>0.97186924857157997</v>
      </c>
      <c r="AD394">
        <v>0.99946935696259598</v>
      </c>
      <c r="AE394" s="8" t="str">
        <f t="shared" si="48"/>
        <v>2012-07-23</v>
      </c>
      <c r="AF394" s="9" t="str">
        <f t="shared" si="49"/>
        <v>7/23/2012</v>
      </c>
      <c r="AG394" s="8">
        <f t="shared" si="50"/>
        <v>0.97186924857157997</v>
      </c>
    </row>
    <row r="395" spans="8:33">
      <c r="H395" s="8">
        <f t="shared" si="47"/>
        <v>201508</v>
      </c>
      <c r="I395" s="13">
        <v>42055</v>
      </c>
      <c r="J395" s="12">
        <v>1703.1</v>
      </c>
      <c r="K395" s="8" t="str">
        <f t="shared" si="52"/>
        <v>2015-02-20</v>
      </c>
      <c r="L395" s="10">
        <f t="shared" ref="L395:L398" si="54">VLOOKUP(H395,$A$4:$C$225,3, FALSE)</f>
        <v>0.62651628119673397</v>
      </c>
      <c r="AB395" t="s">
        <v>82</v>
      </c>
      <c r="AC395">
        <v>0.97186924857157997</v>
      </c>
      <c r="AD395">
        <v>0.99946935696259598</v>
      </c>
      <c r="AE395" s="8" t="str">
        <f t="shared" si="48"/>
        <v>2012-07-24</v>
      </c>
      <c r="AF395" s="9" t="str">
        <f t="shared" si="49"/>
        <v>7/24/2012</v>
      </c>
      <c r="AG395" s="8">
        <f t="shared" si="50"/>
        <v>0.97186924857157997</v>
      </c>
    </row>
    <row r="396" spans="8:33">
      <c r="H396" s="8">
        <f t="shared" si="47"/>
        <v>201509</v>
      </c>
      <c r="I396" s="13">
        <v>42062</v>
      </c>
      <c r="J396" s="12">
        <v>1740.3</v>
      </c>
      <c r="K396" s="8" t="str">
        <f t="shared" si="52"/>
        <v>2015-02-27</v>
      </c>
      <c r="L396" s="10">
        <f t="shared" si="54"/>
        <v>0.61098575112407705</v>
      </c>
      <c r="AB396" t="s">
        <v>83</v>
      </c>
      <c r="AC396">
        <v>0.97186924857157997</v>
      </c>
      <c r="AD396">
        <v>0.99946935696259598</v>
      </c>
      <c r="AE396" s="8" t="str">
        <f t="shared" si="48"/>
        <v>2012-07-25</v>
      </c>
      <c r="AF396" s="9" t="str">
        <f t="shared" si="49"/>
        <v>7/25/2012</v>
      </c>
      <c r="AG396" s="8">
        <f t="shared" si="50"/>
        <v>0.97186924857157997</v>
      </c>
    </row>
    <row r="397" spans="8:33">
      <c r="H397" s="8">
        <f t="shared" si="47"/>
        <v>201510</v>
      </c>
      <c r="I397" s="13">
        <v>42069</v>
      </c>
      <c r="J397" s="12">
        <v>1685.7</v>
      </c>
      <c r="K397" s="8" t="str">
        <f t="shared" si="52"/>
        <v>2015-03-06</v>
      </c>
      <c r="L397" s="10">
        <f t="shared" si="54"/>
        <v>0.61966926616186602</v>
      </c>
      <c r="AB397" t="s">
        <v>84</v>
      </c>
      <c r="AC397">
        <v>0.98447138587305705</v>
      </c>
      <c r="AD397">
        <v>0.99946935696259598</v>
      </c>
      <c r="AE397" s="8" t="str">
        <f t="shared" si="48"/>
        <v>2012-07-26</v>
      </c>
      <c r="AF397" s="9" t="str">
        <f t="shared" si="49"/>
        <v>7/26/2012</v>
      </c>
      <c r="AG397" s="8">
        <f t="shared" si="50"/>
        <v>0.98447138587305705</v>
      </c>
    </row>
    <row r="398" spans="8:33">
      <c r="H398" s="8">
        <f t="shared" si="47"/>
        <v>201511</v>
      </c>
      <c r="I398" s="13">
        <v>42076</v>
      </c>
      <c r="J398" s="12">
        <v>1623.6</v>
      </c>
      <c r="K398" s="8" t="str">
        <f t="shared" si="52"/>
        <v>2015-03-13</v>
      </c>
      <c r="L398" s="10">
        <f t="shared" si="54"/>
        <v>0.57559445438514301</v>
      </c>
      <c r="AB398" t="s">
        <v>85</v>
      </c>
      <c r="AC398">
        <v>0.97186924857157997</v>
      </c>
      <c r="AD398">
        <v>0.99946935696259598</v>
      </c>
      <c r="AE398" s="8" t="str">
        <f t="shared" si="48"/>
        <v>2012-07-27</v>
      </c>
      <c r="AF398" s="9" t="str">
        <f t="shared" si="49"/>
        <v>7/27/2012</v>
      </c>
      <c r="AG398" s="8">
        <f t="shared" si="50"/>
        <v>0.97186924857157997</v>
      </c>
    </row>
    <row r="399" spans="8:33">
      <c r="H399" s="8">
        <f t="shared" si="47"/>
        <v>201512</v>
      </c>
      <c r="I399" s="13">
        <v>42083</v>
      </c>
      <c r="J399" s="12">
        <v>1860.8</v>
      </c>
      <c r="K399" s="8" t="str">
        <f t="shared" si="52"/>
        <v>2015-03-20</v>
      </c>
      <c r="L399" s="10">
        <f>VLOOKUP(H399,$A$4:$C$229,3, FALSE)</f>
        <v>0.609371962286406</v>
      </c>
      <c r="AB399" t="s">
        <v>86</v>
      </c>
      <c r="AC399">
        <v>0.98447138587305705</v>
      </c>
      <c r="AD399">
        <v>0.99946935696259598</v>
      </c>
      <c r="AE399" s="8" t="str">
        <f t="shared" si="48"/>
        <v>2012-07-30</v>
      </c>
      <c r="AF399" s="9" t="str">
        <f t="shared" si="49"/>
        <v>7/30/2012</v>
      </c>
      <c r="AG399" s="8">
        <f t="shared" si="50"/>
        <v>0.98447138587305705</v>
      </c>
    </row>
    <row r="400" spans="8:33">
      <c r="H400" s="8">
        <f t="shared" si="47"/>
        <v>201513</v>
      </c>
      <c r="I400" s="13">
        <v>42090</v>
      </c>
      <c r="J400" s="12">
        <v>1941.6</v>
      </c>
      <c r="K400" s="8" t="str">
        <f t="shared" si="52"/>
        <v>2015-03-27</v>
      </c>
      <c r="L400" s="10">
        <f t="shared" ref="L400:L402" si="55">VLOOKUP(H400,$A$4:$C$229,3, FALSE)</f>
        <v>0.64195316325793905</v>
      </c>
      <c r="AB400" t="s">
        <v>87</v>
      </c>
      <c r="AC400">
        <v>0.98447138587305705</v>
      </c>
      <c r="AD400">
        <v>0.99946935696259598</v>
      </c>
      <c r="AE400" s="8" t="str">
        <f t="shared" si="48"/>
        <v>2012-07-31</v>
      </c>
      <c r="AF400" s="9" t="str">
        <f t="shared" si="49"/>
        <v>7/31/2012</v>
      </c>
      <c r="AG400" s="8">
        <f t="shared" si="50"/>
        <v>0.98447138587305705</v>
      </c>
    </row>
    <row r="401" spans="8:33">
      <c r="H401" s="8">
        <f t="shared" si="47"/>
        <v>201514</v>
      </c>
      <c r="I401" s="13">
        <v>42097</v>
      </c>
      <c r="J401" s="12">
        <v>1854.7</v>
      </c>
      <c r="K401" s="8" t="str">
        <f t="shared" si="52"/>
        <v>2015-04-03</v>
      </c>
      <c r="L401" s="10">
        <f t="shared" si="55"/>
        <v>0.62812472062617597</v>
      </c>
      <c r="AB401" t="s">
        <v>88</v>
      </c>
      <c r="AC401">
        <v>0.97289569754528904</v>
      </c>
      <c r="AD401">
        <v>0.98194297657317497</v>
      </c>
      <c r="AE401" s="8" t="str">
        <f t="shared" si="48"/>
        <v>2012-08-01</v>
      </c>
      <c r="AF401" s="9" t="str">
        <f t="shared" si="49"/>
        <v>8/1/2012</v>
      </c>
      <c r="AG401" s="8">
        <f t="shared" si="50"/>
        <v>0.97289569754528904</v>
      </c>
    </row>
    <row r="402" spans="8:33">
      <c r="H402" s="8">
        <f t="shared" si="47"/>
        <v>201515</v>
      </c>
      <c r="I402" s="13">
        <v>42104</v>
      </c>
      <c r="J402" s="12">
        <v>1804.6</v>
      </c>
      <c r="K402" s="8" t="str">
        <f t="shared" si="52"/>
        <v>2015-04-10</v>
      </c>
      <c r="L402" s="10">
        <f t="shared" si="55"/>
        <v>0.64478767281568505</v>
      </c>
      <c r="AB402" t="s">
        <v>89</v>
      </c>
      <c r="AC402">
        <v>0.93852225394978095</v>
      </c>
      <c r="AD402">
        <v>0.95794218428734701</v>
      </c>
      <c r="AE402" s="8" t="str">
        <f t="shared" si="48"/>
        <v>2012-08-02</v>
      </c>
      <c r="AF402" s="9" t="str">
        <f t="shared" si="49"/>
        <v>8/2/2012</v>
      </c>
      <c r="AG402" s="8">
        <f t="shared" si="50"/>
        <v>0.93852225394978095</v>
      </c>
    </row>
    <row r="403" spans="8:33">
      <c r="H403" s="8">
        <f t="shared" si="47"/>
        <v>201516</v>
      </c>
      <c r="I403" s="13">
        <v>42111</v>
      </c>
      <c r="J403" s="12">
        <v>1817</v>
      </c>
      <c r="K403" s="8" t="str">
        <f t="shared" si="52"/>
        <v>2015-04-17</v>
      </c>
      <c r="L403" s="10">
        <f>VLOOKUP(H403,$A$4:$C$229,3, FALSE)</f>
        <v>0.63088888629855699</v>
      </c>
      <c r="AB403" t="s">
        <v>90</v>
      </c>
      <c r="AC403">
        <v>0.93852225394978095</v>
      </c>
      <c r="AD403">
        <v>0.95794218428734701</v>
      </c>
      <c r="AE403" s="8" t="str">
        <f t="shared" si="48"/>
        <v>2012-08-03</v>
      </c>
      <c r="AF403" s="9" t="str">
        <f t="shared" si="49"/>
        <v>8/3/2012</v>
      </c>
      <c r="AG403" s="8">
        <f t="shared" si="50"/>
        <v>0.93852225394978095</v>
      </c>
    </row>
    <row r="404" spans="8:33">
      <c r="AB404" t="s">
        <v>91</v>
      </c>
      <c r="AC404">
        <v>0.93852225394978095</v>
      </c>
      <c r="AD404">
        <v>0.95794218428734701</v>
      </c>
      <c r="AE404" s="8" t="str">
        <f t="shared" si="48"/>
        <v>2012-08-06</v>
      </c>
      <c r="AF404" s="9" t="str">
        <f t="shared" si="49"/>
        <v>8/6/2012</v>
      </c>
      <c r="AG404" s="8">
        <f t="shared" si="50"/>
        <v>0.93852225394978095</v>
      </c>
    </row>
    <row r="405" spans="8:33">
      <c r="AB405" t="s">
        <v>92</v>
      </c>
      <c r="AC405">
        <v>0.93852225394978095</v>
      </c>
      <c r="AD405">
        <v>0.95794218428734701</v>
      </c>
      <c r="AE405" s="8" t="str">
        <f t="shared" si="48"/>
        <v>2012-08-07</v>
      </c>
      <c r="AF405" s="9" t="str">
        <f t="shared" si="49"/>
        <v>8/7/2012</v>
      </c>
      <c r="AG405" s="8">
        <f t="shared" si="50"/>
        <v>0.93852225394978095</v>
      </c>
    </row>
    <row r="406" spans="8:33">
      <c r="AB406" t="s">
        <v>93</v>
      </c>
      <c r="AC406">
        <v>0.93852225394978095</v>
      </c>
      <c r="AD406">
        <v>0.95794218428734701</v>
      </c>
      <c r="AE406" s="8" t="str">
        <f t="shared" si="48"/>
        <v>2012-08-08</v>
      </c>
      <c r="AF406" s="9" t="str">
        <f t="shared" si="49"/>
        <v>8/8/2012</v>
      </c>
      <c r="AG406" s="8">
        <f t="shared" si="50"/>
        <v>0.93852225394978095</v>
      </c>
    </row>
    <row r="407" spans="8:33">
      <c r="AB407" t="s">
        <v>94</v>
      </c>
      <c r="AC407">
        <v>0.88830449257823196</v>
      </c>
      <c r="AD407">
        <v>0.95794218428734701</v>
      </c>
      <c r="AE407" s="8" t="str">
        <f t="shared" si="48"/>
        <v>2012-08-09</v>
      </c>
      <c r="AF407" s="9" t="str">
        <f t="shared" si="49"/>
        <v>8/9/2012</v>
      </c>
      <c r="AG407" s="8">
        <f t="shared" si="50"/>
        <v>0.88830449257823196</v>
      </c>
    </row>
    <row r="408" spans="8:33">
      <c r="AB408" t="s">
        <v>95</v>
      </c>
      <c r="AC408">
        <v>0.88830449257823196</v>
      </c>
      <c r="AD408">
        <v>0.95794218428734701</v>
      </c>
      <c r="AE408" s="8" t="str">
        <f t="shared" si="48"/>
        <v>2012-08-10</v>
      </c>
      <c r="AF408" s="9" t="str">
        <f t="shared" si="49"/>
        <v>8/10/2012</v>
      </c>
      <c r="AG408" s="8">
        <f t="shared" si="50"/>
        <v>0.88830449257823196</v>
      </c>
    </row>
    <row r="409" spans="8:33">
      <c r="AB409" t="s">
        <v>96</v>
      </c>
      <c r="AC409">
        <v>0.88830449257823196</v>
      </c>
      <c r="AD409">
        <v>0.95794218428734701</v>
      </c>
      <c r="AE409" s="8" t="str">
        <f t="shared" si="48"/>
        <v>2012-08-13</v>
      </c>
      <c r="AF409" s="9" t="str">
        <f t="shared" si="49"/>
        <v>8/13/2012</v>
      </c>
      <c r="AG409" s="8">
        <f t="shared" si="50"/>
        <v>0.88830449257823196</v>
      </c>
    </row>
    <row r="410" spans="8:33">
      <c r="AB410" t="s">
        <v>97</v>
      </c>
      <c r="AC410">
        <v>0.88830449257823196</v>
      </c>
      <c r="AD410">
        <v>0.95794218428734701</v>
      </c>
      <c r="AE410" s="8" t="str">
        <f t="shared" si="48"/>
        <v>2012-08-14</v>
      </c>
      <c r="AF410" s="9" t="str">
        <f t="shared" si="49"/>
        <v>8/14/2012</v>
      </c>
      <c r="AG410" s="8">
        <f t="shared" si="50"/>
        <v>0.88830449257823196</v>
      </c>
    </row>
    <row r="411" spans="8:33">
      <c r="AB411" t="s">
        <v>98</v>
      </c>
      <c r="AC411">
        <v>0.88830449257823196</v>
      </c>
      <c r="AD411">
        <v>0.95794218428734701</v>
      </c>
      <c r="AE411" s="8" t="str">
        <f t="shared" si="48"/>
        <v>2012-08-15</v>
      </c>
      <c r="AF411" s="9" t="str">
        <f t="shared" si="49"/>
        <v>8/15/2012</v>
      </c>
      <c r="AG411" s="8">
        <f t="shared" si="50"/>
        <v>0.88830449257823196</v>
      </c>
    </row>
    <row r="412" spans="8:33">
      <c r="AB412" t="s">
        <v>99</v>
      </c>
      <c r="AC412">
        <v>0.871668034024078</v>
      </c>
      <c r="AD412">
        <v>0.95794218428734701</v>
      </c>
      <c r="AE412" s="8" t="str">
        <f t="shared" si="48"/>
        <v>2012-08-16</v>
      </c>
      <c r="AF412" s="9" t="str">
        <f t="shared" si="49"/>
        <v>8/16/2012</v>
      </c>
      <c r="AG412" s="8">
        <f t="shared" si="50"/>
        <v>0.871668034024078</v>
      </c>
    </row>
    <row r="413" spans="8:33">
      <c r="AB413" t="s">
        <v>100</v>
      </c>
      <c r="AC413">
        <v>0.871668034024078</v>
      </c>
      <c r="AD413">
        <v>0.95794218428734701</v>
      </c>
      <c r="AE413" s="8" t="str">
        <f t="shared" si="48"/>
        <v>2012-08-17</v>
      </c>
      <c r="AF413" s="9" t="str">
        <f t="shared" si="49"/>
        <v>8/17/2012</v>
      </c>
      <c r="AG413" s="8">
        <f t="shared" si="50"/>
        <v>0.871668034024078</v>
      </c>
    </row>
    <row r="414" spans="8:33">
      <c r="AB414" t="s">
        <v>101</v>
      </c>
      <c r="AC414">
        <v>0.871668034024078</v>
      </c>
      <c r="AD414">
        <v>0.95794218428734701</v>
      </c>
      <c r="AE414" s="8" t="str">
        <f t="shared" si="48"/>
        <v>2012-08-20</v>
      </c>
      <c r="AF414" s="9" t="str">
        <f t="shared" si="49"/>
        <v>8/20/2012</v>
      </c>
      <c r="AG414" s="8">
        <f t="shared" si="50"/>
        <v>0.871668034024078</v>
      </c>
    </row>
    <row r="415" spans="8:33">
      <c r="AB415" t="s">
        <v>102</v>
      </c>
      <c r="AC415">
        <v>0.871668034024078</v>
      </c>
      <c r="AD415">
        <v>0.95794218428734701</v>
      </c>
      <c r="AE415" s="8" t="str">
        <f t="shared" si="48"/>
        <v>2012-08-21</v>
      </c>
      <c r="AF415" s="9" t="str">
        <f t="shared" si="49"/>
        <v>8/21/2012</v>
      </c>
      <c r="AG415" s="8">
        <f t="shared" si="50"/>
        <v>0.871668034024078</v>
      </c>
    </row>
    <row r="416" spans="8:33">
      <c r="AB416" t="s">
        <v>103</v>
      </c>
      <c r="AC416">
        <v>0.871668034024078</v>
      </c>
      <c r="AD416">
        <v>0.95794218428734701</v>
      </c>
      <c r="AE416" s="8" t="str">
        <f t="shared" si="48"/>
        <v>2012-08-22</v>
      </c>
      <c r="AF416" s="9" t="str">
        <f t="shared" si="49"/>
        <v>8/22/2012</v>
      </c>
      <c r="AG416" s="8">
        <f t="shared" si="50"/>
        <v>0.871668034024078</v>
      </c>
    </row>
    <row r="417" spans="28:33">
      <c r="AB417" t="s">
        <v>104</v>
      </c>
      <c r="AC417">
        <v>0.85676613742448104</v>
      </c>
      <c r="AD417">
        <v>0.95794218428734701</v>
      </c>
      <c r="AE417" s="8" t="str">
        <f t="shared" si="48"/>
        <v>2012-08-23</v>
      </c>
      <c r="AF417" s="9" t="str">
        <f t="shared" si="49"/>
        <v>8/23/2012</v>
      </c>
      <c r="AG417" s="8">
        <f t="shared" si="50"/>
        <v>0.85676613742448104</v>
      </c>
    </row>
    <row r="418" spans="28:33">
      <c r="AB418" t="s">
        <v>105</v>
      </c>
      <c r="AC418">
        <v>0.85676613742448104</v>
      </c>
      <c r="AD418">
        <v>0.95794218428734701</v>
      </c>
      <c r="AE418" s="8" t="str">
        <f t="shared" si="48"/>
        <v>2012-08-24</v>
      </c>
      <c r="AF418" s="9" t="str">
        <f t="shared" si="49"/>
        <v>8/24/2012</v>
      </c>
      <c r="AG418" s="8">
        <f t="shared" si="50"/>
        <v>0.85676613742448104</v>
      </c>
    </row>
    <row r="419" spans="28:33">
      <c r="AB419" t="s">
        <v>106</v>
      </c>
      <c r="AC419">
        <v>0.85676613742448104</v>
      </c>
      <c r="AD419">
        <v>0.95794218428734701</v>
      </c>
      <c r="AE419" s="8" t="str">
        <f t="shared" si="48"/>
        <v>2012-08-27</v>
      </c>
      <c r="AF419" s="9" t="str">
        <f t="shared" si="49"/>
        <v>8/27/2012</v>
      </c>
      <c r="AG419" s="8">
        <f t="shared" si="50"/>
        <v>0.85676613742448104</v>
      </c>
    </row>
    <row r="420" spans="28:33">
      <c r="AB420" t="s">
        <v>107</v>
      </c>
      <c r="AC420">
        <v>0.85676613742448104</v>
      </c>
      <c r="AD420">
        <v>0.95794218428734701</v>
      </c>
      <c r="AE420" s="8" t="str">
        <f t="shared" si="48"/>
        <v>2012-08-28</v>
      </c>
      <c r="AF420" s="9" t="str">
        <f t="shared" si="49"/>
        <v>8/28/2012</v>
      </c>
      <c r="AG420" s="8">
        <f t="shared" si="50"/>
        <v>0.85676613742448104</v>
      </c>
    </row>
    <row r="421" spans="28:33">
      <c r="AB421" t="s">
        <v>108</v>
      </c>
      <c r="AC421">
        <v>0.85676613742448104</v>
      </c>
      <c r="AD421">
        <v>0.95794218428734701</v>
      </c>
      <c r="AE421" s="8" t="str">
        <f t="shared" si="48"/>
        <v>2012-08-29</v>
      </c>
      <c r="AF421" s="9" t="str">
        <f t="shared" si="49"/>
        <v>8/29/2012</v>
      </c>
      <c r="AG421" s="8">
        <f t="shared" si="50"/>
        <v>0.85676613742448104</v>
      </c>
    </row>
    <row r="422" spans="28:33">
      <c r="AB422" t="s">
        <v>109</v>
      </c>
      <c r="AC422">
        <v>0.88830449257823196</v>
      </c>
      <c r="AD422">
        <v>0.95794218428734701</v>
      </c>
      <c r="AE422" s="8" t="str">
        <f t="shared" si="48"/>
        <v>2012-08-30</v>
      </c>
      <c r="AF422" s="9" t="str">
        <f t="shared" si="49"/>
        <v>8/30/2012</v>
      </c>
      <c r="AG422" s="8">
        <f t="shared" si="50"/>
        <v>0.88830449257823196</v>
      </c>
    </row>
    <row r="423" spans="28:33">
      <c r="AB423" t="s">
        <v>110</v>
      </c>
      <c r="AC423">
        <v>0.88830449257823196</v>
      </c>
      <c r="AD423">
        <v>0.95794218428734701</v>
      </c>
      <c r="AE423" s="8" t="str">
        <f t="shared" si="48"/>
        <v>2012-08-31</v>
      </c>
      <c r="AF423" s="9" t="str">
        <f t="shared" si="49"/>
        <v>8/31/2012</v>
      </c>
      <c r="AG423" s="8">
        <f t="shared" si="50"/>
        <v>0.88830449257823196</v>
      </c>
    </row>
    <row r="424" spans="28:33">
      <c r="AB424" t="s">
        <v>111</v>
      </c>
      <c r="AC424">
        <v>0.86613218698070704</v>
      </c>
      <c r="AD424">
        <v>0.92983121032378002</v>
      </c>
      <c r="AE424" s="8" t="str">
        <f t="shared" si="48"/>
        <v>2012-09-04</v>
      </c>
      <c r="AF424" s="9" t="str">
        <f t="shared" si="49"/>
        <v>9/4/2012</v>
      </c>
      <c r="AG424" s="8">
        <f t="shared" si="50"/>
        <v>0.86613218698070704</v>
      </c>
    </row>
    <row r="425" spans="28:33">
      <c r="AB425" t="s">
        <v>112</v>
      </c>
      <c r="AC425">
        <v>0.86613218698070704</v>
      </c>
      <c r="AD425">
        <v>0.92983121032378002</v>
      </c>
      <c r="AE425" s="8" t="str">
        <f t="shared" si="48"/>
        <v>2012-09-05</v>
      </c>
      <c r="AF425" s="9" t="str">
        <f t="shared" si="49"/>
        <v>9/5/2012</v>
      </c>
      <c r="AG425" s="8">
        <f t="shared" si="50"/>
        <v>0.86613218698070704</v>
      </c>
    </row>
    <row r="426" spans="28:33">
      <c r="AB426" t="s">
        <v>113</v>
      </c>
      <c r="AC426">
        <v>0.91761037893987496</v>
      </c>
      <c r="AD426">
        <v>0.92983121032378002</v>
      </c>
      <c r="AE426" s="8" t="str">
        <f t="shared" si="48"/>
        <v>2012-09-06</v>
      </c>
      <c r="AF426" s="9" t="str">
        <f t="shared" si="49"/>
        <v>9/6/2012</v>
      </c>
      <c r="AG426" s="8">
        <f t="shared" si="50"/>
        <v>0.91761037893987496</v>
      </c>
    </row>
    <row r="427" spans="28:33">
      <c r="AB427" t="s">
        <v>114</v>
      </c>
      <c r="AC427">
        <v>0.91761037893987496</v>
      </c>
      <c r="AD427">
        <v>0.92983121032378002</v>
      </c>
      <c r="AE427" s="8" t="str">
        <f t="shared" si="48"/>
        <v>2012-09-07</v>
      </c>
      <c r="AF427" s="9" t="str">
        <f t="shared" si="49"/>
        <v>9/7/2012</v>
      </c>
      <c r="AG427" s="8">
        <f t="shared" si="50"/>
        <v>0.91761037893987496</v>
      </c>
    </row>
    <row r="428" spans="28:33">
      <c r="AB428" t="s">
        <v>115</v>
      </c>
      <c r="AC428">
        <v>0.91761037893987496</v>
      </c>
      <c r="AD428">
        <v>0.92983121032378002</v>
      </c>
      <c r="AE428" s="8" t="str">
        <f t="shared" si="48"/>
        <v>2012-09-10</v>
      </c>
      <c r="AF428" s="9" t="str">
        <f t="shared" si="49"/>
        <v>9/10/2012</v>
      </c>
      <c r="AG428" s="8">
        <f t="shared" si="50"/>
        <v>0.91761037893987496</v>
      </c>
    </row>
    <row r="429" spans="28:33">
      <c r="AB429" t="s">
        <v>116</v>
      </c>
      <c r="AC429">
        <v>0.91761037893987496</v>
      </c>
      <c r="AD429">
        <v>0.92983121032378002</v>
      </c>
      <c r="AE429" s="8" t="str">
        <f t="shared" si="48"/>
        <v>2012-09-11</v>
      </c>
      <c r="AF429" s="9" t="str">
        <f t="shared" si="49"/>
        <v>9/11/2012</v>
      </c>
      <c r="AG429" s="8">
        <f t="shared" si="50"/>
        <v>0.91761037893987496</v>
      </c>
    </row>
    <row r="430" spans="28:33">
      <c r="AB430" t="s">
        <v>117</v>
      </c>
      <c r="AC430">
        <v>0.91761037893987496</v>
      </c>
      <c r="AD430">
        <v>0.92983121032378002</v>
      </c>
      <c r="AE430" s="8" t="str">
        <f t="shared" si="48"/>
        <v>2012-09-12</v>
      </c>
      <c r="AF430" s="9" t="str">
        <f t="shared" si="49"/>
        <v>9/12/2012</v>
      </c>
      <c r="AG430" s="8">
        <f t="shared" si="50"/>
        <v>0.91761037893987496</v>
      </c>
    </row>
    <row r="431" spans="28:33">
      <c r="AB431" t="s">
        <v>118</v>
      </c>
      <c r="AC431">
        <v>0.91761037893987496</v>
      </c>
      <c r="AD431">
        <v>0.92983121032378002</v>
      </c>
      <c r="AE431" s="8" t="str">
        <f t="shared" si="48"/>
        <v>2012-09-13</v>
      </c>
      <c r="AF431" s="9" t="str">
        <f t="shared" si="49"/>
        <v>9/13/2012</v>
      </c>
      <c r="AG431" s="8">
        <f t="shared" si="50"/>
        <v>0.91761037893987496</v>
      </c>
    </row>
    <row r="432" spans="28:33">
      <c r="AB432" t="s">
        <v>119</v>
      </c>
      <c r="AC432">
        <v>0.91761037893987496</v>
      </c>
      <c r="AD432">
        <v>0.92983121032378002</v>
      </c>
      <c r="AE432" s="8" t="str">
        <f t="shared" si="48"/>
        <v>2012-09-14</v>
      </c>
      <c r="AF432" s="9" t="str">
        <f t="shared" si="49"/>
        <v>9/14/2012</v>
      </c>
      <c r="AG432" s="8">
        <f t="shared" si="50"/>
        <v>0.91761037893987496</v>
      </c>
    </row>
    <row r="433" spans="28:33">
      <c r="AB433" t="s">
        <v>120</v>
      </c>
      <c r="AC433">
        <v>0.91761037893987496</v>
      </c>
      <c r="AD433">
        <v>0.92983121032378002</v>
      </c>
      <c r="AE433" s="8" t="str">
        <f t="shared" si="48"/>
        <v>2012-09-17</v>
      </c>
      <c r="AF433" s="9" t="str">
        <f t="shared" si="49"/>
        <v>9/17/2012</v>
      </c>
      <c r="AG433" s="8">
        <f t="shared" si="50"/>
        <v>0.91761037893987496</v>
      </c>
    </row>
    <row r="434" spans="28:33">
      <c r="AB434" t="s">
        <v>121</v>
      </c>
      <c r="AC434">
        <v>0.91761037893987496</v>
      </c>
      <c r="AD434">
        <v>0.92983121032378002</v>
      </c>
      <c r="AE434" s="8" t="str">
        <f t="shared" si="48"/>
        <v>2012-09-18</v>
      </c>
      <c r="AF434" s="9" t="str">
        <f t="shared" si="49"/>
        <v>9/18/2012</v>
      </c>
      <c r="AG434" s="8">
        <f t="shared" si="50"/>
        <v>0.91761037893987496</v>
      </c>
    </row>
    <row r="435" spans="28:33">
      <c r="AB435" t="s">
        <v>122</v>
      </c>
      <c r="AC435">
        <v>0.91761037893987496</v>
      </c>
      <c r="AD435">
        <v>0.92983121032378002</v>
      </c>
      <c r="AE435" s="8" t="str">
        <f t="shared" si="48"/>
        <v>2012-09-19</v>
      </c>
      <c r="AF435" s="9" t="str">
        <f t="shared" si="49"/>
        <v>9/19/2012</v>
      </c>
      <c r="AG435" s="8">
        <f t="shared" si="50"/>
        <v>0.91761037893987496</v>
      </c>
    </row>
    <row r="436" spans="28:33">
      <c r="AB436" t="s">
        <v>123</v>
      </c>
      <c r="AC436">
        <v>0.95544116739970197</v>
      </c>
      <c r="AD436">
        <v>0.95393620317385897</v>
      </c>
      <c r="AE436" s="8" t="str">
        <f t="shared" si="48"/>
        <v>2012-09-20</v>
      </c>
      <c r="AF436" s="9" t="str">
        <f t="shared" si="49"/>
        <v>9/20/2012</v>
      </c>
      <c r="AG436" s="8">
        <f t="shared" si="50"/>
        <v>0.95544116739970197</v>
      </c>
    </row>
    <row r="437" spans="28:33">
      <c r="AB437" t="s">
        <v>124</v>
      </c>
      <c r="AC437">
        <v>0.95544116739970197</v>
      </c>
      <c r="AD437">
        <v>0.95393620317385897</v>
      </c>
      <c r="AE437" s="8" t="str">
        <f t="shared" si="48"/>
        <v>2012-09-21</v>
      </c>
      <c r="AF437" s="9" t="str">
        <f t="shared" si="49"/>
        <v>9/21/2012</v>
      </c>
      <c r="AG437" s="8">
        <f t="shared" si="50"/>
        <v>0.95544116739970197</v>
      </c>
    </row>
    <row r="438" spans="28:33">
      <c r="AB438" t="s">
        <v>125</v>
      </c>
      <c r="AC438">
        <v>0.95544116739970197</v>
      </c>
      <c r="AD438">
        <v>0.95393620317385897</v>
      </c>
      <c r="AE438" s="8" t="str">
        <f t="shared" si="48"/>
        <v>2012-09-24</v>
      </c>
      <c r="AF438" s="9" t="str">
        <f t="shared" si="49"/>
        <v>9/24/2012</v>
      </c>
      <c r="AG438" s="8">
        <f t="shared" si="50"/>
        <v>0.95544116739970197</v>
      </c>
    </row>
    <row r="439" spans="28:33">
      <c r="AB439" t="s">
        <v>126</v>
      </c>
      <c r="AC439">
        <v>0.95544116739970197</v>
      </c>
      <c r="AD439">
        <v>0.95393620317385897</v>
      </c>
      <c r="AE439" s="8" t="str">
        <f t="shared" si="48"/>
        <v>2012-09-25</v>
      </c>
      <c r="AF439" s="9" t="str">
        <f t="shared" si="49"/>
        <v>9/25/2012</v>
      </c>
      <c r="AG439" s="8">
        <f t="shared" si="50"/>
        <v>0.95544116739970197</v>
      </c>
    </row>
    <row r="440" spans="28:33">
      <c r="AB440" t="s">
        <v>127</v>
      </c>
      <c r="AC440">
        <v>0.95544116739970197</v>
      </c>
      <c r="AD440">
        <v>0.95393620317385897</v>
      </c>
      <c r="AE440" s="8" t="str">
        <f t="shared" si="48"/>
        <v>2012-09-26</v>
      </c>
      <c r="AF440" s="9" t="str">
        <f t="shared" si="49"/>
        <v>9/26/2012</v>
      </c>
      <c r="AG440" s="8">
        <f t="shared" si="50"/>
        <v>0.95544116739970197</v>
      </c>
    </row>
    <row r="441" spans="28:33">
      <c r="AB441" t="s">
        <v>128</v>
      </c>
      <c r="AC441">
        <v>0.96361365224695705</v>
      </c>
      <c r="AD441">
        <v>0.97816944988478005</v>
      </c>
      <c r="AE441" s="8" t="str">
        <f t="shared" si="48"/>
        <v>2012-09-27</v>
      </c>
      <c r="AF441" s="9" t="str">
        <f t="shared" si="49"/>
        <v>9/27/2012</v>
      </c>
      <c r="AG441" s="8">
        <f t="shared" si="50"/>
        <v>0.96361365224695705</v>
      </c>
    </row>
    <row r="442" spans="28:33">
      <c r="AB442" t="s">
        <v>129</v>
      </c>
      <c r="AC442">
        <v>0.96361365224695705</v>
      </c>
      <c r="AD442">
        <v>0.97816944988478005</v>
      </c>
      <c r="AE442" s="8" t="str">
        <f t="shared" si="48"/>
        <v>2012-09-28</v>
      </c>
      <c r="AF442" s="9" t="str">
        <f t="shared" si="49"/>
        <v>9/28/2012</v>
      </c>
      <c r="AG442" s="8">
        <f t="shared" si="50"/>
        <v>0.96361365224695705</v>
      </c>
    </row>
    <row r="443" spans="28:33">
      <c r="AB443" t="s">
        <v>130</v>
      </c>
      <c r="AC443">
        <v>0.95122523158751304</v>
      </c>
      <c r="AD443">
        <v>0.95825995770483297</v>
      </c>
      <c r="AE443" s="8" t="str">
        <f t="shared" si="48"/>
        <v>2012-10-01</v>
      </c>
      <c r="AF443" s="9" t="str">
        <f t="shared" si="49"/>
        <v>10/1/2012</v>
      </c>
      <c r="AG443" s="8">
        <f t="shared" si="50"/>
        <v>0.95122523158751304</v>
      </c>
    </row>
    <row r="444" spans="28:33">
      <c r="AB444" t="s">
        <v>131</v>
      </c>
      <c r="AC444">
        <v>0.95122523158751304</v>
      </c>
      <c r="AD444">
        <v>0.95825995770483297</v>
      </c>
      <c r="AE444" s="8" t="str">
        <f t="shared" si="48"/>
        <v>2012-10-02</v>
      </c>
      <c r="AF444" s="9" t="str">
        <f t="shared" si="49"/>
        <v>10/2/2012</v>
      </c>
      <c r="AG444" s="8">
        <f t="shared" si="50"/>
        <v>0.95122523158751304</v>
      </c>
    </row>
    <row r="445" spans="28:33">
      <c r="AB445" t="s">
        <v>132</v>
      </c>
      <c r="AC445">
        <v>0.95122523158751304</v>
      </c>
      <c r="AD445">
        <v>0.95825995770483297</v>
      </c>
      <c r="AE445" s="8" t="str">
        <f t="shared" si="48"/>
        <v>2012-10-03</v>
      </c>
      <c r="AF445" s="9" t="str">
        <f t="shared" si="49"/>
        <v>10/3/2012</v>
      </c>
      <c r="AG445" s="8">
        <f t="shared" si="50"/>
        <v>0.95122523158751304</v>
      </c>
    </row>
    <row r="446" spans="28:33">
      <c r="AB446" t="s">
        <v>133</v>
      </c>
      <c r="AC446">
        <v>0.95295581960362197</v>
      </c>
      <c r="AD446">
        <v>0.98629620260036099</v>
      </c>
      <c r="AE446" s="8" t="str">
        <f t="shared" si="48"/>
        <v>2012-10-04</v>
      </c>
      <c r="AF446" s="9" t="str">
        <f t="shared" si="49"/>
        <v>10/4/2012</v>
      </c>
      <c r="AG446" s="8">
        <f t="shared" si="50"/>
        <v>0.95295581960362197</v>
      </c>
    </row>
    <row r="447" spans="28:33">
      <c r="AB447" t="s">
        <v>134</v>
      </c>
      <c r="AC447">
        <v>0.95295581960362197</v>
      </c>
      <c r="AD447">
        <v>0.98629620260036099</v>
      </c>
      <c r="AE447" s="8" t="str">
        <f t="shared" si="48"/>
        <v>2012-10-05</v>
      </c>
      <c r="AF447" s="9" t="str">
        <f t="shared" si="49"/>
        <v>10/5/2012</v>
      </c>
      <c r="AG447" s="8">
        <f t="shared" si="50"/>
        <v>0.95295581960362197</v>
      </c>
    </row>
    <row r="448" spans="28:33">
      <c r="AB448" t="s">
        <v>135</v>
      </c>
      <c r="AC448">
        <v>0.95295581960362197</v>
      </c>
      <c r="AD448">
        <v>0.98629620260036099</v>
      </c>
      <c r="AE448" s="8" t="str">
        <f t="shared" si="48"/>
        <v>2012-10-08</v>
      </c>
      <c r="AF448" s="9" t="str">
        <f t="shared" si="49"/>
        <v>10/8/2012</v>
      </c>
      <c r="AG448" s="8">
        <f t="shared" si="50"/>
        <v>0.95295581960362197</v>
      </c>
    </row>
    <row r="449" spans="28:33">
      <c r="AB449" t="s">
        <v>136</v>
      </c>
      <c r="AC449">
        <v>0.95295581960362197</v>
      </c>
      <c r="AD449">
        <v>0.98629620260036099</v>
      </c>
      <c r="AE449" s="8" t="str">
        <f t="shared" si="48"/>
        <v>2012-10-09</v>
      </c>
      <c r="AF449" s="9" t="str">
        <f t="shared" si="49"/>
        <v>10/9/2012</v>
      </c>
      <c r="AG449" s="8">
        <f t="shared" si="50"/>
        <v>0.95295581960362197</v>
      </c>
    </row>
    <row r="450" spans="28:33">
      <c r="AB450" t="s">
        <v>137</v>
      </c>
      <c r="AC450">
        <v>0.95295581960362197</v>
      </c>
      <c r="AD450">
        <v>0.98629620260036099</v>
      </c>
      <c r="AE450" s="8" t="str">
        <f t="shared" ref="AE450:AE501" si="56">MID(AB450,2,10)</f>
        <v>2012-10-10</v>
      </c>
      <c r="AF450" s="9" t="str">
        <f t="shared" ref="AF450:AF501" si="57">TEXT(AE450,"m/d/yyyy")</f>
        <v>10/10/2012</v>
      </c>
      <c r="AG450" s="8">
        <f t="shared" ref="AG450:AG501" si="58">AC450</f>
        <v>0.95295581960362197</v>
      </c>
    </row>
    <row r="451" spans="28:33">
      <c r="AB451" t="s">
        <v>138</v>
      </c>
      <c r="AC451">
        <v>0.95157186742127498</v>
      </c>
      <c r="AD451">
        <v>0.95825995770483297</v>
      </c>
      <c r="AE451" s="8" t="str">
        <f t="shared" si="56"/>
        <v>2012-10-11</v>
      </c>
      <c r="AF451" s="9" t="str">
        <f t="shared" si="57"/>
        <v>10/11/2012</v>
      </c>
      <c r="AG451" s="8">
        <f t="shared" si="58"/>
        <v>0.95157186742127498</v>
      </c>
    </row>
    <row r="452" spans="28:33">
      <c r="AB452" t="s">
        <v>139</v>
      </c>
      <c r="AC452">
        <v>0.95157186742127498</v>
      </c>
      <c r="AD452">
        <v>0.95825995770483297</v>
      </c>
      <c r="AE452" s="8" t="str">
        <f t="shared" si="56"/>
        <v>2012-10-12</v>
      </c>
      <c r="AF452" s="9" t="str">
        <f t="shared" si="57"/>
        <v>10/12/2012</v>
      </c>
      <c r="AG452" s="8">
        <f t="shared" si="58"/>
        <v>0.95157186742127498</v>
      </c>
    </row>
    <row r="453" spans="28:33">
      <c r="AB453" t="s">
        <v>140</v>
      </c>
      <c r="AC453">
        <v>0.95157186742127498</v>
      </c>
      <c r="AD453">
        <v>0.95825995770483297</v>
      </c>
      <c r="AE453" s="8" t="str">
        <f t="shared" si="56"/>
        <v>2012-10-15</v>
      </c>
      <c r="AF453" s="9" t="str">
        <f t="shared" si="57"/>
        <v>10/15/2012</v>
      </c>
      <c r="AG453" s="8">
        <f t="shared" si="58"/>
        <v>0.95157186742127498</v>
      </c>
    </row>
    <row r="454" spans="28:33">
      <c r="AB454" t="s">
        <v>141</v>
      </c>
      <c r="AC454">
        <v>0.95157186742127498</v>
      </c>
      <c r="AD454">
        <v>0.95825995770483297</v>
      </c>
      <c r="AE454" s="8" t="str">
        <f t="shared" si="56"/>
        <v>2012-10-16</v>
      </c>
      <c r="AF454" s="9" t="str">
        <f t="shared" si="57"/>
        <v>10/16/2012</v>
      </c>
      <c r="AG454" s="8">
        <f t="shared" si="58"/>
        <v>0.95157186742127498</v>
      </c>
    </row>
    <row r="455" spans="28:33">
      <c r="AB455" t="s">
        <v>142</v>
      </c>
      <c r="AC455">
        <v>0.95157186742127498</v>
      </c>
      <c r="AD455">
        <v>0.95825995770483297</v>
      </c>
      <c r="AE455" s="8" t="str">
        <f t="shared" si="56"/>
        <v>2012-10-17</v>
      </c>
      <c r="AF455" s="9" t="str">
        <f t="shared" si="57"/>
        <v>10/17/2012</v>
      </c>
      <c r="AG455" s="8">
        <f t="shared" si="58"/>
        <v>0.95157186742127498</v>
      </c>
    </row>
    <row r="456" spans="28:33">
      <c r="AB456" t="s">
        <v>143</v>
      </c>
      <c r="AC456">
        <v>0.95277015909637097</v>
      </c>
      <c r="AD456">
        <v>0.95825995770483297</v>
      </c>
      <c r="AE456" s="8" t="str">
        <f t="shared" si="56"/>
        <v>2012-10-18</v>
      </c>
      <c r="AF456" s="9" t="str">
        <f t="shared" si="57"/>
        <v>10/18/2012</v>
      </c>
      <c r="AG456" s="8">
        <f t="shared" si="58"/>
        <v>0.95277015909637097</v>
      </c>
    </row>
    <row r="457" spans="28:33">
      <c r="AB457" t="s">
        <v>144</v>
      </c>
      <c r="AC457">
        <v>0.95277015909637097</v>
      </c>
      <c r="AD457">
        <v>0.95825995770483297</v>
      </c>
      <c r="AE457" s="8" t="str">
        <f t="shared" si="56"/>
        <v>2012-10-19</v>
      </c>
      <c r="AF457" s="9" t="str">
        <f t="shared" si="57"/>
        <v>10/19/2012</v>
      </c>
      <c r="AG457" s="8">
        <f t="shared" si="58"/>
        <v>0.95277015909637097</v>
      </c>
    </row>
    <row r="458" spans="28:33">
      <c r="AB458" t="s">
        <v>145</v>
      </c>
      <c r="AC458">
        <v>0.95277015909637097</v>
      </c>
      <c r="AD458">
        <v>0.95825995770483297</v>
      </c>
      <c r="AE458" s="8" t="str">
        <f t="shared" si="56"/>
        <v>2012-10-22</v>
      </c>
      <c r="AF458" s="9" t="str">
        <f t="shared" si="57"/>
        <v>10/22/2012</v>
      </c>
      <c r="AG458" s="8">
        <f t="shared" si="58"/>
        <v>0.95277015909637097</v>
      </c>
    </row>
    <row r="459" spans="28:33">
      <c r="AB459" t="s">
        <v>146</v>
      </c>
      <c r="AC459">
        <v>0.95277015909637097</v>
      </c>
      <c r="AD459">
        <v>0.95825995770483297</v>
      </c>
      <c r="AE459" s="8" t="str">
        <f t="shared" si="56"/>
        <v>2012-10-23</v>
      </c>
      <c r="AF459" s="9" t="str">
        <f t="shared" si="57"/>
        <v>10/23/2012</v>
      </c>
      <c r="AG459" s="8">
        <f t="shared" si="58"/>
        <v>0.95277015909637097</v>
      </c>
    </row>
    <row r="460" spans="28:33">
      <c r="AB460" t="s">
        <v>147</v>
      </c>
      <c r="AC460">
        <v>0.95277015909637097</v>
      </c>
      <c r="AD460">
        <v>0.95825995770483297</v>
      </c>
      <c r="AE460" s="8" t="str">
        <f t="shared" si="56"/>
        <v>2012-10-24</v>
      </c>
      <c r="AF460" s="9" t="str">
        <f t="shared" si="57"/>
        <v>10/24/2012</v>
      </c>
      <c r="AG460" s="8">
        <f t="shared" si="58"/>
        <v>0.95277015909637097</v>
      </c>
    </row>
    <row r="461" spans="28:33">
      <c r="AB461" t="s">
        <v>148</v>
      </c>
      <c r="AC461">
        <v>0.950786071684944</v>
      </c>
      <c r="AD461">
        <v>0.95825995770483297</v>
      </c>
      <c r="AE461" s="8" t="str">
        <f t="shared" si="56"/>
        <v>2012-10-25</v>
      </c>
      <c r="AF461" s="9" t="str">
        <f t="shared" si="57"/>
        <v>10/25/2012</v>
      </c>
      <c r="AG461" s="8">
        <f t="shared" si="58"/>
        <v>0.950786071684944</v>
      </c>
    </row>
    <row r="462" spans="28:33">
      <c r="AB462" t="s">
        <v>149</v>
      </c>
      <c r="AC462">
        <v>0.950786071684944</v>
      </c>
      <c r="AD462">
        <v>0.95825995770483297</v>
      </c>
      <c r="AE462" s="8" t="str">
        <f t="shared" si="56"/>
        <v>2012-10-26</v>
      </c>
      <c r="AF462" s="9" t="str">
        <f t="shared" si="57"/>
        <v>10/26/2012</v>
      </c>
      <c r="AG462" s="8">
        <f t="shared" si="58"/>
        <v>0.950786071684944</v>
      </c>
    </row>
    <row r="463" spans="28:33">
      <c r="AB463" t="s">
        <v>150</v>
      </c>
      <c r="AC463">
        <v>0.950786071684944</v>
      </c>
      <c r="AD463">
        <v>0.95825995770483297</v>
      </c>
      <c r="AE463" s="8" t="str">
        <f t="shared" si="56"/>
        <v>2012-10-29</v>
      </c>
      <c r="AF463" s="9" t="str">
        <f t="shared" si="57"/>
        <v>10/29/2012</v>
      </c>
      <c r="AG463" s="8">
        <f t="shared" si="58"/>
        <v>0.950786071684944</v>
      </c>
    </row>
    <row r="464" spans="28:33">
      <c r="AB464" t="s">
        <v>151</v>
      </c>
      <c r="AC464">
        <v>0.950786071684944</v>
      </c>
      <c r="AD464">
        <v>0.95825995770483297</v>
      </c>
      <c r="AE464" s="8" t="str">
        <f t="shared" si="56"/>
        <v>2012-10-30</v>
      </c>
      <c r="AF464" s="9" t="str">
        <f t="shared" si="57"/>
        <v>10/30/2012</v>
      </c>
      <c r="AG464" s="8">
        <f t="shared" si="58"/>
        <v>0.950786071684944</v>
      </c>
    </row>
    <row r="465" spans="28:33">
      <c r="AB465" t="s">
        <v>152</v>
      </c>
      <c r="AC465">
        <v>0.950786071684944</v>
      </c>
      <c r="AD465">
        <v>0.95825995770483297</v>
      </c>
      <c r="AE465" s="8" t="str">
        <f t="shared" si="56"/>
        <v>2012-10-31</v>
      </c>
      <c r="AF465" s="9" t="str">
        <f t="shared" si="57"/>
        <v>10/31/2012</v>
      </c>
      <c r="AG465" s="8">
        <f t="shared" si="58"/>
        <v>0.950786071684944</v>
      </c>
    </row>
    <row r="466" spans="28:33">
      <c r="AB466" t="s">
        <v>153</v>
      </c>
      <c r="AC466">
        <v>0.92568594546185101</v>
      </c>
      <c r="AD466">
        <v>0.92056571627750405</v>
      </c>
      <c r="AE466" s="8" t="str">
        <f t="shared" si="56"/>
        <v>2012-11-01</v>
      </c>
      <c r="AF466" s="9" t="str">
        <f t="shared" si="57"/>
        <v>11/1/2012</v>
      </c>
      <c r="AG466" s="8">
        <f t="shared" si="58"/>
        <v>0.92568594546185101</v>
      </c>
    </row>
    <row r="467" spans="28:33">
      <c r="AB467" t="s">
        <v>154</v>
      </c>
      <c r="AC467">
        <v>0.92568594546185101</v>
      </c>
      <c r="AD467">
        <v>0.92056571627750405</v>
      </c>
      <c r="AE467" s="8" t="str">
        <f t="shared" si="56"/>
        <v>2012-11-02</v>
      </c>
      <c r="AF467" s="9" t="str">
        <f t="shared" si="57"/>
        <v>11/2/2012</v>
      </c>
      <c r="AG467" s="8">
        <f t="shared" si="58"/>
        <v>0.92568594546185101</v>
      </c>
    </row>
    <row r="468" spans="28:33">
      <c r="AB468" t="s">
        <v>155</v>
      </c>
      <c r="AC468">
        <v>0.92568594546185101</v>
      </c>
      <c r="AD468">
        <v>0.92056571627750405</v>
      </c>
      <c r="AE468" s="8" t="str">
        <f t="shared" si="56"/>
        <v>2012-11-05</v>
      </c>
      <c r="AF468" s="9" t="str">
        <f t="shared" si="57"/>
        <v>11/5/2012</v>
      </c>
      <c r="AG468" s="8">
        <f t="shared" si="58"/>
        <v>0.92568594546185101</v>
      </c>
    </row>
    <row r="469" spans="28:33">
      <c r="AB469" t="s">
        <v>156</v>
      </c>
      <c r="AC469">
        <v>0.92568594546185101</v>
      </c>
      <c r="AD469">
        <v>0.92056571627750405</v>
      </c>
      <c r="AE469" s="8" t="str">
        <f t="shared" si="56"/>
        <v>2012-11-06</v>
      </c>
      <c r="AF469" s="9" t="str">
        <f t="shared" si="57"/>
        <v>11/6/2012</v>
      </c>
      <c r="AG469" s="8">
        <f t="shared" si="58"/>
        <v>0.92568594546185101</v>
      </c>
    </row>
    <row r="470" spans="28:33">
      <c r="AB470" t="s">
        <v>157</v>
      </c>
      <c r="AC470">
        <v>0.92568594546185101</v>
      </c>
      <c r="AD470">
        <v>0.92056571627750405</v>
      </c>
      <c r="AE470" s="8" t="str">
        <f t="shared" si="56"/>
        <v>2012-11-07</v>
      </c>
      <c r="AF470" s="9" t="str">
        <f t="shared" si="57"/>
        <v>11/7/2012</v>
      </c>
      <c r="AG470" s="8">
        <f t="shared" si="58"/>
        <v>0.92568594546185101</v>
      </c>
    </row>
    <row r="471" spans="28:33">
      <c r="AB471" t="s">
        <v>158</v>
      </c>
      <c r="AC471">
        <v>0.92529425270600996</v>
      </c>
      <c r="AD471">
        <v>0.92056571627750405</v>
      </c>
      <c r="AE471" s="8" t="str">
        <f t="shared" si="56"/>
        <v>2012-11-08</v>
      </c>
      <c r="AF471" s="9" t="str">
        <f t="shared" si="57"/>
        <v>11/8/2012</v>
      </c>
      <c r="AG471" s="8">
        <f t="shared" si="58"/>
        <v>0.92529425270600996</v>
      </c>
    </row>
    <row r="472" spans="28:33">
      <c r="AB472" t="s">
        <v>159</v>
      </c>
      <c r="AC472">
        <v>0.92529425270600996</v>
      </c>
      <c r="AD472">
        <v>0.92056571627750405</v>
      </c>
      <c r="AE472" s="8" t="str">
        <f t="shared" si="56"/>
        <v>2012-11-09</v>
      </c>
      <c r="AF472" s="9" t="str">
        <f t="shared" si="57"/>
        <v>11/9/2012</v>
      </c>
      <c r="AG472" s="8">
        <f t="shared" si="58"/>
        <v>0.92529425270600996</v>
      </c>
    </row>
    <row r="473" spans="28:33">
      <c r="AB473" t="s">
        <v>160</v>
      </c>
      <c r="AC473">
        <v>0.92529425270600996</v>
      </c>
      <c r="AD473">
        <v>0.92056571627750405</v>
      </c>
      <c r="AE473" s="8" t="str">
        <f t="shared" si="56"/>
        <v>2012-11-12</v>
      </c>
      <c r="AF473" s="9" t="str">
        <f t="shared" si="57"/>
        <v>11/12/2012</v>
      </c>
      <c r="AG473" s="8">
        <f t="shared" si="58"/>
        <v>0.92529425270600996</v>
      </c>
    </row>
    <row r="474" spans="28:33">
      <c r="AB474" t="s">
        <v>161</v>
      </c>
      <c r="AC474">
        <v>0.92529425270600996</v>
      </c>
      <c r="AD474">
        <v>0.92056571627750405</v>
      </c>
      <c r="AE474" s="8" t="str">
        <f t="shared" si="56"/>
        <v>2012-11-13</v>
      </c>
      <c r="AF474" s="9" t="str">
        <f t="shared" si="57"/>
        <v>11/13/2012</v>
      </c>
      <c r="AG474" s="8">
        <f t="shared" si="58"/>
        <v>0.92529425270600996</v>
      </c>
    </row>
    <row r="475" spans="28:33">
      <c r="AB475" t="s">
        <v>162</v>
      </c>
      <c r="AC475">
        <v>0.92529425270600996</v>
      </c>
      <c r="AD475">
        <v>0.92056571627750405</v>
      </c>
      <c r="AE475" s="8" t="str">
        <f t="shared" si="56"/>
        <v>2012-11-14</v>
      </c>
      <c r="AF475" s="9" t="str">
        <f t="shared" si="57"/>
        <v>11/14/2012</v>
      </c>
      <c r="AG475" s="8">
        <f t="shared" si="58"/>
        <v>0.92529425270600996</v>
      </c>
    </row>
    <row r="476" spans="28:33">
      <c r="AB476" t="s">
        <v>163</v>
      </c>
      <c r="AC476">
        <v>0.92772026190850898</v>
      </c>
      <c r="AD476">
        <v>0.94844051510610605</v>
      </c>
      <c r="AE476" s="8" t="str">
        <f t="shared" si="56"/>
        <v>2012-11-15</v>
      </c>
      <c r="AF476" s="9" t="str">
        <f t="shared" si="57"/>
        <v>11/15/2012</v>
      </c>
      <c r="AG476" s="8">
        <f t="shared" si="58"/>
        <v>0.92772026190850898</v>
      </c>
    </row>
    <row r="477" spans="28:33">
      <c r="AB477" t="s">
        <v>164</v>
      </c>
      <c r="AC477">
        <v>0.92529425270600996</v>
      </c>
      <c r="AD477">
        <v>0.92056571627750405</v>
      </c>
      <c r="AE477" s="8" t="str">
        <f t="shared" si="56"/>
        <v>2012-11-16</v>
      </c>
      <c r="AF477" s="9" t="str">
        <f t="shared" si="57"/>
        <v>11/16/2012</v>
      </c>
      <c r="AG477" s="8">
        <f t="shared" si="58"/>
        <v>0.92529425270600996</v>
      </c>
    </row>
    <row r="478" spans="28:33">
      <c r="AB478" t="s">
        <v>165</v>
      </c>
      <c r="AC478">
        <v>0.92529425270600996</v>
      </c>
      <c r="AD478">
        <v>0.92056571627750405</v>
      </c>
      <c r="AE478" s="8" t="str">
        <f t="shared" si="56"/>
        <v>2012-11-19</v>
      </c>
      <c r="AF478" s="9" t="str">
        <f t="shared" si="57"/>
        <v>11/19/2012</v>
      </c>
      <c r="AG478" s="8">
        <f t="shared" si="58"/>
        <v>0.92529425270600996</v>
      </c>
    </row>
    <row r="479" spans="28:33">
      <c r="AB479" t="s">
        <v>166</v>
      </c>
      <c r="AC479">
        <v>0.92772026190850898</v>
      </c>
      <c r="AD479">
        <v>0.94844051510610605</v>
      </c>
      <c r="AE479" s="8" t="str">
        <f t="shared" si="56"/>
        <v>2012-11-20</v>
      </c>
      <c r="AF479" s="9" t="str">
        <f t="shared" si="57"/>
        <v>11/20/2012</v>
      </c>
      <c r="AG479" s="8">
        <f t="shared" si="58"/>
        <v>0.92772026190850898</v>
      </c>
    </row>
    <row r="480" spans="28:33">
      <c r="AB480" t="s">
        <v>167</v>
      </c>
      <c r="AC480">
        <v>0.92988566192488697</v>
      </c>
      <c r="AD480">
        <v>0.97623387233301795</v>
      </c>
      <c r="AE480" s="8" t="str">
        <f t="shared" si="56"/>
        <v>2012-11-23</v>
      </c>
      <c r="AF480" s="9" t="str">
        <f t="shared" si="57"/>
        <v>11/23/2012</v>
      </c>
      <c r="AG480" s="8">
        <f t="shared" si="58"/>
        <v>0.92988566192488697</v>
      </c>
    </row>
    <row r="481" spans="28:33">
      <c r="AB481" t="s">
        <v>168</v>
      </c>
      <c r="AC481">
        <v>0.92988566192488697</v>
      </c>
      <c r="AD481">
        <v>0.97623387233301795</v>
      </c>
      <c r="AE481" s="8" t="str">
        <f t="shared" si="56"/>
        <v>2012-11-26</v>
      </c>
      <c r="AF481" s="9" t="str">
        <f t="shared" si="57"/>
        <v>11/26/2012</v>
      </c>
      <c r="AG481" s="8">
        <f t="shared" si="58"/>
        <v>0.92988566192488697</v>
      </c>
    </row>
    <row r="482" spans="28:33">
      <c r="AB482" t="s">
        <v>169</v>
      </c>
      <c r="AC482">
        <v>0.92988566192488697</v>
      </c>
      <c r="AD482">
        <v>0.97623387233301795</v>
      </c>
      <c r="AE482" s="8" t="str">
        <f t="shared" si="56"/>
        <v>2012-11-27</v>
      </c>
      <c r="AF482" s="9" t="str">
        <f t="shared" si="57"/>
        <v>11/27/2012</v>
      </c>
      <c r="AG482" s="8">
        <f t="shared" si="58"/>
        <v>0.92988566192488697</v>
      </c>
    </row>
    <row r="483" spans="28:33">
      <c r="AB483" t="s">
        <v>170</v>
      </c>
      <c r="AC483">
        <v>0.92988566192488697</v>
      </c>
      <c r="AD483">
        <v>0.97623387233301795</v>
      </c>
      <c r="AE483" s="8" t="str">
        <f t="shared" si="56"/>
        <v>2012-11-28</v>
      </c>
      <c r="AF483" s="9" t="str">
        <f t="shared" si="57"/>
        <v>11/28/2012</v>
      </c>
      <c r="AG483" s="8">
        <f t="shared" si="58"/>
        <v>0.92988566192488697</v>
      </c>
    </row>
    <row r="484" spans="28:33">
      <c r="AB484" t="s">
        <v>171</v>
      </c>
      <c r="AC484">
        <v>0.92962672480790898</v>
      </c>
      <c r="AD484">
        <v>0.97623387233301795</v>
      </c>
      <c r="AE484" s="8" t="str">
        <f t="shared" si="56"/>
        <v>2012-11-29</v>
      </c>
      <c r="AF484" s="9" t="str">
        <f t="shared" si="57"/>
        <v>11/29/2012</v>
      </c>
      <c r="AG484" s="8">
        <f t="shared" si="58"/>
        <v>0.92962672480790898</v>
      </c>
    </row>
    <row r="485" spans="28:33">
      <c r="AB485" t="s">
        <v>172</v>
      </c>
      <c r="AC485">
        <v>0.92962672480790898</v>
      </c>
      <c r="AD485">
        <v>0.97623387233301795</v>
      </c>
      <c r="AE485" s="8" t="str">
        <f t="shared" si="56"/>
        <v>2012-11-30</v>
      </c>
      <c r="AF485" s="9" t="str">
        <f t="shared" si="57"/>
        <v>11/30/2012</v>
      </c>
      <c r="AG485" s="8">
        <f t="shared" si="58"/>
        <v>0.92962672480790898</v>
      </c>
    </row>
    <row r="486" spans="28:33">
      <c r="AB486" t="s">
        <v>173</v>
      </c>
      <c r="AC486">
        <v>0.91261368517922603</v>
      </c>
      <c r="AD486">
        <v>0.95384496957531795</v>
      </c>
      <c r="AE486" s="8" t="str">
        <f t="shared" si="56"/>
        <v>2012-12-03</v>
      </c>
      <c r="AF486" s="9" t="str">
        <f t="shared" si="57"/>
        <v>12/3/2012</v>
      </c>
      <c r="AG486" s="8">
        <f t="shared" si="58"/>
        <v>0.91261368517922603</v>
      </c>
    </row>
    <row r="487" spans="28:33">
      <c r="AB487" t="s">
        <v>174</v>
      </c>
      <c r="AC487">
        <v>0.91261368517922603</v>
      </c>
      <c r="AD487">
        <v>0.95384496957531795</v>
      </c>
      <c r="AE487" s="8" t="str">
        <f t="shared" si="56"/>
        <v>2012-12-04</v>
      </c>
      <c r="AF487" s="9" t="str">
        <f t="shared" si="57"/>
        <v>12/4/2012</v>
      </c>
      <c r="AG487" s="8">
        <f t="shared" si="58"/>
        <v>0.91261368517922603</v>
      </c>
    </row>
    <row r="488" spans="28:33">
      <c r="AB488" t="s">
        <v>175</v>
      </c>
      <c r="AC488">
        <v>0.91261368517922603</v>
      </c>
      <c r="AD488">
        <v>0.95384496957531795</v>
      </c>
      <c r="AE488" s="8" t="str">
        <f t="shared" si="56"/>
        <v>2012-12-05</v>
      </c>
      <c r="AF488" s="9" t="str">
        <f t="shared" si="57"/>
        <v>12/5/2012</v>
      </c>
      <c r="AG488" s="8">
        <f t="shared" si="58"/>
        <v>0.91261368517922603</v>
      </c>
    </row>
    <row r="489" spans="28:33">
      <c r="AB489" t="s">
        <v>176</v>
      </c>
      <c r="AC489">
        <v>0.91054790878492298</v>
      </c>
      <c r="AD489">
        <v>0.92580210181792499</v>
      </c>
      <c r="AE489" s="8" t="str">
        <f t="shared" si="56"/>
        <v>2012-12-06</v>
      </c>
      <c r="AF489" s="9" t="str">
        <f t="shared" si="57"/>
        <v>12/6/2012</v>
      </c>
      <c r="AG489" s="8">
        <f t="shared" si="58"/>
        <v>0.91054790878492298</v>
      </c>
    </row>
    <row r="490" spans="28:33">
      <c r="AB490" t="s">
        <v>177</v>
      </c>
      <c r="AC490">
        <v>0.91054790878492298</v>
      </c>
      <c r="AD490">
        <v>0.92580210181792499</v>
      </c>
      <c r="AE490" s="8" t="str">
        <f t="shared" si="56"/>
        <v>2012-12-07</v>
      </c>
      <c r="AF490" s="9" t="str">
        <f t="shared" si="57"/>
        <v>12/7/2012</v>
      </c>
      <c r="AG490" s="8">
        <f t="shared" si="58"/>
        <v>0.91054790878492298</v>
      </c>
    </row>
    <row r="491" spans="28:33">
      <c r="AB491" t="s">
        <v>178</v>
      </c>
      <c r="AC491">
        <v>0.91054790878492298</v>
      </c>
      <c r="AD491">
        <v>0.92580210181792499</v>
      </c>
      <c r="AE491" s="8" t="str">
        <f t="shared" si="56"/>
        <v>2012-12-10</v>
      </c>
      <c r="AF491" s="9" t="str">
        <f t="shared" si="57"/>
        <v>12/10/2012</v>
      </c>
      <c r="AG491" s="8">
        <f t="shared" si="58"/>
        <v>0.91054790878492298</v>
      </c>
    </row>
    <row r="492" spans="28:33">
      <c r="AB492" t="s">
        <v>179</v>
      </c>
      <c r="AC492">
        <v>0.91054790878492298</v>
      </c>
      <c r="AD492">
        <v>0.92580210181792499</v>
      </c>
      <c r="AE492" s="8" t="str">
        <f t="shared" si="56"/>
        <v>2012-12-11</v>
      </c>
      <c r="AF492" s="9" t="str">
        <f t="shared" si="57"/>
        <v>12/11/2012</v>
      </c>
      <c r="AG492" s="8">
        <f t="shared" si="58"/>
        <v>0.91054790878492298</v>
      </c>
    </row>
    <row r="493" spans="28:33">
      <c r="AB493" t="s">
        <v>180</v>
      </c>
      <c r="AC493">
        <v>0.91054790878492298</v>
      </c>
      <c r="AD493">
        <v>0.92580210181792499</v>
      </c>
      <c r="AE493" s="8" t="str">
        <f t="shared" si="56"/>
        <v>2012-12-12</v>
      </c>
      <c r="AF493" s="9" t="str">
        <f t="shared" si="57"/>
        <v>12/12/2012</v>
      </c>
      <c r="AG493" s="8">
        <f t="shared" si="58"/>
        <v>0.91054790878492298</v>
      </c>
    </row>
    <row r="494" spans="28:33">
      <c r="AB494" t="s">
        <v>181</v>
      </c>
      <c r="AC494">
        <v>0.91261368517922603</v>
      </c>
      <c r="AD494">
        <v>0.95384496957531795</v>
      </c>
      <c r="AE494" s="8" t="str">
        <f t="shared" si="56"/>
        <v>2012-12-13</v>
      </c>
      <c r="AF494" s="9" t="str">
        <f t="shared" si="57"/>
        <v>12/13/2012</v>
      </c>
      <c r="AG494" s="8">
        <f t="shared" si="58"/>
        <v>0.91261368517922603</v>
      </c>
    </row>
    <row r="495" spans="28:33">
      <c r="AB495" t="s">
        <v>182</v>
      </c>
      <c r="AC495">
        <v>0.91261368517922603</v>
      </c>
      <c r="AD495">
        <v>0.95384496957531795</v>
      </c>
      <c r="AE495" s="8" t="str">
        <f t="shared" si="56"/>
        <v>2012-12-14</v>
      </c>
      <c r="AF495" s="9" t="str">
        <f t="shared" si="57"/>
        <v>12/14/2012</v>
      </c>
      <c r="AG495" s="8">
        <f t="shared" si="58"/>
        <v>0.91261368517922603</v>
      </c>
    </row>
    <row r="496" spans="28:33">
      <c r="AB496" t="s">
        <v>183</v>
      </c>
      <c r="AC496">
        <v>0.91261368517922603</v>
      </c>
      <c r="AD496">
        <v>0.95384496957531795</v>
      </c>
      <c r="AE496" s="8" t="str">
        <f t="shared" si="56"/>
        <v>2012-12-17</v>
      </c>
      <c r="AF496" s="9" t="str">
        <f t="shared" si="57"/>
        <v>12/17/2012</v>
      </c>
      <c r="AG496" s="8">
        <f t="shared" si="58"/>
        <v>0.91261368517922603</v>
      </c>
    </row>
    <row r="497" spans="28:33">
      <c r="AB497" t="s">
        <v>184</v>
      </c>
      <c r="AC497">
        <v>0.91261368517922603</v>
      </c>
      <c r="AD497">
        <v>0.95384496957531795</v>
      </c>
      <c r="AE497" s="8" t="str">
        <f t="shared" si="56"/>
        <v>2012-12-18</v>
      </c>
      <c r="AF497" s="9" t="str">
        <f t="shared" si="57"/>
        <v>12/18/2012</v>
      </c>
      <c r="AG497" s="8">
        <f t="shared" si="58"/>
        <v>0.91261368517922603</v>
      </c>
    </row>
    <row r="498" spans="28:33">
      <c r="AB498" t="s">
        <v>185</v>
      </c>
      <c r="AC498">
        <v>0.91261368517922603</v>
      </c>
      <c r="AD498">
        <v>0.95384496957531795</v>
      </c>
      <c r="AE498" s="8" t="str">
        <f t="shared" si="56"/>
        <v>2012-12-19</v>
      </c>
      <c r="AF498" s="9" t="str">
        <f t="shared" si="57"/>
        <v>12/19/2012</v>
      </c>
      <c r="AG498" s="8">
        <f t="shared" si="58"/>
        <v>0.91261368517922603</v>
      </c>
    </row>
    <row r="499" spans="28:33">
      <c r="AB499" t="s">
        <v>186</v>
      </c>
      <c r="AC499">
        <v>0.90964878851271103</v>
      </c>
      <c r="AD499">
        <v>0.89780697954618904</v>
      </c>
      <c r="AE499" s="8" t="str">
        <f t="shared" si="56"/>
        <v>2012-12-20</v>
      </c>
      <c r="AF499" s="9" t="str">
        <f t="shared" si="57"/>
        <v>12/20/2012</v>
      </c>
      <c r="AG499" s="8">
        <f t="shared" si="58"/>
        <v>0.90964878851271103</v>
      </c>
    </row>
    <row r="500" spans="28:33">
      <c r="AB500" t="s">
        <v>187</v>
      </c>
      <c r="AC500">
        <v>0.90964878851271103</v>
      </c>
      <c r="AD500">
        <v>0.89780697954618904</v>
      </c>
      <c r="AE500" s="8" t="str">
        <f t="shared" si="56"/>
        <v>2012-12-21</v>
      </c>
      <c r="AF500" s="9" t="str">
        <f t="shared" si="57"/>
        <v>12/21/2012</v>
      </c>
      <c r="AG500" s="8">
        <f t="shared" si="58"/>
        <v>0.90964878851271103</v>
      </c>
    </row>
    <row r="501" spans="28:33">
      <c r="AB501" t="s">
        <v>188</v>
      </c>
      <c r="AC501">
        <v>0.90964878851271103</v>
      </c>
      <c r="AD501">
        <v>0.89780697954618904</v>
      </c>
      <c r="AE501" s="8" t="str">
        <f t="shared" si="56"/>
        <v>2012-12-24</v>
      </c>
      <c r="AF501" s="9" t="str">
        <f t="shared" si="57"/>
        <v>12/24/2012</v>
      </c>
      <c r="AG501" s="8">
        <f t="shared" si="58"/>
        <v>0.90964878851271103</v>
      </c>
    </row>
    <row r="502" spans="28:33">
      <c r="AB502" s="8" t="s">
        <v>188</v>
      </c>
      <c r="AC502" s="8">
        <v>0.90964878851271103</v>
      </c>
      <c r="AD502" s="8">
        <v>0.89780697954618904</v>
      </c>
      <c r="AE502" s="8" t="str">
        <f t="shared" ref="AE502:AE565" si="59">MID(AB502,2,10)</f>
        <v>2012-12-24</v>
      </c>
      <c r="AF502" s="9" t="str">
        <f t="shared" ref="AF502:AF565" si="60">TEXT(AE502,"m/d/yyyy")</f>
        <v>12/24/2012</v>
      </c>
      <c r="AG502" s="8">
        <f t="shared" ref="AG502:AG565" si="61">AC502</f>
        <v>0.90964878851271103</v>
      </c>
    </row>
    <row r="503" spans="28:33">
      <c r="AB503" s="8" t="s">
        <v>189</v>
      </c>
      <c r="AC503" s="8">
        <v>0.90964878851271103</v>
      </c>
      <c r="AD503" s="8">
        <v>0.89780697954618904</v>
      </c>
      <c r="AE503" s="8" t="str">
        <f t="shared" si="59"/>
        <v>2012-12-26</v>
      </c>
      <c r="AF503" s="9" t="str">
        <f t="shared" si="60"/>
        <v>12/26/2012</v>
      </c>
      <c r="AG503" s="8">
        <f t="shared" si="61"/>
        <v>0.90964878851271103</v>
      </c>
    </row>
    <row r="504" spans="28:33">
      <c r="AB504" s="8" t="s">
        <v>190</v>
      </c>
      <c r="AC504" s="8">
        <v>0.91013454847674702</v>
      </c>
      <c r="AD504" s="8">
        <v>0.92580210181792499</v>
      </c>
      <c r="AE504" s="8" t="str">
        <f t="shared" si="59"/>
        <v>2012-12-27</v>
      </c>
      <c r="AF504" s="9" t="str">
        <f t="shared" si="60"/>
        <v>12/27/2012</v>
      </c>
      <c r="AG504" s="8">
        <f t="shared" si="61"/>
        <v>0.91013454847674702</v>
      </c>
    </row>
    <row r="505" spans="28:33">
      <c r="AB505" s="8" t="s">
        <v>191</v>
      </c>
      <c r="AC505" s="8">
        <v>0.91013454847674702</v>
      </c>
      <c r="AD505" s="8">
        <v>0.92580210181792499</v>
      </c>
      <c r="AE505" s="8" t="str">
        <f t="shared" si="59"/>
        <v>2012-12-28</v>
      </c>
      <c r="AF505" s="9" t="str">
        <f t="shared" si="60"/>
        <v>12/28/2012</v>
      </c>
      <c r="AG505" s="8">
        <f t="shared" si="61"/>
        <v>0.91013454847674702</v>
      </c>
    </row>
    <row r="506" spans="28:33">
      <c r="AB506" s="8" t="s">
        <v>192</v>
      </c>
      <c r="AC506" s="8">
        <v>0.91013454847674702</v>
      </c>
      <c r="AD506" s="8">
        <v>0.92580210181792499</v>
      </c>
      <c r="AE506" s="8" t="str">
        <f t="shared" si="59"/>
        <v>2012-12-31</v>
      </c>
      <c r="AF506" s="9" t="str">
        <f t="shared" si="60"/>
        <v>12/31/2012</v>
      </c>
      <c r="AG506" s="8">
        <f t="shared" si="61"/>
        <v>0.91013454847674702</v>
      </c>
    </row>
    <row r="507" spans="28:33">
      <c r="AB507" s="8" t="s">
        <v>193</v>
      </c>
      <c r="AC507" s="8">
        <v>0.88776607960810605</v>
      </c>
      <c r="AD507" s="8">
        <v>0.89631993228766205</v>
      </c>
      <c r="AE507" s="8" t="str">
        <f t="shared" si="59"/>
        <v>2013-01-02</v>
      </c>
      <c r="AF507" s="9" t="str">
        <f t="shared" si="60"/>
        <v>1/2/2013</v>
      </c>
      <c r="AG507" s="8">
        <f t="shared" si="61"/>
        <v>0.88776607960810605</v>
      </c>
    </row>
    <row r="508" spans="28:33">
      <c r="AB508" s="8" t="s">
        <v>194</v>
      </c>
      <c r="AC508" s="8">
        <v>0.88829814088555903</v>
      </c>
      <c r="AD508" s="8">
        <v>0.89631993228766205</v>
      </c>
      <c r="AE508" s="8" t="str">
        <f t="shared" si="59"/>
        <v>2013-01-03</v>
      </c>
      <c r="AF508" s="9" t="str">
        <f t="shared" si="60"/>
        <v>1/3/2013</v>
      </c>
      <c r="AG508" s="8">
        <f t="shared" si="61"/>
        <v>0.88829814088555903</v>
      </c>
    </row>
    <row r="509" spans="28:33">
      <c r="AB509" s="8" t="s">
        <v>195</v>
      </c>
      <c r="AC509" s="8">
        <v>0.88829814088555903</v>
      </c>
      <c r="AD509" s="8">
        <v>0.89631993228766205</v>
      </c>
      <c r="AE509" s="8" t="str">
        <f t="shared" si="59"/>
        <v>2013-01-04</v>
      </c>
      <c r="AF509" s="9" t="str">
        <f t="shared" si="60"/>
        <v>1/4/2013</v>
      </c>
      <c r="AG509" s="8">
        <f t="shared" si="61"/>
        <v>0.88829814088555903</v>
      </c>
    </row>
    <row r="510" spans="28:33">
      <c r="AB510" s="8" t="s">
        <v>196</v>
      </c>
      <c r="AC510" s="8">
        <v>0.88829814088555903</v>
      </c>
      <c r="AD510" s="8">
        <v>0.89631993228766205</v>
      </c>
      <c r="AE510" s="8" t="str">
        <f t="shared" si="59"/>
        <v>2013-01-07</v>
      </c>
      <c r="AF510" s="9" t="str">
        <f t="shared" si="60"/>
        <v>1/7/2013</v>
      </c>
      <c r="AG510" s="8">
        <f t="shared" si="61"/>
        <v>0.88829814088555903</v>
      </c>
    </row>
    <row r="511" spans="28:33">
      <c r="AB511" s="8" t="s">
        <v>197</v>
      </c>
      <c r="AC511" s="8">
        <v>0.88829814088555903</v>
      </c>
      <c r="AD511" s="8">
        <v>0.89631993228766205</v>
      </c>
      <c r="AE511" s="8" t="str">
        <f t="shared" si="59"/>
        <v>2013-01-08</v>
      </c>
      <c r="AF511" s="9" t="str">
        <f t="shared" si="60"/>
        <v>1/8/2013</v>
      </c>
      <c r="AG511" s="8">
        <f t="shared" si="61"/>
        <v>0.88829814088555903</v>
      </c>
    </row>
    <row r="512" spans="28:33">
      <c r="AB512" s="8" t="s">
        <v>198</v>
      </c>
      <c r="AC512" s="8">
        <v>0.88829814088555903</v>
      </c>
      <c r="AD512" s="8">
        <v>0.89631993228766205</v>
      </c>
      <c r="AE512" s="8" t="str">
        <f t="shared" si="59"/>
        <v>2013-01-09</v>
      </c>
      <c r="AF512" s="9" t="str">
        <f t="shared" si="60"/>
        <v>1/9/2013</v>
      </c>
      <c r="AG512" s="8">
        <f t="shared" si="61"/>
        <v>0.88829814088555903</v>
      </c>
    </row>
    <row r="513" spans="28:33">
      <c r="AB513" s="8" t="s">
        <v>199</v>
      </c>
      <c r="AC513" s="8">
        <v>0.88507237465235999</v>
      </c>
      <c r="AD513" s="8">
        <v>0.86829940875669698</v>
      </c>
      <c r="AE513" s="8" t="str">
        <f t="shared" si="59"/>
        <v>2013-01-10</v>
      </c>
      <c r="AF513" s="9" t="str">
        <f t="shared" si="60"/>
        <v>1/10/2013</v>
      </c>
      <c r="AG513" s="8">
        <f t="shared" si="61"/>
        <v>0.88507237465235999</v>
      </c>
    </row>
    <row r="514" spans="28:33">
      <c r="AB514" s="8" t="s">
        <v>200</v>
      </c>
      <c r="AC514" s="8">
        <v>0.88507237465235999</v>
      </c>
      <c r="AD514" s="8">
        <v>0.86829940875669698</v>
      </c>
      <c r="AE514" s="8" t="str">
        <f t="shared" si="59"/>
        <v>2013-01-11</v>
      </c>
      <c r="AF514" s="9" t="str">
        <f t="shared" si="60"/>
        <v>1/11/2013</v>
      </c>
      <c r="AG514" s="8">
        <f t="shared" si="61"/>
        <v>0.88507237465235999</v>
      </c>
    </row>
    <row r="515" spans="28:33">
      <c r="AB515" s="8" t="s">
        <v>201</v>
      </c>
      <c r="AC515" s="8">
        <v>0.88507237465235999</v>
      </c>
      <c r="AD515" s="8">
        <v>0.86829940875669698</v>
      </c>
      <c r="AE515" s="8" t="str">
        <f t="shared" si="59"/>
        <v>2013-01-14</v>
      </c>
      <c r="AF515" s="9" t="str">
        <f t="shared" si="60"/>
        <v>1/14/2013</v>
      </c>
      <c r="AG515" s="8">
        <f t="shared" si="61"/>
        <v>0.88507237465235999</v>
      </c>
    </row>
    <row r="516" spans="28:33">
      <c r="AB516" s="8" t="s">
        <v>202</v>
      </c>
      <c r="AC516" s="8">
        <v>0.88507237465235999</v>
      </c>
      <c r="AD516" s="8">
        <v>0.86829940875669698</v>
      </c>
      <c r="AE516" s="8" t="str">
        <f t="shared" si="59"/>
        <v>2013-01-15</v>
      </c>
      <c r="AF516" s="9" t="str">
        <f t="shared" si="60"/>
        <v>1/15/2013</v>
      </c>
      <c r="AG516" s="8">
        <f t="shared" si="61"/>
        <v>0.88507237465235999</v>
      </c>
    </row>
    <row r="517" spans="28:33">
      <c r="AB517" s="8" t="s">
        <v>203</v>
      </c>
      <c r="AC517" s="8">
        <v>0.88507237465235999</v>
      </c>
      <c r="AD517" s="8">
        <v>0.86829940875669698</v>
      </c>
      <c r="AE517" s="8" t="str">
        <f t="shared" si="59"/>
        <v>2013-01-16</v>
      </c>
      <c r="AF517" s="9" t="str">
        <f t="shared" si="60"/>
        <v>1/16/2013</v>
      </c>
      <c r="AG517" s="8">
        <f t="shared" si="61"/>
        <v>0.88507237465235999</v>
      </c>
    </row>
    <row r="518" spans="28:33">
      <c r="AB518" s="8" t="s">
        <v>204</v>
      </c>
      <c r="AC518" s="8">
        <v>0.88631407683414698</v>
      </c>
      <c r="AD518" s="8">
        <v>0.86829940875669698</v>
      </c>
      <c r="AE518" s="8" t="str">
        <f t="shared" si="59"/>
        <v>2013-01-17</v>
      </c>
      <c r="AF518" s="9" t="str">
        <f t="shared" si="60"/>
        <v>1/17/2013</v>
      </c>
      <c r="AG518" s="8">
        <f t="shared" si="61"/>
        <v>0.88631407683414698</v>
      </c>
    </row>
    <row r="519" spans="28:33">
      <c r="AB519" s="8" t="s">
        <v>205</v>
      </c>
      <c r="AC519" s="8">
        <v>0.88631407683414698</v>
      </c>
      <c r="AD519" s="8">
        <v>0.86829940875669698</v>
      </c>
      <c r="AE519" s="8" t="str">
        <f t="shared" si="59"/>
        <v>2013-01-18</v>
      </c>
      <c r="AF519" s="9" t="str">
        <f t="shared" si="60"/>
        <v>1/18/2013</v>
      </c>
      <c r="AG519" s="8">
        <f t="shared" si="61"/>
        <v>0.88631407683414698</v>
      </c>
    </row>
    <row r="520" spans="28:33">
      <c r="AB520" s="8" t="s">
        <v>206</v>
      </c>
      <c r="AC520" s="8">
        <v>0.88631407683414698</v>
      </c>
      <c r="AD520" s="8">
        <v>0.86829940875669698</v>
      </c>
      <c r="AE520" s="8" t="str">
        <f t="shared" si="59"/>
        <v>2013-01-22</v>
      </c>
      <c r="AF520" s="9" t="str">
        <f t="shared" si="60"/>
        <v>1/22/2013</v>
      </c>
      <c r="AG520" s="8">
        <f t="shared" si="61"/>
        <v>0.88631407683414698</v>
      </c>
    </row>
    <row r="521" spans="28:33">
      <c r="AB521" s="8" t="s">
        <v>207</v>
      </c>
      <c r="AC521" s="8">
        <v>0.88631407683414698</v>
      </c>
      <c r="AD521" s="8">
        <v>0.86829940875669698</v>
      </c>
      <c r="AE521" s="8" t="str">
        <f t="shared" si="59"/>
        <v>2013-01-23</v>
      </c>
      <c r="AF521" s="9" t="str">
        <f t="shared" si="60"/>
        <v>1/23/2013</v>
      </c>
      <c r="AG521" s="8">
        <f t="shared" si="61"/>
        <v>0.88631407683414698</v>
      </c>
    </row>
    <row r="522" spans="28:33">
      <c r="AB522" s="8" t="s">
        <v>208</v>
      </c>
      <c r="AC522" s="8">
        <v>0.88379536104531298</v>
      </c>
      <c r="AD522" s="8">
        <v>0.86829940875669698</v>
      </c>
      <c r="AE522" s="8" t="str">
        <f t="shared" si="59"/>
        <v>2013-01-24</v>
      </c>
      <c r="AF522" s="9" t="str">
        <f t="shared" si="60"/>
        <v>1/24/2013</v>
      </c>
      <c r="AG522" s="8">
        <f t="shared" si="61"/>
        <v>0.88379536104531298</v>
      </c>
    </row>
    <row r="523" spans="28:33">
      <c r="AB523" s="8" t="s">
        <v>209</v>
      </c>
      <c r="AC523" s="8">
        <v>0.88379536104531298</v>
      </c>
      <c r="AD523" s="8">
        <v>0.86829940875669698</v>
      </c>
      <c r="AE523" s="8" t="str">
        <f t="shared" si="59"/>
        <v>2013-01-25</v>
      </c>
      <c r="AF523" s="9" t="str">
        <f t="shared" si="60"/>
        <v>1/25/2013</v>
      </c>
      <c r="AG523" s="8">
        <f t="shared" si="61"/>
        <v>0.88379536104531298</v>
      </c>
    </row>
    <row r="524" spans="28:33">
      <c r="AB524" s="8" t="s">
        <v>210</v>
      </c>
      <c r="AC524" s="8">
        <v>0.88379536104531298</v>
      </c>
      <c r="AD524" s="8">
        <v>0.86829940875669698</v>
      </c>
      <c r="AE524" s="8" t="str">
        <f t="shared" si="59"/>
        <v>2013-01-28</v>
      </c>
      <c r="AF524" s="9" t="str">
        <f t="shared" si="60"/>
        <v>1/28/2013</v>
      </c>
      <c r="AG524" s="8">
        <f t="shared" si="61"/>
        <v>0.88379536104531298</v>
      </c>
    </row>
    <row r="525" spans="28:33">
      <c r="AB525" s="8" t="s">
        <v>211</v>
      </c>
      <c r="AC525" s="8">
        <v>0.88379536104531298</v>
      </c>
      <c r="AD525" s="8">
        <v>0.86829940875669698</v>
      </c>
      <c r="AE525" s="8" t="str">
        <f t="shared" si="59"/>
        <v>2013-01-29</v>
      </c>
      <c r="AF525" s="9" t="str">
        <f t="shared" si="60"/>
        <v>1/29/2013</v>
      </c>
      <c r="AG525" s="8">
        <f t="shared" si="61"/>
        <v>0.88379536104531298</v>
      </c>
    </row>
    <row r="526" spans="28:33">
      <c r="AB526" s="8" t="s">
        <v>212</v>
      </c>
      <c r="AC526" s="8">
        <v>0.88379536104531298</v>
      </c>
      <c r="AD526" s="8">
        <v>0.86829940875669698</v>
      </c>
      <c r="AE526" s="8" t="str">
        <f t="shared" si="59"/>
        <v>2013-01-30</v>
      </c>
      <c r="AF526" s="9" t="str">
        <f t="shared" si="60"/>
        <v>1/30/2013</v>
      </c>
      <c r="AG526" s="8">
        <f t="shared" si="61"/>
        <v>0.88379536104531298</v>
      </c>
    </row>
    <row r="527" spans="28:33">
      <c r="AB527" s="8" t="s">
        <v>213</v>
      </c>
      <c r="AC527" s="8">
        <v>0.84748759806752005</v>
      </c>
      <c r="AD527" s="8">
        <v>0.84429162931833002</v>
      </c>
      <c r="AE527" s="8" t="str">
        <f t="shared" si="59"/>
        <v>2013-01-31</v>
      </c>
      <c r="AF527" s="9" t="str">
        <f t="shared" si="60"/>
        <v>1/31/2013</v>
      </c>
      <c r="AG527" s="8">
        <f t="shared" si="61"/>
        <v>0.84748759806752005</v>
      </c>
    </row>
    <row r="528" spans="28:33">
      <c r="AB528" s="8" t="s">
        <v>214</v>
      </c>
      <c r="AC528" s="8">
        <v>0.82271172400250803</v>
      </c>
      <c r="AD528" s="8">
        <v>0.81605505896187003</v>
      </c>
      <c r="AE528" s="8" t="str">
        <f t="shared" si="59"/>
        <v>2013-02-01</v>
      </c>
      <c r="AF528" s="9" t="str">
        <f t="shared" si="60"/>
        <v>2/1/2013</v>
      </c>
      <c r="AG528" s="8">
        <f t="shared" si="61"/>
        <v>0.82271172400250803</v>
      </c>
    </row>
    <row r="529" spans="28:33">
      <c r="AB529" s="8" t="s">
        <v>215</v>
      </c>
      <c r="AC529" s="8">
        <v>0.82271172400250803</v>
      </c>
      <c r="AD529" s="8">
        <v>0.81605505896187003</v>
      </c>
      <c r="AE529" s="8" t="str">
        <f t="shared" si="59"/>
        <v>2013-02-04</v>
      </c>
      <c r="AF529" s="9" t="str">
        <f t="shared" si="60"/>
        <v>2/4/2013</v>
      </c>
      <c r="AG529" s="8">
        <f t="shared" si="61"/>
        <v>0.82271172400250803</v>
      </c>
    </row>
    <row r="530" spans="28:33">
      <c r="AB530" s="8" t="s">
        <v>216</v>
      </c>
      <c r="AC530" s="8">
        <v>0.82271172400250803</v>
      </c>
      <c r="AD530" s="8">
        <v>0.81605505896187003</v>
      </c>
      <c r="AE530" s="8" t="str">
        <f t="shared" si="59"/>
        <v>2013-02-05</v>
      </c>
      <c r="AF530" s="9" t="str">
        <f t="shared" si="60"/>
        <v>2/5/2013</v>
      </c>
      <c r="AG530" s="8">
        <f t="shared" si="61"/>
        <v>0.82271172400250803</v>
      </c>
    </row>
    <row r="531" spans="28:33">
      <c r="AB531" s="8" t="s">
        <v>217</v>
      </c>
      <c r="AC531" s="8">
        <v>0.82271172400250803</v>
      </c>
      <c r="AD531" s="8">
        <v>0.81605505896187003</v>
      </c>
      <c r="AE531" s="8" t="str">
        <f t="shared" si="59"/>
        <v>2013-02-06</v>
      </c>
      <c r="AF531" s="9" t="str">
        <f t="shared" si="60"/>
        <v>2/6/2013</v>
      </c>
      <c r="AG531" s="8">
        <f t="shared" si="61"/>
        <v>0.82271172400250803</v>
      </c>
    </row>
    <row r="532" spans="28:33">
      <c r="AB532" s="8" t="s">
        <v>218</v>
      </c>
      <c r="AC532" s="8">
        <v>0.82271172400250803</v>
      </c>
      <c r="AD532" s="8">
        <v>0.81605505896187003</v>
      </c>
      <c r="AE532" s="8" t="str">
        <f t="shared" si="59"/>
        <v>2013-02-07</v>
      </c>
      <c r="AF532" s="9" t="str">
        <f t="shared" si="60"/>
        <v>2/7/2013</v>
      </c>
      <c r="AG532" s="8">
        <f t="shared" si="61"/>
        <v>0.82271172400250803</v>
      </c>
    </row>
    <row r="533" spans="28:33">
      <c r="AB533" s="8" t="s">
        <v>219</v>
      </c>
      <c r="AC533" s="8">
        <v>0.82271172400250803</v>
      </c>
      <c r="AD533" s="8">
        <v>0.81605505896187003</v>
      </c>
      <c r="AE533" s="8" t="str">
        <f t="shared" si="59"/>
        <v>2013-02-08</v>
      </c>
      <c r="AF533" s="9" t="str">
        <f t="shared" si="60"/>
        <v>2/8/2013</v>
      </c>
      <c r="AG533" s="8">
        <f t="shared" si="61"/>
        <v>0.82271172400250803</v>
      </c>
    </row>
    <row r="534" spans="28:33">
      <c r="AB534" s="8" t="s">
        <v>220</v>
      </c>
      <c r="AC534" s="8">
        <v>0.82271172400250803</v>
      </c>
      <c r="AD534" s="8">
        <v>0.81605505896187003</v>
      </c>
      <c r="AE534" s="8" t="str">
        <f t="shared" si="59"/>
        <v>2013-02-11</v>
      </c>
      <c r="AF534" s="9" t="str">
        <f t="shared" si="60"/>
        <v>2/11/2013</v>
      </c>
      <c r="AG534" s="8">
        <f t="shared" si="61"/>
        <v>0.82271172400250803</v>
      </c>
    </row>
    <row r="535" spans="28:33">
      <c r="AB535" s="8" t="s">
        <v>221</v>
      </c>
      <c r="AC535" s="8">
        <v>0.82271172400250803</v>
      </c>
      <c r="AD535" s="8">
        <v>0.81605505896187003</v>
      </c>
      <c r="AE535" s="8" t="str">
        <f t="shared" si="59"/>
        <v>2013-02-12</v>
      </c>
      <c r="AF535" s="9" t="str">
        <f t="shared" si="60"/>
        <v>2/12/2013</v>
      </c>
      <c r="AG535" s="8">
        <f t="shared" si="61"/>
        <v>0.82271172400250803</v>
      </c>
    </row>
    <row r="536" spans="28:33">
      <c r="AB536" s="8" t="s">
        <v>222</v>
      </c>
      <c r="AC536" s="8">
        <v>0.82271172400250803</v>
      </c>
      <c r="AD536" s="8">
        <v>0.81605505896187003</v>
      </c>
      <c r="AE536" s="8" t="str">
        <f t="shared" si="59"/>
        <v>2013-02-13</v>
      </c>
      <c r="AF536" s="9" t="str">
        <f t="shared" si="60"/>
        <v>2/13/2013</v>
      </c>
      <c r="AG536" s="8">
        <f t="shared" si="61"/>
        <v>0.82271172400250803</v>
      </c>
    </row>
    <row r="537" spans="28:33">
      <c r="AB537" s="8" t="s">
        <v>223</v>
      </c>
      <c r="AC537" s="8">
        <v>0.82271172400250803</v>
      </c>
      <c r="AD537" s="8">
        <v>0.81605505896187003</v>
      </c>
      <c r="AE537" s="8" t="str">
        <f t="shared" si="59"/>
        <v>2013-02-14</v>
      </c>
      <c r="AF537" s="9" t="str">
        <f t="shared" si="60"/>
        <v>2/14/2013</v>
      </c>
      <c r="AG537" s="8">
        <f t="shared" si="61"/>
        <v>0.82271172400250803</v>
      </c>
    </row>
    <row r="538" spans="28:33">
      <c r="AB538" s="8" t="s">
        <v>224</v>
      </c>
      <c r="AC538" s="8">
        <v>0.82271172400250803</v>
      </c>
      <c r="AD538" s="8">
        <v>0.81605505896187003</v>
      </c>
      <c r="AE538" s="8" t="str">
        <f t="shared" si="59"/>
        <v>2013-02-15</v>
      </c>
      <c r="AF538" s="9" t="str">
        <f t="shared" si="60"/>
        <v>2/15/2013</v>
      </c>
      <c r="AG538" s="8">
        <f t="shared" si="61"/>
        <v>0.82271172400250803</v>
      </c>
    </row>
    <row r="539" spans="28:33">
      <c r="AB539" s="8" t="s">
        <v>225</v>
      </c>
      <c r="AC539" s="8">
        <v>0.82271172400250803</v>
      </c>
      <c r="AD539" s="8">
        <v>0.81605505896187003</v>
      </c>
      <c r="AE539" s="8" t="str">
        <f t="shared" si="59"/>
        <v>2013-02-19</v>
      </c>
      <c r="AF539" s="9" t="str">
        <f t="shared" si="60"/>
        <v>2/19/2013</v>
      </c>
      <c r="AG539" s="8">
        <f t="shared" si="61"/>
        <v>0.82271172400250803</v>
      </c>
    </row>
    <row r="540" spans="28:33">
      <c r="AB540" s="8" t="s">
        <v>226</v>
      </c>
      <c r="AC540" s="8">
        <v>0.82271172400250803</v>
      </c>
      <c r="AD540" s="8">
        <v>0.81605505896187003</v>
      </c>
      <c r="AE540" s="8" t="str">
        <f t="shared" si="59"/>
        <v>2013-02-20</v>
      </c>
      <c r="AF540" s="9" t="str">
        <f t="shared" si="60"/>
        <v>2/20/2013</v>
      </c>
      <c r="AG540" s="8">
        <f t="shared" si="61"/>
        <v>0.82271172400250803</v>
      </c>
    </row>
    <row r="541" spans="28:33">
      <c r="AB541" s="8" t="s">
        <v>227</v>
      </c>
      <c r="AC541" s="8">
        <v>0.79171461670661003</v>
      </c>
      <c r="AD541" s="8">
        <v>0.79280272472703195</v>
      </c>
      <c r="AE541" s="8" t="str">
        <f t="shared" si="59"/>
        <v>2013-02-21</v>
      </c>
      <c r="AF541" s="9" t="str">
        <f t="shared" si="60"/>
        <v>2/21/2013</v>
      </c>
      <c r="AG541" s="8">
        <f t="shared" si="61"/>
        <v>0.79171461670661003</v>
      </c>
    </row>
    <row r="542" spans="28:33">
      <c r="AB542" s="8" t="s">
        <v>228</v>
      </c>
      <c r="AC542" s="8">
        <v>0.79171461670661003</v>
      </c>
      <c r="AD542" s="8">
        <v>0.79280272472703195</v>
      </c>
      <c r="AE542" s="8" t="str">
        <f t="shared" si="59"/>
        <v>2013-02-22</v>
      </c>
      <c r="AF542" s="9" t="str">
        <f t="shared" si="60"/>
        <v>2/22/2013</v>
      </c>
      <c r="AG542" s="8">
        <f t="shared" si="61"/>
        <v>0.79171461670661003</v>
      </c>
    </row>
    <row r="543" spans="28:33">
      <c r="AB543" s="8" t="s">
        <v>229</v>
      </c>
      <c r="AC543" s="8">
        <v>0.79171461670661003</v>
      </c>
      <c r="AD543" s="8">
        <v>0.79280272472703195</v>
      </c>
      <c r="AE543" s="8" t="str">
        <f t="shared" si="59"/>
        <v>2013-02-25</v>
      </c>
      <c r="AF543" s="9" t="str">
        <f t="shared" si="60"/>
        <v>2/25/2013</v>
      </c>
      <c r="AG543" s="8">
        <f t="shared" si="61"/>
        <v>0.79171461670661003</v>
      </c>
    </row>
    <row r="544" spans="28:33">
      <c r="AB544" s="8" t="s">
        <v>230</v>
      </c>
      <c r="AC544" s="8">
        <v>0.79171461670661003</v>
      </c>
      <c r="AD544" s="8">
        <v>0.79280272472703195</v>
      </c>
      <c r="AE544" s="8" t="str">
        <f t="shared" si="59"/>
        <v>2013-02-26</v>
      </c>
      <c r="AF544" s="9" t="str">
        <f t="shared" si="60"/>
        <v>2/26/2013</v>
      </c>
      <c r="AG544" s="8">
        <f t="shared" si="61"/>
        <v>0.79171461670661003</v>
      </c>
    </row>
    <row r="545" spans="28:33">
      <c r="AB545" s="8" t="s">
        <v>231</v>
      </c>
      <c r="AC545" s="8">
        <v>0.79171461670661003</v>
      </c>
      <c r="AD545" s="8">
        <v>0.79280272472703195</v>
      </c>
      <c r="AE545" s="8" t="str">
        <f t="shared" si="59"/>
        <v>2013-02-27</v>
      </c>
      <c r="AF545" s="9" t="str">
        <f t="shared" si="60"/>
        <v>2/27/2013</v>
      </c>
      <c r="AG545" s="8">
        <f t="shared" si="61"/>
        <v>0.79171461670661003</v>
      </c>
    </row>
    <row r="546" spans="28:33">
      <c r="AB546" s="8" t="s">
        <v>232</v>
      </c>
      <c r="AC546" s="8">
        <v>0.83664177858148003</v>
      </c>
      <c r="AD546" s="8">
        <v>0.81605505896187003</v>
      </c>
      <c r="AE546" s="8" t="str">
        <f t="shared" si="59"/>
        <v>2013-02-28</v>
      </c>
      <c r="AF546" s="9" t="str">
        <f t="shared" si="60"/>
        <v>2/28/2013</v>
      </c>
      <c r="AG546" s="8">
        <f t="shared" si="61"/>
        <v>0.83664177858148003</v>
      </c>
    </row>
    <row r="547" spans="28:33">
      <c r="AB547" s="8" t="s">
        <v>233</v>
      </c>
      <c r="AC547" s="8">
        <v>0.81851206223084805</v>
      </c>
      <c r="AD547" s="8">
        <v>0.79336572209039502</v>
      </c>
      <c r="AE547" s="8" t="str">
        <f t="shared" si="59"/>
        <v>2013-03-01</v>
      </c>
      <c r="AF547" s="9" t="str">
        <f t="shared" si="60"/>
        <v>3/1/2013</v>
      </c>
      <c r="AG547" s="8">
        <f t="shared" si="61"/>
        <v>0.81851206223084805</v>
      </c>
    </row>
    <row r="548" spans="28:33">
      <c r="AB548" s="8" t="s">
        <v>234</v>
      </c>
      <c r="AC548" s="8">
        <v>0.81851206223084805</v>
      </c>
      <c r="AD548" s="8">
        <v>0.79336572209039502</v>
      </c>
      <c r="AE548" s="8" t="str">
        <f t="shared" si="59"/>
        <v>2013-03-04</v>
      </c>
      <c r="AF548" s="9" t="str">
        <f t="shared" si="60"/>
        <v>3/4/2013</v>
      </c>
      <c r="AG548" s="8">
        <f t="shared" si="61"/>
        <v>0.81851206223084805</v>
      </c>
    </row>
    <row r="549" spans="28:33">
      <c r="AB549" s="8" t="s">
        <v>235</v>
      </c>
      <c r="AC549" s="8">
        <v>0.81851206223084805</v>
      </c>
      <c r="AD549" s="8">
        <v>0.79336572209039502</v>
      </c>
      <c r="AE549" s="8" t="str">
        <f t="shared" si="59"/>
        <v>2013-03-05</v>
      </c>
      <c r="AF549" s="9" t="str">
        <f t="shared" si="60"/>
        <v>3/5/2013</v>
      </c>
      <c r="AG549" s="8">
        <f t="shared" si="61"/>
        <v>0.81851206223084805</v>
      </c>
    </row>
    <row r="550" spans="28:33">
      <c r="AB550" s="8" t="s">
        <v>236</v>
      </c>
      <c r="AC550" s="8">
        <v>0.81851206223084805</v>
      </c>
      <c r="AD550" s="8">
        <v>0.79336572209039502</v>
      </c>
      <c r="AE550" s="8" t="str">
        <f t="shared" si="59"/>
        <v>2013-03-06</v>
      </c>
      <c r="AF550" s="9" t="str">
        <f t="shared" si="60"/>
        <v>3/6/2013</v>
      </c>
      <c r="AG550" s="8">
        <f t="shared" si="61"/>
        <v>0.81851206223084805</v>
      </c>
    </row>
    <row r="551" spans="28:33">
      <c r="AB551" s="8" t="s">
        <v>237</v>
      </c>
      <c r="AC551" s="8">
        <v>0.81207127811354496</v>
      </c>
      <c r="AD551" s="8">
        <v>0.79336572209039502</v>
      </c>
      <c r="AE551" s="8" t="str">
        <f t="shared" si="59"/>
        <v>2013-03-07</v>
      </c>
      <c r="AF551" s="9" t="str">
        <f t="shared" si="60"/>
        <v>3/7/2013</v>
      </c>
      <c r="AG551" s="8">
        <f t="shared" si="61"/>
        <v>0.81207127811354496</v>
      </c>
    </row>
    <row r="552" spans="28:33">
      <c r="AB552" s="8" t="s">
        <v>238</v>
      </c>
      <c r="AC552" s="8">
        <v>0.81207127811354496</v>
      </c>
      <c r="AD552" s="8">
        <v>0.79336572209039502</v>
      </c>
      <c r="AE552" s="8" t="str">
        <f t="shared" si="59"/>
        <v>2013-03-08</v>
      </c>
      <c r="AF552" s="9" t="str">
        <f t="shared" si="60"/>
        <v>3/8/2013</v>
      </c>
      <c r="AG552" s="8">
        <f t="shared" si="61"/>
        <v>0.81207127811354496</v>
      </c>
    </row>
    <row r="553" spans="28:33">
      <c r="AB553" s="8" t="s">
        <v>239</v>
      </c>
      <c r="AC553" s="8">
        <v>0.81207127811354496</v>
      </c>
      <c r="AD553" s="8">
        <v>0.79336572209039502</v>
      </c>
      <c r="AE553" s="8" t="str">
        <f t="shared" si="59"/>
        <v>2013-03-11</v>
      </c>
      <c r="AF553" s="9" t="str">
        <f t="shared" si="60"/>
        <v>3/11/2013</v>
      </c>
      <c r="AG553" s="8">
        <f t="shared" si="61"/>
        <v>0.81207127811354496</v>
      </c>
    </row>
    <row r="554" spans="28:33">
      <c r="AB554" s="8" t="s">
        <v>240</v>
      </c>
      <c r="AC554" s="8">
        <v>0.81207127811354496</v>
      </c>
      <c r="AD554" s="8">
        <v>0.79336572209039502</v>
      </c>
      <c r="AE554" s="8" t="str">
        <f t="shared" si="59"/>
        <v>2013-03-12</v>
      </c>
      <c r="AF554" s="9" t="str">
        <f t="shared" si="60"/>
        <v>3/12/2013</v>
      </c>
      <c r="AG554" s="8">
        <f t="shared" si="61"/>
        <v>0.81207127811354496</v>
      </c>
    </row>
    <row r="555" spans="28:33">
      <c r="AB555" s="8" t="s">
        <v>241</v>
      </c>
      <c r="AC555" s="8">
        <v>0.81207127811354496</v>
      </c>
      <c r="AD555" s="8">
        <v>0.79336572209039502</v>
      </c>
      <c r="AE555" s="8" t="str">
        <f t="shared" si="59"/>
        <v>2013-03-13</v>
      </c>
      <c r="AF555" s="9" t="str">
        <f t="shared" si="60"/>
        <v>3/13/2013</v>
      </c>
      <c r="AG555" s="8">
        <f t="shared" si="61"/>
        <v>0.81207127811354496</v>
      </c>
    </row>
    <row r="556" spans="28:33">
      <c r="AB556" s="8" t="s">
        <v>242</v>
      </c>
      <c r="AC556" s="8">
        <v>0.71228035501776499</v>
      </c>
      <c r="AD556" s="8">
        <v>0.77030058380194599</v>
      </c>
      <c r="AE556" s="8" t="str">
        <f t="shared" si="59"/>
        <v>2013-03-14</v>
      </c>
      <c r="AF556" s="9" t="str">
        <f t="shared" si="60"/>
        <v>3/14/2013</v>
      </c>
      <c r="AG556" s="8">
        <f t="shared" si="61"/>
        <v>0.71228035501776499</v>
      </c>
    </row>
    <row r="557" spans="28:33">
      <c r="AB557" s="8" t="s">
        <v>243</v>
      </c>
      <c r="AC557" s="8">
        <v>0.71228035501776499</v>
      </c>
      <c r="AD557" s="8">
        <v>0.77030058380194599</v>
      </c>
      <c r="AE557" s="8" t="str">
        <f t="shared" si="59"/>
        <v>2013-03-15</v>
      </c>
      <c r="AF557" s="9" t="str">
        <f t="shared" si="60"/>
        <v>3/15/2013</v>
      </c>
      <c r="AG557" s="8">
        <f t="shared" si="61"/>
        <v>0.71228035501776499</v>
      </c>
    </row>
    <row r="558" spans="28:33">
      <c r="AB558" s="8" t="s">
        <v>244</v>
      </c>
      <c r="AC558" s="8">
        <v>0.71228035501776499</v>
      </c>
      <c r="AD558" s="8">
        <v>0.77030058380194599</v>
      </c>
      <c r="AE558" s="8" t="str">
        <f t="shared" si="59"/>
        <v>2013-03-18</v>
      </c>
      <c r="AF558" s="9" t="str">
        <f t="shared" si="60"/>
        <v>3/18/2013</v>
      </c>
      <c r="AG558" s="8">
        <f t="shared" si="61"/>
        <v>0.71228035501776499</v>
      </c>
    </row>
    <row r="559" spans="28:33">
      <c r="AB559" s="8" t="s">
        <v>245</v>
      </c>
      <c r="AC559" s="8">
        <v>0.71228035501776499</v>
      </c>
      <c r="AD559" s="8">
        <v>0.77030058380194599</v>
      </c>
      <c r="AE559" s="8" t="str">
        <f t="shared" si="59"/>
        <v>2013-03-19</v>
      </c>
      <c r="AF559" s="9" t="str">
        <f t="shared" si="60"/>
        <v>3/19/2013</v>
      </c>
      <c r="AG559" s="8">
        <f t="shared" si="61"/>
        <v>0.71228035501776499</v>
      </c>
    </row>
    <row r="560" spans="28:33">
      <c r="AB560" s="8" t="s">
        <v>246</v>
      </c>
      <c r="AC560" s="8">
        <v>0.71228035501776499</v>
      </c>
      <c r="AD560" s="8">
        <v>0.77030058380194599</v>
      </c>
      <c r="AE560" s="8" t="str">
        <f t="shared" si="59"/>
        <v>2013-03-20</v>
      </c>
      <c r="AF560" s="9" t="str">
        <f t="shared" si="60"/>
        <v>3/20/2013</v>
      </c>
      <c r="AG560" s="8">
        <f t="shared" si="61"/>
        <v>0.71228035501776499</v>
      </c>
    </row>
    <row r="561" spans="28:33">
      <c r="AB561" s="8" t="s">
        <v>247</v>
      </c>
      <c r="AC561" s="8">
        <v>0.79257538531726102</v>
      </c>
      <c r="AD561" s="8">
        <v>0.79336572209039502</v>
      </c>
      <c r="AE561" s="8" t="str">
        <f t="shared" si="59"/>
        <v>2013-03-21</v>
      </c>
      <c r="AF561" s="9" t="str">
        <f t="shared" si="60"/>
        <v>3/21/2013</v>
      </c>
      <c r="AG561" s="8">
        <f t="shared" si="61"/>
        <v>0.79257538531726102</v>
      </c>
    </row>
    <row r="562" spans="28:33">
      <c r="AB562" s="8" t="s">
        <v>248</v>
      </c>
      <c r="AC562" s="8">
        <v>0.79257538531726102</v>
      </c>
      <c r="AD562" s="8">
        <v>0.79336572209039502</v>
      </c>
      <c r="AE562" s="8" t="str">
        <f t="shared" si="59"/>
        <v>2013-03-22</v>
      </c>
      <c r="AF562" s="9" t="str">
        <f t="shared" si="60"/>
        <v>3/22/2013</v>
      </c>
      <c r="AG562" s="8">
        <f t="shared" si="61"/>
        <v>0.79257538531726102</v>
      </c>
    </row>
    <row r="563" spans="28:33">
      <c r="AB563" s="8" t="s">
        <v>249</v>
      </c>
      <c r="AC563" s="8">
        <v>0.79257538531726102</v>
      </c>
      <c r="AD563" s="8">
        <v>0.79336572209039502</v>
      </c>
      <c r="AE563" s="8" t="str">
        <f t="shared" si="59"/>
        <v>2013-03-25</v>
      </c>
      <c r="AF563" s="9" t="str">
        <f t="shared" si="60"/>
        <v>3/25/2013</v>
      </c>
      <c r="AG563" s="8">
        <f t="shared" si="61"/>
        <v>0.79257538531726102</v>
      </c>
    </row>
    <row r="564" spans="28:33">
      <c r="AB564" s="8" t="s">
        <v>250</v>
      </c>
      <c r="AC564" s="8">
        <v>0.79257538531726102</v>
      </c>
      <c r="AD564" s="8">
        <v>0.79336572209039502</v>
      </c>
      <c r="AE564" s="8" t="str">
        <f t="shared" si="59"/>
        <v>2013-03-26</v>
      </c>
      <c r="AF564" s="9" t="str">
        <f t="shared" si="60"/>
        <v>3/26/2013</v>
      </c>
      <c r="AG564" s="8">
        <f t="shared" si="61"/>
        <v>0.79257538531726102</v>
      </c>
    </row>
    <row r="565" spans="28:33">
      <c r="AB565" s="8" t="s">
        <v>251</v>
      </c>
      <c r="AC565" s="8">
        <v>0.79257538531726102</v>
      </c>
      <c r="AD565" s="8">
        <v>0.79336572209039502</v>
      </c>
      <c r="AE565" s="8" t="str">
        <f t="shared" si="59"/>
        <v>2013-03-27</v>
      </c>
      <c r="AF565" s="9" t="str">
        <f t="shared" si="60"/>
        <v>3/27/2013</v>
      </c>
      <c r="AG565" s="8">
        <f t="shared" si="61"/>
        <v>0.79257538531726102</v>
      </c>
    </row>
    <row r="566" spans="28:33">
      <c r="AB566" s="8" t="s">
        <v>252</v>
      </c>
      <c r="AC566" s="8">
        <v>0.76303866278122401</v>
      </c>
      <c r="AD566" s="8">
        <v>0.77030058380194599</v>
      </c>
      <c r="AE566" s="8" t="str">
        <f t="shared" ref="AE566:AE629" si="62">MID(AB566,2,10)</f>
        <v>2013-03-28</v>
      </c>
      <c r="AF566" s="9" t="str">
        <f t="shared" ref="AF566:AF629" si="63">TEXT(AE566,"m/d/yyyy")</f>
        <v>3/28/2013</v>
      </c>
      <c r="AG566" s="8">
        <f t="shared" ref="AG566:AG629" si="64">AC566</f>
        <v>0.76303866278122401</v>
      </c>
    </row>
    <row r="567" spans="28:33">
      <c r="AB567" s="8" t="s">
        <v>253</v>
      </c>
      <c r="AC567" s="8">
        <v>0.743473360501545</v>
      </c>
      <c r="AD567" s="8">
        <v>0.74540194436003504</v>
      </c>
      <c r="AE567" s="8" t="str">
        <f t="shared" si="62"/>
        <v>2013-04-01</v>
      </c>
      <c r="AF567" s="9" t="str">
        <f t="shared" si="63"/>
        <v>4/1/2013</v>
      </c>
      <c r="AG567" s="8">
        <f t="shared" si="64"/>
        <v>0.743473360501545</v>
      </c>
    </row>
    <row r="568" spans="28:33">
      <c r="AB568" s="8" t="s">
        <v>254</v>
      </c>
      <c r="AC568" s="8">
        <v>0.743473360501545</v>
      </c>
      <c r="AD568" s="8">
        <v>0.74540194436003504</v>
      </c>
      <c r="AE568" s="8" t="str">
        <f t="shared" si="62"/>
        <v>2013-04-02</v>
      </c>
      <c r="AF568" s="9" t="str">
        <f t="shared" si="63"/>
        <v>4/2/2013</v>
      </c>
      <c r="AG568" s="8">
        <f t="shared" si="64"/>
        <v>0.743473360501545</v>
      </c>
    </row>
    <row r="569" spans="28:33">
      <c r="AB569" s="8" t="s">
        <v>255</v>
      </c>
      <c r="AC569" s="8">
        <v>0.743473360501545</v>
      </c>
      <c r="AD569" s="8">
        <v>0.74540194436003504</v>
      </c>
      <c r="AE569" s="8" t="str">
        <f t="shared" si="62"/>
        <v>2013-04-03</v>
      </c>
      <c r="AF569" s="9" t="str">
        <f t="shared" si="63"/>
        <v>4/3/2013</v>
      </c>
      <c r="AG569" s="8">
        <f t="shared" si="64"/>
        <v>0.743473360501545</v>
      </c>
    </row>
    <row r="570" spans="28:33">
      <c r="AB570" s="8" t="s">
        <v>256</v>
      </c>
      <c r="AC570" s="8">
        <v>0.77315817508860396</v>
      </c>
      <c r="AD570" s="8">
        <v>0.76824165559431201</v>
      </c>
      <c r="AE570" s="8" t="str">
        <f t="shared" si="62"/>
        <v>2013-04-04</v>
      </c>
      <c r="AF570" s="9" t="str">
        <f t="shared" si="63"/>
        <v>4/4/2013</v>
      </c>
      <c r="AG570" s="8">
        <f t="shared" si="64"/>
        <v>0.77315817508860396</v>
      </c>
    </row>
    <row r="571" spans="28:33">
      <c r="AB571" s="8" t="s">
        <v>257</v>
      </c>
      <c r="AC571" s="8">
        <v>0.77315817508860396</v>
      </c>
      <c r="AD571" s="8">
        <v>0.76824165559431201</v>
      </c>
      <c r="AE571" s="8" t="str">
        <f t="shared" si="62"/>
        <v>2013-04-05</v>
      </c>
      <c r="AF571" s="9" t="str">
        <f t="shared" si="63"/>
        <v>4/5/2013</v>
      </c>
      <c r="AG571" s="8">
        <f t="shared" si="64"/>
        <v>0.77315817508860396</v>
      </c>
    </row>
    <row r="572" spans="28:33">
      <c r="AB572" s="8" t="s">
        <v>258</v>
      </c>
      <c r="AC572" s="8">
        <v>0.77315817508860396</v>
      </c>
      <c r="AD572" s="8">
        <v>0.76824165559431201</v>
      </c>
      <c r="AE572" s="8" t="str">
        <f t="shared" si="62"/>
        <v>2013-04-08</v>
      </c>
      <c r="AF572" s="9" t="str">
        <f t="shared" si="63"/>
        <v>4/8/2013</v>
      </c>
      <c r="AG572" s="8">
        <f t="shared" si="64"/>
        <v>0.77315817508860396</v>
      </c>
    </row>
    <row r="573" spans="28:33">
      <c r="AB573" s="8" t="s">
        <v>259</v>
      </c>
      <c r="AC573" s="8">
        <v>0.77315817508860396</v>
      </c>
      <c r="AD573" s="8">
        <v>0.76824165559431201</v>
      </c>
      <c r="AE573" s="8" t="str">
        <f t="shared" si="62"/>
        <v>2013-04-09</v>
      </c>
      <c r="AF573" s="9" t="str">
        <f t="shared" si="63"/>
        <v>4/9/2013</v>
      </c>
      <c r="AG573" s="8">
        <f t="shared" si="64"/>
        <v>0.77315817508860396</v>
      </c>
    </row>
    <row r="574" spans="28:33">
      <c r="AB574" s="8" t="s">
        <v>260</v>
      </c>
      <c r="AC574" s="8">
        <v>0.77315817508860396</v>
      </c>
      <c r="AD574" s="8">
        <v>0.76824165559431201</v>
      </c>
      <c r="AE574" s="8" t="str">
        <f t="shared" si="62"/>
        <v>2013-04-10</v>
      </c>
      <c r="AF574" s="9" t="str">
        <f t="shared" si="63"/>
        <v>4/10/2013</v>
      </c>
      <c r="AG574" s="8">
        <f t="shared" si="64"/>
        <v>0.77315817508860396</v>
      </c>
    </row>
    <row r="575" spans="28:33">
      <c r="AB575" s="8" t="s">
        <v>261</v>
      </c>
      <c r="AC575" s="8">
        <v>0.82454142309345102</v>
      </c>
      <c r="AD575" s="8">
        <v>0.79292898793245203</v>
      </c>
      <c r="AE575" s="8" t="str">
        <f t="shared" si="62"/>
        <v>2013-04-11</v>
      </c>
      <c r="AF575" s="9" t="str">
        <f t="shared" si="63"/>
        <v>4/11/2013</v>
      </c>
      <c r="AG575" s="8">
        <f t="shared" si="64"/>
        <v>0.82454142309345102</v>
      </c>
    </row>
    <row r="576" spans="28:33">
      <c r="AB576" s="8" t="s">
        <v>262</v>
      </c>
      <c r="AC576" s="8">
        <v>0.82454142309345102</v>
      </c>
      <c r="AD576" s="8">
        <v>0.79292898793245203</v>
      </c>
      <c r="AE576" s="8" t="str">
        <f t="shared" si="62"/>
        <v>2013-04-12</v>
      </c>
      <c r="AF576" s="9" t="str">
        <f t="shared" si="63"/>
        <v>4/12/2013</v>
      </c>
      <c r="AG576" s="8">
        <f t="shared" si="64"/>
        <v>0.82454142309345102</v>
      </c>
    </row>
    <row r="577" spans="28:33">
      <c r="AB577" s="8" t="s">
        <v>263</v>
      </c>
      <c r="AC577" s="8">
        <v>0.82454142309345102</v>
      </c>
      <c r="AD577" s="8">
        <v>0.79292898793245203</v>
      </c>
      <c r="AE577" s="8" t="str">
        <f t="shared" si="62"/>
        <v>2013-04-15</v>
      </c>
      <c r="AF577" s="9" t="str">
        <f t="shared" si="63"/>
        <v>4/15/2013</v>
      </c>
      <c r="AG577" s="8">
        <f t="shared" si="64"/>
        <v>0.82454142309345102</v>
      </c>
    </row>
    <row r="578" spans="28:33">
      <c r="AB578" s="8" t="s">
        <v>264</v>
      </c>
      <c r="AC578" s="8">
        <v>0.82454142309345102</v>
      </c>
      <c r="AD578" s="8">
        <v>0.79292898793245203</v>
      </c>
      <c r="AE578" s="8" t="str">
        <f t="shared" si="62"/>
        <v>2013-04-16</v>
      </c>
      <c r="AF578" s="9" t="str">
        <f t="shared" si="63"/>
        <v>4/16/2013</v>
      </c>
      <c r="AG578" s="8">
        <f t="shared" si="64"/>
        <v>0.82454142309345102</v>
      </c>
    </row>
    <row r="579" spans="28:33">
      <c r="AB579" s="8" t="s">
        <v>265</v>
      </c>
      <c r="AC579" s="8">
        <v>0.82454142309345102</v>
      </c>
      <c r="AD579" s="8">
        <v>0.79292898793245203</v>
      </c>
      <c r="AE579" s="8" t="str">
        <f t="shared" si="62"/>
        <v>2013-04-17</v>
      </c>
      <c r="AF579" s="9" t="str">
        <f t="shared" si="63"/>
        <v>4/17/2013</v>
      </c>
      <c r="AG579" s="8">
        <f t="shared" si="64"/>
        <v>0.82454142309345102</v>
      </c>
    </row>
    <row r="580" spans="28:33">
      <c r="AB580" s="8" t="s">
        <v>266</v>
      </c>
      <c r="AC580" s="8">
        <v>0.82630589885428396</v>
      </c>
      <c r="AD580" s="8">
        <v>0.79292898793245203</v>
      </c>
      <c r="AE580" s="8" t="str">
        <f t="shared" si="62"/>
        <v>2013-04-18</v>
      </c>
      <c r="AF580" s="9" t="str">
        <f t="shared" si="63"/>
        <v>4/18/2013</v>
      </c>
      <c r="AG580" s="8">
        <f t="shared" si="64"/>
        <v>0.82630589885428396</v>
      </c>
    </row>
    <row r="581" spans="28:33">
      <c r="AB581" s="8" t="s">
        <v>267</v>
      </c>
      <c r="AC581" s="8">
        <v>0.82630589885428396</v>
      </c>
      <c r="AD581" s="8">
        <v>0.79292898793245203</v>
      </c>
      <c r="AE581" s="8" t="str">
        <f t="shared" si="62"/>
        <v>2013-04-19</v>
      </c>
      <c r="AF581" s="9" t="str">
        <f t="shared" si="63"/>
        <v>4/19/2013</v>
      </c>
      <c r="AG581" s="8">
        <f t="shared" si="64"/>
        <v>0.82630589885428396</v>
      </c>
    </row>
    <row r="582" spans="28:33">
      <c r="AB582" s="8" t="s">
        <v>268</v>
      </c>
      <c r="AC582" s="8">
        <v>0.82630589885428396</v>
      </c>
      <c r="AD582" s="8">
        <v>0.79292898793245203</v>
      </c>
      <c r="AE582" s="8" t="str">
        <f t="shared" si="62"/>
        <v>2013-04-22</v>
      </c>
      <c r="AF582" s="9" t="str">
        <f t="shared" si="63"/>
        <v>4/22/2013</v>
      </c>
      <c r="AG582" s="8">
        <f t="shared" si="64"/>
        <v>0.82630589885428396</v>
      </c>
    </row>
    <row r="583" spans="28:33">
      <c r="AB583" s="8" t="s">
        <v>269</v>
      </c>
      <c r="AC583" s="8">
        <v>0.82630589885428396</v>
      </c>
      <c r="AD583" s="8">
        <v>0.79292898793245203</v>
      </c>
      <c r="AE583" s="8" t="str">
        <f t="shared" si="62"/>
        <v>2013-04-23</v>
      </c>
      <c r="AF583" s="9" t="str">
        <f t="shared" si="63"/>
        <v>4/23/2013</v>
      </c>
      <c r="AG583" s="8">
        <f t="shared" si="64"/>
        <v>0.82630589885428396</v>
      </c>
    </row>
    <row r="584" spans="28:33">
      <c r="AB584" s="8" t="s">
        <v>270</v>
      </c>
      <c r="AC584" s="8">
        <v>0.82630589885428396</v>
      </c>
      <c r="AD584" s="8">
        <v>0.79292898793245203</v>
      </c>
      <c r="AE584" s="8" t="str">
        <f t="shared" si="62"/>
        <v>2013-04-24</v>
      </c>
      <c r="AF584" s="9" t="str">
        <f t="shared" si="63"/>
        <v>4/24/2013</v>
      </c>
      <c r="AG584" s="8">
        <f t="shared" si="64"/>
        <v>0.82630589885428396</v>
      </c>
    </row>
    <row r="585" spans="28:33">
      <c r="AB585" s="8" t="s">
        <v>271</v>
      </c>
      <c r="AC585" s="8">
        <v>0.82751009126472896</v>
      </c>
      <c r="AD585" s="8">
        <v>0.79292898793245203</v>
      </c>
      <c r="AE585" s="8" t="str">
        <f t="shared" si="62"/>
        <v>2013-04-25</v>
      </c>
      <c r="AF585" s="9" t="str">
        <f t="shared" si="63"/>
        <v>4/25/2013</v>
      </c>
      <c r="AG585" s="8">
        <f t="shared" si="64"/>
        <v>0.82751009126472896</v>
      </c>
    </row>
    <row r="586" spans="28:33">
      <c r="AB586" s="8" t="s">
        <v>272</v>
      </c>
      <c r="AC586" s="8">
        <v>0.82751009126472896</v>
      </c>
      <c r="AD586" s="8">
        <v>0.79292898793245203</v>
      </c>
      <c r="AE586" s="8" t="str">
        <f t="shared" si="62"/>
        <v>2013-04-26</v>
      </c>
      <c r="AF586" s="9" t="str">
        <f t="shared" si="63"/>
        <v>4/26/2013</v>
      </c>
      <c r="AG586" s="8">
        <f t="shared" si="64"/>
        <v>0.82751009126472896</v>
      </c>
    </row>
    <row r="587" spans="28:33">
      <c r="AB587" s="8" t="s">
        <v>273</v>
      </c>
      <c r="AC587" s="8">
        <v>0.82751009126472896</v>
      </c>
      <c r="AD587" s="8">
        <v>0.79292898793245203</v>
      </c>
      <c r="AE587" s="8" t="str">
        <f t="shared" si="62"/>
        <v>2013-04-29</v>
      </c>
      <c r="AF587" s="9" t="str">
        <f t="shared" si="63"/>
        <v>4/29/2013</v>
      </c>
      <c r="AG587" s="8">
        <f t="shared" si="64"/>
        <v>0.82751009126472896</v>
      </c>
    </row>
    <row r="588" spans="28:33">
      <c r="AB588" s="8" t="s">
        <v>274</v>
      </c>
      <c r="AC588" s="8">
        <v>0.82751009126472896</v>
      </c>
      <c r="AD588" s="8">
        <v>0.79292898793245203</v>
      </c>
      <c r="AE588" s="8" t="str">
        <f t="shared" si="62"/>
        <v>2013-04-30</v>
      </c>
      <c r="AF588" s="9" t="str">
        <f t="shared" si="63"/>
        <v>4/30/2013</v>
      </c>
      <c r="AG588" s="8">
        <f t="shared" si="64"/>
        <v>0.82751009126472896</v>
      </c>
    </row>
    <row r="589" spans="28:33">
      <c r="AB589" s="8" t="s">
        <v>275</v>
      </c>
      <c r="AC589" s="8">
        <v>0.81036703654126596</v>
      </c>
      <c r="AD589" s="8">
        <v>0.78421186121359299</v>
      </c>
      <c r="AE589" s="8" t="str">
        <f t="shared" si="62"/>
        <v>2013-05-01</v>
      </c>
      <c r="AF589" s="9" t="str">
        <f t="shared" si="63"/>
        <v>5/1/2013</v>
      </c>
      <c r="AG589" s="8">
        <f t="shared" si="64"/>
        <v>0.81036703654126596</v>
      </c>
    </row>
    <row r="590" spans="28:33">
      <c r="AB590" s="8" t="s">
        <v>276</v>
      </c>
      <c r="AC590" s="8">
        <v>0.81666056757909999</v>
      </c>
      <c r="AD590" s="8">
        <v>0.84016992125619905</v>
      </c>
      <c r="AE590" s="8" t="str">
        <f t="shared" si="62"/>
        <v>2013-05-02</v>
      </c>
      <c r="AF590" s="9" t="str">
        <f t="shared" si="63"/>
        <v>5/2/2013</v>
      </c>
      <c r="AG590" s="8">
        <f t="shared" si="64"/>
        <v>0.81666056757909999</v>
      </c>
    </row>
    <row r="591" spans="28:33">
      <c r="AB591" s="8" t="s">
        <v>277</v>
      </c>
      <c r="AC591" s="8">
        <v>0.81666056757909999</v>
      </c>
      <c r="AD591" s="8">
        <v>0.84016992125619905</v>
      </c>
      <c r="AE591" s="8" t="str">
        <f t="shared" si="62"/>
        <v>2013-05-03</v>
      </c>
      <c r="AF591" s="9" t="str">
        <f t="shared" si="63"/>
        <v>5/3/2013</v>
      </c>
      <c r="AG591" s="8">
        <f t="shared" si="64"/>
        <v>0.81666056757909999</v>
      </c>
    </row>
    <row r="592" spans="28:33">
      <c r="AB592" s="8" t="s">
        <v>278</v>
      </c>
      <c r="AC592" s="8">
        <v>0.81666056757909999</v>
      </c>
      <c r="AD592" s="8">
        <v>0.84016992125619905</v>
      </c>
      <c r="AE592" s="8" t="str">
        <f t="shared" si="62"/>
        <v>2013-05-06</v>
      </c>
      <c r="AF592" s="9" t="str">
        <f t="shared" si="63"/>
        <v>5/6/2013</v>
      </c>
      <c r="AG592" s="8">
        <f t="shared" si="64"/>
        <v>0.81666056757909999</v>
      </c>
    </row>
    <row r="593" spans="28:33">
      <c r="AB593" s="8" t="s">
        <v>279</v>
      </c>
      <c r="AC593" s="8">
        <v>0.81666056757909999</v>
      </c>
      <c r="AD593" s="8">
        <v>0.84016992125619905</v>
      </c>
      <c r="AE593" s="8" t="str">
        <f t="shared" si="62"/>
        <v>2013-05-07</v>
      </c>
      <c r="AF593" s="9" t="str">
        <f t="shared" si="63"/>
        <v>5/7/2013</v>
      </c>
      <c r="AG593" s="8">
        <f t="shared" si="64"/>
        <v>0.81666056757909999</v>
      </c>
    </row>
    <row r="594" spans="28:33">
      <c r="AB594" s="8" t="s">
        <v>280</v>
      </c>
      <c r="AC594" s="8">
        <v>0.81666056757909999</v>
      </c>
      <c r="AD594" s="8">
        <v>0.84016992125619905</v>
      </c>
      <c r="AE594" s="8" t="str">
        <f t="shared" si="62"/>
        <v>2013-05-08</v>
      </c>
      <c r="AF594" s="9" t="str">
        <f t="shared" si="63"/>
        <v>5/8/2013</v>
      </c>
      <c r="AG594" s="8">
        <f t="shared" si="64"/>
        <v>0.81666056757909999</v>
      </c>
    </row>
    <row r="595" spans="28:33">
      <c r="AB595" s="8" t="s">
        <v>281</v>
      </c>
      <c r="AC595" s="8">
        <v>0.80807149473903706</v>
      </c>
      <c r="AD595" s="8">
        <v>0.78421186121359299</v>
      </c>
      <c r="AE595" s="8" t="str">
        <f t="shared" si="62"/>
        <v>2013-05-09</v>
      </c>
      <c r="AF595" s="9" t="str">
        <f t="shared" si="63"/>
        <v>5/9/2013</v>
      </c>
      <c r="AG595" s="8">
        <f t="shared" si="64"/>
        <v>0.80807149473903706</v>
      </c>
    </row>
    <row r="596" spans="28:33">
      <c r="AB596" s="8" t="s">
        <v>282</v>
      </c>
      <c r="AC596" s="8">
        <v>0.80807149473903706</v>
      </c>
      <c r="AD596" s="8">
        <v>0.78421186121359299</v>
      </c>
      <c r="AE596" s="8" t="str">
        <f t="shared" si="62"/>
        <v>2013-05-10</v>
      </c>
      <c r="AF596" s="9" t="str">
        <f t="shared" si="63"/>
        <v>5/10/2013</v>
      </c>
      <c r="AG596" s="8">
        <f t="shared" si="64"/>
        <v>0.80807149473903706</v>
      </c>
    </row>
    <row r="597" spans="28:33">
      <c r="AB597" s="8" t="s">
        <v>283</v>
      </c>
      <c r="AC597" s="8">
        <v>0.80807149473903706</v>
      </c>
      <c r="AD597" s="8">
        <v>0.78421186121359299</v>
      </c>
      <c r="AE597" s="8" t="str">
        <f t="shared" si="62"/>
        <v>2013-05-13</v>
      </c>
      <c r="AF597" s="9" t="str">
        <f t="shared" si="63"/>
        <v>5/13/2013</v>
      </c>
      <c r="AG597" s="8">
        <f t="shared" si="64"/>
        <v>0.80807149473903706</v>
      </c>
    </row>
    <row r="598" spans="28:33">
      <c r="AB598" s="8" t="s">
        <v>284</v>
      </c>
      <c r="AC598" s="8">
        <v>0.80807149473903706</v>
      </c>
      <c r="AD598" s="8">
        <v>0.78421186121359299</v>
      </c>
      <c r="AE598" s="8" t="str">
        <f t="shared" si="62"/>
        <v>2013-05-14</v>
      </c>
      <c r="AF598" s="9" t="str">
        <f t="shared" si="63"/>
        <v>5/14/2013</v>
      </c>
      <c r="AG598" s="8">
        <f t="shared" si="64"/>
        <v>0.80807149473903706</v>
      </c>
    </row>
    <row r="599" spans="28:33">
      <c r="AB599" s="8" t="s">
        <v>285</v>
      </c>
      <c r="AC599" s="8">
        <v>0.80807149473903706</v>
      </c>
      <c r="AD599" s="8">
        <v>0.78421186121359299</v>
      </c>
      <c r="AE599" s="8" t="str">
        <f t="shared" si="62"/>
        <v>2013-05-15</v>
      </c>
      <c r="AF599" s="9" t="str">
        <f t="shared" si="63"/>
        <v>5/15/2013</v>
      </c>
      <c r="AG599" s="8">
        <f t="shared" si="64"/>
        <v>0.80807149473903706</v>
      </c>
    </row>
    <row r="600" spans="28:33">
      <c r="AB600" s="8" t="s">
        <v>286</v>
      </c>
      <c r="AC600" s="8">
        <v>0.77783403735744605</v>
      </c>
      <c r="AD600" s="8">
        <v>0.74298534969832897</v>
      </c>
      <c r="AE600" s="8" t="str">
        <f t="shared" si="62"/>
        <v>2013-05-20</v>
      </c>
      <c r="AF600" s="9" t="str">
        <f t="shared" si="63"/>
        <v>5/20/2013</v>
      </c>
      <c r="AG600" s="8">
        <f t="shared" si="64"/>
        <v>0.77783403735744605</v>
      </c>
    </row>
    <row r="601" spans="28:33">
      <c r="AB601" s="8" t="s">
        <v>287</v>
      </c>
      <c r="AC601" s="8">
        <v>0.77783403735744605</v>
      </c>
      <c r="AD601" s="8">
        <v>0.74298534969832897</v>
      </c>
      <c r="AE601" s="8" t="str">
        <f t="shared" si="62"/>
        <v>2013-05-21</v>
      </c>
      <c r="AF601" s="9" t="str">
        <f t="shared" si="63"/>
        <v>5/21/2013</v>
      </c>
      <c r="AG601" s="8">
        <f t="shared" si="64"/>
        <v>0.77783403735744605</v>
      </c>
    </row>
    <row r="602" spans="28:33">
      <c r="AB602" s="8" t="s">
        <v>288</v>
      </c>
      <c r="AC602" s="8">
        <v>0.77783403735744605</v>
      </c>
      <c r="AD602" s="8">
        <v>0.74298534969832897</v>
      </c>
      <c r="AE602" s="8" t="str">
        <f t="shared" si="62"/>
        <v>2013-05-22</v>
      </c>
      <c r="AF602" s="9" t="str">
        <f t="shared" si="63"/>
        <v>5/22/2013</v>
      </c>
      <c r="AG602" s="8">
        <f t="shared" si="64"/>
        <v>0.77783403735744605</v>
      </c>
    </row>
    <row r="603" spans="28:33">
      <c r="AB603" s="8" t="s">
        <v>289</v>
      </c>
      <c r="AC603" s="8">
        <v>0.69478056772037999</v>
      </c>
      <c r="AD603" s="8">
        <v>0.72025605083465505</v>
      </c>
      <c r="AE603" s="8" t="str">
        <f t="shared" si="62"/>
        <v>2013-05-23</v>
      </c>
      <c r="AF603" s="9" t="str">
        <f t="shared" si="63"/>
        <v>5/23/2013</v>
      </c>
      <c r="AG603" s="8">
        <f t="shared" si="64"/>
        <v>0.69478056772037999</v>
      </c>
    </row>
    <row r="604" spans="28:33">
      <c r="AB604" s="8" t="s">
        <v>290</v>
      </c>
      <c r="AC604" s="8">
        <v>0.69478056772037999</v>
      </c>
      <c r="AD604" s="8">
        <v>0.72025605083465505</v>
      </c>
      <c r="AE604" s="8" t="str">
        <f t="shared" si="62"/>
        <v>2013-05-24</v>
      </c>
      <c r="AF604" s="9" t="str">
        <f t="shared" si="63"/>
        <v>5/24/2013</v>
      </c>
      <c r="AG604" s="8">
        <f t="shared" si="64"/>
        <v>0.69478056772037999</v>
      </c>
    </row>
    <row r="605" spans="28:33">
      <c r="AB605" s="8" t="s">
        <v>291</v>
      </c>
      <c r="AC605" s="8">
        <v>0.69478056772037999</v>
      </c>
      <c r="AD605" s="8">
        <v>0.72025605083465505</v>
      </c>
      <c r="AE605" s="8" t="str">
        <f t="shared" si="62"/>
        <v>2013-05-28</v>
      </c>
      <c r="AF605" s="9" t="str">
        <f t="shared" si="63"/>
        <v>5/28/2013</v>
      </c>
      <c r="AG605" s="8">
        <f t="shared" si="64"/>
        <v>0.69478056772037999</v>
      </c>
    </row>
    <row r="606" spans="28:33">
      <c r="AB606" s="8" t="s">
        <v>292</v>
      </c>
      <c r="AC606" s="8">
        <v>0.635194452728709</v>
      </c>
      <c r="AD606" s="8">
        <v>0.60919245146726198</v>
      </c>
      <c r="AE606" s="8" t="str">
        <f t="shared" si="62"/>
        <v>2013-05-30</v>
      </c>
      <c r="AF606" s="9" t="str">
        <f t="shared" si="63"/>
        <v>5/30/2013</v>
      </c>
      <c r="AG606" s="8">
        <f t="shared" si="64"/>
        <v>0.635194452728709</v>
      </c>
    </row>
    <row r="607" spans="28:33">
      <c r="AB607" s="8" t="s">
        <v>293</v>
      </c>
      <c r="AC607" s="8">
        <v>0.635194452728709</v>
      </c>
      <c r="AD607" s="8">
        <v>0.60919245146726198</v>
      </c>
      <c r="AE607" s="8" t="str">
        <f t="shared" si="62"/>
        <v>2013-05-31</v>
      </c>
      <c r="AF607" s="9" t="str">
        <f t="shared" si="63"/>
        <v>5/31/2013</v>
      </c>
      <c r="AG607" s="8">
        <f t="shared" si="64"/>
        <v>0.635194452728709</v>
      </c>
    </row>
    <row r="608" spans="28:33">
      <c r="AB608" s="8" t="s">
        <v>294</v>
      </c>
      <c r="AC608" s="8">
        <v>0.614848697284054</v>
      </c>
      <c r="AD608" s="8">
        <v>0.58709936352876901</v>
      </c>
      <c r="AE608" s="8" t="str">
        <f t="shared" si="62"/>
        <v>2013-06-03</v>
      </c>
      <c r="AF608" s="9" t="str">
        <f t="shared" si="63"/>
        <v>6/3/2013</v>
      </c>
      <c r="AG608" s="8">
        <f t="shared" si="64"/>
        <v>0.614848697284054</v>
      </c>
    </row>
    <row r="609" spans="28:33">
      <c r="AB609" s="8" t="s">
        <v>295</v>
      </c>
      <c r="AC609" s="8">
        <v>0.614848697284054</v>
      </c>
      <c r="AD609" s="8">
        <v>0.58709936352876901</v>
      </c>
      <c r="AE609" s="8" t="str">
        <f t="shared" si="62"/>
        <v>2013-06-04</v>
      </c>
      <c r="AF609" s="9" t="str">
        <f t="shared" si="63"/>
        <v>6/4/2013</v>
      </c>
      <c r="AG609" s="8">
        <f t="shared" si="64"/>
        <v>0.614848697284054</v>
      </c>
    </row>
    <row r="610" spans="28:33">
      <c r="AB610" s="8" t="s">
        <v>296</v>
      </c>
      <c r="AC610" s="8">
        <v>0.614848697284054</v>
      </c>
      <c r="AD610" s="8">
        <v>0.58709936352876901</v>
      </c>
      <c r="AE610" s="8" t="str">
        <f t="shared" si="62"/>
        <v>2013-06-05</v>
      </c>
      <c r="AF610" s="9" t="str">
        <f t="shared" si="63"/>
        <v>6/5/2013</v>
      </c>
      <c r="AG610" s="8">
        <f t="shared" si="64"/>
        <v>0.614848697284054</v>
      </c>
    </row>
    <row r="611" spans="28:33">
      <c r="AB611" s="8" t="s">
        <v>297</v>
      </c>
      <c r="AC611" s="8">
        <v>0.60559705603105995</v>
      </c>
      <c r="AD611" s="8">
        <v>0.55408508468166695</v>
      </c>
      <c r="AE611" s="8" t="str">
        <f t="shared" si="62"/>
        <v>2013-06-06</v>
      </c>
      <c r="AF611" s="9" t="str">
        <f t="shared" si="63"/>
        <v>6/6/2013</v>
      </c>
      <c r="AG611" s="8">
        <f t="shared" si="64"/>
        <v>0.60559705603105995</v>
      </c>
    </row>
    <row r="612" spans="28:33">
      <c r="AB612" s="8" t="s">
        <v>298</v>
      </c>
      <c r="AC612" s="8">
        <v>0.60559705603105995</v>
      </c>
      <c r="AD612" s="8">
        <v>0.55408508468166695</v>
      </c>
      <c r="AE612" s="8" t="str">
        <f t="shared" si="62"/>
        <v>2013-06-07</v>
      </c>
      <c r="AF612" s="9" t="str">
        <f t="shared" si="63"/>
        <v>6/7/2013</v>
      </c>
      <c r="AG612" s="8">
        <f t="shared" si="64"/>
        <v>0.60559705603105995</v>
      </c>
    </row>
    <row r="613" spans="28:33">
      <c r="AB613" s="8" t="s">
        <v>299</v>
      </c>
      <c r="AC613" s="8">
        <v>0.60559705603105995</v>
      </c>
      <c r="AD613" s="8">
        <v>0.55408508468166695</v>
      </c>
      <c r="AE613" s="8" t="str">
        <f t="shared" si="62"/>
        <v>2013-06-11</v>
      </c>
      <c r="AF613" s="9" t="str">
        <f t="shared" si="63"/>
        <v>6/11/2013</v>
      </c>
      <c r="AG613" s="8">
        <f t="shared" si="64"/>
        <v>0.60559705603105995</v>
      </c>
    </row>
    <row r="614" spans="28:33">
      <c r="AB614" s="8" t="s">
        <v>300</v>
      </c>
      <c r="AC614" s="8">
        <v>0.60559705603105995</v>
      </c>
      <c r="AD614" s="8">
        <v>0.55408508468166695</v>
      </c>
      <c r="AE614" s="8" t="str">
        <f t="shared" si="62"/>
        <v>2013-06-12</v>
      </c>
      <c r="AF614" s="9" t="str">
        <f t="shared" si="63"/>
        <v>6/12/2013</v>
      </c>
      <c r="AG614" s="8">
        <f t="shared" si="64"/>
        <v>0.60559705603105995</v>
      </c>
    </row>
    <row r="615" spans="28:33">
      <c r="AB615" s="8" t="s">
        <v>301</v>
      </c>
      <c r="AC615" s="8">
        <v>0.57343184072471898</v>
      </c>
      <c r="AD615" s="8">
        <v>0.54237641845658602</v>
      </c>
      <c r="AE615" s="8" t="str">
        <f t="shared" si="62"/>
        <v>2013-06-13</v>
      </c>
      <c r="AF615" s="9" t="str">
        <f t="shared" si="63"/>
        <v>6/13/2013</v>
      </c>
      <c r="AG615" s="8">
        <f t="shared" si="64"/>
        <v>0.57343184072471898</v>
      </c>
    </row>
    <row r="616" spans="28:33">
      <c r="AB616" s="8" t="s">
        <v>302</v>
      </c>
      <c r="AC616" s="8">
        <v>0.57343184072471898</v>
      </c>
      <c r="AD616" s="8">
        <v>0.54237641845658602</v>
      </c>
      <c r="AE616" s="8" t="str">
        <f t="shared" si="62"/>
        <v>2013-06-14</v>
      </c>
      <c r="AF616" s="9" t="str">
        <f t="shared" si="63"/>
        <v>6/14/2013</v>
      </c>
      <c r="AG616" s="8">
        <f t="shared" si="64"/>
        <v>0.57343184072471898</v>
      </c>
    </row>
    <row r="617" spans="28:33">
      <c r="AB617" s="8" t="s">
        <v>303</v>
      </c>
      <c r="AC617" s="8">
        <v>0.57343184072471898</v>
      </c>
      <c r="AD617" s="8">
        <v>0.54237641845658602</v>
      </c>
      <c r="AE617" s="8" t="str">
        <f t="shared" si="62"/>
        <v>2013-06-17</v>
      </c>
      <c r="AF617" s="9" t="str">
        <f t="shared" si="63"/>
        <v>6/17/2013</v>
      </c>
      <c r="AG617" s="8">
        <f t="shared" si="64"/>
        <v>0.57343184072471898</v>
      </c>
    </row>
    <row r="618" spans="28:33">
      <c r="AB618" s="8" t="s">
        <v>304</v>
      </c>
      <c r="AC618" s="8">
        <v>0.57343184072471898</v>
      </c>
      <c r="AD618" s="8">
        <v>0.54237641845658602</v>
      </c>
      <c r="AE618" s="8" t="str">
        <f t="shared" si="62"/>
        <v>2013-06-18</v>
      </c>
      <c r="AF618" s="9" t="str">
        <f t="shared" si="63"/>
        <v>6/18/2013</v>
      </c>
      <c r="AG618" s="8">
        <f t="shared" si="64"/>
        <v>0.57343184072471898</v>
      </c>
    </row>
    <row r="619" spans="28:33">
      <c r="AB619" s="8" t="s">
        <v>305</v>
      </c>
      <c r="AC619" s="8">
        <v>0.57343184072471898</v>
      </c>
      <c r="AD619" s="8">
        <v>0.54237641845658602</v>
      </c>
      <c r="AE619" s="8" t="str">
        <f t="shared" si="62"/>
        <v>2013-06-19</v>
      </c>
      <c r="AF619" s="9" t="str">
        <f t="shared" si="63"/>
        <v>6/19/2013</v>
      </c>
      <c r="AG619" s="8">
        <f t="shared" si="64"/>
        <v>0.57343184072471898</v>
      </c>
    </row>
    <row r="620" spans="28:33">
      <c r="AB620" s="8" t="s">
        <v>306</v>
      </c>
      <c r="AC620" s="8">
        <v>0.60175540147873097</v>
      </c>
      <c r="AD620" s="8">
        <v>0.55408508468166695</v>
      </c>
      <c r="AE620" s="8" t="str">
        <f t="shared" si="62"/>
        <v>2013-06-20</v>
      </c>
      <c r="AF620" s="9" t="str">
        <f t="shared" si="63"/>
        <v>6/20/2013</v>
      </c>
      <c r="AG620" s="8">
        <f t="shared" si="64"/>
        <v>0.60175540147873097</v>
      </c>
    </row>
    <row r="621" spans="28:33">
      <c r="AB621" s="8" t="s">
        <v>307</v>
      </c>
      <c r="AC621" s="8">
        <v>0.60175540147873097</v>
      </c>
      <c r="AD621" s="8">
        <v>0.55408508468166695</v>
      </c>
      <c r="AE621" s="8" t="str">
        <f t="shared" si="62"/>
        <v>2013-06-21</v>
      </c>
      <c r="AF621" s="9" t="str">
        <f t="shared" si="63"/>
        <v>6/21/2013</v>
      </c>
      <c r="AG621" s="8">
        <f t="shared" si="64"/>
        <v>0.60175540147873097</v>
      </c>
    </row>
    <row r="622" spans="28:33">
      <c r="AB622" s="8" t="s">
        <v>308</v>
      </c>
      <c r="AC622" s="8">
        <v>0.60175540147873097</v>
      </c>
      <c r="AD622" s="8">
        <v>0.55408508468166695</v>
      </c>
      <c r="AE622" s="8" t="str">
        <f t="shared" si="62"/>
        <v>2013-06-25</v>
      </c>
      <c r="AF622" s="9" t="str">
        <f t="shared" si="63"/>
        <v>6/25/2013</v>
      </c>
      <c r="AG622" s="8">
        <f t="shared" si="64"/>
        <v>0.60175540147873097</v>
      </c>
    </row>
    <row r="623" spans="28:33">
      <c r="AB623" s="8" t="s">
        <v>309</v>
      </c>
      <c r="AC623" s="8">
        <v>0.60175540147873097</v>
      </c>
      <c r="AD623" s="8">
        <v>0.55408508468166695</v>
      </c>
      <c r="AE623" s="8" t="str">
        <f t="shared" si="62"/>
        <v>2013-06-26</v>
      </c>
      <c r="AF623" s="9" t="str">
        <f t="shared" si="63"/>
        <v>6/26/2013</v>
      </c>
      <c r="AG623" s="8">
        <f t="shared" si="64"/>
        <v>0.60175540147873097</v>
      </c>
    </row>
    <row r="624" spans="28:33">
      <c r="AB624" s="8" t="s">
        <v>310</v>
      </c>
      <c r="AC624" s="8">
        <v>0.41370007412069798</v>
      </c>
      <c r="AD624" s="8">
        <v>0.39415834927746801</v>
      </c>
      <c r="AE624" s="8" t="str">
        <f t="shared" si="62"/>
        <v>2013-06-27</v>
      </c>
      <c r="AF624" s="9" t="str">
        <f t="shared" si="63"/>
        <v>6/27/2013</v>
      </c>
      <c r="AG624" s="8">
        <f t="shared" si="64"/>
        <v>0.41370007412069798</v>
      </c>
    </row>
    <row r="625" spans="28:33">
      <c r="AB625" s="8" t="s">
        <v>311</v>
      </c>
      <c r="AC625" s="8">
        <v>0.41370007412069798</v>
      </c>
      <c r="AD625" s="8">
        <v>0.39415834927746801</v>
      </c>
      <c r="AE625" s="8" t="str">
        <f t="shared" si="62"/>
        <v>2013-06-28</v>
      </c>
      <c r="AF625" s="9" t="str">
        <f t="shared" si="63"/>
        <v>6/28/2013</v>
      </c>
      <c r="AG625" s="8">
        <f t="shared" si="64"/>
        <v>0.41370007412069798</v>
      </c>
    </row>
    <row r="626" spans="28:33">
      <c r="AB626" s="8" t="s">
        <v>312</v>
      </c>
      <c r="AC626" s="8">
        <v>0.39643390905357601</v>
      </c>
      <c r="AD626" s="8">
        <v>0.37698953895016502</v>
      </c>
      <c r="AE626" s="8" t="str">
        <f t="shared" si="62"/>
        <v>2013-07-01</v>
      </c>
      <c r="AF626" s="9" t="str">
        <f t="shared" si="63"/>
        <v>7/1/2013</v>
      </c>
      <c r="AG626" s="8">
        <f t="shared" si="64"/>
        <v>0.39643390905357601</v>
      </c>
    </row>
    <row r="627" spans="28:33">
      <c r="AB627" s="8" t="s">
        <v>313</v>
      </c>
      <c r="AC627" s="8">
        <v>0.39643390905357601</v>
      </c>
      <c r="AD627" s="8">
        <v>0.37698953895016502</v>
      </c>
      <c r="AE627" s="8" t="str">
        <f t="shared" si="62"/>
        <v>2013-07-02</v>
      </c>
      <c r="AF627" s="9" t="str">
        <f t="shared" si="63"/>
        <v>7/2/2013</v>
      </c>
      <c r="AG627" s="8">
        <f t="shared" si="64"/>
        <v>0.39643390905357601</v>
      </c>
    </row>
    <row r="628" spans="28:33">
      <c r="AB628" s="8" t="s">
        <v>314</v>
      </c>
      <c r="AC628" s="8">
        <v>0.43308419457729302</v>
      </c>
      <c r="AD628" s="8">
        <v>0.44134838880670302</v>
      </c>
      <c r="AE628" s="8" t="str">
        <f t="shared" si="62"/>
        <v>2013-07-03</v>
      </c>
      <c r="AF628" s="9" t="str">
        <f t="shared" si="63"/>
        <v>7/3/2013</v>
      </c>
      <c r="AG628" s="8">
        <f t="shared" si="64"/>
        <v>0.43308419457729302</v>
      </c>
    </row>
    <row r="629" spans="28:33">
      <c r="AB629" s="8" t="s">
        <v>315</v>
      </c>
      <c r="AC629" s="8">
        <v>0.43308419457729302</v>
      </c>
      <c r="AD629" s="8">
        <v>0.44134838880670302</v>
      </c>
      <c r="AE629" s="8" t="str">
        <f t="shared" si="62"/>
        <v>2013-07-05</v>
      </c>
      <c r="AF629" s="9" t="str">
        <f t="shared" si="63"/>
        <v>7/5/2013</v>
      </c>
      <c r="AG629" s="8">
        <f t="shared" si="64"/>
        <v>0.43308419457729302</v>
      </c>
    </row>
    <row r="630" spans="28:33">
      <c r="AB630" s="8" t="s">
        <v>316</v>
      </c>
      <c r="AC630" s="8">
        <v>0.43308419457729302</v>
      </c>
      <c r="AD630" s="8">
        <v>0.44134838880670302</v>
      </c>
      <c r="AE630" s="8" t="str">
        <f t="shared" ref="AE630:AE693" si="65">MID(AB630,2,10)</f>
        <v>2013-07-08</v>
      </c>
      <c r="AF630" s="9" t="str">
        <f t="shared" ref="AF630:AF693" si="66">TEXT(AE630,"m/d/yyyy")</f>
        <v>7/8/2013</v>
      </c>
      <c r="AG630" s="8">
        <f t="shared" ref="AG630:AG693" si="67">AC630</f>
        <v>0.43308419457729302</v>
      </c>
    </row>
    <row r="631" spans="28:33">
      <c r="AB631" s="8" t="s">
        <v>317</v>
      </c>
      <c r="AC631" s="8">
        <v>0.43308419457729302</v>
      </c>
      <c r="AD631" s="8">
        <v>0.44134838880670302</v>
      </c>
      <c r="AE631" s="8" t="str">
        <f t="shared" si="65"/>
        <v>2013-07-09</v>
      </c>
      <c r="AF631" s="9" t="str">
        <f t="shared" si="66"/>
        <v>7/9/2013</v>
      </c>
      <c r="AG631" s="8">
        <f t="shared" si="67"/>
        <v>0.43308419457729302</v>
      </c>
    </row>
    <row r="632" spans="28:33">
      <c r="AB632" s="8" t="s">
        <v>318</v>
      </c>
      <c r="AC632" s="8">
        <v>0.43308419457729302</v>
      </c>
      <c r="AD632" s="8">
        <v>0.44134838880670302</v>
      </c>
      <c r="AE632" s="8" t="str">
        <f t="shared" si="65"/>
        <v>2013-07-10</v>
      </c>
      <c r="AF632" s="9" t="str">
        <f t="shared" si="66"/>
        <v>7/10/2013</v>
      </c>
      <c r="AG632" s="8">
        <f t="shared" si="67"/>
        <v>0.43308419457729302</v>
      </c>
    </row>
    <row r="633" spans="28:33">
      <c r="AB633" s="8" t="s">
        <v>319</v>
      </c>
      <c r="AC633" s="8">
        <v>0.34039157628197098</v>
      </c>
      <c r="AD633" s="8">
        <v>0.34710430085509097</v>
      </c>
      <c r="AE633" s="8" t="str">
        <f t="shared" si="65"/>
        <v>2013-07-11</v>
      </c>
      <c r="AF633" s="9" t="str">
        <f t="shared" si="66"/>
        <v>7/11/2013</v>
      </c>
      <c r="AG633" s="8">
        <f t="shared" si="67"/>
        <v>0.34039157628197098</v>
      </c>
    </row>
    <row r="634" spans="28:33">
      <c r="AB634" s="8" t="s">
        <v>320</v>
      </c>
      <c r="AC634" s="8">
        <v>0.34039157628197098</v>
      </c>
      <c r="AD634" s="8">
        <v>0.34710430085509097</v>
      </c>
      <c r="AE634" s="8" t="str">
        <f t="shared" si="65"/>
        <v>2013-07-12</v>
      </c>
      <c r="AF634" s="9" t="str">
        <f t="shared" si="66"/>
        <v>7/12/2013</v>
      </c>
      <c r="AG634" s="8">
        <f t="shared" si="67"/>
        <v>0.34039157628197098</v>
      </c>
    </row>
    <row r="635" spans="28:33">
      <c r="AB635" s="8" t="s">
        <v>321</v>
      </c>
      <c r="AC635" s="8">
        <v>0.34039157628197098</v>
      </c>
      <c r="AD635" s="8">
        <v>0.34710430085509097</v>
      </c>
      <c r="AE635" s="8" t="str">
        <f t="shared" si="65"/>
        <v>2013-07-15</v>
      </c>
      <c r="AF635" s="9" t="str">
        <f t="shared" si="66"/>
        <v>7/15/2013</v>
      </c>
      <c r="AG635" s="8">
        <f t="shared" si="67"/>
        <v>0.34039157628197098</v>
      </c>
    </row>
    <row r="636" spans="28:33">
      <c r="AB636" s="8" t="s">
        <v>322</v>
      </c>
      <c r="AC636" s="8">
        <v>0.34039157628197098</v>
      </c>
      <c r="AD636" s="8">
        <v>0.34710430085509097</v>
      </c>
      <c r="AE636" s="8" t="str">
        <f t="shared" si="65"/>
        <v>2013-07-17</v>
      </c>
      <c r="AF636" s="9" t="str">
        <f t="shared" si="66"/>
        <v>7/17/2013</v>
      </c>
      <c r="AG636" s="8">
        <f t="shared" si="67"/>
        <v>0.34039157628197098</v>
      </c>
    </row>
    <row r="637" spans="28:33">
      <c r="AB637" s="8" t="s">
        <v>323</v>
      </c>
      <c r="AC637" s="8">
        <v>0.426207408093986</v>
      </c>
      <c r="AD637" s="8">
        <v>0.42258876241454801</v>
      </c>
      <c r="AE637" s="8" t="str">
        <f t="shared" si="65"/>
        <v>2013-07-18</v>
      </c>
      <c r="AF637" s="9" t="str">
        <f t="shared" si="66"/>
        <v>7/18/2013</v>
      </c>
      <c r="AG637" s="8">
        <f t="shared" si="67"/>
        <v>0.426207408093986</v>
      </c>
    </row>
    <row r="638" spans="28:33">
      <c r="AB638" s="8" t="s">
        <v>324</v>
      </c>
      <c r="AC638" s="8">
        <v>0.426207408093986</v>
      </c>
      <c r="AD638" s="8">
        <v>0.42258876241454801</v>
      </c>
      <c r="AE638" s="8" t="str">
        <f t="shared" si="65"/>
        <v>2013-07-19</v>
      </c>
      <c r="AF638" s="9" t="str">
        <f t="shared" si="66"/>
        <v>7/19/2013</v>
      </c>
      <c r="AG638" s="8">
        <f t="shared" si="67"/>
        <v>0.426207408093986</v>
      </c>
    </row>
    <row r="639" spans="28:33">
      <c r="AB639" s="8" t="s">
        <v>325</v>
      </c>
      <c r="AC639" s="8">
        <v>0.426207408093986</v>
      </c>
      <c r="AD639" s="8">
        <v>0.42258876241454801</v>
      </c>
      <c r="AE639" s="8" t="str">
        <f t="shared" si="65"/>
        <v>2013-07-22</v>
      </c>
      <c r="AF639" s="9" t="str">
        <f t="shared" si="66"/>
        <v>7/22/2013</v>
      </c>
      <c r="AG639" s="8">
        <f t="shared" si="67"/>
        <v>0.426207408093986</v>
      </c>
    </row>
    <row r="640" spans="28:33">
      <c r="AB640" s="8" t="s">
        <v>326</v>
      </c>
      <c r="AC640" s="8">
        <v>0.426207408093986</v>
      </c>
      <c r="AD640" s="8">
        <v>0.42258876241454801</v>
      </c>
      <c r="AE640" s="8" t="str">
        <f t="shared" si="65"/>
        <v>2013-07-23</v>
      </c>
      <c r="AF640" s="9" t="str">
        <f t="shared" si="66"/>
        <v>7/23/2013</v>
      </c>
      <c r="AG640" s="8">
        <f t="shared" si="67"/>
        <v>0.426207408093986</v>
      </c>
    </row>
    <row r="641" spans="28:33">
      <c r="AB641" s="8" t="s">
        <v>327</v>
      </c>
      <c r="AC641" s="8">
        <v>0.43167939138876898</v>
      </c>
      <c r="AD641" s="8">
        <v>0.44134838880670302</v>
      </c>
      <c r="AE641" s="8" t="str">
        <f t="shared" si="65"/>
        <v>2013-07-25</v>
      </c>
      <c r="AF641" s="9" t="str">
        <f t="shared" si="66"/>
        <v>7/25/2013</v>
      </c>
      <c r="AG641" s="8">
        <f t="shared" si="67"/>
        <v>0.43167939138876898</v>
      </c>
    </row>
    <row r="642" spans="28:33">
      <c r="AB642" s="8" t="s">
        <v>328</v>
      </c>
      <c r="AC642" s="8">
        <v>0.43167939138876898</v>
      </c>
      <c r="AD642" s="8">
        <v>0.44134838880670302</v>
      </c>
      <c r="AE642" s="8" t="str">
        <f t="shared" si="65"/>
        <v>2013-07-26</v>
      </c>
      <c r="AF642" s="9" t="str">
        <f t="shared" si="66"/>
        <v>7/26/2013</v>
      </c>
      <c r="AG642" s="8">
        <f t="shared" si="67"/>
        <v>0.43167939138876898</v>
      </c>
    </row>
    <row r="643" spans="28:33">
      <c r="AB643" s="8" t="s">
        <v>329</v>
      </c>
      <c r="AC643" s="8">
        <v>0.43167939138876898</v>
      </c>
      <c r="AD643" s="8">
        <v>0.44134838880670302</v>
      </c>
      <c r="AE643" s="8" t="str">
        <f t="shared" si="65"/>
        <v>2013-07-29</v>
      </c>
      <c r="AF643" s="9" t="str">
        <f t="shared" si="66"/>
        <v>7/29/2013</v>
      </c>
      <c r="AG643" s="8">
        <f t="shared" si="67"/>
        <v>0.43167939138876898</v>
      </c>
    </row>
    <row r="644" spans="28:33">
      <c r="AB644" s="8" t="s">
        <v>330</v>
      </c>
      <c r="AC644" s="8">
        <v>0.43167939138876898</v>
      </c>
      <c r="AD644" s="8">
        <v>0.44134838880670302</v>
      </c>
      <c r="AE644" s="8" t="str">
        <f t="shared" si="65"/>
        <v>2013-07-30</v>
      </c>
      <c r="AF644" s="9" t="str">
        <f t="shared" si="66"/>
        <v>7/30/2013</v>
      </c>
      <c r="AG644" s="8">
        <f t="shared" si="67"/>
        <v>0.43167939138876898</v>
      </c>
    </row>
    <row r="645" spans="28:33">
      <c r="AB645" s="8" t="s">
        <v>331</v>
      </c>
      <c r="AC645" s="8">
        <v>0.43167939138876898</v>
      </c>
      <c r="AD645" s="8">
        <v>0.44134838880670302</v>
      </c>
      <c r="AE645" s="8" t="str">
        <f t="shared" si="65"/>
        <v>2013-07-31</v>
      </c>
      <c r="AF645" s="9" t="str">
        <f t="shared" si="66"/>
        <v>7/31/2013</v>
      </c>
      <c r="AG645" s="8">
        <f t="shared" si="67"/>
        <v>0.43167939138876898</v>
      </c>
    </row>
    <row r="646" spans="28:33">
      <c r="AB646" s="8" t="s">
        <v>332</v>
      </c>
      <c r="AC646" s="8">
        <v>0.40917398895536999</v>
      </c>
      <c r="AD646" s="8">
        <v>0.40514213578765101</v>
      </c>
      <c r="AE646" s="8" t="str">
        <f t="shared" si="65"/>
        <v>2013-08-01</v>
      </c>
      <c r="AF646" s="9" t="str">
        <f t="shared" si="66"/>
        <v>8/1/2013</v>
      </c>
      <c r="AG646" s="8">
        <f t="shared" si="67"/>
        <v>0.40917398895536999</v>
      </c>
    </row>
    <row r="647" spans="28:33">
      <c r="AB647" s="8" t="s">
        <v>333</v>
      </c>
      <c r="AC647" s="8">
        <v>0.40917398895536999</v>
      </c>
      <c r="AD647" s="8">
        <v>0.40514213578765101</v>
      </c>
      <c r="AE647" s="8" t="str">
        <f t="shared" si="65"/>
        <v>2013-08-02</v>
      </c>
      <c r="AF647" s="9" t="str">
        <f t="shared" si="66"/>
        <v>8/2/2013</v>
      </c>
      <c r="AG647" s="8">
        <f t="shared" si="67"/>
        <v>0.40917398895536999</v>
      </c>
    </row>
    <row r="648" spans="28:33">
      <c r="AB648" s="8" t="s">
        <v>334</v>
      </c>
      <c r="AC648" s="8">
        <v>0.40917398895536999</v>
      </c>
      <c r="AD648" s="8">
        <v>0.40514213578765101</v>
      </c>
      <c r="AE648" s="8" t="str">
        <f t="shared" si="65"/>
        <v>2013-08-05</v>
      </c>
      <c r="AF648" s="9" t="str">
        <f t="shared" si="66"/>
        <v>8/5/2013</v>
      </c>
      <c r="AG648" s="8">
        <f t="shared" si="67"/>
        <v>0.40917398895536999</v>
      </c>
    </row>
    <row r="649" spans="28:33">
      <c r="AB649" s="8" t="s">
        <v>335</v>
      </c>
      <c r="AC649" s="8">
        <v>0.40917398895536999</v>
      </c>
      <c r="AD649" s="8">
        <v>0.40514213578765101</v>
      </c>
      <c r="AE649" s="8" t="str">
        <f t="shared" si="65"/>
        <v>2013-08-06</v>
      </c>
      <c r="AF649" s="9" t="str">
        <f t="shared" si="66"/>
        <v>8/6/2013</v>
      </c>
      <c r="AG649" s="8">
        <f t="shared" si="67"/>
        <v>0.40917398895536999</v>
      </c>
    </row>
    <row r="650" spans="28:33">
      <c r="AB650" s="8" t="s">
        <v>336</v>
      </c>
      <c r="AC650" s="8">
        <v>0.40917398895536999</v>
      </c>
      <c r="AD650" s="8">
        <v>0.40514213578765101</v>
      </c>
      <c r="AE650" s="8" t="str">
        <f t="shared" si="65"/>
        <v>2013-08-07</v>
      </c>
      <c r="AF650" s="9" t="str">
        <f t="shared" si="66"/>
        <v>8/7/2013</v>
      </c>
      <c r="AG650" s="8">
        <f t="shared" si="67"/>
        <v>0.40917398895536999</v>
      </c>
    </row>
    <row r="651" spans="28:33">
      <c r="AB651" s="8" t="s">
        <v>337</v>
      </c>
      <c r="AC651" s="8">
        <v>0.40794548718226897</v>
      </c>
      <c r="AD651" s="8">
        <v>0.38923445313101501</v>
      </c>
      <c r="AE651" s="8" t="str">
        <f t="shared" si="65"/>
        <v>2013-08-08</v>
      </c>
      <c r="AF651" s="9" t="str">
        <f t="shared" si="66"/>
        <v>8/8/2013</v>
      </c>
      <c r="AG651" s="8">
        <f t="shared" si="67"/>
        <v>0.40794548718226897</v>
      </c>
    </row>
    <row r="652" spans="28:33">
      <c r="AB652" s="8" t="s">
        <v>338</v>
      </c>
      <c r="AC652" s="8">
        <v>0.40794548718226897</v>
      </c>
      <c r="AD652" s="8">
        <v>0.38923445313101501</v>
      </c>
      <c r="AE652" s="8" t="str">
        <f t="shared" si="65"/>
        <v>2013-08-09</v>
      </c>
      <c r="AF652" s="9" t="str">
        <f t="shared" si="66"/>
        <v>8/9/2013</v>
      </c>
      <c r="AG652" s="8">
        <f t="shared" si="67"/>
        <v>0.40794548718226897</v>
      </c>
    </row>
    <row r="653" spans="28:33">
      <c r="AB653" s="8" t="s">
        <v>339</v>
      </c>
      <c r="AC653" s="8">
        <v>0.40794548718226897</v>
      </c>
      <c r="AD653" s="8">
        <v>0.38923445313101501</v>
      </c>
      <c r="AE653" s="8" t="str">
        <f t="shared" si="65"/>
        <v>2013-08-13</v>
      </c>
      <c r="AF653" s="9" t="str">
        <f t="shared" si="66"/>
        <v>8/13/2013</v>
      </c>
      <c r="AG653" s="8">
        <f t="shared" si="67"/>
        <v>0.40794548718226897</v>
      </c>
    </row>
    <row r="654" spans="28:33">
      <c r="AB654" s="8" t="s">
        <v>340</v>
      </c>
      <c r="AC654" s="8">
        <v>0.28736143003290598</v>
      </c>
      <c r="AD654" s="8">
        <v>0.31287297575186401</v>
      </c>
      <c r="AE654" s="8" t="str">
        <f t="shared" si="65"/>
        <v>2013-08-22</v>
      </c>
      <c r="AF654" s="9" t="str">
        <f t="shared" si="66"/>
        <v>8/22/2013</v>
      </c>
      <c r="AG654" s="8">
        <f t="shared" si="67"/>
        <v>0.28736143003290598</v>
      </c>
    </row>
    <row r="655" spans="28:33">
      <c r="AB655" s="8" t="s">
        <v>341</v>
      </c>
      <c r="AC655" s="8">
        <v>0.28736143003290598</v>
      </c>
      <c r="AD655" s="8">
        <v>0.31287297575186401</v>
      </c>
      <c r="AE655" s="8" t="str">
        <f t="shared" si="65"/>
        <v>2013-08-23</v>
      </c>
      <c r="AF655" s="9" t="str">
        <f t="shared" si="66"/>
        <v>8/23/2013</v>
      </c>
      <c r="AG655" s="8">
        <f t="shared" si="67"/>
        <v>0.28736143003290598</v>
      </c>
    </row>
    <row r="656" spans="28:33">
      <c r="AB656" s="8" t="s">
        <v>342</v>
      </c>
      <c r="AC656" s="8">
        <v>0.28736143003290598</v>
      </c>
      <c r="AD656" s="8">
        <v>0.31287297575186401</v>
      </c>
      <c r="AE656" s="8" t="str">
        <f t="shared" si="65"/>
        <v>2013-08-28</v>
      </c>
      <c r="AF656" s="9" t="str">
        <f t="shared" si="66"/>
        <v>8/28/2013</v>
      </c>
      <c r="AG656" s="8">
        <f t="shared" si="67"/>
        <v>0.28736143003290598</v>
      </c>
    </row>
    <row r="657" spans="8:33">
      <c r="AB657" s="8" t="s">
        <v>343</v>
      </c>
      <c r="AC657" s="8">
        <v>0.32609160736856702</v>
      </c>
      <c r="AD657" s="8">
        <v>0.33208289269783797</v>
      </c>
      <c r="AE657" s="8" t="str">
        <f t="shared" si="65"/>
        <v>2013-08-29</v>
      </c>
      <c r="AF657" s="9" t="str">
        <f t="shared" si="66"/>
        <v>8/29/2013</v>
      </c>
      <c r="AG657" s="8">
        <f t="shared" si="67"/>
        <v>0.32609160736856702</v>
      </c>
    </row>
    <row r="658" spans="8:33">
      <c r="AB658" s="8" t="s">
        <v>344</v>
      </c>
      <c r="AC658" s="8">
        <v>0.32609160736856702</v>
      </c>
      <c r="AD658" s="8">
        <v>0.33208289269783797</v>
      </c>
      <c r="AE658" s="8" t="str">
        <f t="shared" si="65"/>
        <v>2013-08-30</v>
      </c>
      <c r="AF658" s="9" t="str">
        <f t="shared" si="66"/>
        <v>8/30/2013</v>
      </c>
      <c r="AG658" s="8">
        <f t="shared" si="67"/>
        <v>0.32609160736856702</v>
      </c>
    </row>
    <row r="659" spans="8:33">
      <c r="AB659" s="8" t="s">
        <v>345</v>
      </c>
      <c r="AC659" s="8">
        <v>0.315593133253526</v>
      </c>
      <c r="AD659" s="8">
        <v>0.31960346462661599</v>
      </c>
      <c r="AE659" s="8" t="str">
        <f t="shared" si="65"/>
        <v>2013-09-03</v>
      </c>
      <c r="AF659" s="9" t="str">
        <f t="shared" si="66"/>
        <v>9/3/2013</v>
      </c>
      <c r="AG659" s="8">
        <f t="shared" si="67"/>
        <v>0.315593133253526</v>
      </c>
    </row>
    <row r="660" spans="8:33">
      <c r="AB660" s="8" t="s">
        <v>346</v>
      </c>
      <c r="AC660" s="8">
        <v>0.315593133253526</v>
      </c>
      <c r="AD660" s="8">
        <v>0.31960346462661599</v>
      </c>
      <c r="AE660" s="8" t="str">
        <f t="shared" si="65"/>
        <v>2013-09-04</v>
      </c>
      <c r="AF660" s="9" t="str">
        <f t="shared" si="66"/>
        <v>9/4/2013</v>
      </c>
      <c r="AG660" s="8">
        <f t="shared" si="67"/>
        <v>0.315593133253526</v>
      </c>
    </row>
    <row r="661" spans="8:33">
      <c r="AB661" s="8" t="s">
        <v>347</v>
      </c>
      <c r="AC661" s="8">
        <v>0.28153720559456502</v>
      </c>
      <c r="AD661" s="8">
        <v>0.31267387911115302</v>
      </c>
      <c r="AE661" s="8" t="str">
        <f t="shared" si="65"/>
        <v>2013-09-05</v>
      </c>
      <c r="AF661" s="9" t="str">
        <f t="shared" si="66"/>
        <v>9/5/2013</v>
      </c>
      <c r="AG661" s="8">
        <f t="shared" si="67"/>
        <v>0.28153720559456502</v>
      </c>
    </row>
    <row r="662" spans="8:33">
      <c r="AB662" s="8" t="s">
        <v>348</v>
      </c>
      <c r="AC662" s="8">
        <v>0.28153720559456502</v>
      </c>
      <c r="AD662" s="8">
        <v>0.31267387911115302</v>
      </c>
      <c r="AE662" s="8" t="str">
        <f t="shared" si="65"/>
        <v>2013-09-06</v>
      </c>
      <c r="AF662" s="9" t="str">
        <f t="shared" si="66"/>
        <v>9/6/2013</v>
      </c>
      <c r="AG662" s="8">
        <f t="shared" si="67"/>
        <v>0.28153720559456502</v>
      </c>
    </row>
    <row r="663" spans="8:33">
      <c r="AB663" s="8" t="s">
        <v>349</v>
      </c>
      <c r="AC663" s="8">
        <v>0.28153720559456502</v>
      </c>
      <c r="AD663" s="8">
        <v>0.31267387911115302</v>
      </c>
      <c r="AE663" s="8" t="str">
        <f t="shared" si="65"/>
        <v>2013-09-09</v>
      </c>
      <c r="AF663" s="9" t="str">
        <f t="shared" si="66"/>
        <v>9/9/2013</v>
      </c>
      <c r="AG663" s="8">
        <f t="shared" si="67"/>
        <v>0.28153720559456502</v>
      </c>
    </row>
    <row r="664" spans="8:33">
      <c r="AB664" s="8" t="s">
        <v>350</v>
      </c>
      <c r="AC664" s="8">
        <v>0.28153720559456502</v>
      </c>
      <c r="AD664" s="8">
        <v>0.31267387911115302</v>
      </c>
      <c r="AE664" s="8" t="str">
        <f t="shared" si="65"/>
        <v>2013-09-10</v>
      </c>
      <c r="AF664" s="9" t="str">
        <f t="shared" si="66"/>
        <v>9/10/2013</v>
      </c>
      <c r="AG664" s="8">
        <f t="shared" si="67"/>
        <v>0.28153720559456502</v>
      </c>
    </row>
    <row r="665" spans="8:33">
      <c r="AB665" s="8" t="s">
        <v>351</v>
      </c>
      <c r="AC665" s="8">
        <v>0.28153720559456502</v>
      </c>
      <c r="AD665" s="8">
        <v>0.31267387911115302</v>
      </c>
      <c r="AE665" s="8" t="str">
        <f t="shared" si="65"/>
        <v>2013-09-11</v>
      </c>
      <c r="AF665" s="9" t="str">
        <f t="shared" si="66"/>
        <v>9/11/2013</v>
      </c>
      <c r="AG665" s="8">
        <f t="shared" si="67"/>
        <v>0.28153720559456502</v>
      </c>
    </row>
    <row r="666" spans="8:33">
      <c r="AB666" s="8" t="s">
        <v>352</v>
      </c>
      <c r="AC666" s="8">
        <v>0.28153720559456502</v>
      </c>
      <c r="AD666" s="8">
        <v>0.31267387911115302</v>
      </c>
      <c r="AE666" s="8" t="str">
        <f t="shared" si="65"/>
        <v>2013-09-12</v>
      </c>
      <c r="AF666" s="9" t="str">
        <f t="shared" si="66"/>
        <v>9/12/2013</v>
      </c>
      <c r="AG666" s="8">
        <f t="shared" si="67"/>
        <v>0.28153720559456502</v>
      </c>
    </row>
    <row r="667" spans="8:33">
      <c r="AB667" s="8" t="s">
        <v>353</v>
      </c>
      <c r="AC667" s="8">
        <v>0.28153720559456502</v>
      </c>
      <c r="AD667" s="8">
        <v>0.31267387911115302</v>
      </c>
      <c r="AE667" s="8" t="str">
        <f t="shared" si="65"/>
        <v>2013-09-13</v>
      </c>
      <c r="AF667" s="9" t="str">
        <f t="shared" si="66"/>
        <v>9/13/2013</v>
      </c>
      <c r="AG667" s="8">
        <f t="shared" si="67"/>
        <v>0.28153720559456502</v>
      </c>
    </row>
    <row r="668" spans="8:33">
      <c r="AB668" s="8" t="s">
        <v>354</v>
      </c>
      <c r="AC668" s="8">
        <v>0.28153720559456502</v>
      </c>
      <c r="AD668" s="8">
        <v>0.31267387911115302</v>
      </c>
      <c r="AE668" s="8" t="str">
        <f t="shared" si="65"/>
        <v>2013-09-16</v>
      </c>
      <c r="AF668" s="9" t="str">
        <f t="shared" si="66"/>
        <v>9/16/2013</v>
      </c>
      <c r="AG668" s="8">
        <f t="shared" si="67"/>
        <v>0.28153720559456502</v>
      </c>
    </row>
    <row r="669" spans="8:33">
      <c r="AB669" s="8" t="s">
        <v>355</v>
      </c>
      <c r="AC669" s="8">
        <v>0.28153720559456502</v>
      </c>
      <c r="AD669" s="8">
        <v>0.31267387911115302</v>
      </c>
      <c r="AE669" s="8" t="str">
        <f t="shared" si="65"/>
        <v>2013-09-17</v>
      </c>
      <c r="AF669" s="9" t="str">
        <f t="shared" si="66"/>
        <v>9/17/2013</v>
      </c>
      <c r="AG669" s="8">
        <f t="shared" si="67"/>
        <v>0.28153720559456502</v>
      </c>
    </row>
    <row r="670" spans="8:33">
      <c r="AB670" s="8" t="s">
        <v>356</v>
      </c>
      <c r="AC670" s="8">
        <v>0.28153720559456502</v>
      </c>
      <c r="AD670" s="8">
        <v>0.31267387911115302</v>
      </c>
      <c r="AE670" s="8" t="str">
        <f t="shared" si="65"/>
        <v>2013-09-18</v>
      </c>
      <c r="AF670" s="9" t="str">
        <f t="shared" si="66"/>
        <v>9/18/2013</v>
      </c>
      <c r="AG670" s="8">
        <f t="shared" si="67"/>
        <v>0.28153720559456502</v>
      </c>
    </row>
    <row r="671" spans="8:33">
      <c r="H671" t="s">
        <v>0</v>
      </c>
      <c r="I671" s="12" t="s">
        <v>1</v>
      </c>
      <c r="J671" s="12" t="s">
        <v>2</v>
      </c>
      <c r="AB671" s="8" t="s">
        <v>357</v>
      </c>
      <c r="AC671" s="8">
        <v>0.33139494640254802</v>
      </c>
      <c r="AD671" s="8">
        <v>0.31960346462661599</v>
      </c>
      <c r="AE671" s="8" t="str">
        <f t="shared" si="65"/>
        <v>2013-09-19</v>
      </c>
      <c r="AF671" s="9" t="str">
        <f t="shared" si="66"/>
        <v>9/19/2013</v>
      </c>
      <c r="AG671" s="8">
        <f t="shared" si="67"/>
        <v>0.33139494640254802</v>
      </c>
    </row>
    <row r="672" spans="8:33">
      <c r="H672" t="s">
        <v>672</v>
      </c>
      <c r="I672" s="12">
        <v>0.57710358293411501</v>
      </c>
      <c r="J672" s="12">
        <v>0.55107728820984703</v>
      </c>
      <c r="AB672" s="8" t="s">
        <v>358</v>
      </c>
      <c r="AC672" s="8">
        <v>0.33139494640254802</v>
      </c>
      <c r="AD672" s="8">
        <v>0.31960346462661599</v>
      </c>
      <c r="AE672" s="8" t="str">
        <f t="shared" si="65"/>
        <v>2013-09-20</v>
      </c>
      <c r="AF672" s="9" t="str">
        <f t="shared" si="66"/>
        <v>9/20/2013</v>
      </c>
      <c r="AG672" s="8">
        <f t="shared" si="67"/>
        <v>0.33139494640254802</v>
      </c>
    </row>
    <row r="673" spans="8:33">
      <c r="H673" t="s">
        <v>673</v>
      </c>
      <c r="I673" s="12">
        <v>0.57710358293411501</v>
      </c>
      <c r="J673" s="12">
        <v>0.55107728820984703</v>
      </c>
      <c r="AB673" s="8" t="s">
        <v>359</v>
      </c>
      <c r="AC673" s="8">
        <v>0.33139494640254802</v>
      </c>
      <c r="AD673" s="8">
        <v>0.31960346462661599</v>
      </c>
      <c r="AE673" s="8" t="str">
        <f t="shared" si="65"/>
        <v>2013-09-23</v>
      </c>
      <c r="AF673" s="9" t="str">
        <f t="shared" si="66"/>
        <v>9/23/2013</v>
      </c>
      <c r="AG673" s="8">
        <f t="shared" si="67"/>
        <v>0.33139494640254802</v>
      </c>
    </row>
    <row r="674" spans="8:33">
      <c r="H674" t="s">
        <v>674</v>
      </c>
      <c r="I674" s="12">
        <v>0.57710358293411501</v>
      </c>
      <c r="J674" s="12">
        <v>0.55107728820984703</v>
      </c>
      <c r="AB674" s="8" t="s">
        <v>360</v>
      </c>
      <c r="AC674" s="8">
        <v>0.33139494640254802</v>
      </c>
      <c r="AD674" s="8">
        <v>0.31960346462661599</v>
      </c>
      <c r="AE674" s="8" t="str">
        <f t="shared" si="65"/>
        <v>2013-09-24</v>
      </c>
      <c r="AF674" s="9" t="str">
        <f t="shared" si="66"/>
        <v>9/24/2013</v>
      </c>
      <c r="AG674" s="8">
        <f t="shared" si="67"/>
        <v>0.33139494640254802</v>
      </c>
    </row>
    <row r="675" spans="8:33">
      <c r="H675" t="s">
        <v>675</v>
      </c>
      <c r="I675" s="12">
        <v>0.57710358293411501</v>
      </c>
      <c r="J675" s="12">
        <v>0.55107728820984703</v>
      </c>
      <c r="AB675" s="8" t="s">
        <v>361</v>
      </c>
      <c r="AC675" s="8">
        <v>0.33139494640254802</v>
      </c>
      <c r="AD675" s="8">
        <v>0.31960346462661599</v>
      </c>
      <c r="AE675" s="8" t="str">
        <f t="shared" si="65"/>
        <v>2013-09-25</v>
      </c>
      <c r="AF675" s="9" t="str">
        <f t="shared" si="66"/>
        <v>9/25/2013</v>
      </c>
      <c r="AG675" s="8">
        <f t="shared" si="67"/>
        <v>0.33139494640254802</v>
      </c>
    </row>
    <row r="676" spans="8:33">
      <c r="H676" t="s">
        <v>676</v>
      </c>
      <c r="I676" s="12">
        <v>0.62970048301444503</v>
      </c>
      <c r="J676" s="12">
        <v>0.65653864992442801</v>
      </c>
      <c r="AB676" s="8" t="s">
        <v>362</v>
      </c>
      <c r="AC676" s="8">
        <v>0.404422924260806</v>
      </c>
      <c r="AD676" s="8">
        <v>0.40931665882096602</v>
      </c>
      <c r="AE676" s="8" t="str">
        <f t="shared" si="65"/>
        <v>2013-09-26</v>
      </c>
      <c r="AF676" s="9" t="str">
        <f t="shared" si="66"/>
        <v>9/26/2013</v>
      </c>
      <c r="AG676" s="8">
        <f t="shared" si="67"/>
        <v>0.404422924260806</v>
      </c>
    </row>
    <row r="677" spans="8:33">
      <c r="H677" t="s">
        <v>677</v>
      </c>
      <c r="I677" s="12">
        <v>0.62970048301444503</v>
      </c>
      <c r="J677" s="12">
        <v>0.65653864992442801</v>
      </c>
      <c r="AB677" s="8" t="s">
        <v>363</v>
      </c>
      <c r="AC677" s="8">
        <v>0.404422924260806</v>
      </c>
      <c r="AD677" s="8">
        <v>0.40931665882096602</v>
      </c>
      <c r="AE677" s="8" t="str">
        <f t="shared" si="65"/>
        <v>2013-09-27</v>
      </c>
      <c r="AF677" s="9" t="str">
        <f t="shared" si="66"/>
        <v>9/27/2013</v>
      </c>
      <c r="AG677" s="8">
        <f t="shared" si="67"/>
        <v>0.404422924260806</v>
      </c>
    </row>
    <row r="678" spans="8:33">
      <c r="H678" t="s">
        <v>678</v>
      </c>
      <c r="I678" s="12">
        <v>0.62970048301444503</v>
      </c>
      <c r="J678" s="12">
        <v>0.65653864992442801</v>
      </c>
      <c r="AB678" s="8" t="s">
        <v>364</v>
      </c>
      <c r="AC678" s="8">
        <v>0.404422924260806</v>
      </c>
      <c r="AD678" s="8">
        <v>0.40931665882096602</v>
      </c>
      <c r="AE678" s="8" t="str">
        <f t="shared" si="65"/>
        <v>2013-09-30</v>
      </c>
      <c r="AF678" s="9" t="str">
        <f t="shared" si="66"/>
        <v>9/30/2013</v>
      </c>
      <c r="AG678" s="8">
        <f t="shared" si="67"/>
        <v>0.404422924260806</v>
      </c>
    </row>
    <row r="679" spans="8:33">
      <c r="H679" t="s">
        <v>679</v>
      </c>
      <c r="I679" s="12">
        <v>0.62970048301444503</v>
      </c>
      <c r="J679" s="12">
        <v>0.65653864992442801</v>
      </c>
      <c r="AB679" s="8" t="s">
        <v>365</v>
      </c>
      <c r="AC679" s="8">
        <v>0.39753455676891197</v>
      </c>
      <c r="AD679" s="8">
        <v>0.40878142747471002</v>
      </c>
      <c r="AE679" s="8" t="str">
        <f t="shared" si="65"/>
        <v>2013-10-01</v>
      </c>
      <c r="AF679" s="9" t="str">
        <f t="shared" si="66"/>
        <v>10/1/2013</v>
      </c>
      <c r="AG679" s="8">
        <f t="shared" si="67"/>
        <v>0.39753455676891197</v>
      </c>
    </row>
    <row r="680" spans="8:33">
      <c r="H680" t="s">
        <v>680</v>
      </c>
      <c r="I680" s="12">
        <v>0.62970048301444503</v>
      </c>
      <c r="J680" s="12">
        <v>0.65653864992442801</v>
      </c>
      <c r="AB680" s="8" t="s">
        <v>366</v>
      </c>
      <c r="AC680" s="8">
        <v>0.39753455676891197</v>
      </c>
      <c r="AD680" s="8">
        <v>0.40878142747471002</v>
      </c>
      <c r="AE680" s="8" t="str">
        <f t="shared" si="65"/>
        <v>2013-10-02</v>
      </c>
      <c r="AF680" s="9" t="str">
        <f t="shared" si="66"/>
        <v>10/2/2013</v>
      </c>
      <c r="AG680" s="8">
        <f t="shared" si="67"/>
        <v>0.39753455676891197</v>
      </c>
    </row>
    <row r="681" spans="8:33">
      <c r="H681" t="s">
        <v>681</v>
      </c>
      <c r="I681" s="12">
        <v>0.65257308969636896</v>
      </c>
      <c r="J681" s="12">
        <v>0.70656201919319594</v>
      </c>
      <c r="AB681" s="8" t="s">
        <v>367</v>
      </c>
      <c r="AC681" s="8">
        <v>0.41492382770581399</v>
      </c>
      <c r="AD681" s="8">
        <v>0.42830267803114203</v>
      </c>
      <c r="AE681" s="8" t="str">
        <f t="shared" si="65"/>
        <v>2013-10-03</v>
      </c>
      <c r="AF681" s="9" t="str">
        <f t="shared" si="66"/>
        <v>10/3/2013</v>
      </c>
      <c r="AG681" s="8">
        <f t="shared" si="67"/>
        <v>0.41492382770581399</v>
      </c>
    </row>
    <row r="682" spans="8:33">
      <c r="AB682" s="8" t="s">
        <v>368</v>
      </c>
      <c r="AC682" s="8">
        <v>0.41492382770581399</v>
      </c>
      <c r="AD682" s="8">
        <v>0.42830267803114203</v>
      </c>
      <c r="AE682" s="8" t="str">
        <f t="shared" si="65"/>
        <v>2013-10-04</v>
      </c>
      <c r="AF682" s="9" t="str">
        <f t="shared" si="66"/>
        <v>10/4/2013</v>
      </c>
      <c r="AG682" s="8">
        <f t="shared" si="67"/>
        <v>0.41492382770581399</v>
      </c>
    </row>
    <row r="683" spans="8:33">
      <c r="AB683" s="8" t="s">
        <v>369</v>
      </c>
      <c r="AC683" s="8">
        <v>0.41492382770581399</v>
      </c>
      <c r="AD683" s="8">
        <v>0.42830267803114203</v>
      </c>
      <c r="AE683" s="8" t="str">
        <f t="shared" si="65"/>
        <v>2013-10-07</v>
      </c>
      <c r="AF683" s="9" t="str">
        <f t="shared" si="66"/>
        <v>10/7/2013</v>
      </c>
      <c r="AG683" s="8">
        <f t="shared" si="67"/>
        <v>0.41492382770581399</v>
      </c>
    </row>
    <row r="684" spans="8:33">
      <c r="AB684" s="8" t="s">
        <v>370</v>
      </c>
      <c r="AC684" s="8">
        <v>0.41492382770581399</v>
      </c>
      <c r="AD684" s="8">
        <v>0.42830267803114203</v>
      </c>
      <c r="AE684" s="8" t="str">
        <f t="shared" si="65"/>
        <v>2013-10-08</v>
      </c>
      <c r="AF684" s="9" t="str">
        <f t="shared" si="66"/>
        <v>10/8/2013</v>
      </c>
      <c r="AG684" s="8">
        <f t="shared" si="67"/>
        <v>0.41492382770581399</v>
      </c>
    </row>
    <row r="685" spans="8:33">
      <c r="AB685" s="8" t="s">
        <v>371</v>
      </c>
      <c r="AC685" s="8">
        <v>0.41233771643317702</v>
      </c>
      <c r="AD685" s="8">
        <v>0.42830267803114203</v>
      </c>
      <c r="AE685" s="8" t="str">
        <f t="shared" si="65"/>
        <v>2013-10-10</v>
      </c>
      <c r="AF685" s="9" t="str">
        <f t="shared" si="66"/>
        <v>10/10/2013</v>
      </c>
      <c r="AG685" s="8">
        <f t="shared" si="67"/>
        <v>0.41233771643317702</v>
      </c>
    </row>
    <row r="686" spans="8:33">
      <c r="AB686" s="8" t="s">
        <v>372</v>
      </c>
      <c r="AC686" s="8">
        <v>0.41233771643317702</v>
      </c>
      <c r="AD686" s="8">
        <v>0.42830267803114203</v>
      </c>
      <c r="AE686" s="8" t="str">
        <f t="shared" si="65"/>
        <v>2013-10-11</v>
      </c>
      <c r="AF686" s="9" t="str">
        <f t="shared" si="66"/>
        <v>10/11/2013</v>
      </c>
      <c r="AG686" s="8">
        <f t="shared" si="67"/>
        <v>0.41233771643317702</v>
      </c>
    </row>
    <row r="687" spans="8:33">
      <c r="AB687" s="8" t="s">
        <v>373</v>
      </c>
      <c r="AC687" s="8">
        <v>0.41233771643317702</v>
      </c>
      <c r="AD687" s="8">
        <v>0.42830267803114203</v>
      </c>
      <c r="AE687" s="8" t="str">
        <f t="shared" si="65"/>
        <v>2013-10-15</v>
      </c>
      <c r="AF687" s="9" t="str">
        <f t="shared" si="66"/>
        <v>10/15/2013</v>
      </c>
      <c r="AG687" s="8">
        <f t="shared" si="67"/>
        <v>0.41233771643317702</v>
      </c>
    </row>
    <row r="688" spans="8:33">
      <c r="AB688" s="8" t="s">
        <v>374</v>
      </c>
      <c r="AC688" s="8">
        <v>0.40226083862325102</v>
      </c>
      <c r="AD688" s="8">
        <v>0.40878142747471002</v>
      </c>
      <c r="AE688" s="8" t="str">
        <f t="shared" si="65"/>
        <v>2013-10-17</v>
      </c>
      <c r="AF688" s="9" t="str">
        <f t="shared" si="66"/>
        <v>10/17/2013</v>
      </c>
      <c r="AG688" s="8">
        <f t="shared" si="67"/>
        <v>0.40226083862325102</v>
      </c>
    </row>
    <row r="689" spans="28:33">
      <c r="AB689" s="8" t="s">
        <v>375</v>
      </c>
      <c r="AC689" s="8">
        <v>0.40226083862325102</v>
      </c>
      <c r="AD689" s="8">
        <v>0.40878142747471002</v>
      </c>
      <c r="AE689" s="8" t="str">
        <f t="shared" si="65"/>
        <v>2013-10-18</v>
      </c>
      <c r="AF689" s="9" t="str">
        <f t="shared" si="66"/>
        <v>10/18/2013</v>
      </c>
      <c r="AG689" s="8">
        <f t="shared" si="67"/>
        <v>0.40226083862325102</v>
      </c>
    </row>
    <row r="690" spans="28:33">
      <c r="AB690" s="8" t="s">
        <v>376</v>
      </c>
      <c r="AC690" s="8">
        <v>0.40226083862325102</v>
      </c>
      <c r="AD690" s="8">
        <v>0.40878142747471002</v>
      </c>
      <c r="AE690" s="8" t="str">
        <f t="shared" si="65"/>
        <v>2013-10-21</v>
      </c>
      <c r="AF690" s="9" t="str">
        <f t="shared" si="66"/>
        <v>10/21/2013</v>
      </c>
      <c r="AG690" s="8">
        <f t="shared" si="67"/>
        <v>0.40226083862325102</v>
      </c>
    </row>
    <row r="691" spans="28:33">
      <c r="AB691" s="8" t="s">
        <v>377</v>
      </c>
      <c r="AC691" s="8">
        <v>0.40226083862325102</v>
      </c>
      <c r="AD691" s="8">
        <v>0.40878142747471002</v>
      </c>
      <c r="AE691" s="8" t="str">
        <f t="shared" si="65"/>
        <v>2013-10-22</v>
      </c>
      <c r="AF691" s="9" t="str">
        <f t="shared" si="66"/>
        <v>10/22/2013</v>
      </c>
      <c r="AG691" s="8">
        <f t="shared" si="67"/>
        <v>0.40226083862325102</v>
      </c>
    </row>
    <row r="692" spans="28:33">
      <c r="AB692" s="8" t="s">
        <v>378</v>
      </c>
      <c r="AC692" s="8">
        <v>0.40226083862325102</v>
      </c>
      <c r="AD692" s="8">
        <v>0.40878142747471002</v>
      </c>
      <c r="AE692" s="8" t="str">
        <f t="shared" si="65"/>
        <v>2013-10-23</v>
      </c>
      <c r="AF692" s="9" t="str">
        <f t="shared" si="66"/>
        <v>10/23/2013</v>
      </c>
      <c r="AG692" s="8">
        <f t="shared" si="67"/>
        <v>0.40226083862325102</v>
      </c>
    </row>
    <row r="693" spans="28:33">
      <c r="AB693" s="8" t="s">
        <v>379</v>
      </c>
      <c r="AC693" s="8">
        <v>0.44174331286746599</v>
      </c>
      <c r="AD693" s="8">
        <v>0.45964385308807498</v>
      </c>
      <c r="AE693" s="8" t="str">
        <f t="shared" si="65"/>
        <v>2013-10-24</v>
      </c>
      <c r="AF693" s="9" t="str">
        <f t="shared" si="66"/>
        <v>10/24/2013</v>
      </c>
      <c r="AG693" s="8">
        <f t="shared" si="67"/>
        <v>0.44174331286746599</v>
      </c>
    </row>
    <row r="694" spans="28:33">
      <c r="AB694" s="8" t="s">
        <v>380</v>
      </c>
      <c r="AC694" s="8">
        <v>0.44174331286746599</v>
      </c>
      <c r="AD694" s="8">
        <v>0.45964385308807498</v>
      </c>
      <c r="AE694" s="8" t="str">
        <f t="shared" ref="AE694:AE757" si="68">MID(AB694,2,10)</f>
        <v>2013-10-25</v>
      </c>
      <c r="AF694" s="9" t="str">
        <f t="shared" ref="AF694:AF757" si="69">TEXT(AE694,"m/d/yyyy")</f>
        <v>10/25/2013</v>
      </c>
      <c r="AG694" s="8">
        <f t="shared" ref="AG694:AG757" si="70">AC694</f>
        <v>0.44174331286746599</v>
      </c>
    </row>
    <row r="695" spans="28:33">
      <c r="AB695" s="8" t="s">
        <v>381</v>
      </c>
      <c r="AC695" s="8">
        <v>0.44174331286746599</v>
      </c>
      <c r="AD695" s="8">
        <v>0.45964385308807498</v>
      </c>
      <c r="AE695" s="8" t="str">
        <f t="shared" si="68"/>
        <v>2013-10-30</v>
      </c>
      <c r="AF695" s="9" t="str">
        <f t="shared" si="69"/>
        <v>10/30/2013</v>
      </c>
      <c r="AG695" s="8">
        <f t="shared" si="70"/>
        <v>0.44174331286746599</v>
      </c>
    </row>
    <row r="696" spans="28:33">
      <c r="AB696" s="8" t="s">
        <v>382</v>
      </c>
      <c r="AC696" s="8">
        <v>0.46054051472194202</v>
      </c>
      <c r="AD696" s="8">
        <v>0.45964385308807498</v>
      </c>
      <c r="AE696" s="8" t="str">
        <f t="shared" si="68"/>
        <v>2013-10-31</v>
      </c>
      <c r="AF696" s="9" t="str">
        <f t="shared" si="69"/>
        <v>10/31/2013</v>
      </c>
      <c r="AG696" s="8">
        <f t="shared" si="70"/>
        <v>0.46054051472194202</v>
      </c>
    </row>
    <row r="697" spans="28:33">
      <c r="AB697" s="8" t="s">
        <v>383</v>
      </c>
      <c r="AC697" s="8">
        <v>0.45992799651573901</v>
      </c>
      <c r="AD697" s="8">
        <v>0.46432911265875998</v>
      </c>
      <c r="AE697" s="8" t="str">
        <f t="shared" si="68"/>
        <v>2013-11-01</v>
      </c>
      <c r="AF697" s="9" t="str">
        <f t="shared" si="69"/>
        <v>11/1/2013</v>
      </c>
      <c r="AG697" s="8">
        <f t="shared" si="70"/>
        <v>0.45992799651573901</v>
      </c>
    </row>
    <row r="698" spans="28:33">
      <c r="AB698" s="8" t="s">
        <v>384</v>
      </c>
      <c r="AC698" s="8">
        <v>0.45992799651573901</v>
      </c>
      <c r="AD698" s="8">
        <v>0.46432911265875998</v>
      </c>
      <c r="AE698" s="8" t="str">
        <f t="shared" si="68"/>
        <v>2013-11-04</v>
      </c>
      <c r="AF698" s="9" t="str">
        <f t="shared" si="69"/>
        <v>11/4/2013</v>
      </c>
      <c r="AG698" s="8">
        <f t="shared" si="70"/>
        <v>0.45992799651573901</v>
      </c>
    </row>
    <row r="699" spans="28:33">
      <c r="AB699" s="8" t="s">
        <v>385</v>
      </c>
      <c r="AC699" s="8">
        <v>0.45992799651573901</v>
      </c>
      <c r="AD699" s="8">
        <v>0.46432911265875998</v>
      </c>
      <c r="AE699" s="8" t="str">
        <f t="shared" si="68"/>
        <v>2013-11-05</v>
      </c>
      <c r="AF699" s="9" t="str">
        <f t="shared" si="69"/>
        <v>11/5/2013</v>
      </c>
      <c r="AG699" s="8">
        <f t="shared" si="70"/>
        <v>0.45992799651573901</v>
      </c>
    </row>
    <row r="700" spans="28:33">
      <c r="AB700" s="8" t="s">
        <v>386</v>
      </c>
      <c r="AC700" s="8">
        <v>0.45992799651573901</v>
      </c>
      <c r="AD700" s="8">
        <v>0.46432911265875998</v>
      </c>
      <c r="AE700" s="8" t="str">
        <f t="shared" si="68"/>
        <v>2013-11-06</v>
      </c>
      <c r="AF700" s="9" t="str">
        <f t="shared" si="69"/>
        <v>11/6/2013</v>
      </c>
      <c r="AG700" s="8">
        <f t="shared" si="70"/>
        <v>0.45992799651573901</v>
      </c>
    </row>
    <row r="701" spans="28:33">
      <c r="AB701" s="8" t="s">
        <v>387</v>
      </c>
      <c r="AC701" s="8">
        <v>0.42914615919681298</v>
      </c>
      <c r="AD701" s="8">
        <v>0.45155164454994901</v>
      </c>
      <c r="AE701" s="8" t="str">
        <f t="shared" si="68"/>
        <v>2013-11-07</v>
      </c>
      <c r="AF701" s="9" t="str">
        <f t="shared" si="69"/>
        <v>11/7/2013</v>
      </c>
      <c r="AG701" s="8">
        <f t="shared" si="70"/>
        <v>0.42914615919681298</v>
      </c>
    </row>
    <row r="702" spans="28:33">
      <c r="AB702" s="8" t="s">
        <v>388</v>
      </c>
      <c r="AC702" s="8">
        <v>0.42914615919681298</v>
      </c>
      <c r="AD702" s="8">
        <v>0.45155164454994901</v>
      </c>
      <c r="AE702" s="8" t="str">
        <f t="shared" si="68"/>
        <v>2013-11-08</v>
      </c>
      <c r="AF702" s="9" t="str">
        <f t="shared" si="69"/>
        <v>11/8/2013</v>
      </c>
      <c r="AG702" s="8">
        <f t="shared" si="70"/>
        <v>0.42914615919681298</v>
      </c>
    </row>
    <row r="703" spans="28:33">
      <c r="AB703" s="8" t="s">
        <v>389</v>
      </c>
      <c r="AC703" s="8">
        <v>0.42914615919681298</v>
      </c>
      <c r="AD703" s="8">
        <v>0.45155164454994901</v>
      </c>
      <c r="AE703" s="8" t="str">
        <f t="shared" si="68"/>
        <v>2013-11-12</v>
      </c>
      <c r="AF703" s="9" t="str">
        <f t="shared" si="69"/>
        <v>11/12/2013</v>
      </c>
      <c r="AG703" s="8">
        <f t="shared" si="70"/>
        <v>0.42914615919681298</v>
      </c>
    </row>
    <row r="704" spans="28:33">
      <c r="AB704" s="8" t="s">
        <v>390</v>
      </c>
      <c r="AC704" s="8">
        <v>0.38756459325455</v>
      </c>
      <c r="AD704" s="8">
        <v>0.388032483497667</v>
      </c>
      <c r="AE704" s="8" t="str">
        <f t="shared" si="68"/>
        <v>2013-11-15</v>
      </c>
      <c r="AF704" s="9" t="str">
        <f t="shared" si="69"/>
        <v>11/15/2013</v>
      </c>
      <c r="AG704" s="8">
        <f t="shared" si="70"/>
        <v>0.38756459325455</v>
      </c>
    </row>
    <row r="705" spans="28:33">
      <c r="AB705" s="8" t="s">
        <v>391</v>
      </c>
      <c r="AC705" s="8">
        <v>0.38756459325455</v>
      </c>
      <c r="AD705" s="8">
        <v>0.388032483497667</v>
      </c>
      <c r="AE705" s="8" t="str">
        <f t="shared" si="68"/>
        <v>2013-11-18</v>
      </c>
      <c r="AF705" s="9" t="str">
        <f t="shared" si="69"/>
        <v>11/18/2013</v>
      </c>
      <c r="AG705" s="8">
        <f t="shared" si="70"/>
        <v>0.38756459325455</v>
      </c>
    </row>
    <row r="706" spans="28:33">
      <c r="AB706" s="8" t="s">
        <v>392</v>
      </c>
      <c r="AC706" s="8">
        <v>0.38756459325455</v>
      </c>
      <c r="AD706" s="8">
        <v>0.388032483497667</v>
      </c>
      <c r="AE706" s="8" t="str">
        <f t="shared" si="68"/>
        <v>2013-11-19</v>
      </c>
      <c r="AF706" s="9" t="str">
        <f t="shared" si="69"/>
        <v>11/19/2013</v>
      </c>
      <c r="AG706" s="8">
        <f t="shared" si="70"/>
        <v>0.38756459325455</v>
      </c>
    </row>
    <row r="707" spans="28:33">
      <c r="AB707" s="8" t="s">
        <v>393</v>
      </c>
      <c r="AC707" s="8">
        <v>0.38756459325455</v>
      </c>
      <c r="AD707" s="8">
        <v>0.388032483497667</v>
      </c>
      <c r="AE707" s="8" t="str">
        <f t="shared" si="68"/>
        <v>2013-11-20</v>
      </c>
      <c r="AF707" s="9" t="str">
        <f t="shared" si="69"/>
        <v>11/20/2013</v>
      </c>
      <c r="AG707" s="8">
        <f t="shared" si="70"/>
        <v>0.38756459325455</v>
      </c>
    </row>
    <row r="708" spans="28:33">
      <c r="AB708" s="8" t="s">
        <v>394</v>
      </c>
      <c r="AC708" s="8">
        <v>0.41376095810168201</v>
      </c>
      <c r="AD708" s="8">
        <v>0.432613913383393</v>
      </c>
      <c r="AE708" s="8" t="str">
        <f t="shared" si="68"/>
        <v>2013-11-21</v>
      </c>
      <c r="AF708" s="9" t="str">
        <f t="shared" si="69"/>
        <v>11/21/2013</v>
      </c>
      <c r="AG708" s="8">
        <f t="shared" si="70"/>
        <v>0.41376095810168201</v>
      </c>
    </row>
    <row r="709" spans="28:33">
      <c r="AB709" s="8" t="s">
        <v>395</v>
      </c>
      <c r="AC709" s="8">
        <v>0.41376095810168201</v>
      </c>
      <c r="AD709" s="8">
        <v>0.432613913383393</v>
      </c>
      <c r="AE709" s="8" t="str">
        <f t="shared" si="68"/>
        <v>2013-11-22</v>
      </c>
      <c r="AF709" s="9" t="str">
        <f t="shared" si="69"/>
        <v>11/22/2013</v>
      </c>
      <c r="AG709" s="8">
        <f t="shared" si="70"/>
        <v>0.41376095810168201</v>
      </c>
    </row>
    <row r="710" spans="28:33">
      <c r="AB710" s="8" t="s">
        <v>396</v>
      </c>
      <c r="AC710" s="8">
        <v>0.41376095810168201</v>
      </c>
      <c r="AD710" s="8">
        <v>0.432613913383393</v>
      </c>
      <c r="AE710" s="8" t="str">
        <f t="shared" si="68"/>
        <v>2013-11-25</v>
      </c>
      <c r="AF710" s="9" t="str">
        <f t="shared" si="69"/>
        <v>11/25/2013</v>
      </c>
      <c r="AG710" s="8">
        <f t="shared" si="70"/>
        <v>0.41376095810168201</v>
      </c>
    </row>
    <row r="711" spans="28:33">
      <c r="AB711" s="8" t="s">
        <v>397</v>
      </c>
      <c r="AC711" s="8">
        <v>0.41376095810168201</v>
      </c>
      <c r="AD711" s="8">
        <v>0.432613913383393</v>
      </c>
      <c r="AE711" s="8" t="str">
        <f t="shared" si="68"/>
        <v>2013-11-26</v>
      </c>
      <c r="AF711" s="9" t="str">
        <f t="shared" si="69"/>
        <v>11/26/2013</v>
      </c>
      <c r="AG711" s="8">
        <f t="shared" si="70"/>
        <v>0.41376095810168201</v>
      </c>
    </row>
    <row r="712" spans="28:33">
      <c r="AB712" s="8" t="s">
        <v>398</v>
      </c>
      <c r="AC712" s="8">
        <v>0.39685395177288302</v>
      </c>
      <c r="AD712" s="8">
        <v>0.41335369904436697</v>
      </c>
      <c r="AE712" s="8" t="str">
        <f t="shared" si="68"/>
        <v>2013-11-27</v>
      </c>
      <c r="AF712" s="9" t="str">
        <f t="shared" si="69"/>
        <v>11/27/2013</v>
      </c>
      <c r="AG712" s="8">
        <f t="shared" si="70"/>
        <v>0.39685395177288302</v>
      </c>
    </row>
    <row r="713" spans="28:33">
      <c r="AB713" s="8" t="s">
        <v>399</v>
      </c>
      <c r="AC713" s="8">
        <v>0.39163572008716802</v>
      </c>
      <c r="AD713" s="8">
        <v>0.37789868046186398</v>
      </c>
      <c r="AE713" s="8" t="str">
        <f t="shared" si="68"/>
        <v>2013-12-02</v>
      </c>
      <c r="AF713" s="9" t="str">
        <f t="shared" si="69"/>
        <v>12/2/2013</v>
      </c>
      <c r="AG713" s="8">
        <f t="shared" si="70"/>
        <v>0.39163572008716802</v>
      </c>
    </row>
    <row r="714" spans="28:33">
      <c r="AB714" s="8" t="s">
        <v>400</v>
      </c>
      <c r="AC714" s="8">
        <v>0.39163572008716802</v>
      </c>
      <c r="AD714" s="8">
        <v>0.37789868046186398</v>
      </c>
      <c r="AE714" s="8" t="str">
        <f t="shared" si="68"/>
        <v>2013-12-03</v>
      </c>
      <c r="AF714" s="9" t="str">
        <f t="shared" si="69"/>
        <v>12/3/2013</v>
      </c>
      <c r="AG714" s="8">
        <f t="shared" si="70"/>
        <v>0.39163572008716802</v>
      </c>
    </row>
    <row r="715" spans="28:33">
      <c r="AB715" s="8" t="s">
        <v>401</v>
      </c>
      <c r="AC715" s="8">
        <v>0.39163572008716802</v>
      </c>
      <c r="AD715" s="8">
        <v>0.37789868046186398</v>
      </c>
      <c r="AE715" s="8" t="str">
        <f t="shared" si="68"/>
        <v>2013-12-04</v>
      </c>
      <c r="AF715" s="9" t="str">
        <f t="shared" si="69"/>
        <v>12/4/2013</v>
      </c>
      <c r="AG715" s="8">
        <f t="shared" si="70"/>
        <v>0.39163572008716802</v>
      </c>
    </row>
    <row r="716" spans="28:33">
      <c r="AB716" s="8" t="s">
        <v>402</v>
      </c>
      <c r="AC716" s="8">
        <v>0.347358703685412</v>
      </c>
      <c r="AD716" s="8">
        <v>0.31945692741593201</v>
      </c>
      <c r="AE716" s="8" t="str">
        <f t="shared" si="68"/>
        <v>2013-12-05</v>
      </c>
      <c r="AF716" s="9" t="str">
        <f t="shared" si="69"/>
        <v>12/5/2013</v>
      </c>
      <c r="AG716" s="8">
        <f t="shared" si="70"/>
        <v>0.347358703685412</v>
      </c>
    </row>
    <row r="717" spans="28:33">
      <c r="AB717" s="8" t="s">
        <v>403</v>
      </c>
      <c r="AC717" s="8">
        <v>0.347358703685412</v>
      </c>
      <c r="AD717" s="8">
        <v>0.31945692741593201</v>
      </c>
      <c r="AE717" s="8" t="str">
        <f t="shared" si="68"/>
        <v>2013-12-06</v>
      </c>
      <c r="AF717" s="9" t="str">
        <f t="shared" si="69"/>
        <v>12/6/2013</v>
      </c>
      <c r="AG717" s="8">
        <f t="shared" si="70"/>
        <v>0.347358703685412</v>
      </c>
    </row>
    <row r="718" spans="28:33">
      <c r="AB718" s="8" t="s">
        <v>404</v>
      </c>
      <c r="AC718" s="8">
        <v>0.347358703685412</v>
      </c>
      <c r="AD718" s="8">
        <v>0.31945692741593201</v>
      </c>
      <c r="AE718" s="8" t="str">
        <f t="shared" si="68"/>
        <v>2013-12-09</v>
      </c>
      <c r="AF718" s="9" t="str">
        <f t="shared" si="69"/>
        <v>12/9/2013</v>
      </c>
      <c r="AG718" s="8">
        <f t="shared" si="70"/>
        <v>0.347358703685412</v>
      </c>
    </row>
    <row r="719" spans="28:33">
      <c r="AB719" s="8" t="s">
        <v>405</v>
      </c>
      <c r="AC719" s="8">
        <v>0.347358703685412</v>
      </c>
      <c r="AD719" s="8">
        <v>0.31945692741593201</v>
      </c>
      <c r="AE719" s="8" t="str">
        <f t="shared" si="68"/>
        <v>2013-12-10</v>
      </c>
      <c r="AF719" s="9" t="str">
        <f t="shared" si="69"/>
        <v>12/10/2013</v>
      </c>
      <c r="AG719" s="8">
        <f t="shared" si="70"/>
        <v>0.347358703685412</v>
      </c>
    </row>
    <row r="720" spans="28:33">
      <c r="AB720" s="8" t="s">
        <v>406</v>
      </c>
      <c r="AC720" s="8">
        <v>0.347358703685412</v>
      </c>
      <c r="AD720" s="8">
        <v>0.31945692741593201</v>
      </c>
      <c r="AE720" s="8" t="str">
        <f t="shared" si="68"/>
        <v>2013-12-11</v>
      </c>
      <c r="AF720" s="9" t="str">
        <f t="shared" si="69"/>
        <v>12/11/2013</v>
      </c>
      <c r="AG720" s="8">
        <f t="shared" si="70"/>
        <v>0.347358703685412</v>
      </c>
    </row>
    <row r="721" spans="28:33">
      <c r="AB721" s="8" t="s">
        <v>407</v>
      </c>
      <c r="AC721" s="8">
        <v>0.37050298104882501</v>
      </c>
      <c r="AD721" s="8">
        <v>0.338899899479228</v>
      </c>
      <c r="AE721" s="8" t="str">
        <f t="shared" si="68"/>
        <v>2013-12-12</v>
      </c>
      <c r="AF721" s="9" t="str">
        <f t="shared" si="69"/>
        <v>12/12/2013</v>
      </c>
      <c r="AG721" s="8">
        <f t="shared" si="70"/>
        <v>0.37050298104882501</v>
      </c>
    </row>
    <row r="722" spans="28:33">
      <c r="AB722" s="8" t="s">
        <v>408</v>
      </c>
      <c r="AC722" s="8">
        <v>0.37050298104882501</v>
      </c>
      <c r="AD722" s="8">
        <v>0.338899899479228</v>
      </c>
      <c r="AE722" s="8" t="str">
        <f t="shared" si="68"/>
        <v>2013-12-13</v>
      </c>
      <c r="AF722" s="9" t="str">
        <f t="shared" si="69"/>
        <v>12/13/2013</v>
      </c>
      <c r="AG722" s="8">
        <f t="shared" si="70"/>
        <v>0.37050298104882501</v>
      </c>
    </row>
    <row r="723" spans="28:33">
      <c r="AB723" s="8" t="s">
        <v>409</v>
      </c>
      <c r="AC723" s="8">
        <v>0.37050298104882501</v>
      </c>
      <c r="AD723" s="8">
        <v>0.338899899479228</v>
      </c>
      <c r="AE723" s="8" t="str">
        <f t="shared" si="68"/>
        <v>2013-12-16</v>
      </c>
      <c r="AF723" s="9" t="str">
        <f t="shared" si="69"/>
        <v>12/16/2013</v>
      </c>
      <c r="AG723" s="8">
        <f t="shared" si="70"/>
        <v>0.37050298104882501</v>
      </c>
    </row>
    <row r="724" spans="28:33">
      <c r="AB724" s="8" t="s">
        <v>410</v>
      </c>
      <c r="AC724" s="8">
        <v>0.37050298104882501</v>
      </c>
      <c r="AD724" s="8">
        <v>0.338899899479228</v>
      </c>
      <c r="AE724" s="8" t="str">
        <f t="shared" si="68"/>
        <v>2013-12-18</v>
      </c>
      <c r="AF724" s="9" t="str">
        <f t="shared" si="69"/>
        <v>12/18/2013</v>
      </c>
      <c r="AG724" s="8">
        <f t="shared" si="70"/>
        <v>0.37050298104882501</v>
      </c>
    </row>
    <row r="725" spans="28:33">
      <c r="AB725" s="8" t="s">
        <v>411</v>
      </c>
      <c r="AC725" s="8">
        <v>0.33802122298332299</v>
      </c>
      <c r="AD725" s="8">
        <v>0.31945692741593201</v>
      </c>
      <c r="AE725" s="8" t="str">
        <f t="shared" si="68"/>
        <v>2013-12-19</v>
      </c>
      <c r="AF725" s="9" t="str">
        <f t="shared" si="69"/>
        <v>12/19/2013</v>
      </c>
      <c r="AG725" s="8">
        <f t="shared" si="70"/>
        <v>0.33802122298332299</v>
      </c>
    </row>
    <row r="726" spans="28:33">
      <c r="AB726" s="8" t="s">
        <v>412</v>
      </c>
      <c r="AC726" s="8">
        <v>0.33802122298332299</v>
      </c>
      <c r="AD726" s="8">
        <v>0.31945692741593201</v>
      </c>
      <c r="AE726" s="8" t="str">
        <f t="shared" si="68"/>
        <v>2013-12-20</v>
      </c>
      <c r="AF726" s="9" t="str">
        <f t="shared" si="69"/>
        <v>12/20/2013</v>
      </c>
      <c r="AG726" s="8">
        <f t="shared" si="70"/>
        <v>0.33802122298332299</v>
      </c>
    </row>
    <row r="727" spans="28:33">
      <c r="AB727" s="8" t="s">
        <v>413</v>
      </c>
      <c r="AC727" s="8">
        <v>0.33802122298332299</v>
      </c>
      <c r="AD727" s="8">
        <v>0.31945692741593201</v>
      </c>
      <c r="AE727" s="8" t="str">
        <f t="shared" si="68"/>
        <v>2013-12-23</v>
      </c>
      <c r="AF727" s="9" t="str">
        <f t="shared" si="69"/>
        <v>12/23/2013</v>
      </c>
      <c r="AG727" s="8">
        <f t="shared" si="70"/>
        <v>0.33802122298332299</v>
      </c>
    </row>
    <row r="728" spans="28:33">
      <c r="AB728" s="8" t="s">
        <v>414</v>
      </c>
      <c r="AC728" s="8">
        <v>0.33802122298332299</v>
      </c>
      <c r="AD728" s="8">
        <v>0.31945692741593201</v>
      </c>
      <c r="AE728" s="8" t="str">
        <f t="shared" si="68"/>
        <v>2013-12-24</v>
      </c>
      <c r="AF728" s="9" t="str">
        <f t="shared" si="69"/>
        <v>12/24/2013</v>
      </c>
      <c r="AG728" s="8">
        <f t="shared" si="70"/>
        <v>0.33802122298332299</v>
      </c>
    </row>
    <row r="729" spans="28:33">
      <c r="AB729" s="8" t="s">
        <v>415</v>
      </c>
      <c r="AC729" s="8">
        <v>0.32957871451229898</v>
      </c>
      <c r="AD729" s="8">
        <v>0.31945692741593201</v>
      </c>
      <c r="AE729" s="8" t="str">
        <f t="shared" si="68"/>
        <v>2013-12-26</v>
      </c>
      <c r="AF729" s="9" t="str">
        <f t="shared" si="69"/>
        <v>12/26/2013</v>
      </c>
      <c r="AG729" s="8">
        <f t="shared" si="70"/>
        <v>0.32957871451229898</v>
      </c>
    </row>
    <row r="730" spans="28:33">
      <c r="AB730" s="8" t="s">
        <v>416</v>
      </c>
      <c r="AC730" s="8">
        <v>0.32957871451229898</v>
      </c>
      <c r="AD730" s="8">
        <v>0.31945692741593201</v>
      </c>
      <c r="AE730" s="8" t="str">
        <f t="shared" si="68"/>
        <v>2013-12-27</v>
      </c>
      <c r="AF730" s="9" t="str">
        <f t="shared" si="69"/>
        <v>12/27/2013</v>
      </c>
      <c r="AG730" s="8">
        <f t="shared" si="70"/>
        <v>0.32957871451229898</v>
      </c>
    </row>
    <row r="731" spans="28:33">
      <c r="AB731" s="8" t="s">
        <v>417</v>
      </c>
      <c r="AC731" s="8">
        <v>0.32957871451229898</v>
      </c>
      <c r="AD731" s="8">
        <v>0.31945692741593201</v>
      </c>
      <c r="AE731" s="8" t="str">
        <f t="shared" si="68"/>
        <v>2013-12-30</v>
      </c>
      <c r="AF731" s="9" t="str">
        <f t="shared" si="69"/>
        <v>12/30/2013</v>
      </c>
      <c r="AG731" s="8">
        <f t="shared" si="70"/>
        <v>0.32957871451229898</v>
      </c>
    </row>
    <row r="732" spans="28:33">
      <c r="AB732" s="8" t="s">
        <v>418</v>
      </c>
      <c r="AC732" s="8">
        <v>0.32957871451229898</v>
      </c>
      <c r="AD732" s="8">
        <v>0.31945692741593201</v>
      </c>
      <c r="AE732" s="8" t="str">
        <f t="shared" si="68"/>
        <v>2013-12-31</v>
      </c>
      <c r="AF732" s="9" t="str">
        <f t="shared" si="69"/>
        <v>12/31/2013</v>
      </c>
      <c r="AG732" s="8">
        <f t="shared" si="70"/>
        <v>0.32957871451229898</v>
      </c>
    </row>
    <row r="733" spans="28:33">
      <c r="AB733" s="8" t="s">
        <v>419</v>
      </c>
      <c r="AC733" s="8">
        <v>0.273381996337976</v>
      </c>
      <c r="AD733" s="8">
        <v>0.28637334307655798</v>
      </c>
      <c r="AE733" s="8" t="str">
        <f t="shared" si="68"/>
        <v>2014-01-02</v>
      </c>
      <c r="AF733" s="9" t="str">
        <f t="shared" si="69"/>
        <v>1/2/2014</v>
      </c>
      <c r="AG733" s="8">
        <f t="shared" si="70"/>
        <v>0.273381996337976</v>
      </c>
    </row>
    <row r="734" spans="28:33">
      <c r="AB734" s="8" t="s">
        <v>420</v>
      </c>
      <c r="AC734" s="8">
        <v>0.273381996337976</v>
      </c>
      <c r="AD734" s="8">
        <v>0.28637334307655798</v>
      </c>
      <c r="AE734" s="8" t="str">
        <f t="shared" si="68"/>
        <v>2014-01-03</v>
      </c>
      <c r="AF734" s="9" t="str">
        <f t="shared" si="69"/>
        <v>1/3/2014</v>
      </c>
      <c r="AG734" s="8">
        <f t="shared" si="70"/>
        <v>0.273381996337976</v>
      </c>
    </row>
    <row r="735" spans="28:33">
      <c r="AB735" s="8" t="s">
        <v>421</v>
      </c>
      <c r="AC735" s="8">
        <v>0.273381996337976</v>
      </c>
      <c r="AD735" s="8">
        <v>0.28637334307655798</v>
      </c>
      <c r="AE735" s="8" t="str">
        <f t="shared" si="68"/>
        <v>2014-01-06</v>
      </c>
      <c r="AF735" s="9" t="str">
        <f t="shared" si="69"/>
        <v>1/6/2014</v>
      </c>
      <c r="AG735" s="8">
        <f t="shared" si="70"/>
        <v>0.273381996337976</v>
      </c>
    </row>
    <row r="736" spans="28:33">
      <c r="AB736" s="8" t="s">
        <v>422</v>
      </c>
      <c r="AC736" s="8">
        <v>0.273381996337976</v>
      </c>
      <c r="AD736" s="8">
        <v>0.28637334307655798</v>
      </c>
      <c r="AE736" s="8" t="str">
        <f t="shared" si="68"/>
        <v>2014-01-07</v>
      </c>
      <c r="AF736" s="9" t="str">
        <f t="shared" si="69"/>
        <v>1/7/2014</v>
      </c>
      <c r="AG736" s="8">
        <f t="shared" si="70"/>
        <v>0.273381996337976</v>
      </c>
    </row>
    <row r="737" spans="28:33">
      <c r="AB737" s="8" t="s">
        <v>423</v>
      </c>
      <c r="AC737" s="8">
        <v>0.28943231649708401</v>
      </c>
      <c r="AD737" s="8">
        <v>0.28637334307655798</v>
      </c>
      <c r="AE737" s="8" t="str">
        <f t="shared" si="68"/>
        <v>2014-01-09</v>
      </c>
      <c r="AF737" s="9" t="str">
        <f t="shared" si="69"/>
        <v>1/9/2014</v>
      </c>
      <c r="AG737" s="8">
        <f t="shared" si="70"/>
        <v>0.28943231649708401</v>
      </c>
    </row>
    <row r="738" spans="28:33">
      <c r="AB738" s="8" t="s">
        <v>424</v>
      </c>
      <c r="AC738" s="8">
        <v>0.28943231649708401</v>
      </c>
      <c r="AD738" s="8">
        <v>0.28637334307655798</v>
      </c>
      <c r="AE738" s="8" t="str">
        <f t="shared" si="68"/>
        <v>2014-01-10</v>
      </c>
      <c r="AF738" s="9" t="str">
        <f t="shared" si="69"/>
        <v>1/10/2014</v>
      </c>
      <c r="AG738" s="8">
        <f t="shared" si="70"/>
        <v>0.28943231649708401</v>
      </c>
    </row>
    <row r="739" spans="28:33">
      <c r="AB739" s="8" t="s">
        <v>425</v>
      </c>
      <c r="AC739" s="8">
        <v>0.28943231649708401</v>
      </c>
      <c r="AD739" s="8">
        <v>0.28637334307655798</v>
      </c>
      <c r="AE739" s="8" t="str">
        <f t="shared" si="68"/>
        <v>2014-01-13</v>
      </c>
      <c r="AF739" s="9" t="str">
        <f t="shared" si="69"/>
        <v>1/13/2014</v>
      </c>
      <c r="AG739" s="8">
        <f t="shared" si="70"/>
        <v>0.28943231649708401</v>
      </c>
    </row>
    <row r="740" spans="28:33">
      <c r="AB740" s="8" t="s">
        <v>426</v>
      </c>
      <c r="AC740" s="8">
        <v>0.28943231649708401</v>
      </c>
      <c r="AD740" s="8">
        <v>0.28637334307655798</v>
      </c>
      <c r="AE740" s="8" t="str">
        <f t="shared" si="68"/>
        <v>2014-01-14</v>
      </c>
      <c r="AF740" s="9" t="str">
        <f t="shared" si="69"/>
        <v>1/14/2014</v>
      </c>
      <c r="AG740" s="8">
        <f t="shared" si="70"/>
        <v>0.28943231649708401</v>
      </c>
    </row>
    <row r="741" spans="28:33">
      <c r="AB741" s="8" t="s">
        <v>427</v>
      </c>
      <c r="AC741" s="8">
        <v>0.28943231649708401</v>
      </c>
      <c r="AD741" s="8">
        <v>0.28637334307655798</v>
      </c>
      <c r="AE741" s="8" t="str">
        <f t="shared" si="68"/>
        <v>2014-01-15</v>
      </c>
      <c r="AF741" s="9" t="str">
        <f t="shared" si="69"/>
        <v>1/15/2014</v>
      </c>
      <c r="AG741" s="8">
        <f t="shared" si="70"/>
        <v>0.28943231649708401</v>
      </c>
    </row>
    <row r="742" spans="28:33">
      <c r="AB742" s="8" t="s">
        <v>428</v>
      </c>
      <c r="AC742" s="8">
        <v>0.36765798039511299</v>
      </c>
      <c r="AD742" s="8">
        <v>0.33873121393027</v>
      </c>
      <c r="AE742" s="8" t="str">
        <f t="shared" si="68"/>
        <v>2014-01-16</v>
      </c>
      <c r="AF742" s="9" t="str">
        <f t="shared" si="69"/>
        <v>1/16/2014</v>
      </c>
      <c r="AG742" s="8">
        <f t="shared" si="70"/>
        <v>0.36765798039511299</v>
      </c>
    </row>
    <row r="743" spans="28:33">
      <c r="AB743" s="8" t="s">
        <v>429</v>
      </c>
      <c r="AC743" s="8">
        <v>0.36765798039511299</v>
      </c>
      <c r="AD743" s="8">
        <v>0.33873121393027</v>
      </c>
      <c r="AE743" s="8" t="str">
        <f t="shared" si="68"/>
        <v>2014-01-17</v>
      </c>
      <c r="AF743" s="9" t="str">
        <f t="shared" si="69"/>
        <v>1/17/2014</v>
      </c>
      <c r="AG743" s="8">
        <f t="shared" si="70"/>
        <v>0.36765798039511299</v>
      </c>
    </row>
    <row r="744" spans="28:33">
      <c r="AB744" s="8" t="s">
        <v>430</v>
      </c>
      <c r="AC744" s="8">
        <v>0.36765798039511299</v>
      </c>
      <c r="AD744" s="8">
        <v>0.33873121393027</v>
      </c>
      <c r="AE744" s="8" t="str">
        <f t="shared" si="68"/>
        <v>2014-01-21</v>
      </c>
      <c r="AF744" s="9" t="str">
        <f t="shared" si="69"/>
        <v>1/21/2014</v>
      </c>
      <c r="AG744" s="8">
        <f t="shared" si="70"/>
        <v>0.36765798039511299</v>
      </c>
    </row>
    <row r="745" spans="28:33">
      <c r="AB745" s="8" t="s">
        <v>431</v>
      </c>
      <c r="AC745" s="8">
        <v>0.36765798039511299</v>
      </c>
      <c r="AD745" s="8">
        <v>0.33873121393027</v>
      </c>
      <c r="AE745" s="8" t="str">
        <f t="shared" si="68"/>
        <v>2014-01-22</v>
      </c>
      <c r="AF745" s="9" t="str">
        <f t="shared" si="69"/>
        <v>1/22/2014</v>
      </c>
      <c r="AG745" s="8">
        <f t="shared" si="70"/>
        <v>0.36765798039511299</v>
      </c>
    </row>
    <row r="746" spans="28:33">
      <c r="AB746" s="8" t="s">
        <v>432</v>
      </c>
      <c r="AC746" s="8">
        <v>0.37084428304329597</v>
      </c>
      <c r="AD746" s="8">
        <v>0.353219859413124</v>
      </c>
      <c r="AE746" s="8" t="str">
        <f t="shared" si="68"/>
        <v>2014-01-23</v>
      </c>
      <c r="AF746" s="9" t="str">
        <f t="shared" si="69"/>
        <v>1/23/2014</v>
      </c>
      <c r="AG746" s="8">
        <f t="shared" si="70"/>
        <v>0.37084428304329597</v>
      </c>
    </row>
    <row r="747" spans="28:33">
      <c r="AB747" s="8" t="s">
        <v>433</v>
      </c>
      <c r="AC747" s="8">
        <v>0.37084428304329597</v>
      </c>
      <c r="AD747" s="8">
        <v>0.353219859413124</v>
      </c>
      <c r="AE747" s="8" t="str">
        <f t="shared" si="68"/>
        <v>2014-01-24</v>
      </c>
      <c r="AF747" s="9" t="str">
        <f t="shared" si="69"/>
        <v>1/24/2014</v>
      </c>
      <c r="AG747" s="8">
        <f t="shared" si="70"/>
        <v>0.37084428304329597</v>
      </c>
    </row>
    <row r="748" spans="28:33">
      <c r="AB748" s="8" t="s">
        <v>434</v>
      </c>
      <c r="AC748" s="8">
        <v>0.37084428304329597</v>
      </c>
      <c r="AD748" s="8">
        <v>0.353219859413124</v>
      </c>
      <c r="AE748" s="8" t="str">
        <f t="shared" si="68"/>
        <v>2014-01-27</v>
      </c>
      <c r="AF748" s="9" t="str">
        <f t="shared" si="69"/>
        <v>1/27/2014</v>
      </c>
      <c r="AG748" s="8">
        <f t="shared" si="70"/>
        <v>0.37084428304329597</v>
      </c>
    </row>
    <row r="749" spans="28:33">
      <c r="AB749" s="8" t="s">
        <v>435</v>
      </c>
      <c r="AC749" s="8">
        <v>0.37084428304329597</v>
      </c>
      <c r="AD749" s="8">
        <v>0.353219859413124</v>
      </c>
      <c r="AE749" s="8" t="str">
        <f t="shared" si="68"/>
        <v>2014-01-28</v>
      </c>
      <c r="AF749" s="9" t="str">
        <f t="shared" si="69"/>
        <v>1/28/2014</v>
      </c>
      <c r="AG749" s="8">
        <f t="shared" si="70"/>
        <v>0.37084428304329597</v>
      </c>
    </row>
    <row r="750" spans="28:33">
      <c r="AB750" s="8" t="s">
        <v>436</v>
      </c>
      <c r="AC750" s="8">
        <v>0.37084428304329597</v>
      </c>
      <c r="AD750" s="8">
        <v>0.353219859413124</v>
      </c>
      <c r="AE750" s="8" t="str">
        <f t="shared" si="68"/>
        <v>2014-01-29</v>
      </c>
      <c r="AF750" s="9" t="str">
        <f t="shared" si="69"/>
        <v>1/29/2014</v>
      </c>
      <c r="AG750" s="8">
        <f t="shared" si="70"/>
        <v>0.37084428304329597</v>
      </c>
    </row>
    <row r="751" spans="28:33">
      <c r="AB751" s="8" t="s">
        <v>437</v>
      </c>
      <c r="AC751" s="8">
        <v>0.38154102604960499</v>
      </c>
      <c r="AD751" s="8">
        <v>0.37043232651615798</v>
      </c>
      <c r="AE751" s="8" t="str">
        <f t="shared" si="68"/>
        <v>2014-01-30</v>
      </c>
      <c r="AF751" s="9" t="str">
        <f t="shared" si="69"/>
        <v>1/30/2014</v>
      </c>
      <c r="AG751" s="8">
        <f t="shared" si="70"/>
        <v>0.38154102604960499</v>
      </c>
    </row>
    <row r="752" spans="28:33">
      <c r="AB752" s="8" t="s">
        <v>438</v>
      </c>
      <c r="AC752" s="8">
        <v>0.38154102604960499</v>
      </c>
      <c r="AD752" s="8">
        <v>0.37043232651615798</v>
      </c>
      <c r="AE752" s="8" t="str">
        <f t="shared" si="68"/>
        <v>2014-01-31</v>
      </c>
      <c r="AF752" s="9" t="str">
        <f t="shared" si="69"/>
        <v>1/31/2014</v>
      </c>
      <c r="AG752" s="8">
        <f t="shared" si="70"/>
        <v>0.38154102604960499</v>
      </c>
    </row>
    <row r="753" spans="28:33">
      <c r="AB753" s="8" t="s">
        <v>439</v>
      </c>
      <c r="AC753" s="8">
        <v>0.37772565332895602</v>
      </c>
      <c r="AD753" s="8">
        <v>0.369585902390552</v>
      </c>
      <c r="AE753" s="8" t="str">
        <f t="shared" si="68"/>
        <v>2014-02-03</v>
      </c>
      <c r="AF753" s="9" t="str">
        <f t="shared" si="69"/>
        <v>2/3/2014</v>
      </c>
      <c r="AG753" s="8">
        <f t="shared" si="70"/>
        <v>0.37772565332895602</v>
      </c>
    </row>
    <row r="754" spans="28:33">
      <c r="AB754" s="8" t="s">
        <v>440</v>
      </c>
      <c r="AC754" s="8">
        <v>0.37772565332895602</v>
      </c>
      <c r="AD754" s="8">
        <v>0.369585902390552</v>
      </c>
      <c r="AE754" s="8" t="str">
        <f t="shared" si="68"/>
        <v>2014-02-04</v>
      </c>
      <c r="AF754" s="9" t="str">
        <f t="shared" si="69"/>
        <v>2/4/2014</v>
      </c>
      <c r="AG754" s="8">
        <f t="shared" si="70"/>
        <v>0.37772565332895602</v>
      </c>
    </row>
    <row r="755" spans="28:33">
      <c r="AB755" s="8" t="s">
        <v>441</v>
      </c>
      <c r="AC755" s="8">
        <v>0.37772565332895602</v>
      </c>
      <c r="AD755" s="8">
        <v>0.369585902390552</v>
      </c>
      <c r="AE755" s="8" t="str">
        <f t="shared" si="68"/>
        <v>2014-02-05</v>
      </c>
      <c r="AF755" s="9" t="str">
        <f t="shared" si="69"/>
        <v>2/5/2014</v>
      </c>
      <c r="AG755" s="8">
        <f t="shared" si="70"/>
        <v>0.37772565332895602</v>
      </c>
    </row>
    <row r="756" spans="28:33">
      <c r="AB756" s="8" t="s">
        <v>442</v>
      </c>
      <c r="AC756" s="8">
        <v>0.39983029630913802</v>
      </c>
      <c r="AD756" s="8">
        <v>0.418633438360556</v>
      </c>
      <c r="AE756" s="8" t="str">
        <f t="shared" si="68"/>
        <v>2014-02-06</v>
      </c>
      <c r="AF756" s="9" t="str">
        <f t="shared" si="69"/>
        <v>2/6/2014</v>
      </c>
      <c r="AG756" s="8">
        <f t="shared" si="70"/>
        <v>0.39983029630913802</v>
      </c>
    </row>
    <row r="757" spans="28:33">
      <c r="AB757" s="8" t="s">
        <v>443</v>
      </c>
      <c r="AC757" s="8">
        <v>0.39983029630913802</v>
      </c>
      <c r="AD757" s="8">
        <v>0.418633438360556</v>
      </c>
      <c r="AE757" s="8" t="str">
        <f t="shared" si="68"/>
        <v>2014-02-07</v>
      </c>
      <c r="AF757" s="9" t="str">
        <f t="shared" si="69"/>
        <v>2/7/2014</v>
      </c>
      <c r="AG757" s="8">
        <f t="shared" si="70"/>
        <v>0.39983029630913802</v>
      </c>
    </row>
    <row r="758" spans="28:33">
      <c r="AB758" s="8" t="s">
        <v>444</v>
      </c>
      <c r="AC758" s="8">
        <v>0.39983029630913802</v>
      </c>
      <c r="AD758" s="8">
        <v>0.418633438360556</v>
      </c>
      <c r="AE758" s="8" t="str">
        <f t="shared" ref="AE758:AE821" si="71">MID(AB758,2,10)</f>
        <v>2014-02-10</v>
      </c>
      <c r="AF758" s="9" t="str">
        <f t="shared" ref="AF758:AF821" si="72">TEXT(AE758,"m/d/yyyy")</f>
        <v>2/10/2014</v>
      </c>
      <c r="AG758" s="8">
        <f t="shared" ref="AG758:AG821" si="73">AC758</f>
        <v>0.39983029630913802</v>
      </c>
    </row>
    <row r="759" spans="28:33">
      <c r="AB759" s="8" t="s">
        <v>445</v>
      </c>
      <c r="AC759" s="8">
        <v>0.39983029630913802</v>
      </c>
      <c r="AD759" s="8">
        <v>0.418633438360556</v>
      </c>
      <c r="AE759" s="8" t="str">
        <f t="shared" si="71"/>
        <v>2014-02-11</v>
      </c>
      <c r="AF759" s="9" t="str">
        <f t="shared" si="72"/>
        <v>2/11/2014</v>
      </c>
      <c r="AG759" s="8">
        <f t="shared" si="73"/>
        <v>0.39983029630913802</v>
      </c>
    </row>
    <row r="760" spans="28:33">
      <c r="AB760" s="8" t="s">
        <v>446</v>
      </c>
      <c r="AC760" s="8">
        <v>0.39983029630913802</v>
      </c>
      <c r="AD760" s="8">
        <v>0.418633438360556</v>
      </c>
      <c r="AE760" s="8" t="str">
        <f t="shared" si="71"/>
        <v>2014-02-12</v>
      </c>
      <c r="AF760" s="9" t="str">
        <f t="shared" si="72"/>
        <v>2/12/2014</v>
      </c>
      <c r="AG760" s="8">
        <f t="shared" si="73"/>
        <v>0.39983029630913802</v>
      </c>
    </row>
    <row r="761" spans="28:33">
      <c r="AB761" s="8" t="s">
        <v>447</v>
      </c>
      <c r="AC761" s="8">
        <v>0.385235227392075</v>
      </c>
      <c r="AD761" s="8">
        <v>0.369585902390552</v>
      </c>
      <c r="AE761" s="8" t="str">
        <f t="shared" si="71"/>
        <v>2014-02-13</v>
      </c>
      <c r="AF761" s="9" t="str">
        <f t="shared" si="72"/>
        <v>2/13/2014</v>
      </c>
      <c r="AG761" s="8">
        <f t="shared" si="73"/>
        <v>0.385235227392075</v>
      </c>
    </row>
    <row r="762" spans="28:33">
      <c r="AB762" s="8" t="s">
        <v>448</v>
      </c>
      <c r="AC762" s="8">
        <v>0.385235227392075</v>
      </c>
      <c r="AD762" s="8">
        <v>0.369585902390552</v>
      </c>
      <c r="AE762" s="8" t="str">
        <f t="shared" si="71"/>
        <v>2014-02-14</v>
      </c>
      <c r="AF762" s="9" t="str">
        <f t="shared" si="72"/>
        <v>2/14/2014</v>
      </c>
      <c r="AG762" s="8">
        <f t="shared" si="73"/>
        <v>0.385235227392075</v>
      </c>
    </row>
    <row r="763" spans="28:33">
      <c r="AB763" s="8" t="s">
        <v>449</v>
      </c>
      <c r="AC763" s="8">
        <v>0.385235227392075</v>
      </c>
      <c r="AD763" s="8">
        <v>0.369585902390552</v>
      </c>
      <c r="AE763" s="8" t="str">
        <f t="shared" si="71"/>
        <v>2014-02-18</v>
      </c>
      <c r="AF763" s="9" t="str">
        <f t="shared" si="72"/>
        <v>2/18/2014</v>
      </c>
      <c r="AG763" s="8">
        <f t="shared" si="73"/>
        <v>0.385235227392075</v>
      </c>
    </row>
    <row r="764" spans="28:33">
      <c r="AB764" s="8" t="s">
        <v>450</v>
      </c>
      <c r="AC764" s="8">
        <v>0.385235227392075</v>
      </c>
      <c r="AD764" s="8">
        <v>0.369585902390552</v>
      </c>
      <c r="AE764" s="8" t="str">
        <f t="shared" si="71"/>
        <v>2014-02-19</v>
      </c>
      <c r="AF764" s="9" t="str">
        <f t="shared" si="72"/>
        <v>2/19/2014</v>
      </c>
      <c r="AG764" s="8">
        <f t="shared" si="73"/>
        <v>0.385235227392075</v>
      </c>
    </row>
    <row r="765" spans="28:33">
      <c r="AB765" s="8" t="s">
        <v>451</v>
      </c>
      <c r="AC765" s="8">
        <v>0.375411030467661</v>
      </c>
      <c r="AD765" s="8">
        <v>0.361925733732405</v>
      </c>
      <c r="AE765" s="8" t="str">
        <f t="shared" si="71"/>
        <v>2014-02-20</v>
      </c>
      <c r="AF765" s="9" t="str">
        <f t="shared" si="72"/>
        <v>2/20/2014</v>
      </c>
      <c r="AG765" s="8">
        <f t="shared" si="73"/>
        <v>0.375411030467661</v>
      </c>
    </row>
    <row r="766" spans="28:33">
      <c r="AB766" s="8" t="s">
        <v>452</v>
      </c>
      <c r="AC766" s="8">
        <v>0.375411030467661</v>
      </c>
      <c r="AD766" s="8">
        <v>0.361925733732405</v>
      </c>
      <c r="AE766" s="8" t="str">
        <f t="shared" si="71"/>
        <v>2014-02-21</v>
      </c>
      <c r="AF766" s="9" t="str">
        <f t="shared" si="72"/>
        <v>2/21/2014</v>
      </c>
      <c r="AG766" s="8">
        <f t="shared" si="73"/>
        <v>0.375411030467661</v>
      </c>
    </row>
    <row r="767" spans="28:33">
      <c r="AB767" s="8" t="s">
        <v>453</v>
      </c>
      <c r="AC767" s="8">
        <v>0.375411030467661</v>
      </c>
      <c r="AD767" s="8">
        <v>0.361925733732405</v>
      </c>
      <c r="AE767" s="8" t="str">
        <f t="shared" si="71"/>
        <v>2014-02-24</v>
      </c>
      <c r="AF767" s="9" t="str">
        <f t="shared" si="72"/>
        <v>2/24/2014</v>
      </c>
      <c r="AG767" s="8">
        <f t="shared" si="73"/>
        <v>0.375411030467661</v>
      </c>
    </row>
    <row r="768" spans="28:33">
      <c r="AB768" s="8" t="s">
        <v>454</v>
      </c>
      <c r="AC768" s="8">
        <v>0.375411030467661</v>
      </c>
      <c r="AD768" s="8">
        <v>0.361925733732405</v>
      </c>
      <c r="AE768" s="8" t="str">
        <f t="shared" si="71"/>
        <v>2014-02-25</v>
      </c>
      <c r="AF768" s="9" t="str">
        <f t="shared" si="72"/>
        <v>2/25/2014</v>
      </c>
      <c r="AG768" s="8">
        <f t="shared" si="73"/>
        <v>0.375411030467661</v>
      </c>
    </row>
    <row r="769" spans="28:33">
      <c r="AB769" s="8" t="s">
        <v>455</v>
      </c>
      <c r="AC769" s="8">
        <v>0.375411030467661</v>
      </c>
      <c r="AD769" s="8">
        <v>0.361925733732405</v>
      </c>
      <c r="AE769" s="8" t="str">
        <f t="shared" si="71"/>
        <v>2014-02-26</v>
      </c>
      <c r="AF769" s="9" t="str">
        <f t="shared" si="72"/>
        <v>2/26/2014</v>
      </c>
      <c r="AG769" s="8">
        <f t="shared" si="73"/>
        <v>0.375411030467661</v>
      </c>
    </row>
    <row r="770" spans="28:33">
      <c r="AB770" s="8" t="s">
        <v>456</v>
      </c>
      <c r="AC770" s="8">
        <v>0.36950911021955302</v>
      </c>
      <c r="AD770" s="8">
        <v>0.35259700499086699</v>
      </c>
      <c r="AE770" s="8" t="str">
        <f t="shared" si="71"/>
        <v>2014-02-27</v>
      </c>
      <c r="AF770" s="9" t="str">
        <f t="shared" si="72"/>
        <v>2/27/2014</v>
      </c>
      <c r="AG770" s="8">
        <f t="shared" si="73"/>
        <v>0.36950911021955302</v>
      </c>
    </row>
    <row r="771" spans="28:33">
      <c r="AB771" s="8" t="s">
        <v>457</v>
      </c>
      <c r="AC771" s="8">
        <v>0.36950911021955302</v>
      </c>
      <c r="AD771" s="8">
        <v>0.35259700499086699</v>
      </c>
      <c r="AE771" s="8" t="str">
        <f t="shared" si="71"/>
        <v>2014-02-28</v>
      </c>
      <c r="AF771" s="9" t="str">
        <f t="shared" si="72"/>
        <v>2/28/2014</v>
      </c>
      <c r="AG771" s="8">
        <f t="shared" si="73"/>
        <v>0.36950911021955302</v>
      </c>
    </row>
    <row r="772" spans="28:33">
      <c r="AB772" s="8" t="s">
        <v>458</v>
      </c>
      <c r="AC772" s="8">
        <v>0.36618748344447</v>
      </c>
      <c r="AD772" s="8">
        <v>0.34076202088993601</v>
      </c>
      <c r="AE772" s="8" t="str">
        <f t="shared" si="71"/>
        <v>2014-03-03</v>
      </c>
      <c r="AF772" s="9" t="str">
        <f t="shared" si="72"/>
        <v>3/3/2014</v>
      </c>
      <c r="AG772" s="8">
        <f t="shared" si="73"/>
        <v>0.36618748344447</v>
      </c>
    </row>
    <row r="773" spans="28:33">
      <c r="AB773" s="8" t="s">
        <v>459</v>
      </c>
      <c r="AC773" s="8">
        <v>0.36618748344447</v>
      </c>
      <c r="AD773" s="8">
        <v>0.34076202088993601</v>
      </c>
      <c r="AE773" s="8" t="str">
        <f t="shared" si="71"/>
        <v>2014-03-04</v>
      </c>
      <c r="AF773" s="9" t="str">
        <f t="shared" si="72"/>
        <v>3/4/2014</v>
      </c>
      <c r="AG773" s="8">
        <f t="shared" si="73"/>
        <v>0.36618748344447</v>
      </c>
    </row>
    <row r="774" spans="28:33">
      <c r="AB774" s="8" t="s">
        <v>460</v>
      </c>
      <c r="AC774" s="8">
        <v>0.36618748344447</v>
      </c>
      <c r="AD774" s="8">
        <v>0.34076202088993601</v>
      </c>
      <c r="AE774" s="8" t="str">
        <f t="shared" si="71"/>
        <v>2014-03-05</v>
      </c>
      <c r="AF774" s="9" t="str">
        <f t="shared" si="72"/>
        <v>3/5/2014</v>
      </c>
      <c r="AG774" s="8">
        <f t="shared" si="73"/>
        <v>0.36618748344447</v>
      </c>
    </row>
    <row r="775" spans="28:33">
      <c r="AB775" s="8" t="s">
        <v>461</v>
      </c>
      <c r="AC775" s="8">
        <v>0.38305038505575201</v>
      </c>
      <c r="AD775" s="8">
        <v>0.365947253047751</v>
      </c>
      <c r="AE775" s="8" t="str">
        <f t="shared" si="71"/>
        <v>2014-03-06</v>
      </c>
      <c r="AF775" s="9" t="str">
        <f t="shared" si="72"/>
        <v>3/6/2014</v>
      </c>
      <c r="AG775" s="8">
        <f t="shared" si="73"/>
        <v>0.38305038505575201</v>
      </c>
    </row>
    <row r="776" spans="28:33">
      <c r="AB776" s="8" t="s">
        <v>462</v>
      </c>
      <c r="AC776" s="8">
        <v>0.38305038505575201</v>
      </c>
      <c r="AD776" s="8">
        <v>0.365947253047751</v>
      </c>
      <c r="AE776" s="8" t="str">
        <f t="shared" si="71"/>
        <v>2014-03-07</v>
      </c>
      <c r="AF776" s="9" t="str">
        <f t="shared" si="72"/>
        <v>3/7/2014</v>
      </c>
      <c r="AG776" s="8">
        <f t="shared" si="73"/>
        <v>0.38305038505575201</v>
      </c>
    </row>
    <row r="777" spans="28:33">
      <c r="AB777" s="8" t="s">
        <v>463</v>
      </c>
      <c r="AC777" s="8">
        <v>0.38305038505575201</v>
      </c>
      <c r="AD777" s="8">
        <v>0.365947253047751</v>
      </c>
      <c r="AE777" s="8" t="str">
        <f t="shared" si="71"/>
        <v>2014-03-10</v>
      </c>
      <c r="AF777" s="9" t="str">
        <f t="shared" si="72"/>
        <v>3/10/2014</v>
      </c>
      <c r="AG777" s="8">
        <f t="shared" si="73"/>
        <v>0.38305038505575201</v>
      </c>
    </row>
    <row r="778" spans="28:33">
      <c r="AB778" s="8" t="s">
        <v>464</v>
      </c>
      <c r="AC778" s="8">
        <v>0.38305038505575201</v>
      </c>
      <c r="AD778" s="8">
        <v>0.365947253047751</v>
      </c>
      <c r="AE778" s="8" t="str">
        <f t="shared" si="71"/>
        <v>2014-03-11</v>
      </c>
      <c r="AF778" s="9" t="str">
        <f t="shared" si="72"/>
        <v>3/11/2014</v>
      </c>
      <c r="AG778" s="8">
        <f t="shared" si="73"/>
        <v>0.38305038505575201</v>
      </c>
    </row>
    <row r="779" spans="28:33">
      <c r="AB779" s="8" t="s">
        <v>465</v>
      </c>
      <c r="AC779" s="8">
        <v>0.38305038505575201</v>
      </c>
      <c r="AD779" s="8">
        <v>0.365947253047751</v>
      </c>
      <c r="AE779" s="8" t="str">
        <f t="shared" si="71"/>
        <v>2014-03-12</v>
      </c>
      <c r="AF779" s="9" t="str">
        <f t="shared" si="72"/>
        <v>3/12/2014</v>
      </c>
      <c r="AG779" s="8">
        <f t="shared" si="73"/>
        <v>0.38305038505575201</v>
      </c>
    </row>
    <row r="780" spans="28:33">
      <c r="AB780" s="8" t="s">
        <v>466</v>
      </c>
      <c r="AC780" s="8">
        <v>0.36618748344447</v>
      </c>
      <c r="AD780" s="8">
        <v>0.34076202088993601</v>
      </c>
      <c r="AE780" s="8" t="str">
        <f t="shared" si="71"/>
        <v>2014-03-13</v>
      </c>
      <c r="AF780" s="9" t="str">
        <f t="shared" si="72"/>
        <v>3/13/2014</v>
      </c>
      <c r="AG780" s="8">
        <f t="shared" si="73"/>
        <v>0.36618748344447</v>
      </c>
    </row>
    <row r="781" spans="28:33">
      <c r="AB781" s="8" t="s">
        <v>467</v>
      </c>
      <c r="AC781" s="8">
        <v>0.36618748344447</v>
      </c>
      <c r="AD781" s="8">
        <v>0.34076202088993601</v>
      </c>
      <c r="AE781" s="8" t="str">
        <f t="shared" si="71"/>
        <v>2014-03-14</v>
      </c>
      <c r="AF781" s="9" t="str">
        <f t="shared" si="72"/>
        <v>3/14/2014</v>
      </c>
      <c r="AG781" s="8">
        <f t="shared" si="73"/>
        <v>0.36618748344447</v>
      </c>
    </row>
    <row r="782" spans="28:33">
      <c r="AB782" s="8" t="s">
        <v>468</v>
      </c>
      <c r="AC782" s="8">
        <v>0.36618748344447</v>
      </c>
      <c r="AD782" s="8">
        <v>0.34076202088993601</v>
      </c>
      <c r="AE782" s="8" t="str">
        <f t="shared" si="71"/>
        <v>2014-03-17</v>
      </c>
      <c r="AF782" s="9" t="str">
        <f t="shared" si="72"/>
        <v>3/17/2014</v>
      </c>
      <c r="AG782" s="8">
        <f t="shared" si="73"/>
        <v>0.36618748344447</v>
      </c>
    </row>
    <row r="783" spans="28:33">
      <c r="AB783" s="8" t="s">
        <v>469</v>
      </c>
      <c r="AC783" s="8">
        <v>0.36618748344447</v>
      </c>
      <c r="AD783" s="8">
        <v>0.34076202088993601</v>
      </c>
      <c r="AE783" s="8" t="str">
        <f t="shared" si="71"/>
        <v>2014-03-18</v>
      </c>
      <c r="AF783" s="9" t="str">
        <f t="shared" si="72"/>
        <v>3/18/2014</v>
      </c>
      <c r="AG783" s="8">
        <f t="shared" si="73"/>
        <v>0.36618748344447</v>
      </c>
    </row>
    <row r="784" spans="28:33">
      <c r="AB784" s="8" t="s">
        <v>470</v>
      </c>
      <c r="AC784" s="8">
        <v>0.36618748344447</v>
      </c>
      <c r="AD784" s="8">
        <v>0.34076202088993601</v>
      </c>
      <c r="AE784" s="8" t="str">
        <f t="shared" si="71"/>
        <v>2014-03-19</v>
      </c>
      <c r="AF784" s="9" t="str">
        <f t="shared" si="72"/>
        <v>3/19/2014</v>
      </c>
      <c r="AG784" s="8">
        <f t="shared" si="73"/>
        <v>0.36618748344447</v>
      </c>
    </row>
    <row r="785" spans="28:33">
      <c r="AB785" s="8" t="s">
        <v>471</v>
      </c>
      <c r="AC785" s="8">
        <v>0.37473459168456602</v>
      </c>
      <c r="AD785" s="8">
        <v>0.35746736385601302</v>
      </c>
      <c r="AE785" s="8" t="str">
        <f t="shared" si="71"/>
        <v>2014-03-20</v>
      </c>
      <c r="AF785" s="9" t="str">
        <f t="shared" si="72"/>
        <v>3/20/2014</v>
      </c>
      <c r="AG785" s="8">
        <f t="shared" si="73"/>
        <v>0.37473459168456602</v>
      </c>
    </row>
    <row r="786" spans="28:33">
      <c r="AB786" s="8" t="s">
        <v>472</v>
      </c>
      <c r="AC786" s="8">
        <v>0.37473459168456602</v>
      </c>
      <c r="AD786" s="8">
        <v>0.35746736385601302</v>
      </c>
      <c r="AE786" s="8" t="str">
        <f t="shared" si="71"/>
        <v>2014-03-21</v>
      </c>
      <c r="AF786" s="9" t="str">
        <f t="shared" si="72"/>
        <v>3/21/2014</v>
      </c>
      <c r="AG786" s="8">
        <f t="shared" si="73"/>
        <v>0.37473459168456602</v>
      </c>
    </row>
    <row r="787" spans="28:33">
      <c r="AB787" s="8" t="s">
        <v>473</v>
      </c>
      <c r="AC787" s="8">
        <v>0.37473459168456602</v>
      </c>
      <c r="AD787" s="8">
        <v>0.35746736385601302</v>
      </c>
      <c r="AE787" s="8" t="str">
        <f t="shared" si="71"/>
        <v>2014-03-24</v>
      </c>
      <c r="AF787" s="9" t="str">
        <f t="shared" si="72"/>
        <v>3/24/2014</v>
      </c>
      <c r="AG787" s="8">
        <f t="shared" si="73"/>
        <v>0.37473459168456602</v>
      </c>
    </row>
    <row r="788" spans="28:33">
      <c r="AB788" s="8" t="s">
        <v>474</v>
      </c>
      <c r="AC788" s="8">
        <v>0.37473459168456602</v>
      </c>
      <c r="AD788" s="8">
        <v>0.35746736385601302</v>
      </c>
      <c r="AE788" s="8" t="str">
        <f t="shared" si="71"/>
        <v>2014-03-25</v>
      </c>
      <c r="AF788" s="9" t="str">
        <f t="shared" si="72"/>
        <v>3/25/2014</v>
      </c>
      <c r="AG788" s="8">
        <f t="shared" si="73"/>
        <v>0.37473459168456602</v>
      </c>
    </row>
    <row r="789" spans="28:33">
      <c r="AB789" s="8" t="s">
        <v>475</v>
      </c>
      <c r="AC789" s="8">
        <v>0.37473459168456602</v>
      </c>
      <c r="AD789" s="8">
        <v>0.35746736385601302</v>
      </c>
      <c r="AE789" s="8" t="str">
        <f t="shared" si="71"/>
        <v>2014-03-26</v>
      </c>
      <c r="AF789" s="9" t="str">
        <f t="shared" si="72"/>
        <v>3/26/2014</v>
      </c>
      <c r="AG789" s="8">
        <f t="shared" si="73"/>
        <v>0.37473459168456602</v>
      </c>
    </row>
    <row r="790" spans="28:33">
      <c r="AB790" s="8" t="s">
        <v>476</v>
      </c>
      <c r="AC790" s="8">
        <v>0.36106783694827599</v>
      </c>
      <c r="AD790" s="8">
        <v>0.326640202675469</v>
      </c>
      <c r="AE790" s="8" t="str">
        <f t="shared" si="71"/>
        <v>2014-03-27</v>
      </c>
      <c r="AF790" s="9" t="str">
        <f t="shared" si="72"/>
        <v>3/27/2014</v>
      </c>
      <c r="AG790" s="8">
        <f t="shared" si="73"/>
        <v>0.36106783694827599</v>
      </c>
    </row>
    <row r="791" spans="28:33">
      <c r="AB791" s="8" t="s">
        <v>477</v>
      </c>
      <c r="AC791" s="8">
        <v>0.36106783694827599</v>
      </c>
      <c r="AD791" s="8">
        <v>0.326640202675469</v>
      </c>
      <c r="AE791" s="8" t="str">
        <f t="shared" si="71"/>
        <v>2014-03-28</v>
      </c>
      <c r="AF791" s="9" t="str">
        <f t="shared" si="72"/>
        <v>3/28/2014</v>
      </c>
      <c r="AG791" s="8">
        <f t="shared" si="73"/>
        <v>0.36106783694827599</v>
      </c>
    </row>
    <row r="792" spans="28:33">
      <c r="AB792" s="8" t="s">
        <v>478</v>
      </c>
      <c r="AC792" s="8">
        <v>0.36106783694827599</v>
      </c>
      <c r="AD792" s="8">
        <v>0.326640202675469</v>
      </c>
      <c r="AE792" s="8" t="str">
        <f t="shared" si="71"/>
        <v>2014-03-31</v>
      </c>
      <c r="AF792" s="9" t="str">
        <f t="shared" si="72"/>
        <v>3/31/2014</v>
      </c>
      <c r="AG792" s="8">
        <f t="shared" si="73"/>
        <v>0.36106783694827599</v>
      </c>
    </row>
    <row r="793" spans="28:33">
      <c r="AB793" s="8" t="s">
        <v>479</v>
      </c>
      <c r="AC793" s="8">
        <v>0.35665287918352401</v>
      </c>
      <c r="AD793" s="8">
        <v>0.32045868201101502</v>
      </c>
      <c r="AE793" s="8" t="str">
        <f t="shared" si="71"/>
        <v>2014-04-01</v>
      </c>
      <c r="AF793" s="9" t="str">
        <f t="shared" si="72"/>
        <v>4/1/2014</v>
      </c>
      <c r="AG793" s="8">
        <f t="shared" si="73"/>
        <v>0.35665287918352401</v>
      </c>
    </row>
    <row r="794" spans="28:33">
      <c r="AB794" s="8" t="s">
        <v>480</v>
      </c>
      <c r="AC794" s="8">
        <v>0.35665287918352401</v>
      </c>
      <c r="AD794" s="8">
        <v>0.32045868201101502</v>
      </c>
      <c r="AE794" s="8" t="str">
        <f t="shared" si="71"/>
        <v>2014-04-02</v>
      </c>
      <c r="AF794" s="9" t="str">
        <f t="shared" si="72"/>
        <v>4/2/2014</v>
      </c>
      <c r="AG794" s="8">
        <f t="shared" si="73"/>
        <v>0.35665287918352401</v>
      </c>
    </row>
    <row r="795" spans="28:33">
      <c r="AB795" s="8" t="s">
        <v>481</v>
      </c>
      <c r="AC795" s="8">
        <v>0.35514156438481698</v>
      </c>
      <c r="AD795" s="8">
        <v>0.32045868201101502</v>
      </c>
      <c r="AE795" s="8" t="str">
        <f t="shared" si="71"/>
        <v>2014-04-03</v>
      </c>
      <c r="AF795" s="9" t="str">
        <f t="shared" si="72"/>
        <v>4/3/2014</v>
      </c>
      <c r="AG795" s="8">
        <f t="shared" si="73"/>
        <v>0.35514156438481698</v>
      </c>
    </row>
    <row r="796" spans="28:33">
      <c r="AB796" s="8" t="s">
        <v>482</v>
      </c>
      <c r="AC796" s="8">
        <v>0.35514156438481698</v>
      </c>
      <c r="AD796" s="8">
        <v>0.32045868201101502</v>
      </c>
      <c r="AE796" s="8" t="str">
        <f t="shared" si="71"/>
        <v>2014-04-04</v>
      </c>
      <c r="AF796" s="9" t="str">
        <f t="shared" si="72"/>
        <v>4/4/2014</v>
      </c>
      <c r="AG796" s="8">
        <f t="shared" si="73"/>
        <v>0.35514156438481698</v>
      </c>
    </row>
    <row r="797" spans="28:33">
      <c r="AB797" s="8" t="s">
        <v>483</v>
      </c>
      <c r="AC797" s="8">
        <v>0.35514156438481698</v>
      </c>
      <c r="AD797" s="8">
        <v>0.32045868201101502</v>
      </c>
      <c r="AE797" s="8" t="str">
        <f t="shared" si="71"/>
        <v>2014-04-07</v>
      </c>
      <c r="AF797" s="9" t="str">
        <f t="shared" si="72"/>
        <v>4/7/2014</v>
      </c>
      <c r="AG797" s="8">
        <f t="shared" si="73"/>
        <v>0.35514156438481698</v>
      </c>
    </row>
    <row r="798" spans="28:33">
      <c r="AB798" s="8" t="s">
        <v>484</v>
      </c>
      <c r="AC798" s="8">
        <v>0.35514156438481698</v>
      </c>
      <c r="AD798" s="8">
        <v>0.32045868201101502</v>
      </c>
      <c r="AE798" s="8" t="str">
        <f t="shared" si="71"/>
        <v>2014-04-08</v>
      </c>
      <c r="AF798" s="9" t="str">
        <f t="shared" si="72"/>
        <v>4/8/2014</v>
      </c>
      <c r="AG798" s="8">
        <f t="shared" si="73"/>
        <v>0.35514156438481698</v>
      </c>
    </row>
    <row r="799" spans="28:33">
      <c r="AB799" s="8" t="s">
        <v>485</v>
      </c>
      <c r="AC799" s="8">
        <v>0.35514156438481698</v>
      </c>
      <c r="AD799" s="8">
        <v>0.32045868201101502</v>
      </c>
      <c r="AE799" s="8" t="str">
        <f t="shared" si="71"/>
        <v>2014-04-09</v>
      </c>
      <c r="AF799" s="9" t="str">
        <f t="shared" si="72"/>
        <v>4/9/2014</v>
      </c>
      <c r="AG799" s="8">
        <f t="shared" si="73"/>
        <v>0.35514156438481698</v>
      </c>
    </row>
    <row r="800" spans="28:33">
      <c r="AB800" s="8" t="s">
        <v>486</v>
      </c>
      <c r="AC800" s="8">
        <v>0.36665858727100598</v>
      </c>
      <c r="AD800" s="8">
        <v>0.34341616068980901</v>
      </c>
      <c r="AE800" s="8" t="str">
        <f t="shared" si="71"/>
        <v>2014-04-10</v>
      </c>
      <c r="AF800" s="9" t="str">
        <f t="shared" si="72"/>
        <v>4/10/2014</v>
      </c>
      <c r="AG800" s="8">
        <f t="shared" si="73"/>
        <v>0.36665858727100598</v>
      </c>
    </row>
    <row r="801" spans="28:33">
      <c r="AB801" s="8" t="s">
        <v>487</v>
      </c>
      <c r="AC801" s="8">
        <v>0.36665858727100598</v>
      </c>
      <c r="AD801" s="8">
        <v>0.34341616068980901</v>
      </c>
      <c r="AE801" s="8" t="str">
        <f t="shared" si="71"/>
        <v>2014-04-11</v>
      </c>
      <c r="AF801" s="9" t="str">
        <f t="shared" si="72"/>
        <v>4/11/2014</v>
      </c>
      <c r="AG801" s="8">
        <f t="shared" si="73"/>
        <v>0.36665858727100598</v>
      </c>
    </row>
    <row r="802" spans="28:33">
      <c r="AB802" s="8" t="s">
        <v>488</v>
      </c>
      <c r="AC802" s="8">
        <v>0.36665858727100598</v>
      </c>
      <c r="AD802" s="8">
        <v>0.34341616068980901</v>
      </c>
      <c r="AE802" s="8" t="str">
        <f t="shared" si="71"/>
        <v>2014-04-14</v>
      </c>
      <c r="AF802" s="9" t="str">
        <f t="shared" si="72"/>
        <v>4/14/2014</v>
      </c>
      <c r="AG802" s="8">
        <f t="shared" si="73"/>
        <v>0.36665858727100598</v>
      </c>
    </row>
    <row r="803" spans="28:33">
      <c r="AB803" s="8" t="s">
        <v>489</v>
      </c>
      <c r="AC803" s="8">
        <v>0.36665858727100598</v>
      </c>
      <c r="AD803" s="8">
        <v>0.34341616068980901</v>
      </c>
      <c r="AE803" s="8" t="str">
        <f t="shared" si="71"/>
        <v>2014-04-15</v>
      </c>
      <c r="AF803" s="9" t="str">
        <f t="shared" si="72"/>
        <v>4/15/2014</v>
      </c>
      <c r="AG803" s="8">
        <f t="shared" si="73"/>
        <v>0.36665858727100598</v>
      </c>
    </row>
    <row r="804" spans="28:33">
      <c r="AB804" s="8" t="s">
        <v>490</v>
      </c>
      <c r="AC804" s="8">
        <v>0.36665858727100598</v>
      </c>
      <c r="AD804" s="8">
        <v>0.34341616068980901</v>
      </c>
      <c r="AE804" s="8" t="str">
        <f t="shared" si="71"/>
        <v>2014-04-16</v>
      </c>
      <c r="AF804" s="9" t="str">
        <f t="shared" si="72"/>
        <v>4/16/2014</v>
      </c>
      <c r="AG804" s="8">
        <f t="shared" si="73"/>
        <v>0.36665858727100598</v>
      </c>
    </row>
    <row r="805" spans="28:33">
      <c r="AB805" s="8" t="s">
        <v>491</v>
      </c>
      <c r="AC805" s="8">
        <v>0.38166972699665502</v>
      </c>
      <c r="AD805" s="8">
        <v>0.35973898425891498</v>
      </c>
      <c r="AE805" s="8" t="str">
        <f t="shared" si="71"/>
        <v>2014-04-17</v>
      </c>
      <c r="AF805" s="9" t="str">
        <f t="shared" si="72"/>
        <v>4/17/2014</v>
      </c>
      <c r="AG805" s="8">
        <f t="shared" si="73"/>
        <v>0.38166972699665502</v>
      </c>
    </row>
    <row r="806" spans="28:33">
      <c r="AB806" s="8" t="s">
        <v>492</v>
      </c>
      <c r="AC806" s="8">
        <v>0.38166972699665502</v>
      </c>
      <c r="AD806" s="8">
        <v>0.35973898425891498</v>
      </c>
      <c r="AE806" s="8" t="str">
        <f t="shared" si="71"/>
        <v>2014-04-21</v>
      </c>
      <c r="AF806" s="9" t="str">
        <f t="shared" si="72"/>
        <v>4/21/2014</v>
      </c>
      <c r="AG806" s="8">
        <f t="shared" si="73"/>
        <v>0.38166972699665502</v>
      </c>
    </row>
    <row r="807" spans="28:33">
      <c r="AB807" s="8" t="s">
        <v>493</v>
      </c>
      <c r="AC807" s="8">
        <v>0.38166972699665502</v>
      </c>
      <c r="AD807" s="8">
        <v>0.35973898425891498</v>
      </c>
      <c r="AE807" s="8" t="str">
        <f t="shared" si="71"/>
        <v>2014-04-22</v>
      </c>
      <c r="AF807" s="9" t="str">
        <f t="shared" si="72"/>
        <v>4/22/2014</v>
      </c>
      <c r="AG807" s="8">
        <f t="shared" si="73"/>
        <v>0.38166972699665502</v>
      </c>
    </row>
    <row r="808" spans="28:33">
      <c r="AB808" s="8" t="s">
        <v>494</v>
      </c>
      <c r="AC808" s="8">
        <v>0.38166972699665502</v>
      </c>
      <c r="AD808" s="8">
        <v>0.35973898425891498</v>
      </c>
      <c r="AE808" s="8" t="str">
        <f t="shared" si="71"/>
        <v>2014-04-23</v>
      </c>
      <c r="AF808" s="9" t="str">
        <f t="shared" si="72"/>
        <v>4/23/2014</v>
      </c>
      <c r="AG808" s="8">
        <f t="shared" si="73"/>
        <v>0.38166972699665502</v>
      </c>
    </row>
    <row r="809" spans="28:33">
      <c r="AB809" s="8" t="s">
        <v>495</v>
      </c>
      <c r="AC809" s="8">
        <v>0.36809292035715802</v>
      </c>
      <c r="AD809" s="8">
        <v>0.34341616068980901</v>
      </c>
      <c r="AE809" s="8" t="str">
        <f t="shared" si="71"/>
        <v>2014-04-24</v>
      </c>
      <c r="AF809" s="9" t="str">
        <f t="shared" si="72"/>
        <v>4/24/2014</v>
      </c>
      <c r="AG809" s="8">
        <f t="shared" si="73"/>
        <v>0.36809292035715802</v>
      </c>
    </row>
    <row r="810" spans="28:33">
      <c r="AB810" s="8" t="s">
        <v>496</v>
      </c>
      <c r="AC810" s="8">
        <v>0.36809292035715802</v>
      </c>
      <c r="AD810" s="8">
        <v>0.34341616068980901</v>
      </c>
      <c r="AE810" s="8" t="str">
        <f t="shared" si="71"/>
        <v>2014-04-25</v>
      </c>
      <c r="AF810" s="9" t="str">
        <f t="shared" si="72"/>
        <v>4/25/2014</v>
      </c>
      <c r="AG810" s="8">
        <f t="shared" si="73"/>
        <v>0.36809292035715802</v>
      </c>
    </row>
    <row r="811" spans="28:33">
      <c r="AB811" s="8" t="s">
        <v>497</v>
      </c>
      <c r="AC811" s="8">
        <v>0.36809292035715802</v>
      </c>
      <c r="AD811" s="8">
        <v>0.34341616068980901</v>
      </c>
      <c r="AE811" s="8" t="str">
        <f t="shared" si="71"/>
        <v>2014-04-28</v>
      </c>
      <c r="AF811" s="9" t="str">
        <f t="shared" si="72"/>
        <v>4/28/2014</v>
      </c>
      <c r="AG811" s="8">
        <f t="shared" si="73"/>
        <v>0.36809292035715802</v>
      </c>
    </row>
    <row r="812" spans="28:33">
      <c r="AB812" s="8" t="s">
        <v>498</v>
      </c>
      <c r="AC812" s="8">
        <v>0.36809292035715802</v>
      </c>
      <c r="AD812" s="8">
        <v>0.34341616068980901</v>
      </c>
      <c r="AE812" s="8" t="str">
        <f t="shared" si="71"/>
        <v>2014-04-29</v>
      </c>
      <c r="AF812" s="9" t="str">
        <f t="shared" si="72"/>
        <v>4/29/2014</v>
      </c>
      <c r="AG812" s="8">
        <f t="shared" si="73"/>
        <v>0.36809292035715802</v>
      </c>
    </row>
    <row r="813" spans="28:33">
      <c r="AB813" s="8" t="s">
        <v>499</v>
      </c>
      <c r="AC813" s="8">
        <v>0.36809292035715802</v>
      </c>
      <c r="AD813" s="8">
        <v>0.34341616068980901</v>
      </c>
      <c r="AE813" s="8" t="str">
        <f t="shared" si="71"/>
        <v>2014-04-30</v>
      </c>
      <c r="AF813" s="9" t="str">
        <f t="shared" si="72"/>
        <v>4/30/2014</v>
      </c>
      <c r="AG813" s="8">
        <f t="shared" si="73"/>
        <v>0.36809292035715802</v>
      </c>
    </row>
    <row r="814" spans="28:33">
      <c r="AB814" s="8" t="s">
        <v>500</v>
      </c>
      <c r="AC814" s="8">
        <v>0.37329753351950501</v>
      </c>
      <c r="AD814" s="8">
        <v>0.35336796816711802</v>
      </c>
      <c r="AE814" s="8" t="str">
        <f t="shared" si="71"/>
        <v>2014-05-01</v>
      </c>
      <c r="AF814" s="9" t="str">
        <f t="shared" si="72"/>
        <v>5/1/2014</v>
      </c>
      <c r="AG814" s="8">
        <f t="shared" si="73"/>
        <v>0.37329753351950501</v>
      </c>
    </row>
    <row r="815" spans="28:33">
      <c r="AB815" s="8" t="s">
        <v>501</v>
      </c>
      <c r="AC815" s="8">
        <v>0.37329753351950501</v>
      </c>
      <c r="AD815" s="8">
        <v>0.35336796816711802</v>
      </c>
      <c r="AE815" s="8" t="str">
        <f t="shared" si="71"/>
        <v>2014-05-02</v>
      </c>
      <c r="AF815" s="9" t="str">
        <f t="shared" si="72"/>
        <v>5/2/2014</v>
      </c>
      <c r="AG815" s="8">
        <f t="shared" si="73"/>
        <v>0.37329753351950501</v>
      </c>
    </row>
    <row r="816" spans="28:33">
      <c r="AB816" s="8" t="s">
        <v>502</v>
      </c>
      <c r="AC816" s="8">
        <v>0.37329753351950501</v>
      </c>
      <c r="AD816" s="8">
        <v>0.35336796816711802</v>
      </c>
      <c r="AE816" s="8" t="str">
        <f t="shared" si="71"/>
        <v>2014-05-05</v>
      </c>
      <c r="AF816" s="9" t="str">
        <f t="shared" si="72"/>
        <v>5/5/2014</v>
      </c>
      <c r="AG816" s="8">
        <f t="shared" si="73"/>
        <v>0.37329753351950501</v>
      </c>
    </row>
    <row r="817" spans="28:33">
      <c r="AB817" s="8" t="s">
        <v>505</v>
      </c>
      <c r="AC817" s="8">
        <v>0.37329753351950501</v>
      </c>
      <c r="AD817" s="8">
        <v>0.35336796816711802</v>
      </c>
      <c r="AE817" s="8" t="str">
        <f t="shared" si="71"/>
        <v>2014-05-06</v>
      </c>
      <c r="AF817" s="9" t="str">
        <f t="shared" si="72"/>
        <v>5/6/2014</v>
      </c>
      <c r="AG817" s="8">
        <f t="shared" si="73"/>
        <v>0.37329753351950501</v>
      </c>
    </row>
    <row r="818" spans="28:33">
      <c r="AB818" s="8" t="s">
        <v>506</v>
      </c>
      <c r="AC818" s="8">
        <v>0.37329753351950501</v>
      </c>
      <c r="AD818" s="8">
        <v>0.35336796816711802</v>
      </c>
      <c r="AE818" s="8" t="str">
        <f t="shared" si="71"/>
        <v>2014-05-07</v>
      </c>
      <c r="AF818" s="9" t="str">
        <f t="shared" si="72"/>
        <v>5/7/2014</v>
      </c>
      <c r="AG818" s="8">
        <f t="shared" si="73"/>
        <v>0.37329753351950501</v>
      </c>
    </row>
    <row r="819" spans="28:33">
      <c r="AB819" s="8" t="s">
        <v>507</v>
      </c>
      <c r="AC819" s="8">
        <v>0.40121753760358098</v>
      </c>
      <c r="AD819" s="8">
        <v>0.41786151971871899</v>
      </c>
      <c r="AE819" s="8" t="str">
        <f t="shared" si="71"/>
        <v>2014-05-08</v>
      </c>
      <c r="AF819" s="9" t="str">
        <f t="shared" si="72"/>
        <v>5/8/2014</v>
      </c>
      <c r="AG819" s="8">
        <f t="shared" si="73"/>
        <v>0.40121753760358098</v>
      </c>
    </row>
    <row r="820" spans="28:33">
      <c r="AB820" s="8" t="s">
        <v>508</v>
      </c>
      <c r="AC820" s="8">
        <v>0.40121753760358098</v>
      </c>
      <c r="AD820" s="8">
        <v>0.41786151971871899</v>
      </c>
      <c r="AE820" s="8" t="str">
        <f t="shared" si="71"/>
        <v>2014-05-09</v>
      </c>
      <c r="AF820" s="9" t="str">
        <f t="shared" si="72"/>
        <v>5/9/2014</v>
      </c>
      <c r="AG820" s="8">
        <f t="shared" si="73"/>
        <v>0.40121753760358098</v>
      </c>
    </row>
    <row r="821" spans="28:33">
      <c r="AB821" s="8" t="s">
        <v>509</v>
      </c>
      <c r="AC821" s="8">
        <v>0.40121753760358098</v>
      </c>
      <c r="AD821" s="8">
        <v>0.41786151971871899</v>
      </c>
      <c r="AE821" s="8" t="str">
        <f t="shared" si="71"/>
        <v>2014-05-12</v>
      </c>
      <c r="AF821" s="9" t="str">
        <f t="shared" si="72"/>
        <v>5/12/2014</v>
      </c>
      <c r="AG821" s="8">
        <f t="shared" si="73"/>
        <v>0.40121753760358098</v>
      </c>
    </row>
    <row r="822" spans="28:33">
      <c r="AB822" s="8" t="s">
        <v>510</v>
      </c>
      <c r="AC822" s="8">
        <v>0.40121753760358098</v>
      </c>
      <c r="AD822" s="8">
        <v>0.41786151971871899</v>
      </c>
      <c r="AE822" s="8" t="str">
        <f t="shared" ref="AE822:AE885" si="74">MID(AB822,2,10)</f>
        <v>2014-05-13</v>
      </c>
      <c r="AF822" s="9" t="str">
        <f t="shared" ref="AF822:AF885" si="75">TEXT(AE822,"m/d/yyyy")</f>
        <v>5/13/2014</v>
      </c>
      <c r="AG822" s="8">
        <f t="shared" ref="AG822:AG885" si="76">AC822</f>
        <v>0.40121753760358098</v>
      </c>
    </row>
    <row r="823" spans="28:33">
      <c r="AB823" s="8" t="s">
        <v>511</v>
      </c>
      <c r="AC823" s="8">
        <v>0.40121753760358098</v>
      </c>
      <c r="AD823" s="8">
        <v>0.41786151971871899</v>
      </c>
      <c r="AE823" s="8" t="str">
        <f t="shared" si="74"/>
        <v>2014-05-14</v>
      </c>
      <c r="AF823" s="9" t="str">
        <f t="shared" si="75"/>
        <v>5/14/2014</v>
      </c>
      <c r="AG823" s="8">
        <f t="shared" si="76"/>
        <v>0.40121753760358098</v>
      </c>
    </row>
    <row r="824" spans="28:33">
      <c r="AB824" s="8" t="s">
        <v>512</v>
      </c>
      <c r="AC824" s="8">
        <v>0.40418715867892502</v>
      </c>
      <c r="AD824" s="8">
        <v>0.41786151971871899</v>
      </c>
      <c r="AE824" s="8" t="str">
        <f t="shared" si="74"/>
        <v>2014-05-15</v>
      </c>
      <c r="AF824" s="9" t="str">
        <f t="shared" si="75"/>
        <v>5/15/2014</v>
      </c>
      <c r="AG824" s="8">
        <f t="shared" si="76"/>
        <v>0.40418715867892502</v>
      </c>
    </row>
    <row r="825" spans="28:33">
      <c r="AB825" s="8" t="s">
        <v>513</v>
      </c>
      <c r="AC825" s="8">
        <v>0.40418715867892502</v>
      </c>
      <c r="AD825" s="8">
        <v>0.41786151971871899</v>
      </c>
      <c r="AE825" s="8" t="str">
        <f t="shared" si="74"/>
        <v>2014-05-16</v>
      </c>
      <c r="AF825" s="9" t="str">
        <f t="shared" si="75"/>
        <v>5/16/2014</v>
      </c>
      <c r="AG825" s="8">
        <f t="shared" si="76"/>
        <v>0.40418715867892502</v>
      </c>
    </row>
    <row r="826" spans="28:33">
      <c r="AB826" s="8" t="s">
        <v>514</v>
      </c>
      <c r="AC826" s="8">
        <v>0.40418715867892502</v>
      </c>
      <c r="AD826" s="8">
        <v>0.41786151971871899</v>
      </c>
      <c r="AE826" s="8" t="str">
        <f t="shared" si="74"/>
        <v>2014-05-19</v>
      </c>
      <c r="AF826" s="9" t="str">
        <f t="shared" si="75"/>
        <v>5/19/2014</v>
      </c>
      <c r="AG826" s="8">
        <f t="shared" si="76"/>
        <v>0.40418715867892502</v>
      </c>
    </row>
    <row r="827" spans="28:33">
      <c r="AB827" s="8" t="s">
        <v>515</v>
      </c>
      <c r="AC827" s="8">
        <v>0.40418715867892502</v>
      </c>
      <c r="AD827" s="8">
        <v>0.41786151971871899</v>
      </c>
      <c r="AE827" s="8" t="str">
        <f t="shared" si="74"/>
        <v>2014-05-20</v>
      </c>
      <c r="AF827" s="9" t="str">
        <f t="shared" si="75"/>
        <v>5/20/2014</v>
      </c>
      <c r="AG827" s="8">
        <f t="shared" si="76"/>
        <v>0.40418715867892502</v>
      </c>
    </row>
    <row r="828" spans="28:33">
      <c r="AB828" s="8" t="s">
        <v>516</v>
      </c>
      <c r="AC828" s="8">
        <v>0.40418715867892502</v>
      </c>
      <c r="AD828" s="8">
        <v>0.41786151971871899</v>
      </c>
      <c r="AE828" s="8" t="str">
        <f t="shared" si="74"/>
        <v>2014-05-21</v>
      </c>
      <c r="AF828" s="9" t="str">
        <f t="shared" si="75"/>
        <v>5/21/2014</v>
      </c>
      <c r="AG828" s="8">
        <f t="shared" si="76"/>
        <v>0.40418715867892502</v>
      </c>
    </row>
    <row r="829" spans="28:33">
      <c r="AB829" s="8" t="s">
        <v>517</v>
      </c>
      <c r="AC829" s="8">
        <v>0.43156044404796001</v>
      </c>
      <c r="AD829" s="8">
        <v>0.472094852473675</v>
      </c>
      <c r="AE829" s="8" t="str">
        <f t="shared" si="74"/>
        <v>2014-05-22</v>
      </c>
      <c r="AF829" s="9" t="str">
        <f t="shared" si="75"/>
        <v>5/22/2014</v>
      </c>
      <c r="AG829" s="8">
        <f t="shared" si="76"/>
        <v>0.43156044404796001</v>
      </c>
    </row>
    <row r="830" spans="28:33">
      <c r="AB830" s="8" t="s">
        <v>518</v>
      </c>
      <c r="AC830" s="8">
        <v>0.43156044404796001</v>
      </c>
      <c r="AD830" s="8">
        <v>0.472094852473675</v>
      </c>
      <c r="AE830" s="8" t="str">
        <f t="shared" si="74"/>
        <v>2014-05-23</v>
      </c>
      <c r="AF830" s="9" t="str">
        <f t="shared" si="75"/>
        <v>5/23/2014</v>
      </c>
      <c r="AG830" s="8">
        <f t="shared" si="76"/>
        <v>0.43156044404796001</v>
      </c>
    </row>
    <row r="831" spans="28:33">
      <c r="AB831" s="8" t="s">
        <v>519</v>
      </c>
      <c r="AC831" s="8">
        <v>0.43156044404796001</v>
      </c>
      <c r="AD831" s="8">
        <v>0.472094852473675</v>
      </c>
      <c r="AE831" s="8" t="str">
        <f t="shared" si="74"/>
        <v>2014-05-27</v>
      </c>
      <c r="AF831" s="9" t="str">
        <f t="shared" si="75"/>
        <v>5/27/2014</v>
      </c>
      <c r="AG831" s="8">
        <f t="shared" si="76"/>
        <v>0.43156044404796001</v>
      </c>
    </row>
    <row r="832" spans="28:33">
      <c r="AB832" s="8" t="s">
        <v>520</v>
      </c>
      <c r="AC832" s="8">
        <v>0.43156044404796001</v>
      </c>
      <c r="AD832" s="8">
        <v>0.472094852473675</v>
      </c>
      <c r="AE832" s="8" t="str">
        <f t="shared" si="74"/>
        <v>2014-05-28</v>
      </c>
      <c r="AF832" s="9" t="str">
        <f t="shared" si="75"/>
        <v>5/28/2014</v>
      </c>
      <c r="AG832" s="8">
        <f t="shared" si="76"/>
        <v>0.43156044404796001</v>
      </c>
    </row>
    <row r="833" spans="28:33">
      <c r="AB833" s="8" t="s">
        <v>521</v>
      </c>
      <c r="AC833" s="8">
        <v>0.44289145430937299</v>
      </c>
      <c r="AD833" s="8">
        <v>0.472094852473675</v>
      </c>
      <c r="AE833" s="8" t="str">
        <f t="shared" si="74"/>
        <v>2014-05-29</v>
      </c>
      <c r="AF833" s="9" t="str">
        <f t="shared" si="75"/>
        <v>5/29/2014</v>
      </c>
      <c r="AG833" s="8">
        <f t="shared" si="76"/>
        <v>0.44289145430937299</v>
      </c>
    </row>
    <row r="834" spans="28:33">
      <c r="AB834" s="8" t="s">
        <v>522</v>
      </c>
      <c r="AC834" s="8">
        <v>0.44289145430937299</v>
      </c>
      <c r="AD834" s="8">
        <v>0.472094852473675</v>
      </c>
      <c r="AE834" s="8" t="str">
        <f t="shared" si="74"/>
        <v>2014-05-30</v>
      </c>
      <c r="AF834" s="9" t="str">
        <f t="shared" si="75"/>
        <v>5/30/2014</v>
      </c>
      <c r="AG834" s="8">
        <f t="shared" si="76"/>
        <v>0.44289145430937299</v>
      </c>
    </row>
    <row r="835" spans="28:33">
      <c r="AB835" s="8" t="s">
        <v>523</v>
      </c>
      <c r="AC835" s="8">
        <v>0.44150761506791297</v>
      </c>
      <c r="AD835" s="8">
        <v>0.47661484873917298</v>
      </c>
      <c r="AE835" s="8" t="str">
        <f t="shared" si="74"/>
        <v>2014-06-02</v>
      </c>
      <c r="AF835" s="9" t="str">
        <f t="shared" si="75"/>
        <v>6/2/2014</v>
      </c>
      <c r="AG835" s="8">
        <f t="shared" si="76"/>
        <v>0.44150761506791297</v>
      </c>
    </row>
    <row r="836" spans="28:33">
      <c r="AB836" s="8" t="s">
        <v>524</v>
      </c>
      <c r="AC836" s="8">
        <v>0.44150761506791297</v>
      </c>
      <c r="AD836" s="8">
        <v>0.47661484873917298</v>
      </c>
      <c r="AE836" s="8" t="str">
        <f t="shared" si="74"/>
        <v>2014-06-03</v>
      </c>
      <c r="AF836" s="9" t="str">
        <f t="shared" si="75"/>
        <v>6/3/2014</v>
      </c>
      <c r="AG836" s="8">
        <f t="shared" si="76"/>
        <v>0.44150761506791297</v>
      </c>
    </row>
    <row r="837" spans="28:33">
      <c r="AB837" s="8" t="s">
        <v>525</v>
      </c>
      <c r="AC837" s="8">
        <v>0.44150761506791297</v>
      </c>
      <c r="AD837" s="8">
        <v>0.47661484873917298</v>
      </c>
      <c r="AE837" s="8" t="str">
        <f t="shared" si="74"/>
        <v>2014-06-04</v>
      </c>
      <c r="AF837" s="9" t="str">
        <f t="shared" si="75"/>
        <v>6/4/2014</v>
      </c>
      <c r="AG837" s="8">
        <f t="shared" si="76"/>
        <v>0.44150761506791297</v>
      </c>
    </row>
    <row r="838" spans="28:33">
      <c r="AB838" s="8" t="s">
        <v>526</v>
      </c>
      <c r="AC838" s="8">
        <v>0.429907169996321</v>
      </c>
      <c r="AD838" s="8">
        <v>0.463304449518251</v>
      </c>
      <c r="AE838" s="8" t="str">
        <f t="shared" si="74"/>
        <v>2014-06-05</v>
      </c>
      <c r="AF838" s="9" t="str">
        <f t="shared" si="75"/>
        <v>6/5/2014</v>
      </c>
      <c r="AG838" s="8">
        <f t="shared" si="76"/>
        <v>0.429907169996321</v>
      </c>
    </row>
    <row r="839" spans="28:33">
      <c r="AB839" s="8" t="s">
        <v>527</v>
      </c>
      <c r="AC839" s="8">
        <v>0.429907169996321</v>
      </c>
      <c r="AD839" s="8">
        <v>0.463304449518251</v>
      </c>
      <c r="AE839" s="8" t="str">
        <f t="shared" si="74"/>
        <v>2014-06-06</v>
      </c>
      <c r="AF839" s="9" t="str">
        <f t="shared" si="75"/>
        <v>6/6/2014</v>
      </c>
      <c r="AG839" s="8">
        <f t="shared" si="76"/>
        <v>0.429907169996321</v>
      </c>
    </row>
    <row r="840" spans="28:33">
      <c r="AB840" s="8" t="s">
        <v>528</v>
      </c>
      <c r="AC840" s="8">
        <v>0.429907169996321</v>
      </c>
      <c r="AD840" s="8">
        <v>0.463304449518251</v>
      </c>
      <c r="AE840" s="8" t="str">
        <f t="shared" si="74"/>
        <v>2014-06-09</v>
      </c>
      <c r="AF840" s="9" t="str">
        <f t="shared" si="75"/>
        <v>6/9/2014</v>
      </c>
      <c r="AG840" s="8">
        <f t="shared" si="76"/>
        <v>0.429907169996321</v>
      </c>
    </row>
    <row r="841" spans="28:33">
      <c r="AB841" s="8" t="s">
        <v>529</v>
      </c>
      <c r="AC841" s="8">
        <v>0.429907169996321</v>
      </c>
      <c r="AD841" s="8">
        <v>0.463304449518251</v>
      </c>
      <c r="AE841" s="8" t="str">
        <f t="shared" si="74"/>
        <v>2014-06-10</v>
      </c>
      <c r="AF841" s="9" t="str">
        <f t="shared" si="75"/>
        <v>6/10/2014</v>
      </c>
      <c r="AG841" s="8">
        <f t="shared" si="76"/>
        <v>0.429907169996321</v>
      </c>
    </row>
    <row r="842" spans="28:33">
      <c r="AB842" s="8" t="s">
        <v>530</v>
      </c>
      <c r="AC842" s="8">
        <v>0.429907169996321</v>
      </c>
      <c r="AD842" s="8">
        <v>0.463304449518251</v>
      </c>
      <c r="AE842" s="8" t="str">
        <f t="shared" si="74"/>
        <v>2014-06-11</v>
      </c>
      <c r="AF842" s="9" t="str">
        <f t="shared" si="75"/>
        <v>6/11/2014</v>
      </c>
      <c r="AG842" s="8">
        <f t="shared" si="76"/>
        <v>0.429907169996321</v>
      </c>
    </row>
    <row r="843" spans="28:33">
      <c r="AB843" s="8" t="s">
        <v>531</v>
      </c>
      <c r="AC843" s="8">
        <v>0.40128471016646999</v>
      </c>
      <c r="AD843" s="8">
        <v>0.41372306468599801</v>
      </c>
      <c r="AE843" s="8" t="str">
        <f t="shared" si="74"/>
        <v>2014-06-12</v>
      </c>
      <c r="AF843" s="9" t="str">
        <f t="shared" si="75"/>
        <v>6/12/2014</v>
      </c>
      <c r="AG843" s="8">
        <f t="shared" si="76"/>
        <v>0.40128471016646999</v>
      </c>
    </row>
    <row r="844" spans="28:33">
      <c r="AB844" s="8" t="s">
        <v>532</v>
      </c>
      <c r="AC844" s="8">
        <v>0.40128471016646999</v>
      </c>
      <c r="AD844" s="8">
        <v>0.41372306468599801</v>
      </c>
      <c r="AE844" s="8" t="str">
        <f t="shared" si="74"/>
        <v>2014-06-13</v>
      </c>
      <c r="AF844" s="9" t="str">
        <f t="shared" si="75"/>
        <v>6/13/2014</v>
      </c>
      <c r="AG844" s="8">
        <f t="shared" si="76"/>
        <v>0.40128471016646999</v>
      </c>
    </row>
    <row r="845" spans="28:33">
      <c r="AB845" s="8" t="s">
        <v>533</v>
      </c>
      <c r="AC845" s="8">
        <v>0.40128471016646999</v>
      </c>
      <c r="AD845" s="8">
        <v>0.41372306468599801</v>
      </c>
      <c r="AE845" s="8" t="str">
        <f t="shared" si="74"/>
        <v>2014-06-16</v>
      </c>
      <c r="AF845" s="9" t="str">
        <f t="shared" si="75"/>
        <v>6/16/2014</v>
      </c>
      <c r="AG845" s="8">
        <f t="shared" si="76"/>
        <v>0.40128471016646999</v>
      </c>
    </row>
    <row r="846" spans="28:33">
      <c r="AB846" s="8" t="s">
        <v>534</v>
      </c>
      <c r="AC846" s="8">
        <v>0.40128471016646999</v>
      </c>
      <c r="AD846" s="8">
        <v>0.41372306468599801</v>
      </c>
      <c r="AE846" s="8" t="str">
        <f t="shared" si="74"/>
        <v>2014-06-17</v>
      </c>
      <c r="AF846" s="9" t="str">
        <f t="shared" si="75"/>
        <v>6/17/2014</v>
      </c>
      <c r="AG846" s="8">
        <f t="shared" si="76"/>
        <v>0.40128471016646999</v>
      </c>
    </row>
    <row r="847" spans="28:33">
      <c r="AB847" s="8" t="s">
        <v>535</v>
      </c>
      <c r="AC847" s="8">
        <v>0.40128471016646999</v>
      </c>
      <c r="AD847" s="8">
        <v>0.41372306468599801</v>
      </c>
      <c r="AE847" s="8" t="str">
        <f t="shared" si="74"/>
        <v>2014-06-18</v>
      </c>
      <c r="AF847" s="9" t="str">
        <f t="shared" si="75"/>
        <v>6/18/2014</v>
      </c>
      <c r="AG847" s="8">
        <f t="shared" si="76"/>
        <v>0.40128471016646999</v>
      </c>
    </row>
    <row r="848" spans="28:33">
      <c r="AB848" s="8" t="s">
        <v>536</v>
      </c>
      <c r="AC848" s="8">
        <v>0.41370374077875499</v>
      </c>
      <c r="AD848" s="8">
        <v>0.433590651577685</v>
      </c>
      <c r="AE848" s="8" t="str">
        <f t="shared" si="74"/>
        <v>2014-06-19</v>
      </c>
      <c r="AF848" s="9" t="str">
        <f t="shared" si="75"/>
        <v>6/19/2014</v>
      </c>
      <c r="AG848" s="8">
        <f t="shared" si="76"/>
        <v>0.41370374077875499</v>
      </c>
    </row>
    <row r="849" spans="28:33">
      <c r="AB849" s="8" t="s">
        <v>537</v>
      </c>
      <c r="AC849" s="8">
        <v>0.41370374077875499</v>
      </c>
      <c r="AD849" s="8">
        <v>0.433590651577685</v>
      </c>
      <c r="AE849" s="8" t="str">
        <f t="shared" si="74"/>
        <v>2014-06-20</v>
      </c>
      <c r="AF849" s="9" t="str">
        <f t="shared" si="75"/>
        <v>6/20/2014</v>
      </c>
      <c r="AG849" s="8">
        <f t="shared" si="76"/>
        <v>0.41370374077875499</v>
      </c>
    </row>
    <row r="850" spans="28:33">
      <c r="AB850" s="8" t="s">
        <v>538</v>
      </c>
      <c r="AC850" s="8">
        <v>0.41370374077875499</v>
      </c>
      <c r="AD850" s="8">
        <v>0.433590651577685</v>
      </c>
      <c r="AE850" s="8" t="str">
        <f t="shared" si="74"/>
        <v>2014-06-23</v>
      </c>
      <c r="AF850" s="9" t="str">
        <f t="shared" si="75"/>
        <v>6/23/2014</v>
      </c>
      <c r="AG850" s="8">
        <f t="shared" si="76"/>
        <v>0.41370374077875499</v>
      </c>
    </row>
    <row r="851" spans="28:33">
      <c r="AB851" s="8" t="s">
        <v>539</v>
      </c>
      <c r="AC851" s="8">
        <v>0.41370374077875499</v>
      </c>
      <c r="AD851" s="8">
        <v>0.433590651577685</v>
      </c>
      <c r="AE851" s="8" t="str">
        <f t="shared" si="74"/>
        <v>2014-06-24</v>
      </c>
      <c r="AF851" s="9" t="str">
        <f t="shared" si="75"/>
        <v>6/24/2014</v>
      </c>
      <c r="AG851" s="8">
        <f t="shared" si="76"/>
        <v>0.41370374077875499</v>
      </c>
    </row>
    <row r="852" spans="28:33">
      <c r="AB852" s="8" t="s">
        <v>540</v>
      </c>
      <c r="AC852" s="8">
        <v>0.41370374077875499</v>
      </c>
      <c r="AD852" s="8">
        <v>0.433590651577685</v>
      </c>
      <c r="AE852" s="8" t="str">
        <f t="shared" si="74"/>
        <v>2014-06-25</v>
      </c>
      <c r="AF852" s="9" t="str">
        <f t="shared" si="75"/>
        <v>6/25/2014</v>
      </c>
      <c r="AG852" s="8">
        <f t="shared" si="76"/>
        <v>0.41370374077875499</v>
      </c>
    </row>
    <row r="853" spans="28:33">
      <c r="AB853" s="8" t="s">
        <v>541</v>
      </c>
      <c r="AC853" s="8">
        <v>0.429907169996321</v>
      </c>
      <c r="AD853" s="8">
        <v>0.463304449518251</v>
      </c>
      <c r="AE853" s="8" t="str">
        <f t="shared" si="74"/>
        <v>2014-06-26</v>
      </c>
      <c r="AF853" s="9" t="str">
        <f t="shared" si="75"/>
        <v>6/26/2014</v>
      </c>
      <c r="AG853" s="8">
        <f t="shared" si="76"/>
        <v>0.429907169996321</v>
      </c>
    </row>
    <row r="854" spans="28:33">
      <c r="AB854" s="8" t="s">
        <v>542</v>
      </c>
      <c r="AC854" s="8">
        <v>0.429907169996321</v>
      </c>
      <c r="AD854" s="8">
        <v>0.463304449518251</v>
      </c>
      <c r="AE854" s="8" t="str">
        <f t="shared" si="74"/>
        <v>2014-06-27</v>
      </c>
      <c r="AF854" s="9" t="str">
        <f t="shared" si="75"/>
        <v>6/27/2014</v>
      </c>
      <c r="AG854" s="8">
        <f t="shared" si="76"/>
        <v>0.429907169996321</v>
      </c>
    </row>
    <row r="855" spans="28:33">
      <c r="AB855" s="8" t="s">
        <v>543</v>
      </c>
      <c r="AC855" s="8">
        <v>0.429907169996321</v>
      </c>
      <c r="AD855" s="8">
        <v>0.463304449518251</v>
      </c>
      <c r="AE855" s="8" t="str">
        <f t="shared" si="74"/>
        <v>2014-06-30</v>
      </c>
      <c r="AF855" s="9" t="str">
        <f t="shared" si="75"/>
        <v>6/30/2014</v>
      </c>
      <c r="AG855" s="8">
        <f t="shared" si="76"/>
        <v>0.429907169996321</v>
      </c>
    </row>
    <row r="856" spans="28:33">
      <c r="AB856" s="8" t="s">
        <v>544</v>
      </c>
      <c r="AC856" s="8">
        <v>0.42761316319375098</v>
      </c>
      <c r="AD856" s="8">
        <v>0.47157959219647799</v>
      </c>
      <c r="AE856" s="8" t="str">
        <f t="shared" si="74"/>
        <v>2014-07-01</v>
      </c>
      <c r="AF856" s="9" t="str">
        <f t="shared" si="75"/>
        <v>7/1/2014</v>
      </c>
      <c r="AG856" s="8">
        <f t="shared" si="76"/>
        <v>0.42761316319375098</v>
      </c>
    </row>
    <row r="857" spans="28:33">
      <c r="AB857" s="8" t="s">
        <v>545</v>
      </c>
      <c r="AC857" s="8">
        <v>0.42761316319375098</v>
      </c>
      <c r="AD857" s="8">
        <v>0.47157959219647799</v>
      </c>
      <c r="AE857" s="8" t="str">
        <f t="shared" si="74"/>
        <v>2014-07-02</v>
      </c>
      <c r="AF857" s="9" t="str">
        <f t="shared" si="75"/>
        <v>7/2/2014</v>
      </c>
      <c r="AG857" s="8">
        <f t="shared" si="76"/>
        <v>0.42761316319375098</v>
      </c>
    </row>
    <row r="858" spans="28:33">
      <c r="AB858" s="8" t="s">
        <v>546</v>
      </c>
      <c r="AC858" s="8">
        <v>0.43906416657041802</v>
      </c>
      <c r="AD858" s="8">
        <v>0.47157959219647799</v>
      </c>
      <c r="AE858" s="8" t="str">
        <f t="shared" si="74"/>
        <v>2014-07-03</v>
      </c>
      <c r="AF858" s="9" t="str">
        <f t="shared" si="75"/>
        <v>7/3/2014</v>
      </c>
      <c r="AG858" s="8">
        <f t="shared" si="76"/>
        <v>0.43906416657041802</v>
      </c>
    </row>
    <row r="859" spans="28:33">
      <c r="AB859" s="8" t="s">
        <v>547</v>
      </c>
      <c r="AC859" s="8">
        <v>0.43906416657041802</v>
      </c>
      <c r="AD859" s="8">
        <v>0.47157959219647799</v>
      </c>
      <c r="AE859" s="8" t="str">
        <f t="shared" si="74"/>
        <v>2014-07-07</v>
      </c>
      <c r="AF859" s="9" t="str">
        <f t="shared" si="75"/>
        <v>7/7/2014</v>
      </c>
      <c r="AG859" s="8">
        <f t="shared" si="76"/>
        <v>0.43906416657041802</v>
      </c>
    </row>
    <row r="860" spans="28:33">
      <c r="AB860" s="8" t="s">
        <v>548</v>
      </c>
      <c r="AC860" s="8">
        <v>0.43906416657041802</v>
      </c>
      <c r="AD860" s="8">
        <v>0.47157959219647799</v>
      </c>
      <c r="AE860" s="8" t="str">
        <f t="shared" si="74"/>
        <v>2014-07-08</v>
      </c>
      <c r="AF860" s="9" t="str">
        <f t="shared" si="75"/>
        <v>7/8/2014</v>
      </c>
      <c r="AG860" s="8">
        <f t="shared" si="76"/>
        <v>0.43906416657041802</v>
      </c>
    </row>
    <row r="861" spans="28:33">
      <c r="AB861" s="8" t="s">
        <v>549</v>
      </c>
      <c r="AC861" s="8">
        <v>0.43906416657041802</v>
      </c>
      <c r="AD861" s="8">
        <v>0.47157959219647799</v>
      </c>
      <c r="AE861" s="8" t="str">
        <f t="shared" si="74"/>
        <v>2014-07-09</v>
      </c>
      <c r="AF861" s="9" t="str">
        <f t="shared" si="75"/>
        <v>7/9/2014</v>
      </c>
      <c r="AG861" s="8">
        <f t="shared" si="76"/>
        <v>0.43906416657041802</v>
      </c>
    </row>
    <row r="862" spans="28:33">
      <c r="AB862" s="8" t="s">
        <v>550</v>
      </c>
      <c r="AC862" s="8">
        <v>0.420794457847457</v>
      </c>
      <c r="AD862" s="8">
        <v>0.43417002461779802</v>
      </c>
      <c r="AE862" s="8" t="str">
        <f t="shared" si="74"/>
        <v>2014-07-10</v>
      </c>
      <c r="AF862" s="9" t="str">
        <f t="shared" si="75"/>
        <v>7/10/2014</v>
      </c>
      <c r="AG862" s="8">
        <f t="shared" si="76"/>
        <v>0.420794457847457</v>
      </c>
    </row>
    <row r="863" spans="28:33">
      <c r="AB863" s="8" t="s">
        <v>551</v>
      </c>
      <c r="AC863" s="8">
        <v>0.420794457847457</v>
      </c>
      <c r="AD863" s="8">
        <v>0.43417002461779802</v>
      </c>
      <c r="AE863" s="8" t="str">
        <f t="shared" si="74"/>
        <v>2014-07-11</v>
      </c>
      <c r="AF863" s="9" t="str">
        <f t="shared" si="75"/>
        <v>7/11/2014</v>
      </c>
      <c r="AG863" s="8">
        <f t="shared" si="76"/>
        <v>0.420794457847457</v>
      </c>
    </row>
    <row r="864" spans="28:33">
      <c r="AB864" s="8" t="s">
        <v>552</v>
      </c>
      <c r="AC864" s="8">
        <v>0.420794457847457</v>
      </c>
      <c r="AD864" s="8">
        <v>0.43417002461779802</v>
      </c>
      <c r="AE864" s="8" t="str">
        <f t="shared" si="74"/>
        <v>2014-07-14</v>
      </c>
      <c r="AF864" s="9" t="str">
        <f t="shared" si="75"/>
        <v>7/14/2014</v>
      </c>
      <c r="AG864" s="8">
        <f t="shared" si="76"/>
        <v>0.420794457847457</v>
      </c>
    </row>
    <row r="865" spans="28:33">
      <c r="AB865" s="8" t="s">
        <v>553</v>
      </c>
      <c r="AC865" s="8">
        <v>0.420794457847457</v>
      </c>
      <c r="AD865" s="8">
        <v>0.43417002461779802</v>
      </c>
      <c r="AE865" s="8" t="str">
        <f t="shared" si="74"/>
        <v>2014-07-15</v>
      </c>
      <c r="AF865" s="9" t="str">
        <f t="shared" si="75"/>
        <v>7/15/2014</v>
      </c>
      <c r="AG865" s="8">
        <f t="shared" si="76"/>
        <v>0.420794457847457</v>
      </c>
    </row>
    <row r="866" spans="28:33">
      <c r="AB866" s="8" t="s">
        <v>554</v>
      </c>
      <c r="AC866" s="8">
        <v>0.420794457847457</v>
      </c>
      <c r="AD866" s="8">
        <v>0.43417002461779802</v>
      </c>
      <c r="AE866" s="8" t="str">
        <f t="shared" si="74"/>
        <v>2014-07-16</v>
      </c>
      <c r="AF866" s="9" t="str">
        <f t="shared" si="75"/>
        <v>7/16/2014</v>
      </c>
      <c r="AG866" s="8">
        <f t="shared" si="76"/>
        <v>0.420794457847457</v>
      </c>
    </row>
    <row r="867" spans="28:33">
      <c r="AB867" s="8" t="s">
        <v>555</v>
      </c>
      <c r="AC867" s="8">
        <v>0.43231309412176999</v>
      </c>
      <c r="AD867" s="8">
        <v>0.47157959219647799</v>
      </c>
      <c r="AE867" s="8" t="str">
        <f t="shared" si="74"/>
        <v>2014-07-17</v>
      </c>
      <c r="AF867" s="9" t="str">
        <f t="shared" si="75"/>
        <v>7/17/2014</v>
      </c>
      <c r="AG867" s="8">
        <f t="shared" si="76"/>
        <v>0.43231309412176999</v>
      </c>
    </row>
    <row r="868" spans="28:33">
      <c r="AB868" s="8" t="s">
        <v>556</v>
      </c>
      <c r="AC868" s="8">
        <v>0.43231309412176999</v>
      </c>
      <c r="AD868" s="8">
        <v>0.47157959219647799</v>
      </c>
      <c r="AE868" s="8" t="str">
        <f t="shared" si="74"/>
        <v>2014-07-18</v>
      </c>
      <c r="AF868" s="9" t="str">
        <f t="shared" si="75"/>
        <v>7/18/2014</v>
      </c>
      <c r="AG868" s="8">
        <f t="shared" si="76"/>
        <v>0.43231309412176999</v>
      </c>
    </row>
    <row r="869" spans="28:33">
      <c r="AB869" s="8" t="s">
        <v>557</v>
      </c>
      <c r="AC869" s="8">
        <v>0.43231309412176999</v>
      </c>
      <c r="AD869" s="8">
        <v>0.47157959219647799</v>
      </c>
      <c r="AE869" s="8" t="str">
        <f t="shared" si="74"/>
        <v>2014-07-21</v>
      </c>
      <c r="AF869" s="9" t="str">
        <f t="shared" si="75"/>
        <v>7/21/2014</v>
      </c>
      <c r="AG869" s="8">
        <f t="shared" si="76"/>
        <v>0.43231309412176999</v>
      </c>
    </row>
    <row r="870" spans="28:33">
      <c r="AB870" s="8" t="s">
        <v>558</v>
      </c>
      <c r="AC870" s="8">
        <v>0.43231309412176999</v>
      </c>
      <c r="AD870" s="8">
        <v>0.47157959219647799</v>
      </c>
      <c r="AE870" s="8" t="str">
        <f t="shared" si="74"/>
        <v>2014-07-22</v>
      </c>
      <c r="AF870" s="9" t="str">
        <f t="shared" si="75"/>
        <v>7/22/2014</v>
      </c>
      <c r="AG870" s="8">
        <f t="shared" si="76"/>
        <v>0.43231309412176999</v>
      </c>
    </row>
    <row r="871" spans="28:33">
      <c r="AB871" s="8" t="s">
        <v>559</v>
      </c>
      <c r="AC871" s="8">
        <v>0.43231309412176999</v>
      </c>
      <c r="AD871" s="8">
        <v>0.47157959219647799</v>
      </c>
      <c r="AE871" s="8" t="str">
        <f t="shared" si="74"/>
        <v>2014-07-23</v>
      </c>
      <c r="AF871" s="9" t="str">
        <f t="shared" si="75"/>
        <v>7/23/2014</v>
      </c>
      <c r="AG871" s="8">
        <f t="shared" si="76"/>
        <v>0.43231309412176999</v>
      </c>
    </row>
    <row r="872" spans="28:33">
      <c r="AB872" s="8" t="s">
        <v>560</v>
      </c>
      <c r="AC872" s="8">
        <v>0.43231309412176999</v>
      </c>
      <c r="AD872" s="8">
        <v>0.47157959219647799</v>
      </c>
      <c r="AE872" s="8" t="str">
        <f t="shared" si="74"/>
        <v>2014-07-24</v>
      </c>
      <c r="AF872" s="9" t="str">
        <f t="shared" si="75"/>
        <v>7/24/2014</v>
      </c>
      <c r="AG872" s="8">
        <f t="shared" si="76"/>
        <v>0.43231309412176999</v>
      </c>
    </row>
    <row r="873" spans="28:33">
      <c r="AB873" s="8" t="s">
        <v>561</v>
      </c>
      <c r="AC873" s="8">
        <v>0.43231309412176999</v>
      </c>
      <c r="AD873" s="8">
        <v>0.47157959219647799</v>
      </c>
      <c r="AE873" s="8" t="str">
        <f t="shared" si="74"/>
        <v>2014-07-25</v>
      </c>
      <c r="AF873" s="9" t="str">
        <f t="shared" si="75"/>
        <v>7/25/2014</v>
      </c>
      <c r="AG873" s="8">
        <f t="shared" si="76"/>
        <v>0.43231309412176999</v>
      </c>
    </row>
    <row r="874" spans="28:33">
      <c r="AB874" s="8" t="s">
        <v>562</v>
      </c>
      <c r="AC874" s="8">
        <v>0.43231309412176999</v>
      </c>
      <c r="AD874" s="8">
        <v>0.47157959219647799</v>
      </c>
      <c r="AE874" s="8" t="str">
        <f t="shared" si="74"/>
        <v>2014-07-28</v>
      </c>
      <c r="AF874" s="9" t="str">
        <f t="shared" si="75"/>
        <v>7/28/2014</v>
      </c>
      <c r="AG874" s="8">
        <f t="shared" si="76"/>
        <v>0.43231309412176999</v>
      </c>
    </row>
    <row r="875" spans="28:33">
      <c r="AB875" s="8" t="s">
        <v>563</v>
      </c>
      <c r="AC875" s="8">
        <v>0.43231309412176999</v>
      </c>
      <c r="AD875" s="8">
        <v>0.47157959219647799</v>
      </c>
      <c r="AE875" s="8" t="str">
        <f t="shared" si="74"/>
        <v>2014-07-29</v>
      </c>
      <c r="AF875" s="9" t="str">
        <f t="shared" si="75"/>
        <v>7/29/2014</v>
      </c>
      <c r="AG875" s="8">
        <f t="shared" si="76"/>
        <v>0.43231309412176999</v>
      </c>
    </row>
    <row r="876" spans="28:33">
      <c r="AB876" s="8" t="s">
        <v>564</v>
      </c>
      <c r="AC876" s="8">
        <v>0.43231309412176999</v>
      </c>
      <c r="AD876" s="8">
        <v>0.47157959219647799</v>
      </c>
      <c r="AE876" s="8" t="str">
        <f t="shared" si="74"/>
        <v>2014-07-30</v>
      </c>
      <c r="AF876" s="9" t="str">
        <f t="shared" si="75"/>
        <v>7/30/2014</v>
      </c>
      <c r="AG876" s="8">
        <f t="shared" si="76"/>
        <v>0.43231309412176999</v>
      </c>
    </row>
    <row r="877" spans="28:33">
      <c r="AB877" s="8" t="s">
        <v>565</v>
      </c>
      <c r="AC877" s="8">
        <v>0.43906416657041802</v>
      </c>
      <c r="AD877" s="8">
        <v>0.47157959219647799</v>
      </c>
      <c r="AE877" s="8" t="str">
        <f t="shared" si="74"/>
        <v>2014-07-31</v>
      </c>
      <c r="AF877" s="9" t="str">
        <f t="shared" si="75"/>
        <v>7/31/2014</v>
      </c>
      <c r="AG877" s="8">
        <f t="shared" si="76"/>
        <v>0.43906416657041802</v>
      </c>
    </row>
    <row r="878" spans="28:33">
      <c r="AB878" s="8" t="s">
        <v>566</v>
      </c>
      <c r="AC878" s="8">
        <v>0.43538889187038299</v>
      </c>
      <c r="AD878" s="8">
        <v>0.46314495912161602</v>
      </c>
      <c r="AE878" s="8" t="str">
        <f t="shared" si="74"/>
        <v>2014-08-01</v>
      </c>
      <c r="AF878" s="9" t="str">
        <f t="shared" si="75"/>
        <v>8/1/2014</v>
      </c>
      <c r="AG878" s="8">
        <f t="shared" si="76"/>
        <v>0.43538889187038299</v>
      </c>
    </row>
    <row r="879" spans="28:33">
      <c r="AB879" s="8" t="s">
        <v>567</v>
      </c>
      <c r="AC879" s="8">
        <v>0.43538889187038299</v>
      </c>
      <c r="AD879" s="8">
        <v>0.46314495912161602</v>
      </c>
      <c r="AE879" s="8" t="str">
        <f t="shared" si="74"/>
        <v>2014-08-04</v>
      </c>
      <c r="AF879" s="9" t="str">
        <f t="shared" si="75"/>
        <v>8/4/2014</v>
      </c>
      <c r="AG879" s="8">
        <f t="shared" si="76"/>
        <v>0.43538889187038299</v>
      </c>
    </row>
    <row r="880" spans="28:33">
      <c r="AB880" s="8" t="s">
        <v>568</v>
      </c>
      <c r="AC880" s="8">
        <v>0.43538889187038299</v>
      </c>
      <c r="AD880" s="8">
        <v>0.46314495912161602</v>
      </c>
      <c r="AE880" s="8" t="str">
        <f t="shared" si="74"/>
        <v>2014-08-05</v>
      </c>
      <c r="AF880" s="9" t="str">
        <f t="shared" si="75"/>
        <v>8/5/2014</v>
      </c>
      <c r="AG880" s="8">
        <f t="shared" si="76"/>
        <v>0.43538889187038299</v>
      </c>
    </row>
    <row r="881" spans="28:33">
      <c r="AB881" s="8" t="s">
        <v>569</v>
      </c>
      <c r="AC881" s="8">
        <v>0.43538889187038299</v>
      </c>
      <c r="AD881" s="8">
        <v>0.46314495912161602</v>
      </c>
      <c r="AE881" s="8" t="str">
        <f t="shared" si="74"/>
        <v>2014-08-06</v>
      </c>
      <c r="AF881" s="9" t="str">
        <f t="shared" si="75"/>
        <v>8/6/2014</v>
      </c>
      <c r="AG881" s="8">
        <f t="shared" si="76"/>
        <v>0.43538889187038299</v>
      </c>
    </row>
    <row r="882" spans="28:33">
      <c r="AB882" s="8" t="s">
        <v>570</v>
      </c>
      <c r="AC882" s="8">
        <v>0.42413376349642801</v>
      </c>
      <c r="AD882" s="8">
        <v>0.46314495912161602</v>
      </c>
      <c r="AE882" s="8" t="str">
        <f t="shared" si="74"/>
        <v>2014-08-07</v>
      </c>
      <c r="AF882" s="9" t="str">
        <f t="shared" si="75"/>
        <v>8/7/2014</v>
      </c>
      <c r="AG882" s="8">
        <f t="shared" si="76"/>
        <v>0.42413376349642801</v>
      </c>
    </row>
    <row r="883" spans="28:33">
      <c r="AB883" s="8" t="s">
        <v>571</v>
      </c>
      <c r="AC883" s="8">
        <v>0.42413376349642801</v>
      </c>
      <c r="AD883" s="8">
        <v>0.46314495912161602</v>
      </c>
      <c r="AE883" s="8" t="str">
        <f t="shared" si="74"/>
        <v>2014-08-08</v>
      </c>
      <c r="AF883" s="9" t="str">
        <f t="shared" si="75"/>
        <v>8/8/2014</v>
      </c>
      <c r="AG883" s="8">
        <f t="shared" si="76"/>
        <v>0.42413376349642801</v>
      </c>
    </row>
    <row r="884" spans="28:33">
      <c r="AB884" s="8" t="s">
        <v>572</v>
      </c>
      <c r="AC884" s="8">
        <v>0.42413376349642801</v>
      </c>
      <c r="AD884" s="8">
        <v>0.46314495912161602</v>
      </c>
      <c r="AE884" s="8" t="str">
        <f t="shared" si="74"/>
        <v>2014-08-11</v>
      </c>
      <c r="AF884" s="9" t="str">
        <f t="shared" si="75"/>
        <v>8/11/2014</v>
      </c>
      <c r="AG884" s="8">
        <f t="shared" si="76"/>
        <v>0.42413376349642801</v>
      </c>
    </row>
    <row r="885" spans="28:33">
      <c r="AB885" s="8" t="s">
        <v>573</v>
      </c>
      <c r="AC885" s="8">
        <v>0.42413376349642801</v>
      </c>
      <c r="AD885" s="8">
        <v>0.46314495912161602</v>
      </c>
      <c r="AE885" s="8" t="str">
        <f t="shared" si="74"/>
        <v>2014-08-12</v>
      </c>
      <c r="AF885" s="9" t="str">
        <f t="shared" si="75"/>
        <v>8/12/2014</v>
      </c>
      <c r="AG885" s="8">
        <f t="shared" si="76"/>
        <v>0.42413376349642801</v>
      </c>
    </row>
    <row r="886" spans="28:33">
      <c r="AB886" s="8" t="s">
        <v>574</v>
      </c>
      <c r="AC886" s="8">
        <v>0.42413376349642801</v>
      </c>
      <c r="AD886" s="8">
        <v>0.46314495912161602</v>
      </c>
      <c r="AE886" s="8" t="str">
        <f t="shared" ref="AE886:AE949" si="77">MID(AB886,2,10)</f>
        <v>2014-08-13</v>
      </c>
      <c r="AF886" s="9" t="str">
        <f t="shared" ref="AF886:AF949" si="78">TEXT(AE886,"m/d/yyyy")</f>
        <v>8/13/2014</v>
      </c>
      <c r="AG886" s="8">
        <f t="shared" ref="AG886:AG949" si="79">AC886</f>
        <v>0.42413376349642801</v>
      </c>
    </row>
    <row r="887" spans="28:33">
      <c r="AB887" s="8" t="s">
        <v>575</v>
      </c>
      <c r="AC887" s="8">
        <v>0.43538889187038299</v>
      </c>
      <c r="AD887" s="8">
        <v>0.46314495912161602</v>
      </c>
      <c r="AE887" s="8" t="str">
        <f t="shared" si="77"/>
        <v>2014-08-14</v>
      </c>
      <c r="AF887" s="9" t="str">
        <f t="shared" si="78"/>
        <v>8/14/2014</v>
      </c>
      <c r="AG887" s="8">
        <f t="shared" si="79"/>
        <v>0.43538889187038299</v>
      </c>
    </row>
    <row r="888" spans="28:33">
      <c r="AB888" s="8" t="s">
        <v>576</v>
      </c>
      <c r="AC888" s="8">
        <v>0.43538889187038299</v>
      </c>
      <c r="AD888" s="8">
        <v>0.46314495912161602</v>
      </c>
      <c r="AE888" s="8" t="str">
        <f t="shared" si="77"/>
        <v>2014-08-15</v>
      </c>
      <c r="AF888" s="9" t="str">
        <f t="shared" si="78"/>
        <v>8/15/2014</v>
      </c>
      <c r="AG888" s="8">
        <f t="shared" si="79"/>
        <v>0.43538889187038299</v>
      </c>
    </row>
    <row r="889" spans="28:33">
      <c r="AB889" s="8" t="s">
        <v>577</v>
      </c>
      <c r="AC889" s="8">
        <v>0.43538889187038299</v>
      </c>
      <c r="AD889" s="8">
        <v>0.46314495912161602</v>
      </c>
      <c r="AE889" s="8" t="str">
        <f t="shared" si="77"/>
        <v>2014-08-18</v>
      </c>
      <c r="AF889" s="9" t="str">
        <f t="shared" si="78"/>
        <v>8/18/2014</v>
      </c>
      <c r="AG889" s="8">
        <f t="shared" si="79"/>
        <v>0.43538889187038299</v>
      </c>
    </row>
    <row r="890" spans="28:33">
      <c r="AB890" s="8" t="s">
        <v>578</v>
      </c>
      <c r="AC890" s="8">
        <v>0.43538889187038299</v>
      </c>
      <c r="AD890" s="8">
        <v>0.46314495912161602</v>
      </c>
      <c r="AE890" s="8" t="str">
        <f t="shared" si="77"/>
        <v>2014-08-19</v>
      </c>
      <c r="AF890" s="9" t="str">
        <f t="shared" si="78"/>
        <v>8/19/2014</v>
      </c>
      <c r="AG890" s="8">
        <f t="shared" si="79"/>
        <v>0.43538889187038299</v>
      </c>
    </row>
    <row r="891" spans="28:33">
      <c r="AB891" s="8" t="s">
        <v>579</v>
      </c>
      <c r="AC891" s="8">
        <v>0.43538889187038299</v>
      </c>
      <c r="AD891" s="8">
        <v>0.46314495912161602</v>
      </c>
      <c r="AE891" s="8" t="str">
        <f t="shared" si="77"/>
        <v>2014-08-20</v>
      </c>
      <c r="AF891" s="9" t="str">
        <f t="shared" si="78"/>
        <v>8/20/2014</v>
      </c>
      <c r="AG891" s="8">
        <f t="shared" si="79"/>
        <v>0.43538889187038299</v>
      </c>
    </row>
    <row r="892" spans="28:33">
      <c r="AB892" s="8" t="s">
        <v>580</v>
      </c>
      <c r="AC892" s="8">
        <v>0.45105980423070802</v>
      </c>
      <c r="AD892" s="8">
        <v>0.46330124419819801</v>
      </c>
      <c r="AE892" s="8" t="str">
        <f t="shared" si="77"/>
        <v>2014-08-21</v>
      </c>
      <c r="AF892" s="9" t="str">
        <f t="shared" si="78"/>
        <v>8/21/2014</v>
      </c>
      <c r="AG892" s="8">
        <f t="shared" si="79"/>
        <v>0.45105980423070802</v>
      </c>
    </row>
    <row r="893" spans="28:33">
      <c r="AB893" s="8" t="s">
        <v>581</v>
      </c>
      <c r="AC893" s="8">
        <v>0.45105980423070802</v>
      </c>
      <c r="AD893" s="8">
        <v>0.46330124419819801</v>
      </c>
      <c r="AE893" s="8" t="str">
        <f t="shared" si="77"/>
        <v>2014-08-22</v>
      </c>
      <c r="AF893" s="9" t="str">
        <f t="shared" si="78"/>
        <v>8/22/2014</v>
      </c>
      <c r="AG893" s="8">
        <f t="shared" si="79"/>
        <v>0.45105980423070802</v>
      </c>
    </row>
    <row r="894" spans="28:33">
      <c r="AB894" s="8" t="s">
        <v>582</v>
      </c>
      <c r="AC894" s="8">
        <v>0.45105980423070802</v>
      </c>
      <c r="AD894" s="8">
        <v>0.46330124419819801</v>
      </c>
      <c r="AE894" s="8" t="str">
        <f t="shared" si="77"/>
        <v>2014-08-25</v>
      </c>
      <c r="AF894" s="9" t="str">
        <f t="shared" si="78"/>
        <v>8/25/2014</v>
      </c>
      <c r="AG894" s="8">
        <f t="shared" si="79"/>
        <v>0.45105980423070802</v>
      </c>
    </row>
    <row r="895" spans="28:33">
      <c r="AB895" s="8" t="s">
        <v>583</v>
      </c>
      <c r="AC895" s="8">
        <v>0.45105980423070802</v>
      </c>
      <c r="AD895" s="8">
        <v>0.46330124419819801</v>
      </c>
      <c r="AE895" s="8" t="str">
        <f t="shared" si="77"/>
        <v>2014-08-26</v>
      </c>
      <c r="AF895" s="9" t="str">
        <f t="shared" si="78"/>
        <v>8/26/2014</v>
      </c>
      <c r="AG895" s="8">
        <f t="shared" si="79"/>
        <v>0.45105980423070802</v>
      </c>
    </row>
    <row r="896" spans="28:33">
      <c r="AB896" s="8" t="s">
        <v>584</v>
      </c>
      <c r="AC896" s="8">
        <v>0.45105980423070802</v>
      </c>
      <c r="AD896" s="8">
        <v>0.46330124419819801</v>
      </c>
      <c r="AE896" s="8" t="str">
        <f t="shared" si="77"/>
        <v>2014-08-27</v>
      </c>
      <c r="AF896" s="9" t="str">
        <f t="shared" si="78"/>
        <v>8/27/2014</v>
      </c>
      <c r="AG896" s="8">
        <f t="shared" si="79"/>
        <v>0.45105980423070802</v>
      </c>
    </row>
    <row r="897" spans="28:33">
      <c r="AB897" s="8" t="s">
        <v>585</v>
      </c>
      <c r="AC897" s="8">
        <v>0.45105980423070802</v>
      </c>
      <c r="AD897" s="8">
        <v>0.46330124419819801</v>
      </c>
      <c r="AE897" s="8" t="str">
        <f t="shared" si="77"/>
        <v>2014-08-28</v>
      </c>
      <c r="AF897" s="9" t="str">
        <f t="shared" si="78"/>
        <v>8/28/2014</v>
      </c>
      <c r="AG897" s="8">
        <f t="shared" si="79"/>
        <v>0.45105980423070802</v>
      </c>
    </row>
    <row r="898" spans="28:33">
      <c r="AB898" s="8" t="s">
        <v>586</v>
      </c>
      <c r="AC898" s="8">
        <v>0.45105980423070802</v>
      </c>
      <c r="AD898" s="8">
        <v>0.46330124419819801</v>
      </c>
      <c r="AE898" s="8" t="str">
        <f t="shared" si="77"/>
        <v>2014-08-29</v>
      </c>
      <c r="AF898" s="9" t="str">
        <f t="shared" si="78"/>
        <v>8/29/2014</v>
      </c>
      <c r="AG898" s="8">
        <f t="shared" si="79"/>
        <v>0.45105980423070802</v>
      </c>
    </row>
    <row r="899" spans="28:33">
      <c r="AB899" s="8" t="s">
        <v>587</v>
      </c>
      <c r="AC899" s="8">
        <v>0.44686834225614502</v>
      </c>
      <c r="AD899" s="8">
        <v>0.45549248443543</v>
      </c>
      <c r="AE899" s="8" t="str">
        <f t="shared" si="77"/>
        <v>2014-09-02</v>
      </c>
      <c r="AF899" s="9" t="str">
        <f t="shared" si="78"/>
        <v>9/2/2014</v>
      </c>
      <c r="AG899" s="8">
        <f t="shared" si="79"/>
        <v>0.44686834225614502</v>
      </c>
    </row>
    <row r="900" spans="28:33">
      <c r="AB900" s="8" t="s">
        <v>588</v>
      </c>
      <c r="AC900" s="8">
        <v>0.44686834225614502</v>
      </c>
      <c r="AD900" s="8">
        <v>0.45549248443543</v>
      </c>
      <c r="AE900" s="8" t="str">
        <f t="shared" si="77"/>
        <v>2014-09-03</v>
      </c>
      <c r="AF900" s="9" t="str">
        <f t="shared" si="78"/>
        <v>9/3/2014</v>
      </c>
      <c r="AG900" s="8">
        <f t="shared" si="79"/>
        <v>0.44686834225614502</v>
      </c>
    </row>
    <row r="901" spans="28:33">
      <c r="AB901" s="8" t="s">
        <v>589</v>
      </c>
      <c r="AC901" s="8">
        <v>0.44686834225614502</v>
      </c>
      <c r="AD901" s="8">
        <v>0.45549248443543</v>
      </c>
      <c r="AE901" s="8" t="str">
        <f t="shared" si="77"/>
        <v>2014-09-04</v>
      </c>
      <c r="AF901" s="9" t="str">
        <f t="shared" si="78"/>
        <v>9/4/2014</v>
      </c>
      <c r="AG901" s="8">
        <f t="shared" si="79"/>
        <v>0.44686834225614502</v>
      </c>
    </row>
    <row r="902" spans="28:33">
      <c r="AB902" s="8" t="s">
        <v>590</v>
      </c>
      <c r="AC902" s="8">
        <v>0.44686834225614502</v>
      </c>
      <c r="AD902" s="8">
        <v>0.45549248443543</v>
      </c>
      <c r="AE902" s="8" t="str">
        <f t="shared" si="77"/>
        <v>2014-09-05</v>
      </c>
      <c r="AF902" s="9" t="str">
        <f t="shared" si="78"/>
        <v>9/5/2014</v>
      </c>
      <c r="AG902" s="8">
        <f t="shared" si="79"/>
        <v>0.44686834225614502</v>
      </c>
    </row>
    <row r="903" spans="28:33">
      <c r="AB903" s="8" t="s">
        <v>591</v>
      </c>
      <c r="AC903" s="8">
        <v>0.44686834225614502</v>
      </c>
      <c r="AD903" s="8">
        <v>0.45549248443543</v>
      </c>
      <c r="AE903" s="8" t="str">
        <f t="shared" si="77"/>
        <v>2014-09-08</v>
      </c>
      <c r="AF903" s="9" t="str">
        <f t="shared" si="78"/>
        <v>9/8/2014</v>
      </c>
      <c r="AG903" s="8">
        <f t="shared" si="79"/>
        <v>0.44686834225614502</v>
      </c>
    </row>
    <row r="904" spans="28:33">
      <c r="AB904" s="8" t="s">
        <v>592</v>
      </c>
      <c r="AC904" s="8">
        <v>0.44686834225614502</v>
      </c>
      <c r="AD904" s="8">
        <v>0.45549248443543</v>
      </c>
      <c r="AE904" s="8" t="str">
        <f t="shared" si="77"/>
        <v>2014-09-09</v>
      </c>
      <c r="AF904" s="9" t="str">
        <f t="shared" si="78"/>
        <v>9/9/2014</v>
      </c>
      <c r="AG904" s="8">
        <f t="shared" si="79"/>
        <v>0.44686834225614502</v>
      </c>
    </row>
    <row r="905" spans="28:33">
      <c r="AB905" s="8" t="s">
        <v>593</v>
      </c>
      <c r="AC905" s="8">
        <v>0.44686834225614502</v>
      </c>
      <c r="AD905" s="8">
        <v>0.45549248443543</v>
      </c>
      <c r="AE905" s="8" t="str">
        <f t="shared" si="77"/>
        <v>2014-09-10</v>
      </c>
      <c r="AF905" s="9" t="str">
        <f t="shared" si="78"/>
        <v>9/10/2014</v>
      </c>
      <c r="AG905" s="8">
        <f t="shared" si="79"/>
        <v>0.44686834225614502</v>
      </c>
    </row>
    <row r="906" spans="28:33">
      <c r="AB906" s="8" t="s">
        <v>594</v>
      </c>
      <c r="AC906" s="8">
        <v>0.43119648526610799</v>
      </c>
      <c r="AD906" s="8">
        <v>0.45549248443543</v>
      </c>
      <c r="AE906" s="8" t="str">
        <f t="shared" si="77"/>
        <v>2014-09-11</v>
      </c>
      <c r="AF906" s="9" t="str">
        <f t="shared" si="78"/>
        <v>9/11/2014</v>
      </c>
      <c r="AG906" s="8">
        <f t="shared" si="79"/>
        <v>0.43119648526610799</v>
      </c>
    </row>
    <row r="907" spans="28:33">
      <c r="AB907" s="8" t="s">
        <v>595</v>
      </c>
      <c r="AC907" s="8">
        <v>0.43119648526610799</v>
      </c>
      <c r="AD907" s="8">
        <v>0.45549248443543</v>
      </c>
      <c r="AE907" s="8" t="str">
        <f t="shared" si="77"/>
        <v>2014-09-12</v>
      </c>
      <c r="AF907" s="9" t="str">
        <f t="shared" si="78"/>
        <v>9/12/2014</v>
      </c>
      <c r="AG907" s="8">
        <f t="shared" si="79"/>
        <v>0.43119648526610799</v>
      </c>
    </row>
    <row r="908" spans="28:33">
      <c r="AB908" s="8" t="s">
        <v>596</v>
      </c>
      <c r="AC908" s="8">
        <v>0.43119648526610799</v>
      </c>
      <c r="AD908" s="8">
        <v>0.45549248443543</v>
      </c>
      <c r="AE908" s="8" t="str">
        <f t="shared" si="77"/>
        <v>2014-09-15</v>
      </c>
      <c r="AF908" s="9" t="str">
        <f t="shared" si="78"/>
        <v>9/15/2014</v>
      </c>
      <c r="AG908" s="8">
        <f t="shared" si="79"/>
        <v>0.43119648526610799</v>
      </c>
    </row>
    <row r="909" spans="28:33">
      <c r="AB909" s="8" t="s">
        <v>597</v>
      </c>
      <c r="AC909" s="8">
        <v>0.43119648526610799</v>
      </c>
      <c r="AD909" s="8">
        <v>0.45549248443543</v>
      </c>
      <c r="AE909" s="8" t="str">
        <f t="shared" si="77"/>
        <v>2014-09-16</v>
      </c>
      <c r="AF909" s="9" t="str">
        <f t="shared" si="78"/>
        <v>9/16/2014</v>
      </c>
      <c r="AG909" s="8">
        <f t="shared" si="79"/>
        <v>0.43119648526610799</v>
      </c>
    </row>
    <row r="910" spans="28:33">
      <c r="AB910" s="8" t="s">
        <v>598</v>
      </c>
      <c r="AC910" s="8">
        <v>0.43119648526610799</v>
      </c>
      <c r="AD910" s="8">
        <v>0.45549248443543</v>
      </c>
      <c r="AE910" s="8" t="str">
        <f t="shared" si="77"/>
        <v>2014-09-17</v>
      </c>
      <c r="AF910" s="9" t="str">
        <f t="shared" si="78"/>
        <v>9/17/2014</v>
      </c>
      <c r="AG910" s="8">
        <f t="shared" si="79"/>
        <v>0.43119648526610799</v>
      </c>
    </row>
    <row r="911" spans="28:33">
      <c r="AB911" s="8" t="s">
        <v>599</v>
      </c>
      <c r="AC911" s="8">
        <v>0.37422484012928398</v>
      </c>
      <c r="AD911" s="8">
        <v>0.38311441911579402</v>
      </c>
      <c r="AE911" s="8" t="str">
        <f t="shared" si="77"/>
        <v>2014-09-18</v>
      </c>
      <c r="AF911" s="9" t="str">
        <f t="shared" si="78"/>
        <v>9/18/2014</v>
      </c>
      <c r="AG911" s="8">
        <f t="shared" si="79"/>
        <v>0.37422484012928398</v>
      </c>
    </row>
    <row r="912" spans="28:33">
      <c r="AB912" s="8" t="s">
        <v>600</v>
      </c>
      <c r="AC912" s="8">
        <v>0.37422484012928398</v>
      </c>
      <c r="AD912" s="8">
        <v>0.38311441911579402</v>
      </c>
      <c r="AE912" s="8" t="str">
        <f t="shared" si="77"/>
        <v>2014-09-19</v>
      </c>
      <c r="AF912" s="9" t="str">
        <f t="shared" si="78"/>
        <v>9/19/2014</v>
      </c>
      <c r="AG912" s="8">
        <f t="shared" si="79"/>
        <v>0.37422484012928398</v>
      </c>
    </row>
    <row r="913" spans="28:33">
      <c r="AB913" s="8" t="s">
        <v>601</v>
      </c>
      <c r="AC913" s="8">
        <v>0.37422484012928398</v>
      </c>
      <c r="AD913" s="8">
        <v>0.38311441911579402</v>
      </c>
      <c r="AE913" s="8" t="str">
        <f t="shared" si="77"/>
        <v>2014-09-22</v>
      </c>
      <c r="AF913" s="9" t="str">
        <f t="shared" si="78"/>
        <v>9/22/2014</v>
      </c>
      <c r="AG913" s="8">
        <f t="shared" si="79"/>
        <v>0.37422484012928398</v>
      </c>
    </row>
    <row r="914" spans="28:33">
      <c r="AB914" s="8" t="s">
        <v>602</v>
      </c>
      <c r="AC914" s="8">
        <v>0.37422484012928398</v>
      </c>
      <c r="AD914" s="8">
        <v>0.38311441911579402</v>
      </c>
      <c r="AE914" s="8" t="str">
        <f t="shared" si="77"/>
        <v>2014-09-23</v>
      </c>
      <c r="AF914" s="9" t="str">
        <f t="shared" si="78"/>
        <v>9/23/2014</v>
      </c>
      <c r="AG914" s="8">
        <f t="shared" si="79"/>
        <v>0.37422484012928398</v>
      </c>
    </row>
    <row r="915" spans="28:33">
      <c r="AB915" s="8" t="s">
        <v>604</v>
      </c>
      <c r="AC915" s="8">
        <v>0.37422484012928398</v>
      </c>
      <c r="AD915" s="8">
        <v>0.38311441911579402</v>
      </c>
      <c r="AE915" s="8" t="str">
        <f t="shared" si="77"/>
        <v>2014-09-24</v>
      </c>
      <c r="AF915" s="9" t="str">
        <f t="shared" si="78"/>
        <v>9/24/2014</v>
      </c>
      <c r="AG915" s="8">
        <f t="shared" si="79"/>
        <v>0.37422484012928398</v>
      </c>
    </row>
    <row r="916" spans="28:33">
      <c r="AB916" s="8" t="s">
        <v>605</v>
      </c>
      <c r="AC916" s="8">
        <v>0.38870901214480402</v>
      </c>
      <c r="AD916" s="8">
        <v>0.39005558385727102</v>
      </c>
      <c r="AE916" s="8" t="str">
        <f t="shared" si="77"/>
        <v>2014-09-25</v>
      </c>
      <c r="AF916" s="9" t="str">
        <f t="shared" si="78"/>
        <v>9/25/2014</v>
      </c>
      <c r="AG916" s="8">
        <f t="shared" si="79"/>
        <v>0.38870901214480402</v>
      </c>
    </row>
    <row r="917" spans="28:33">
      <c r="AB917" s="8" t="s">
        <v>606</v>
      </c>
      <c r="AC917" s="8">
        <v>0.38870901214480402</v>
      </c>
      <c r="AD917" s="8">
        <v>0.39005558385727102</v>
      </c>
      <c r="AE917" s="8" t="str">
        <f t="shared" si="77"/>
        <v>2014-09-26</v>
      </c>
      <c r="AF917" s="9" t="str">
        <f t="shared" si="78"/>
        <v>9/26/2014</v>
      </c>
      <c r="AG917" s="8">
        <f t="shared" si="79"/>
        <v>0.38870901214480402</v>
      </c>
    </row>
    <row r="918" spans="28:33">
      <c r="AB918" s="8" t="s">
        <v>607</v>
      </c>
      <c r="AC918" s="8">
        <v>0.38870901214480402</v>
      </c>
      <c r="AD918" s="8">
        <v>0.39005558385727102</v>
      </c>
      <c r="AE918" s="8" t="str">
        <f t="shared" si="77"/>
        <v>2014-09-29</v>
      </c>
      <c r="AF918" s="9" t="str">
        <f t="shared" si="78"/>
        <v>9/29/2014</v>
      </c>
      <c r="AG918" s="8">
        <f t="shared" si="79"/>
        <v>0.38870901214480402</v>
      </c>
    </row>
    <row r="919" spans="28:33">
      <c r="AB919" s="8" t="s">
        <v>608</v>
      </c>
      <c r="AC919" s="8">
        <v>0.38870901214480402</v>
      </c>
      <c r="AD919" s="8">
        <v>0.39005558385727102</v>
      </c>
      <c r="AE919" s="8" t="str">
        <f t="shared" si="77"/>
        <v>2014-09-30</v>
      </c>
      <c r="AF919" s="9" t="str">
        <f t="shared" si="78"/>
        <v>9/30/2014</v>
      </c>
      <c r="AG919" s="8">
        <f t="shared" si="79"/>
        <v>0.38870901214480402</v>
      </c>
    </row>
    <row r="920" spans="28:33">
      <c r="AB920" s="8" t="s">
        <v>609</v>
      </c>
      <c r="AC920" s="8">
        <v>0.38430847776478</v>
      </c>
      <c r="AD920" s="8">
        <v>0.38133945598799102</v>
      </c>
      <c r="AE920" s="8" t="str">
        <f t="shared" si="77"/>
        <v>2014-10-01</v>
      </c>
      <c r="AF920" s="9" t="str">
        <f t="shared" si="78"/>
        <v>10/1/2014</v>
      </c>
      <c r="AG920" s="8">
        <f t="shared" si="79"/>
        <v>0.38430847776478</v>
      </c>
    </row>
    <row r="921" spans="28:33">
      <c r="AB921" s="8" t="s">
        <v>610</v>
      </c>
      <c r="AC921" s="8">
        <v>0.38901935972403701</v>
      </c>
      <c r="AD921" s="8">
        <v>0.38133945598799102</v>
      </c>
      <c r="AE921" s="8" t="str">
        <f t="shared" si="77"/>
        <v>2014-10-02</v>
      </c>
      <c r="AF921" s="9" t="str">
        <f t="shared" si="78"/>
        <v>10/2/2014</v>
      </c>
      <c r="AG921" s="8">
        <f t="shared" si="79"/>
        <v>0.38901935972403701</v>
      </c>
    </row>
    <row r="922" spans="28:33">
      <c r="AB922" s="8" t="s">
        <v>611</v>
      </c>
      <c r="AC922" s="8">
        <v>0.38901935972403701</v>
      </c>
      <c r="AD922" s="8">
        <v>0.38133945598799102</v>
      </c>
      <c r="AE922" s="8" t="str">
        <f t="shared" si="77"/>
        <v>2014-10-03</v>
      </c>
      <c r="AF922" s="9" t="str">
        <f t="shared" si="78"/>
        <v>10/3/2014</v>
      </c>
      <c r="AG922" s="8">
        <f t="shared" si="79"/>
        <v>0.38901935972403701</v>
      </c>
    </row>
    <row r="923" spans="28:33">
      <c r="AB923" s="8" t="s">
        <v>612</v>
      </c>
      <c r="AC923" s="8">
        <v>0.38901935972403701</v>
      </c>
      <c r="AD923" s="8">
        <v>0.38133945598799102</v>
      </c>
      <c r="AE923" s="8" t="str">
        <f t="shared" si="77"/>
        <v>2014-10-06</v>
      </c>
      <c r="AF923" s="9" t="str">
        <f t="shared" si="78"/>
        <v>10/6/2014</v>
      </c>
      <c r="AG923" s="8">
        <f t="shared" si="79"/>
        <v>0.38901935972403701</v>
      </c>
    </row>
    <row r="924" spans="28:33">
      <c r="AB924" s="8" t="s">
        <v>613</v>
      </c>
      <c r="AC924" s="8">
        <v>0.38901935972403701</v>
      </c>
      <c r="AD924" s="8">
        <v>0.38133945598799102</v>
      </c>
      <c r="AE924" s="8" t="str">
        <f t="shared" si="77"/>
        <v>2014-10-07</v>
      </c>
      <c r="AF924" s="9" t="str">
        <f t="shared" si="78"/>
        <v>10/7/2014</v>
      </c>
      <c r="AG924" s="8">
        <f t="shared" si="79"/>
        <v>0.38901935972403701</v>
      </c>
    </row>
    <row r="925" spans="28:33">
      <c r="AB925" s="8" t="s">
        <v>614</v>
      </c>
      <c r="AC925" s="8">
        <v>0.38901935972403701</v>
      </c>
      <c r="AD925" s="8">
        <v>0.38133945598799102</v>
      </c>
      <c r="AE925" s="8" t="str">
        <f t="shared" si="77"/>
        <v>2014-10-08</v>
      </c>
      <c r="AF925" s="9" t="str">
        <f t="shared" si="78"/>
        <v>10/8/2014</v>
      </c>
      <c r="AG925" s="8">
        <f t="shared" si="79"/>
        <v>0.38901935972403701</v>
      </c>
    </row>
    <row r="926" spans="28:33">
      <c r="AB926" s="8" t="s">
        <v>615</v>
      </c>
      <c r="AC926" s="8">
        <v>0.42675826592863297</v>
      </c>
      <c r="AD926" s="8">
        <v>0.44563246463246797</v>
      </c>
      <c r="AE926" s="8" t="str">
        <f t="shared" si="77"/>
        <v>2014-10-09</v>
      </c>
      <c r="AF926" s="9" t="str">
        <f t="shared" si="78"/>
        <v>10/9/2014</v>
      </c>
      <c r="AG926" s="8">
        <f t="shared" si="79"/>
        <v>0.42675826592863297</v>
      </c>
    </row>
    <row r="927" spans="28:33">
      <c r="AB927" s="8" t="s">
        <v>616</v>
      </c>
      <c r="AC927" s="8">
        <v>0.42675826592863297</v>
      </c>
      <c r="AD927" s="8">
        <v>0.44563246463246797</v>
      </c>
      <c r="AE927" s="8" t="str">
        <f t="shared" si="77"/>
        <v>2014-10-10</v>
      </c>
      <c r="AF927" s="9" t="str">
        <f t="shared" si="78"/>
        <v>10/10/2014</v>
      </c>
      <c r="AG927" s="8">
        <f t="shared" si="79"/>
        <v>0.42675826592863297</v>
      </c>
    </row>
    <row r="928" spans="28:33">
      <c r="AB928" s="8" t="s">
        <v>618</v>
      </c>
      <c r="AC928" s="8">
        <v>0.42675826592863297</v>
      </c>
      <c r="AD928" s="8">
        <v>0.44563246463246797</v>
      </c>
      <c r="AE928" s="8" t="str">
        <f t="shared" si="77"/>
        <v>2014-10-14</v>
      </c>
      <c r="AF928" s="9" t="str">
        <f t="shared" si="78"/>
        <v>10/14/2014</v>
      </c>
      <c r="AG928" s="8">
        <f t="shared" si="79"/>
        <v>0.42675826592863297</v>
      </c>
    </row>
    <row r="929" spans="28:33">
      <c r="AB929" s="8" t="s">
        <v>619</v>
      </c>
      <c r="AC929" s="8">
        <v>0.42675826592863297</v>
      </c>
      <c r="AD929" s="8">
        <v>0.44563246463246797</v>
      </c>
      <c r="AE929" s="8" t="str">
        <f t="shared" si="77"/>
        <v>2014-10-15</v>
      </c>
      <c r="AF929" s="9" t="str">
        <f t="shared" si="78"/>
        <v>10/15/2014</v>
      </c>
      <c r="AG929" s="8">
        <f t="shared" si="79"/>
        <v>0.42675826592863297</v>
      </c>
    </row>
    <row r="930" spans="28:33">
      <c r="AB930" s="8" t="s">
        <v>620</v>
      </c>
      <c r="AC930" s="8">
        <v>0.54988615852829004</v>
      </c>
      <c r="AD930" s="8">
        <v>0.55762171395347704</v>
      </c>
      <c r="AE930" s="8" t="str">
        <f t="shared" si="77"/>
        <v>2014-10-16</v>
      </c>
      <c r="AF930" s="9" t="str">
        <f t="shared" si="78"/>
        <v>10/16/2014</v>
      </c>
      <c r="AG930" s="8">
        <f t="shared" si="79"/>
        <v>0.54988615852829004</v>
      </c>
    </row>
    <row r="931" spans="28:33">
      <c r="AB931" s="8" t="s">
        <v>621</v>
      </c>
      <c r="AC931" s="8">
        <v>0.54988615852829004</v>
      </c>
      <c r="AD931" s="8">
        <v>0.55762171395347704</v>
      </c>
      <c r="AE931" s="8" t="str">
        <f t="shared" si="77"/>
        <v>2014-10-17</v>
      </c>
      <c r="AF931" s="9" t="str">
        <f t="shared" si="78"/>
        <v>10/17/2014</v>
      </c>
      <c r="AG931" s="8">
        <f t="shared" si="79"/>
        <v>0.54988615852829004</v>
      </c>
    </row>
    <row r="932" spans="28:33">
      <c r="AB932" s="8" t="s">
        <v>622</v>
      </c>
      <c r="AC932" s="8">
        <v>0.54988615852829004</v>
      </c>
      <c r="AD932" s="8">
        <v>0.55762171395347704</v>
      </c>
      <c r="AE932" s="8" t="str">
        <f t="shared" si="77"/>
        <v>2014-10-20</v>
      </c>
      <c r="AF932" s="9" t="str">
        <f t="shared" si="78"/>
        <v>10/20/2014</v>
      </c>
      <c r="AG932" s="8">
        <f t="shared" si="79"/>
        <v>0.54988615852829004</v>
      </c>
    </row>
    <row r="933" spans="28:33">
      <c r="AB933" s="8" t="s">
        <v>623</v>
      </c>
      <c r="AC933" s="8">
        <v>0.54988615852829004</v>
      </c>
      <c r="AD933" s="8">
        <v>0.55762171395347704</v>
      </c>
      <c r="AE933" s="8" t="str">
        <f t="shared" si="77"/>
        <v>2014-10-21</v>
      </c>
      <c r="AF933" s="9" t="str">
        <f t="shared" si="78"/>
        <v>10/21/2014</v>
      </c>
      <c r="AG933" s="8">
        <f t="shared" si="79"/>
        <v>0.54988615852829004</v>
      </c>
    </row>
    <row r="934" spans="28:33">
      <c r="AB934" s="8" t="s">
        <v>624</v>
      </c>
      <c r="AC934" s="8">
        <v>0.54988615852829004</v>
      </c>
      <c r="AD934" s="8">
        <v>0.55762171395347704</v>
      </c>
      <c r="AE934" s="8" t="str">
        <f t="shared" si="77"/>
        <v>2014-10-22</v>
      </c>
      <c r="AF934" s="9" t="str">
        <f t="shared" si="78"/>
        <v>10/22/2014</v>
      </c>
      <c r="AG934" s="8">
        <f t="shared" si="79"/>
        <v>0.54988615852829004</v>
      </c>
    </row>
    <row r="935" spans="28:33">
      <c r="AB935" s="8" t="s">
        <v>625</v>
      </c>
      <c r="AC935" s="8">
        <v>0.57517284737260699</v>
      </c>
      <c r="AD935" s="8">
        <v>0.55762171395347704</v>
      </c>
      <c r="AE935" s="8" t="str">
        <f t="shared" si="77"/>
        <v>2014-10-23</v>
      </c>
      <c r="AF935" s="9" t="str">
        <f t="shared" si="78"/>
        <v>10/23/2014</v>
      </c>
      <c r="AG935" s="8">
        <f t="shared" si="79"/>
        <v>0.57517284737260699</v>
      </c>
    </row>
    <row r="936" spans="28:33">
      <c r="AB936" s="8" t="s">
        <v>626</v>
      </c>
      <c r="AC936" s="8">
        <v>0.57517284737260699</v>
      </c>
      <c r="AD936" s="8">
        <v>0.55762171395347704</v>
      </c>
      <c r="AE936" s="8" t="str">
        <f t="shared" si="77"/>
        <v>2014-10-24</v>
      </c>
      <c r="AF936" s="9" t="str">
        <f t="shared" si="78"/>
        <v>10/24/2014</v>
      </c>
      <c r="AG936" s="8">
        <f t="shared" si="79"/>
        <v>0.57517284737260699</v>
      </c>
    </row>
    <row r="937" spans="28:33">
      <c r="AB937" s="8" t="s">
        <v>627</v>
      </c>
      <c r="AC937" s="8">
        <v>0.57517284737260699</v>
      </c>
      <c r="AD937" s="8">
        <v>0.55762171395347704</v>
      </c>
      <c r="AE937" s="8" t="str">
        <f t="shared" si="77"/>
        <v>2014-10-27</v>
      </c>
      <c r="AF937" s="9" t="str">
        <f t="shared" si="78"/>
        <v>10/27/2014</v>
      </c>
      <c r="AG937" s="8">
        <f t="shared" si="79"/>
        <v>0.57517284737260699</v>
      </c>
    </row>
    <row r="938" spans="28:33">
      <c r="AB938" s="8" t="s">
        <v>628</v>
      </c>
      <c r="AC938" s="8">
        <v>0.57517284737260699</v>
      </c>
      <c r="AD938" s="8">
        <v>0.55762171395347704</v>
      </c>
      <c r="AE938" s="8" t="str">
        <f t="shared" si="77"/>
        <v>2014-10-28</v>
      </c>
      <c r="AF938" s="9" t="str">
        <f t="shared" si="78"/>
        <v>10/28/2014</v>
      </c>
      <c r="AG938" s="8">
        <f t="shared" si="79"/>
        <v>0.57517284737260699</v>
      </c>
    </row>
    <row r="939" spans="28:33">
      <c r="AB939" s="8" t="s">
        <v>629</v>
      </c>
      <c r="AC939" s="8">
        <v>0.57517284737260699</v>
      </c>
      <c r="AD939" s="8">
        <v>0.55762171395347704</v>
      </c>
      <c r="AE939" s="8" t="str">
        <f t="shared" si="77"/>
        <v>2014-10-29</v>
      </c>
      <c r="AF939" s="9" t="str">
        <f t="shared" si="78"/>
        <v>10/29/2014</v>
      </c>
      <c r="AG939" s="8">
        <f t="shared" si="79"/>
        <v>0.57517284737260699</v>
      </c>
    </row>
    <row r="940" spans="28:33">
      <c r="AB940" s="8" t="s">
        <v>630</v>
      </c>
      <c r="AC940" s="8">
        <v>0.54355644019764404</v>
      </c>
      <c r="AD940" s="8">
        <v>0.54817312658658202</v>
      </c>
      <c r="AE940" s="8" t="str">
        <f t="shared" si="77"/>
        <v>2014-10-30</v>
      </c>
      <c r="AF940" s="9" t="str">
        <f t="shared" si="78"/>
        <v>10/30/2014</v>
      </c>
      <c r="AG940" s="8">
        <f t="shared" si="79"/>
        <v>0.54355644019764404</v>
      </c>
    </row>
    <row r="941" spans="28:33">
      <c r="AB941" s="8" t="s">
        <v>631</v>
      </c>
      <c r="AC941" s="8">
        <v>0.54355644019764404</v>
      </c>
      <c r="AD941" s="8">
        <v>0.54817312658658202</v>
      </c>
      <c r="AE941" s="8" t="str">
        <f t="shared" si="77"/>
        <v>2014-10-31</v>
      </c>
      <c r="AF941" s="9" t="str">
        <f t="shared" si="78"/>
        <v>10/31/2014</v>
      </c>
      <c r="AG941" s="8">
        <f t="shared" si="79"/>
        <v>0.54355644019764404</v>
      </c>
    </row>
    <row r="942" spans="28:33">
      <c r="AB942" s="8" t="s">
        <v>632</v>
      </c>
      <c r="AC942" s="8">
        <v>0.54089108147199405</v>
      </c>
      <c r="AD942" s="8">
        <v>0.55195870422915905</v>
      </c>
      <c r="AE942" s="8" t="str">
        <f t="shared" si="77"/>
        <v>2014-11-03</v>
      </c>
      <c r="AF942" s="9" t="str">
        <f t="shared" si="78"/>
        <v>11/3/2014</v>
      </c>
      <c r="AG942" s="8">
        <f t="shared" si="79"/>
        <v>0.54089108147199405</v>
      </c>
    </row>
    <row r="943" spans="28:33">
      <c r="AB943" s="8" t="s">
        <v>633</v>
      </c>
      <c r="AC943" s="8">
        <v>0.54089108147199405</v>
      </c>
      <c r="AD943" s="8">
        <v>0.55195870422915905</v>
      </c>
      <c r="AE943" s="8" t="str">
        <f t="shared" si="77"/>
        <v>2014-11-04</v>
      </c>
      <c r="AF943" s="9" t="str">
        <f t="shared" si="78"/>
        <v>11/4/2014</v>
      </c>
      <c r="AG943" s="8">
        <f t="shared" si="79"/>
        <v>0.54089108147199405</v>
      </c>
    </row>
    <row r="944" spans="28:33">
      <c r="AB944" s="8" t="s">
        <v>634</v>
      </c>
      <c r="AC944" s="8">
        <v>0.54089108147199405</v>
      </c>
      <c r="AD944" s="8">
        <v>0.55195870422915905</v>
      </c>
      <c r="AE944" s="8" t="str">
        <f t="shared" si="77"/>
        <v>2014-11-05</v>
      </c>
      <c r="AF944" s="9" t="str">
        <f t="shared" si="78"/>
        <v>11/5/2014</v>
      </c>
      <c r="AG944" s="8">
        <f t="shared" si="79"/>
        <v>0.54089108147199405</v>
      </c>
    </row>
    <row r="945" spans="28:33">
      <c r="AB945" s="8" t="s">
        <v>635</v>
      </c>
      <c r="AC945" s="8">
        <v>0.505106736466303</v>
      </c>
      <c r="AD945" s="8">
        <v>0.51037572562437195</v>
      </c>
      <c r="AE945" s="8" t="str">
        <f t="shared" si="77"/>
        <v>2014-11-06</v>
      </c>
      <c r="AF945" s="9" t="str">
        <f t="shared" si="78"/>
        <v>11/6/2014</v>
      </c>
      <c r="AG945" s="8">
        <f t="shared" si="79"/>
        <v>0.505106736466303</v>
      </c>
    </row>
    <row r="946" spans="28:33">
      <c r="AB946" s="8" t="s">
        <v>636</v>
      </c>
      <c r="AC946" s="8">
        <v>0.505106736466303</v>
      </c>
      <c r="AD946" s="8">
        <v>0.51037572562437195</v>
      </c>
      <c r="AE946" s="8" t="str">
        <f t="shared" si="77"/>
        <v>2014-11-07</v>
      </c>
      <c r="AF946" s="9" t="str">
        <f t="shared" si="78"/>
        <v>11/7/2014</v>
      </c>
      <c r="AG946" s="8">
        <f t="shared" si="79"/>
        <v>0.505106736466303</v>
      </c>
    </row>
    <row r="947" spans="28:33">
      <c r="AB947" s="8" t="s">
        <v>637</v>
      </c>
      <c r="AC947" s="8">
        <v>0.505106736466303</v>
      </c>
      <c r="AD947" s="8">
        <v>0.51037572562437195</v>
      </c>
      <c r="AE947" s="8" t="str">
        <f t="shared" si="77"/>
        <v>2014-11-10</v>
      </c>
      <c r="AF947" s="9" t="str">
        <f t="shared" si="78"/>
        <v>11/10/2014</v>
      </c>
      <c r="AG947" s="8">
        <f t="shared" si="79"/>
        <v>0.505106736466303</v>
      </c>
    </row>
    <row r="948" spans="28:33">
      <c r="AB948" s="8" t="s">
        <v>638</v>
      </c>
      <c r="AC948" s="8">
        <v>0.505106736466303</v>
      </c>
      <c r="AD948" s="8">
        <v>0.51037572562437195</v>
      </c>
      <c r="AE948" s="8" t="str">
        <f t="shared" si="77"/>
        <v>2014-11-12</v>
      </c>
      <c r="AF948" s="9" t="str">
        <f t="shared" si="78"/>
        <v>11/12/2014</v>
      </c>
      <c r="AG948" s="8">
        <f t="shared" si="79"/>
        <v>0.505106736466303</v>
      </c>
    </row>
    <row r="949" spans="28:33">
      <c r="AB949" s="8" t="s">
        <v>639</v>
      </c>
      <c r="AC949" s="8">
        <v>0.51180256347737196</v>
      </c>
      <c r="AD949" s="8">
        <v>0.51037572562437195</v>
      </c>
      <c r="AE949" s="8" t="str">
        <f t="shared" si="77"/>
        <v>2014-11-13</v>
      </c>
      <c r="AF949" s="9" t="str">
        <f t="shared" si="78"/>
        <v>11/13/2014</v>
      </c>
      <c r="AG949" s="8">
        <f t="shared" si="79"/>
        <v>0.51180256347737196</v>
      </c>
    </row>
    <row r="950" spans="28:33">
      <c r="AB950" s="8" t="s">
        <v>640</v>
      </c>
      <c r="AC950" s="8">
        <v>0.51180256347737196</v>
      </c>
      <c r="AD950" s="8">
        <v>0.51037572562437195</v>
      </c>
      <c r="AE950" s="8" t="str">
        <f t="shared" ref="AE950:AE992" si="80">MID(AB950,2,10)</f>
        <v>2014-11-14</v>
      </c>
      <c r="AF950" s="9" t="str">
        <f t="shared" ref="AF950:AF992" si="81">TEXT(AE950,"m/d/yyyy")</f>
        <v>11/14/2014</v>
      </c>
      <c r="AG950" s="8">
        <f t="shared" ref="AG950:AG990" si="82">AC950</f>
        <v>0.51180256347737196</v>
      </c>
    </row>
    <row r="951" spans="28:33">
      <c r="AB951" s="8" t="s">
        <v>641</v>
      </c>
      <c r="AC951" s="8">
        <v>0.51180256347737196</v>
      </c>
      <c r="AD951" s="8">
        <v>0.51037572562437195</v>
      </c>
      <c r="AE951" s="8" t="str">
        <f t="shared" si="80"/>
        <v>2014-11-17</v>
      </c>
      <c r="AF951" s="9" t="str">
        <f t="shared" si="81"/>
        <v>11/17/2014</v>
      </c>
      <c r="AG951" s="8">
        <f t="shared" si="82"/>
        <v>0.51180256347737196</v>
      </c>
    </row>
    <row r="952" spans="28:33">
      <c r="AB952" s="8" t="s">
        <v>642</v>
      </c>
      <c r="AC952" s="8">
        <v>0.51180256347737196</v>
      </c>
      <c r="AD952" s="8">
        <v>0.51037572562437195</v>
      </c>
      <c r="AE952" s="8" t="str">
        <f t="shared" si="80"/>
        <v>2014-11-18</v>
      </c>
      <c r="AF952" s="9" t="str">
        <f t="shared" si="81"/>
        <v>11/18/2014</v>
      </c>
      <c r="AG952" s="8">
        <f t="shared" si="82"/>
        <v>0.51180256347737196</v>
      </c>
    </row>
    <row r="953" spans="28:33">
      <c r="AB953" s="8" t="s">
        <v>643</v>
      </c>
      <c r="AC953" s="8">
        <v>0.51180256347737196</v>
      </c>
      <c r="AD953" s="8">
        <v>0.51037572562437195</v>
      </c>
      <c r="AE953" s="8" t="str">
        <f t="shared" si="80"/>
        <v>2014-11-19</v>
      </c>
      <c r="AF953" s="9" t="str">
        <f t="shared" si="81"/>
        <v>11/19/2014</v>
      </c>
      <c r="AG953" s="8">
        <f t="shared" si="82"/>
        <v>0.51180256347737196</v>
      </c>
    </row>
    <row r="954" spans="28:33">
      <c r="AB954" s="8" t="s">
        <v>644</v>
      </c>
      <c r="AC954" s="8">
        <v>0.53125439488383197</v>
      </c>
      <c r="AD954" s="8">
        <v>0.53764506362209297</v>
      </c>
      <c r="AE954" s="8" t="str">
        <f t="shared" si="80"/>
        <v>2014-11-20</v>
      </c>
      <c r="AF954" s="9" t="str">
        <f t="shared" si="81"/>
        <v>11/20/2014</v>
      </c>
      <c r="AG954" s="8">
        <f t="shared" si="82"/>
        <v>0.53125439488383197</v>
      </c>
    </row>
    <row r="955" spans="28:33">
      <c r="AB955" s="8" t="s">
        <v>645</v>
      </c>
      <c r="AC955" s="8">
        <v>0.53125439488383197</v>
      </c>
      <c r="AD955" s="8">
        <v>0.53764506362209297</v>
      </c>
      <c r="AE955" s="8" t="str">
        <f t="shared" si="80"/>
        <v>2014-11-21</v>
      </c>
      <c r="AF955" s="9" t="str">
        <f t="shared" si="81"/>
        <v>11/21/2014</v>
      </c>
      <c r="AG955" s="8">
        <f t="shared" si="82"/>
        <v>0.53125439488383197</v>
      </c>
    </row>
    <row r="956" spans="28:33">
      <c r="AB956" s="8" t="s">
        <v>646</v>
      </c>
      <c r="AC956" s="8">
        <v>0.53125439488383197</v>
      </c>
      <c r="AD956" s="8">
        <v>0.53764506362209297</v>
      </c>
      <c r="AE956" s="8" t="str">
        <f t="shared" si="80"/>
        <v>2014-11-24</v>
      </c>
      <c r="AF956" s="9" t="str">
        <f t="shared" si="81"/>
        <v>11/24/2014</v>
      </c>
      <c r="AG956" s="8">
        <f t="shared" si="82"/>
        <v>0.53125439488383197</v>
      </c>
    </row>
    <row r="957" spans="28:33">
      <c r="AB957" s="8" t="s">
        <v>647</v>
      </c>
      <c r="AC957" s="8">
        <v>0.53125439488383197</v>
      </c>
      <c r="AD957" s="8">
        <v>0.53764506362209297</v>
      </c>
      <c r="AE957" s="8" t="str">
        <f t="shared" si="80"/>
        <v>2014-11-25</v>
      </c>
      <c r="AF957" s="9" t="str">
        <f t="shared" si="81"/>
        <v>11/25/2014</v>
      </c>
      <c r="AG957" s="8">
        <f t="shared" si="82"/>
        <v>0.53125439488383197</v>
      </c>
    </row>
    <row r="958" spans="28:33">
      <c r="AB958" s="8" t="s">
        <v>648</v>
      </c>
      <c r="AC958" s="8">
        <v>0.54741627949472405</v>
      </c>
      <c r="AD958" s="8">
        <v>0.56134459063090603</v>
      </c>
      <c r="AE958" s="8" t="str">
        <f t="shared" si="80"/>
        <v>2014-11-26</v>
      </c>
      <c r="AF958" s="9" t="str">
        <f t="shared" si="81"/>
        <v>11/26/2014</v>
      </c>
      <c r="AG958" s="8">
        <f t="shared" si="82"/>
        <v>0.54741627949472405</v>
      </c>
    </row>
    <row r="959" spans="28:33">
      <c r="AB959" s="8" t="s">
        <v>649</v>
      </c>
      <c r="AC959" s="8">
        <v>0.54741627949472405</v>
      </c>
      <c r="AD959" s="8">
        <v>0.56134459063090603</v>
      </c>
      <c r="AE959" s="8" t="str">
        <f t="shared" si="80"/>
        <v>2014-11-28</v>
      </c>
      <c r="AF959" s="9" t="str">
        <f t="shared" si="81"/>
        <v>11/28/2014</v>
      </c>
      <c r="AG959" s="8">
        <f t="shared" si="82"/>
        <v>0.54741627949472405</v>
      </c>
    </row>
    <row r="960" spans="28:33">
      <c r="AB960" s="8" t="s">
        <v>650</v>
      </c>
      <c r="AC960" s="8">
        <v>0.54296193584840502</v>
      </c>
      <c r="AD960" s="8">
        <v>0.55923412101628101</v>
      </c>
      <c r="AE960" s="8" t="str">
        <f t="shared" si="80"/>
        <v>2014-12-01</v>
      </c>
      <c r="AF960" s="9" t="str">
        <f t="shared" si="81"/>
        <v>12/1/2014</v>
      </c>
      <c r="AG960" s="8">
        <f t="shared" si="82"/>
        <v>0.54296193584840502</v>
      </c>
    </row>
    <row r="961" spans="28:33">
      <c r="AB961" s="8" t="s">
        <v>651</v>
      </c>
      <c r="AC961" s="8">
        <v>0.54296193584840502</v>
      </c>
      <c r="AD961" s="8">
        <v>0.55923412101628101</v>
      </c>
      <c r="AE961" s="8" t="str">
        <f t="shared" si="80"/>
        <v>2014-12-02</v>
      </c>
      <c r="AF961" s="9" t="str">
        <f t="shared" si="81"/>
        <v>12/2/2014</v>
      </c>
      <c r="AG961" s="8">
        <f t="shared" si="82"/>
        <v>0.54296193584840502</v>
      </c>
    </row>
    <row r="962" spans="28:33">
      <c r="AB962" s="8" t="s">
        <v>652</v>
      </c>
      <c r="AC962" s="8">
        <v>0.54296193584840502</v>
      </c>
      <c r="AD962" s="8">
        <v>0.55923412101628101</v>
      </c>
      <c r="AE962" s="8" t="str">
        <f t="shared" si="80"/>
        <v>2014-12-03</v>
      </c>
      <c r="AF962" s="9" t="str">
        <f t="shared" si="81"/>
        <v>12/3/2014</v>
      </c>
      <c r="AG962" s="8">
        <f t="shared" si="82"/>
        <v>0.54296193584840502</v>
      </c>
    </row>
    <row r="963" spans="28:33">
      <c r="AB963" s="8" t="s">
        <v>653</v>
      </c>
      <c r="AC963" s="8">
        <v>0.57616107650745496</v>
      </c>
      <c r="AD963" s="8">
        <v>0.56662670751274802</v>
      </c>
      <c r="AE963" s="8" t="str">
        <f t="shared" si="80"/>
        <v>2014-12-04</v>
      </c>
      <c r="AF963" s="9" t="str">
        <f t="shared" si="81"/>
        <v>12/4/2014</v>
      </c>
      <c r="AG963" s="8">
        <f t="shared" si="82"/>
        <v>0.57616107650745496</v>
      </c>
    </row>
    <row r="964" spans="28:33">
      <c r="AB964" s="8" t="s">
        <v>654</v>
      </c>
      <c r="AC964" s="8">
        <v>0.57616107650745496</v>
      </c>
      <c r="AD964" s="8">
        <v>0.56662670751274802</v>
      </c>
      <c r="AE964" s="8" t="str">
        <f t="shared" si="80"/>
        <v>2014-12-05</v>
      </c>
      <c r="AF964" s="9" t="str">
        <f t="shared" si="81"/>
        <v>12/5/2014</v>
      </c>
      <c r="AG964" s="8">
        <f t="shared" si="82"/>
        <v>0.57616107650745496</v>
      </c>
    </row>
    <row r="965" spans="28:33">
      <c r="AB965" s="8" t="s">
        <v>655</v>
      </c>
      <c r="AC965" s="8">
        <v>0.57616107650745496</v>
      </c>
      <c r="AD965" s="8">
        <v>0.56662670751274802</v>
      </c>
      <c r="AE965" s="8" t="str">
        <f t="shared" si="80"/>
        <v>2014-12-08</v>
      </c>
      <c r="AF965" s="9" t="str">
        <f t="shared" si="81"/>
        <v>12/8/2014</v>
      </c>
      <c r="AG965" s="8">
        <f t="shared" si="82"/>
        <v>0.57616107650745496</v>
      </c>
    </row>
    <row r="966" spans="28:33">
      <c r="AB966" s="8" t="s">
        <v>656</v>
      </c>
      <c r="AC966" s="8">
        <v>0.57616107650745496</v>
      </c>
      <c r="AD966" s="8">
        <v>0.56662670751274802</v>
      </c>
      <c r="AE966" s="8" t="str">
        <f t="shared" si="80"/>
        <v>2014-12-09</v>
      </c>
      <c r="AF966" s="9" t="str">
        <f t="shared" si="81"/>
        <v>12/9/2014</v>
      </c>
      <c r="AG966" s="8">
        <f t="shared" si="82"/>
        <v>0.57616107650745496</v>
      </c>
    </row>
    <row r="967" spans="28:33">
      <c r="AB967" s="8" t="s">
        <v>657</v>
      </c>
      <c r="AC967" s="8">
        <v>0.57616107650745496</v>
      </c>
      <c r="AD967" s="8">
        <v>0.56662670751274802</v>
      </c>
      <c r="AE967" s="8" t="str">
        <f t="shared" si="80"/>
        <v>2014-12-10</v>
      </c>
      <c r="AF967" s="9" t="str">
        <f t="shared" si="81"/>
        <v>12/10/2014</v>
      </c>
      <c r="AG967" s="8">
        <f t="shared" si="82"/>
        <v>0.57616107650745496</v>
      </c>
    </row>
    <row r="968" spans="28:33">
      <c r="AB968" s="8" t="s">
        <v>658</v>
      </c>
      <c r="AC968" s="8">
        <v>0.56511283574971805</v>
      </c>
      <c r="AD968" s="8">
        <v>0.55923412101628101</v>
      </c>
      <c r="AE968" s="8" t="str">
        <f t="shared" si="80"/>
        <v>2014-12-11</v>
      </c>
      <c r="AF968" s="9" t="str">
        <f t="shared" si="81"/>
        <v>12/11/2014</v>
      </c>
      <c r="AG968" s="8">
        <f t="shared" si="82"/>
        <v>0.56511283574971805</v>
      </c>
    </row>
    <row r="969" spans="28:33">
      <c r="AB969" s="8" t="s">
        <v>659</v>
      </c>
      <c r="AC969" s="8">
        <v>0.56511283574971805</v>
      </c>
      <c r="AD969" s="8">
        <v>0.55923412101628101</v>
      </c>
      <c r="AE969" s="8" t="str">
        <f t="shared" si="80"/>
        <v>2014-12-12</v>
      </c>
      <c r="AF969" s="9" t="str">
        <f t="shared" si="81"/>
        <v>12/12/2014</v>
      </c>
      <c r="AG969" s="8">
        <f t="shared" si="82"/>
        <v>0.56511283574971805</v>
      </c>
    </row>
    <row r="970" spans="28:33">
      <c r="AB970" s="8" t="s">
        <v>660</v>
      </c>
      <c r="AC970" s="8">
        <v>0.56511283574971805</v>
      </c>
      <c r="AD970" s="8">
        <v>0.55923412101628101</v>
      </c>
      <c r="AE970" s="8" t="str">
        <f t="shared" si="80"/>
        <v>2014-12-15</v>
      </c>
      <c r="AF970" s="9" t="str">
        <f t="shared" si="81"/>
        <v>12/15/2014</v>
      </c>
      <c r="AG970" s="8">
        <f t="shared" si="82"/>
        <v>0.56511283574971805</v>
      </c>
    </row>
    <row r="971" spans="28:33">
      <c r="AB971" s="8" t="s">
        <v>661</v>
      </c>
      <c r="AC971" s="8">
        <v>0.56511283574971805</v>
      </c>
      <c r="AD971" s="8">
        <v>0.55923412101628101</v>
      </c>
      <c r="AE971" s="8" t="str">
        <f t="shared" si="80"/>
        <v>2014-12-16</v>
      </c>
      <c r="AF971" s="9" t="str">
        <f t="shared" si="81"/>
        <v>12/16/2014</v>
      </c>
      <c r="AG971" s="8">
        <f t="shared" si="82"/>
        <v>0.56511283574971805</v>
      </c>
    </row>
    <row r="972" spans="28:33">
      <c r="AB972" s="8" t="s">
        <v>662</v>
      </c>
      <c r="AC972" s="8">
        <v>0.56511283574971805</v>
      </c>
      <c r="AD972" s="8">
        <v>0.55923412101628101</v>
      </c>
      <c r="AE972" s="8" t="str">
        <f t="shared" si="80"/>
        <v>2014-12-17</v>
      </c>
      <c r="AF972" s="9" t="str">
        <f t="shared" si="81"/>
        <v>12/17/2014</v>
      </c>
      <c r="AG972" s="8">
        <f t="shared" si="82"/>
        <v>0.56511283574971805</v>
      </c>
    </row>
    <row r="973" spans="28:33">
      <c r="AB973" s="8" t="s">
        <v>663</v>
      </c>
      <c r="AC973" s="8">
        <v>0.60670206616303102</v>
      </c>
      <c r="AD973" s="8">
        <v>0.61364575484765904</v>
      </c>
      <c r="AE973" s="8" t="str">
        <f t="shared" si="80"/>
        <v>2014-12-18</v>
      </c>
      <c r="AF973" s="9" t="str">
        <f t="shared" si="81"/>
        <v>12/18/2014</v>
      </c>
      <c r="AG973" s="8">
        <f t="shared" si="82"/>
        <v>0.60670206616303102</v>
      </c>
    </row>
    <row r="974" spans="28:33">
      <c r="AB974" s="8" t="s">
        <v>664</v>
      </c>
      <c r="AC974" s="8">
        <v>0.60670206616303102</v>
      </c>
      <c r="AD974" s="8">
        <v>0.61364575484765904</v>
      </c>
      <c r="AE974" s="8" t="str">
        <f t="shared" si="80"/>
        <v>2014-12-19</v>
      </c>
      <c r="AF974" s="9" t="str">
        <f t="shared" si="81"/>
        <v>12/19/2014</v>
      </c>
      <c r="AG974" s="8">
        <f t="shared" si="82"/>
        <v>0.60670206616303102</v>
      </c>
    </row>
    <row r="975" spans="28:33">
      <c r="AB975" s="8" t="s">
        <v>665</v>
      </c>
      <c r="AC975" s="8">
        <v>0.60670206616303102</v>
      </c>
      <c r="AD975" s="8">
        <v>0.61364575484765904</v>
      </c>
      <c r="AE975" s="8" t="str">
        <f t="shared" si="80"/>
        <v>2014-12-22</v>
      </c>
      <c r="AF975" s="9" t="str">
        <f t="shared" si="81"/>
        <v>12/22/2014</v>
      </c>
      <c r="AG975" s="8">
        <f t="shared" si="82"/>
        <v>0.60670206616303102</v>
      </c>
    </row>
    <row r="976" spans="28:33">
      <c r="AB976" s="8" t="s">
        <v>666</v>
      </c>
      <c r="AC976" s="8">
        <v>0.60670206616303102</v>
      </c>
      <c r="AD976" s="8">
        <v>0.61435347220240899</v>
      </c>
      <c r="AE976" s="8" t="str">
        <f t="shared" si="80"/>
        <v>2014-12-23</v>
      </c>
      <c r="AF976" s="9" t="str">
        <f t="shared" si="81"/>
        <v>12/23/2014</v>
      </c>
      <c r="AG976" s="8">
        <f t="shared" si="82"/>
        <v>0.60670206616303102</v>
      </c>
    </row>
    <row r="977" spans="28:33">
      <c r="AB977" s="8" t="s">
        <v>667</v>
      </c>
      <c r="AC977" s="8">
        <v>0.59762468592169804</v>
      </c>
      <c r="AD977" s="8">
        <v>0.60097069847550799</v>
      </c>
      <c r="AE977" s="8" t="str">
        <f t="shared" si="80"/>
        <v>2014-12-24</v>
      </c>
      <c r="AF977" s="9" t="str">
        <f t="shared" si="81"/>
        <v>12/24/2014</v>
      </c>
      <c r="AG977" s="8">
        <f t="shared" si="82"/>
        <v>0.59762468592169804</v>
      </c>
    </row>
    <row r="978" spans="28:33">
      <c r="AB978" s="8" t="s">
        <v>668</v>
      </c>
      <c r="AC978" s="8">
        <v>0.59762468592169804</v>
      </c>
      <c r="AD978" s="8">
        <v>0.60097069847550799</v>
      </c>
      <c r="AE978" s="8" t="str">
        <f t="shared" si="80"/>
        <v>2014-12-26</v>
      </c>
      <c r="AF978" s="9" t="str">
        <f t="shared" si="81"/>
        <v>12/26/2014</v>
      </c>
      <c r="AG978" s="8">
        <f t="shared" si="82"/>
        <v>0.59762468592169804</v>
      </c>
    </row>
    <row r="979" spans="28:33">
      <c r="AB979" s="8" t="s">
        <v>669</v>
      </c>
      <c r="AC979" s="8">
        <v>0.59762468592169804</v>
      </c>
      <c r="AD979" s="8">
        <v>0.60097069847550799</v>
      </c>
      <c r="AE979" s="8" t="str">
        <f t="shared" si="80"/>
        <v>2014-12-29</v>
      </c>
      <c r="AF979" s="9" t="str">
        <f t="shared" si="81"/>
        <v>12/29/2014</v>
      </c>
      <c r="AG979" s="8">
        <f t="shared" si="82"/>
        <v>0.59762468592169804</v>
      </c>
    </row>
    <row r="980" spans="28:33">
      <c r="AB980" s="8" t="s">
        <v>670</v>
      </c>
      <c r="AC980" s="8">
        <v>0.59762468592169804</v>
      </c>
      <c r="AD980" s="8">
        <v>0.60097069847550799</v>
      </c>
      <c r="AE980" s="8" t="str">
        <f t="shared" si="80"/>
        <v>2014-12-30</v>
      </c>
      <c r="AF980" s="9" t="str">
        <f t="shared" si="81"/>
        <v>12/30/2014</v>
      </c>
      <c r="AG980" s="8">
        <f t="shared" si="82"/>
        <v>0.59762468592169804</v>
      </c>
    </row>
    <row r="981" spans="28:33">
      <c r="AB981" s="8" t="s">
        <v>671</v>
      </c>
      <c r="AC981" s="8">
        <v>0.58158481943829898</v>
      </c>
      <c r="AD981" s="8">
        <v>0.56662670751274802</v>
      </c>
      <c r="AE981" s="8" t="str">
        <f t="shared" si="80"/>
        <v>2014-12-31</v>
      </c>
      <c r="AF981" s="9" t="str">
        <f t="shared" si="81"/>
        <v>12/31/2014</v>
      </c>
      <c r="AG981" s="8">
        <f t="shared" si="82"/>
        <v>0.58158481943829898</v>
      </c>
    </row>
    <row r="982" spans="28:33">
      <c r="AB982" s="8" t="s">
        <v>672</v>
      </c>
      <c r="AC982" s="8">
        <v>0.57715851233210802</v>
      </c>
      <c r="AD982" s="8">
        <v>0.551799316776872</v>
      </c>
      <c r="AE982" s="8" t="str">
        <f t="shared" si="80"/>
        <v>2015-01-02</v>
      </c>
      <c r="AF982" s="9" t="str">
        <f t="shared" si="81"/>
        <v>1/2/2015</v>
      </c>
      <c r="AG982" s="8">
        <f t="shared" si="82"/>
        <v>0.57715851233210802</v>
      </c>
    </row>
    <row r="983" spans="28:33">
      <c r="AB983" s="8" t="s">
        <v>673</v>
      </c>
      <c r="AC983" s="8">
        <v>0.57710358293411501</v>
      </c>
      <c r="AD983" s="8">
        <v>0.55107728820984703</v>
      </c>
      <c r="AE983" s="8" t="str">
        <f t="shared" si="80"/>
        <v>2015-01-05</v>
      </c>
      <c r="AF983" s="9" t="str">
        <f t="shared" si="81"/>
        <v>1/5/2015</v>
      </c>
      <c r="AG983" s="8">
        <f t="shared" si="82"/>
        <v>0.57710358293411501</v>
      </c>
    </row>
    <row r="984" spans="28:33">
      <c r="AB984" s="8" t="s">
        <v>674</v>
      </c>
      <c r="AC984" s="8">
        <v>0.57710358293411501</v>
      </c>
      <c r="AD984" s="8">
        <v>0.55107728820984703</v>
      </c>
      <c r="AE984" s="8" t="str">
        <f t="shared" si="80"/>
        <v>2015-01-06</v>
      </c>
      <c r="AF984" s="9" t="str">
        <f t="shared" si="81"/>
        <v>1/6/2015</v>
      </c>
      <c r="AG984" s="8">
        <f t="shared" si="82"/>
        <v>0.57710358293411501</v>
      </c>
    </row>
    <row r="985" spans="28:33">
      <c r="AB985" s="8" t="s">
        <v>675</v>
      </c>
      <c r="AC985" s="8">
        <v>0.57710358293411501</v>
      </c>
      <c r="AD985" s="8">
        <v>0.55107728820984703</v>
      </c>
      <c r="AE985" s="8" t="str">
        <f t="shared" si="80"/>
        <v>2015-01-07</v>
      </c>
      <c r="AF985" s="9" t="str">
        <f t="shared" si="81"/>
        <v>1/7/2015</v>
      </c>
      <c r="AG985" s="8">
        <f t="shared" si="82"/>
        <v>0.57710358293411501</v>
      </c>
    </row>
    <row r="986" spans="28:33">
      <c r="AB986" s="8" t="s">
        <v>676</v>
      </c>
      <c r="AC986" s="8">
        <v>0.62970048301444503</v>
      </c>
      <c r="AD986" s="8">
        <v>0.65653864992442801</v>
      </c>
      <c r="AE986" s="8" t="str">
        <f t="shared" si="80"/>
        <v>2015-01-08</v>
      </c>
      <c r="AF986" s="9" t="str">
        <f t="shared" si="81"/>
        <v>1/8/2015</v>
      </c>
      <c r="AG986" s="8">
        <f t="shared" si="82"/>
        <v>0.62970048301444503</v>
      </c>
    </row>
    <row r="987" spans="28:33">
      <c r="AB987" s="8" t="s">
        <v>677</v>
      </c>
      <c r="AC987" s="8">
        <v>0.62970048301444503</v>
      </c>
      <c r="AD987" s="8">
        <v>0.65653864992442801</v>
      </c>
      <c r="AE987" s="8" t="str">
        <f t="shared" si="80"/>
        <v>2015-01-09</v>
      </c>
      <c r="AF987" s="9" t="str">
        <f t="shared" si="81"/>
        <v>1/9/2015</v>
      </c>
      <c r="AG987" s="8">
        <f t="shared" si="82"/>
        <v>0.62970048301444503</v>
      </c>
    </row>
    <row r="988" spans="28:33">
      <c r="AB988" s="8" t="s">
        <v>678</v>
      </c>
      <c r="AC988" s="8">
        <v>0.62970048301444503</v>
      </c>
      <c r="AD988" s="8">
        <v>0.65653864992442801</v>
      </c>
      <c r="AE988" s="8" t="str">
        <f t="shared" si="80"/>
        <v>2015-01-12</v>
      </c>
      <c r="AF988" s="9" t="str">
        <f t="shared" si="81"/>
        <v>1/12/2015</v>
      </c>
      <c r="AG988" s="8">
        <f t="shared" si="82"/>
        <v>0.62970048301444503</v>
      </c>
    </row>
    <row r="989" spans="28:33">
      <c r="AB989" s="8" t="s">
        <v>679</v>
      </c>
      <c r="AC989" s="8">
        <v>0.62970048301444503</v>
      </c>
      <c r="AD989" s="8">
        <v>0.65653864992442801</v>
      </c>
      <c r="AE989" s="8" t="str">
        <f t="shared" si="80"/>
        <v>2015-01-13</v>
      </c>
      <c r="AF989" s="9" t="str">
        <f t="shared" si="81"/>
        <v>1/13/2015</v>
      </c>
      <c r="AG989" s="8">
        <f t="shared" si="82"/>
        <v>0.62970048301444503</v>
      </c>
    </row>
    <row r="990" spans="28:33">
      <c r="AB990" s="8" t="s">
        <v>680</v>
      </c>
      <c r="AC990" s="8">
        <v>0.62970048301444503</v>
      </c>
      <c r="AD990" s="8">
        <v>0.65653864992442801</v>
      </c>
      <c r="AE990" s="8" t="str">
        <f t="shared" si="80"/>
        <v>2015-01-14</v>
      </c>
      <c r="AF990" s="9" t="str">
        <f t="shared" si="81"/>
        <v>1/14/2015</v>
      </c>
      <c r="AG990" s="8">
        <f t="shared" si="82"/>
        <v>0.62970048301444503</v>
      </c>
    </row>
    <row r="991" spans="28:33">
      <c r="AB991" s="8" t="s">
        <v>681</v>
      </c>
      <c r="AC991" s="8">
        <v>0.65257308969636896</v>
      </c>
      <c r="AD991" s="8">
        <v>0.70656201919319594</v>
      </c>
      <c r="AE991" s="8" t="str">
        <f t="shared" si="80"/>
        <v>2015-01-15</v>
      </c>
      <c r="AF991" s="9" t="str">
        <f t="shared" si="81"/>
        <v>1/15/2015</v>
      </c>
      <c r="AG991" s="8">
        <f>AC991</f>
        <v>0.65257308969636896</v>
      </c>
    </row>
    <row r="992" spans="28:33">
      <c r="AB992" s="11" t="s">
        <v>682</v>
      </c>
      <c r="AC992" s="8">
        <v>0.65257308969636896</v>
      </c>
      <c r="AD992" s="8">
        <v>0.70656201919319594</v>
      </c>
      <c r="AE992" s="8" t="str">
        <f t="shared" si="80"/>
        <v>015-01-16'</v>
      </c>
      <c r="AF992" s="9" t="str">
        <f t="shared" si="81"/>
        <v>015-01-16'</v>
      </c>
      <c r="AG992" s="8">
        <f>AC992</f>
        <v>0.65257308969636896</v>
      </c>
    </row>
    <row r="993" spans="9:31">
      <c r="AB993" t="s">
        <v>0</v>
      </c>
      <c r="AC993" t="s">
        <v>1</v>
      </c>
      <c r="AD993" t="s">
        <v>2</v>
      </c>
    </row>
    <row r="994" spans="9:31">
      <c r="AB994" t="s">
        <v>681</v>
      </c>
      <c r="AC994">
        <v>0.65278570887391996</v>
      </c>
      <c r="AD994">
        <v>0.70687680428774602</v>
      </c>
    </row>
    <row r="995" spans="9:31">
      <c r="AB995" t="s">
        <v>997</v>
      </c>
      <c r="AC995">
        <v>0.65278570887391996</v>
      </c>
      <c r="AD995">
        <v>0.70687680428774602</v>
      </c>
    </row>
    <row r="996" spans="9:31">
      <c r="L996"/>
      <c r="M996" s="3"/>
      <c r="AC996" t="s">
        <v>998</v>
      </c>
      <c r="AD996">
        <v>0.65278570887391996</v>
      </c>
      <c r="AE996">
        <v>0.70687680428774602</v>
      </c>
    </row>
    <row r="997" spans="9:31">
      <c r="AB997" t="s">
        <v>999</v>
      </c>
      <c r="AC997">
        <v>0.65278570887391996</v>
      </c>
      <c r="AD997">
        <v>0.70687680428774602</v>
      </c>
    </row>
    <row r="1001" spans="9:31">
      <c r="I1001" s="12" t="s">
        <v>617</v>
      </c>
    </row>
    <row r="1017" spans="8:8">
      <c r="H1017" t="s">
        <v>617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35"/>
  <sheetViews>
    <sheetView workbookViewId="0">
      <selection activeCell="R3" sqref="R3"/>
    </sheetView>
  </sheetViews>
  <sheetFormatPr defaultRowHeight="15"/>
  <cols>
    <col min="2" max="2" width="10.7109375" bestFit="1" customWidth="1"/>
    <col min="4" max="4" width="9.140625" style="7"/>
  </cols>
  <sheetData>
    <row r="1" spans="1:19">
      <c r="B1" s="1">
        <v>42116</v>
      </c>
      <c r="C1" t="s">
        <v>603</v>
      </c>
    </row>
    <row r="2" spans="1:19">
      <c r="A2" t="s">
        <v>504</v>
      </c>
      <c r="C2" s="4">
        <f t="shared" ref="C2:C4" si="0">C3+0.1%</f>
        <v>3.95E-2</v>
      </c>
      <c r="D2" s="7">
        <v>0.46447216205717501</v>
      </c>
      <c r="E2" s="8"/>
      <c r="F2" s="8"/>
      <c r="G2" s="6"/>
    </row>
    <row r="3" spans="1:19">
      <c r="C3" s="4">
        <f t="shared" si="0"/>
        <v>3.85E-2</v>
      </c>
      <c r="D3" s="7">
        <v>0.532657229248233</v>
      </c>
      <c r="G3" s="6"/>
    </row>
    <row r="4" spans="1:19">
      <c r="C4" s="4">
        <f t="shared" si="0"/>
        <v>3.7499999999999999E-2</v>
      </c>
      <c r="D4" s="7">
        <v>0.57125630381074999</v>
      </c>
      <c r="G4" s="6"/>
      <c r="S4" t="s">
        <v>617</v>
      </c>
    </row>
    <row r="5" spans="1:19">
      <c r="C5" s="4">
        <f>C6+0.1%</f>
        <v>3.6499999999999998E-2</v>
      </c>
      <c r="D5" s="7">
        <v>0.60962063641515296</v>
      </c>
      <c r="G5" s="6"/>
    </row>
    <row r="6" spans="1:19">
      <c r="B6" t="s">
        <v>1020</v>
      </c>
      <c r="C6" s="5">
        <v>3.5499999999999997E-2</v>
      </c>
      <c r="D6" s="7">
        <v>0.64956809385682102</v>
      </c>
      <c r="G6" s="6"/>
    </row>
    <row r="7" spans="1:19">
      <c r="C7" s="4">
        <f>C6-0.1%</f>
        <v>3.4499999999999996E-2</v>
      </c>
      <c r="D7" s="7">
        <v>0.74031141300451497</v>
      </c>
      <c r="G7" s="6"/>
    </row>
    <row r="8" spans="1:19">
      <c r="C8" s="4">
        <f t="shared" ref="C8:C25" si="1">C7-0.1%</f>
        <v>3.3499999999999995E-2</v>
      </c>
      <c r="D8" s="7">
        <v>0.79402724044913497</v>
      </c>
      <c r="G8" s="6"/>
    </row>
    <row r="9" spans="1:19">
      <c r="C9" s="4">
        <f t="shared" si="1"/>
        <v>3.2499999999999994E-2</v>
      </c>
      <c r="D9" s="7">
        <v>0.81569259094140101</v>
      </c>
      <c r="G9" s="6"/>
    </row>
    <row r="10" spans="1:19">
      <c r="C10" s="4">
        <f t="shared" si="1"/>
        <v>3.1499999999999993E-2</v>
      </c>
      <c r="D10" s="7">
        <v>0.85409676525745903</v>
      </c>
      <c r="G10" s="6"/>
    </row>
    <row r="11" spans="1:19">
      <c r="C11" s="4">
        <f t="shared" si="1"/>
        <v>3.0499999999999992E-2</v>
      </c>
      <c r="D11" s="7">
        <v>0.91688229551368094</v>
      </c>
      <c r="G11" s="6"/>
    </row>
    <row r="12" spans="1:19">
      <c r="C12" s="4">
        <f t="shared" si="1"/>
        <v>2.9499999999999992E-2</v>
      </c>
      <c r="D12" s="7">
        <v>0.98280165122622398</v>
      </c>
      <c r="G12" s="6"/>
    </row>
    <row r="13" spans="1:19">
      <c r="C13" s="4">
        <f t="shared" si="1"/>
        <v>2.8499999999999991E-2</v>
      </c>
      <c r="D13" s="7">
        <v>0.99250916056680505</v>
      </c>
      <c r="G13" s="6"/>
    </row>
    <row r="14" spans="1:19">
      <c r="C14" s="4">
        <f t="shared" si="1"/>
        <v>2.749999999999999E-2</v>
      </c>
      <c r="G14" s="6"/>
    </row>
    <row r="15" spans="1:19">
      <c r="C15" s="4">
        <v>3.5000000000000003E-2</v>
      </c>
      <c r="G15" s="6"/>
    </row>
    <row r="16" spans="1:19">
      <c r="C16" s="4">
        <v>3.5700000000000003E-2</v>
      </c>
      <c r="G16" s="6"/>
    </row>
    <row r="17" spans="3:10">
      <c r="C17" s="4">
        <v>3.4700000000000002E-2</v>
      </c>
      <c r="G17" s="6"/>
    </row>
    <row r="18" spans="3:10">
      <c r="C18" s="4">
        <f t="shared" si="1"/>
        <v>3.3700000000000001E-2</v>
      </c>
    </row>
    <row r="19" spans="3:10">
      <c r="C19" s="4">
        <f t="shared" si="1"/>
        <v>3.27E-2</v>
      </c>
    </row>
    <row r="20" spans="3:10">
      <c r="C20" s="4">
        <f t="shared" si="1"/>
        <v>3.1699999999999999E-2</v>
      </c>
    </row>
    <row r="21" spans="3:10">
      <c r="C21" s="4">
        <f t="shared" si="1"/>
        <v>3.0699999999999998E-2</v>
      </c>
    </row>
    <row r="22" spans="3:10">
      <c r="C22" s="4">
        <f t="shared" si="1"/>
        <v>2.9699999999999997E-2</v>
      </c>
    </row>
    <row r="23" spans="3:10">
      <c r="C23" s="4">
        <f t="shared" si="1"/>
        <v>2.8699999999999996E-2</v>
      </c>
    </row>
    <row r="24" spans="3:10">
      <c r="C24" s="4">
        <f t="shared" si="1"/>
        <v>2.7699999999999995E-2</v>
      </c>
    </row>
    <row r="25" spans="3:10">
      <c r="C25" s="4">
        <f t="shared" si="1"/>
        <v>2.6699999999999995E-2</v>
      </c>
    </row>
    <row r="26" spans="3:10">
      <c r="G26" s="8"/>
    </row>
    <row r="27" spans="3:10">
      <c r="G27" s="8"/>
    </row>
    <row r="28" spans="3:10">
      <c r="G28" s="8"/>
    </row>
    <row r="29" spans="3:10">
      <c r="G29" s="8"/>
    </row>
    <row r="30" spans="3:10">
      <c r="G30" s="8"/>
    </row>
    <row r="31" spans="3:10">
      <c r="G31" s="8"/>
      <c r="J31" t="s">
        <v>617</v>
      </c>
    </row>
    <row r="32" spans="3:10">
      <c r="G32" s="8"/>
    </row>
    <row r="33" spans="7:7">
      <c r="G33" s="8"/>
    </row>
    <row r="34" spans="7:7">
      <c r="G34" s="8"/>
    </row>
    <row r="35" spans="7:7">
      <c r="G35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C433"/>
  <sheetViews>
    <sheetView topLeftCell="A367" workbookViewId="0">
      <selection activeCell="F393" sqref="F393"/>
    </sheetView>
  </sheetViews>
  <sheetFormatPr defaultRowHeight="15"/>
  <cols>
    <col min="2" max="2" width="16.28515625" customWidth="1"/>
  </cols>
  <sheetData>
    <row r="1" spans="2:3">
      <c r="B1" s="9" t="e">
        <f ca="1">_xll.BDH("MBAVCMRS Index","PX LAST","8/10/07",TODAY(),"cols=2;rows=402")</f>
        <v>#NAME?</v>
      </c>
      <c r="C1">
        <v>2104.1</v>
      </c>
    </row>
    <row r="2" spans="2:3">
      <c r="B2" s="9">
        <v>39311</v>
      </c>
      <c r="C2">
        <v>1960.1</v>
      </c>
    </row>
    <row r="3" spans="2:3">
      <c r="B3" s="9">
        <v>39318</v>
      </c>
      <c r="C3">
        <v>1871.4</v>
      </c>
    </row>
    <row r="4" spans="2:3">
      <c r="B4" s="9">
        <v>39325</v>
      </c>
      <c r="C4">
        <v>1892.3</v>
      </c>
    </row>
    <row r="5" spans="2:3">
      <c r="B5" s="9">
        <v>39332</v>
      </c>
      <c r="C5">
        <v>2009.3</v>
      </c>
    </row>
    <row r="6" spans="2:3">
      <c r="B6" s="9">
        <v>39339</v>
      </c>
      <c r="C6">
        <v>2091.1</v>
      </c>
    </row>
    <row r="7" spans="2:3">
      <c r="B7" s="9">
        <v>39346</v>
      </c>
      <c r="C7">
        <v>2172.5</v>
      </c>
    </row>
    <row r="8" spans="2:3">
      <c r="B8" s="9">
        <v>39353</v>
      </c>
      <c r="C8">
        <v>2065.6999999999998</v>
      </c>
    </row>
    <row r="9" spans="2:3">
      <c r="B9" s="9">
        <v>39360</v>
      </c>
      <c r="C9">
        <v>2153.3000000000002</v>
      </c>
    </row>
    <row r="10" spans="2:3">
      <c r="B10" s="9">
        <v>39367</v>
      </c>
      <c r="C10">
        <v>2116.6</v>
      </c>
    </row>
    <row r="11" spans="2:3">
      <c r="B11" s="9">
        <v>39374</v>
      </c>
      <c r="C11">
        <v>2221.1</v>
      </c>
    </row>
    <row r="12" spans="2:3">
      <c r="B12" s="9">
        <v>39381</v>
      </c>
      <c r="C12">
        <v>2433.1999999999998</v>
      </c>
    </row>
    <row r="13" spans="2:3">
      <c r="B13" s="9">
        <v>39388</v>
      </c>
      <c r="C13">
        <v>2336.1999999999998</v>
      </c>
    </row>
    <row r="14" spans="2:3">
      <c r="B14" s="9">
        <v>39395</v>
      </c>
      <c r="C14">
        <v>2503.6</v>
      </c>
    </row>
    <row r="15" spans="2:3">
      <c r="B15" s="9">
        <v>39402</v>
      </c>
      <c r="C15">
        <v>2371.1</v>
      </c>
    </row>
    <row r="16" spans="2:3">
      <c r="B16" s="9">
        <v>39409</v>
      </c>
      <c r="C16">
        <v>2283.3000000000002</v>
      </c>
    </row>
    <row r="17" spans="2:3">
      <c r="B17" s="9">
        <v>39416</v>
      </c>
      <c r="C17">
        <v>3006.1</v>
      </c>
    </row>
    <row r="18" spans="2:3">
      <c r="B18" s="9">
        <v>39423</v>
      </c>
      <c r="C18">
        <v>3158.8</v>
      </c>
    </row>
    <row r="19" spans="2:3">
      <c r="B19" s="9">
        <v>39430</v>
      </c>
      <c r="C19">
        <v>2253.1</v>
      </c>
    </row>
    <row r="20" spans="2:3">
      <c r="B20" s="9">
        <v>39437</v>
      </c>
      <c r="C20">
        <v>2066.3000000000002</v>
      </c>
    </row>
    <row r="21" spans="2:3">
      <c r="B21" s="9">
        <v>39444</v>
      </c>
      <c r="C21">
        <v>1732.7</v>
      </c>
    </row>
    <row r="22" spans="2:3">
      <c r="B22" s="9">
        <v>39451</v>
      </c>
      <c r="C22">
        <v>2729.3</v>
      </c>
    </row>
    <row r="23" spans="2:3">
      <c r="B23" s="9">
        <v>39458</v>
      </c>
      <c r="C23">
        <v>3923.5</v>
      </c>
    </row>
    <row r="24" spans="2:3">
      <c r="B24" s="9">
        <v>39465</v>
      </c>
      <c r="C24">
        <v>4588.3999999999996</v>
      </c>
    </row>
    <row r="25" spans="2:3">
      <c r="B25" s="9">
        <v>39472</v>
      </c>
      <c r="C25">
        <v>5682.2</v>
      </c>
    </row>
    <row r="26" spans="2:3">
      <c r="B26" s="9">
        <v>39479</v>
      </c>
      <c r="C26">
        <v>5523.9</v>
      </c>
    </row>
    <row r="27" spans="2:3">
      <c r="B27" s="9">
        <v>39486</v>
      </c>
      <c r="C27">
        <v>5362.6</v>
      </c>
    </row>
    <row r="28" spans="2:3">
      <c r="B28" s="9">
        <v>39493</v>
      </c>
      <c r="C28">
        <v>3784.1</v>
      </c>
    </row>
    <row r="29" spans="2:3">
      <c r="B29" s="9">
        <v>39500</v>
      </c>
      <c r="C29">
        <v>2571.6</v>
      </c>
    </row>
    <row r="30" spans="2:3">
      <c r="B30" s="9">
        <v>39507</v>
      </c>
      <c r="C30">
        <v>2667.8</v>
      </c>
    </row>
    <row r="31" spans="2:3">
      <c r="B31" s="9">
        <v>39514</v>
      </c>
      <c r="C31">
        <v>2519.4</v>
      </c>
    </row>
    <row r="32" spans="2:3">
      <c r="B32" s="9">
        <v>39521</v>
      </c>
      <c r="C32">
        <v>2338.8000000000002</v>
      </c>
    </row>
    <row r="33" spans="2:3">
      <c r="B33" s="9">
        <v>39528</v>
      </c>
      <c r="C33">
        <v>4468.3999999999996</v>
      </c>
    </row>
    <row r="34" spans="2:3">
      <c r="B34" s="9">
        <v>39535</v>
      </c>
      <c r="C34">
        <v>2653.2</v>
      </c>
    </row>
    <row r="35" spans="2:3">
      <c r="B35" s="9">
        <v>39542</v>
      </c>
      <c r="C35">
        <v>2709.1</v>
      </c>
    </row>
    <row r="36" spans="2:3">
      <c r="B36" s="9">
        <v>39549</v>
      </c>
      <c r="C36">
        <v>2880.7</v>
      </c>
    </row>
    <row r="37" spans="2:3">
      <c r="B37" s="9">
        <v>39556</v>
      </c>
      <c r="C37">
        <v>2215.6999999999998</v>
      </c>
    </row>
    <row r="38" spans="2:3">
      <c r="B38" s="9">
        <v>39563</v>
      </c>
      <c r="C38">
        <v>1809.5</v>
      </c>
    </row>
    <row r="39" spans="2:3">
      <c r="B39" s="9">
        <v>39570</v>
      </c>
      <c r="C39">
        <v>2195</v>
      </c>
    </row>
    <row r="40" spans="2:3">
      <c r="B40" s="9">
        <v>39577</v>
      </c>
      <c r="C40">
        <v>2388.8000000000002</v>
      </c>
    </row>
    <row r="41" spans="2:3">
      <c r="B41" s="9">
        <v>39584</v>
      </c>
      <c r="C41">
        <v>2135.8000000000002</v>
      </c>
    </row>
    <row r="42" spans="2:3">
      <c r="B42" s="9">
        <v>39591</v>
      </c>
      <c r="C42">
        <v>1930.4</v>
      </c>
    </row>
    <row r="43" spans="2:3">
      <c r="B43" s="9">
        <v>39598</v>
      </c>
      <c r="C43">
        <v>1387.8</v>
      </c>
    </row>
    <row r="44" spans="2:3">
      <c r="B44" s="9">
        <v>39605</v>
      </c>
      <c r="C44">
        <v>1477.5</v>
      </c>
    </row>
    <row r="45" spans="2:3">
      <c r="B45" s="9">
        <v>39612</v>
      </c>
      <c r="C45">
        <v>1219.7</v>
      </c>
    </row>
    <row r="46" spans="2:3">
      <c r="B46" s="9">
        <v>39619</v>
      </c>
      <c r="C46">
        <v>1044.5999999999999</v>
      </c>
    </row>
    <row r="47" spans="2:3">
      <c r="B47" s="9">
        <v>39626</v>
      </c>
      <c r="C47">
        <v>1111.3</v>
      </c>
    </row>
    <row r="48" spans="2:3">
      <c r="B48" s="9">
        <v>39633</v>
      </c>
      <c r="C48">
        <v>1166.5</v>
      </c>
    </row>
    <row r="49" spans="2:3">
      <c r="B49" s="9">
        <v>39640</v>
      </c>
      <c r="C49">
        <v>1270.5999999999999</v>
      </c>
    </row>
    <row r="50" spans="2:3">
      <c r="B50" s="9">
        <v>39647</v>
      </c>
      <c r="C50">
        <v>1213.9000000000001</v>
      </c>
    </row>
    <row r="51" spans="2:3">
      <c r="B51" s="9">
        <v>39654</v>
      </c>
      <c r="C51">
        <v>874.1</v>
      </c>
    </row>
    <row r="52" spans="2:3">
      <c r="B52" s="9">
        <v>39661</v>
      </c>
      <c r="C52">
        <v>897.7</v>
      </c>
    </row>
    <row r="53" spans="2:3">
      <c r="B53" s="9">
        <v>39668</v>
      </c>
      <c r="C53">
        <v>853.1</v>
      </c>
    </row>
    <row r="54" spans="2:3">
      <c r="B54" s="9">
        <v>39675</v>
      </c>
      <c r="C54">
        <v>815.2</v>
      </c>
    </row>
    <row r="55" spans="2:3">
      <c r="B55" s="9">
        <v>39682</v>
      </c>
      <c r="C55">
        <v>793.9</v>
      </c>
    </row>
    <row r="56" spans="2:3">
      <c r="B56" s="9">
        <v>39689</v>
      </c>
      <c r="C56">
        <v>825</v>
      </c>
    </row>
    <row r="57" spans="2:3">
      <c r="B57" s="9">
        <v>39696</v>
      </c>
      <c r="C57">
        <v>998.3</v>
      </c>
    </row>
    <row r="58" spans="2:3">
      <c r="B58" s="9">
        <v>39703</v>
      </c>
      <c r="C58">
        <v>2068.5</v>
      </c>
    </row>
    <row r="59" spans="2:3">
      <c r="B59" s="9">
        <v>39710</v>
      </c>
      <c r="C59">
        <v>1756.8</v>
      </c>
    </row>
    <row r="60" spans="2:3">
      <c r="B60" s="9">
        <v>39717</v>
      </c>
      <c r="C60">
        <v>1026</v>
      </c>
    </row>
    <row r="61" spans="2:3">
      <c r="B61" s="9">
        <v>39724</v>
      </c>
      <c r="C61">
        <v>999.6</v>
      </c>
    </row>
    <row r="62" spans="2:3">
      <c r="B62" s="9">
        <v>39731</v>
      </c>
      <c r="C62">
        <v>1190.8</v>
      </c>
    </row>
    <row r="63" spans="2:3">
      <c r="B63" s="9">
        <v>39738</v>
      </c>
      <c r="C63">
        <v>798</v>
      </c>
    </row>
    <row r="64" spans="2:3">
      <c r="B64" s="9">
        <v>39745</v>
      </c>
      <c r="C64">
        <v>1135.5999999999999</v>
      </c>
    </row>
    <row r="65" spans="2:3">
      <c r="B65" s="9">
        <v>39752</v>
      </c>
      <c r="C65">
        <v>688.8</v>
      </c>
    </row>
    <row r="66" spans="2:3">
      <c r="B66" s="9">
        <v>39759</v>
      </c>
      <c r="C66">
        <v>907.7</v>
      </c>
    </row>
    <row r="67" spans="2:3">
      <c r="B67" s="9">
        <v>39766</v>
      </c>
      <c r="C67">
        <v>927.3</v>
      </c>
    </row>
    <row r="68" spans="2:3">
      <c r="B68" s="9">
        <v>39773</v>
      </c>
      <c r="C68">
        <v>896.8</v>
      </c>
    </row>
    <row r="69" spans="2:3">
      <c r="B69" s="9">
        <v>39780</v>
      </c>
      <c r="C69">
        <v>3552.9</v>
      </c>
    </row>
    <row r="70" spans="2:3">
      <c r="B70" s="9">
        <v>39787</v>
      </c>
      <c r="C70">
        <v>3746.9</v>
      </c>
    </row>
    <row r="71" spans="2:3">
      <c r="B71" s="9">
        <v>39794</v>
      </c>
      <c r="C71">
        <v>4013.2</v>
      </c>
    </row>
    <row r="72" spans="2:3">
      <c r="B72" s="9">
        <v>39801</v>
      </c>
      <c r="C72">
        <v>7098.9</v>
      </c>
    </row>
    <row r="73" spans="2:3">
      <c r="B73" s="9">
        <v>39808</v>
      </c>
      <c r="C73">
        <v>7132.7</v>
      </c>
    </row>
    <row r="74" spans="2:3">
      <c r="B74" s="9">
        <v>39815</v>
      </c>
      <c r="C74">
        <v>6060.5</v>
      </c>
    </row>
    <row r="75" spans="2:3">
      <c r="B75" s="9">
        <v>39822</v>
      </c>
      <c r="C75">
        <v>7842.7</v>
      </c>
    </row>
    <row r="76" spans="2:3">
      <c r="B76" s="9">
        <v>39829</v>
      </c>
      <c r="C76">
        <v>6768.6</v>
      </c>
    </row>
    <row r="77" spans="2:3">
      <c r="B77" s="9">
        <v>39836</v>
      </c>
      <c r="C77">
        <v>3300.6</v>
      </c>
    </row>
    <row r="78" spans="2:3">
      <c r="B78" s="9">
        <v>39843</v>
      </c>
      <c r="C78">
        <v>3871.3</v>
      </c>
    </row>
    <row r="79" spans="2:3">
      <c r="B79" s="9">
        <v>39850</v>
      </c>
      <c r="C79">
        <v>2611.1</v>
      </c>
    </row>
    <row r="80" spans="2:3">
      <c r="B80" s="9">
        <v>39857</v>
      </c>
      <c r="C80">
        <v>4564.5</v>
      </c>
    </row>
    <row r="81" spans="2:3">
      <c r="B81" s="9">
        <v>39864</v>
      </c>
      <c r="C81">
        <v>3531.5</v>
      </c>
    </row>
    <row r="82" spans="2:3">
      <c r="B82" s="9">
        <v>39871</v>
      </c>
      <c r="C82">
        <v>2945.5</v>
      </c>
    </row>
    <row r="83" spans="2:3">
      <c r="B83" s="9">
        <v>39878</v>
      </c>
      <c r="C83">
        <v>3352.8</v>
      </c>
    </row>
    <row r="84" spans="2:3">
      <c r="B84" s="9">
        <v>39885</v>
      </c>
      <c r="C84">
        <v>4428.1000000000004</v>
      </c>
    </row>
    <row r="85" spans="2:3">
      <c r="B85" s="9">
        <v>39892</v>
      </c>
      <c r="C85">
        <v>6374.7</v>
      </c>
    </row>
    <row r="86" spans="2:3">
      <c r="B86" s="9">
        <v>39899</v>
      </c>
      <c r="C86">
        <v>6522</v>
      </c>
    </row>
    <row r="87" spans="2:3">
      <c r="B87" s="9">
        <v>39906</v>
      </c>
      <c r="C87">
        <v>6734.2</v>
      </c>
    </row>
    <row r="88" spans="2:3">
      <c r="B88" s="9">
        <v>39913</v>
      </c>
      <c r="C88">
        <v>6127.3</v>
      </c>
    </row>
    <row r="89" spans="2:3">
      <c r="B89" s="9">
        <v>39920</v>
      </c>
      <c r="C89">
        <v>6547.2</v>
      </c>
    </row>
    <row r="90" spans="2:3">
      <c r="B90" s="9">
        <v>39927</v>
      </c>
      <c r="C90">
        <v>4957.8999999999996</v>
      </c>
    </row>
    <row r="91" spans="2:3">
      <c r="B91" s="9">
        <v>39934</v>
      </c>
      <c r="C91">
        <v>5084.2</v>
      </c>
    </row>
    <row r="92" spans="2:3">
      <c r="B92" s="9">
        <v>39941</v>
      </c>
      <c r="C92">
        <v>4353.1000000000004</v>
      </c>
    </row>
    <row r="93" spans="2:3">
      <c r="B93" s="9">
        <v>39948</v>
      </c>
      <c r="C93">
        <v>4586.2</v>
      </c>
    </row>
    <row r="94" spans="2:3">
      <c r="B94" s="9">
        <v>39955</v>
      </c>
      <c r="C94">
        <v>3590.1</v>
      </c>
    </row>
    <row r="95" spans="2:3">
      <c r="B95" s="9">
        <v>39962</v>
      </c>
      <c r="C95">
        <v>2583</v>
      </c>
    </row>
    <row r="96" spans="2:3">
      <c r="B96" s="9">
        <v>39969</v>
      </c>
      <c r="C96">
        <v>2156.5</v>
      </c>
    </row>
    <row r="97" spans="2:3">
      <c r="B97" s="9">
        <v>39976</v>
      </c>
      <c r="C97">
        <v>1482.7</v>
      </c>
    </row>
    <row r="98" spans="2:3">
      <c r="B98" s="9">
        <v>39983</v>
      </c>
      <c r="C98">
        <v>1504.6</v>
      </c>
    </row>
    <row r="99" spans="2:3">
      <c r="B99" s="9">
        <v>39990</v>
      </c>
      <c r="C99">
        <v>1328.1</v>
      </c>
    </row>
    <row r="100" spans="2:3">
      <c r="B100" s="9">
        <v>39997</v>
      </c>
      <c r="C100">
        <v>1583.5</v>
      </c>
    </row>
    <row r="101" spans="2:3">
      <c r="B101" s="9">
        <v>40004</v>
      </c>
      <c r="C101">
        <v>1915.5</v>
      </c>
    </row>
    <row r="102" spans="2:3">
      <c r="B102" s="9">
        <v>40011</v>
      </c>
      <c r="C102">
        <v>1982.8</v>
      </c>
    </row>
    <row r="103" spans="2:3">
      <c r="B103" s="9">
        <v>40018</v>
      </c>
      <c r="C103">
        <v>1702.7</v>
      </c>
    </row>
    <row r="104" spans="2:3">
      <c r="B104" s="9">
        <v>40025</v>
      </c>
      <c r="C104">
        <v>1826</v>
      </c>
    </row>
    <row r="105" spans="2:3">
      <c r="B105" s="9">
        <v>40032</v>
      </c>
      <c r="C105">
        <v>1659.1</v>
      </c>
    </row>
    <row r="106" spans="2:3">
      <c r="B106" s="9">
        <v>40039</v>
      </c>
      <c r="C106">
        <v>1782.2</v>
      </c>
    </row>
    <row r="107" spans="2:3">
      <c r="B107" s="9">
        <v>40046</v>
      </c>
      <c r="C107">
        <v>1983.2</v>
      </c>
    </row>
    <row r="108" spans="2:3">
      <c r="B108" s="9">
        <v>40053</v>
      </c>
      <c r="C108">
        <v>1955.9</v>
      </c>
    </row>
    <row r="109" spans="2:3">
      <c r="B109" s="9">
        <v>40060</v>
      </c>
      <c r="C109">
        <v>2383.6999999999998</v>
      </c>
    </row>
    <row r="110" spans="2:3">
      <c r="B110" s="9">
        <v>40067</v>
      </c>
      <c r="C110">
        <v>2216.3000000000002</v>
      </c>
    </row>
    <row r="111" spans="2:3">
      <c r="B111" s="9">
        <v>40074</v>
      </c>
      <c r="C111">
        <v>2632.2</v>
      </c>
    </row>
    <row r="112" spans="2:3">
      <c r="B112" s="9">
        <v>40081</v>
      </c>
      <c r="C112">
        <v>2655.8</v>
      </c>
    </row>
    <row r="113" spans="2:3">
      <c r="B113" s="9">
        <v>40088</v>
      </c>
      <c r="C113">
        <v>3230.9</v>
      </c>
    </row>
    <row r="114" spans="2:3">
      <c r="B114" s="9">
        <v>40095</v>
      </c>
      <c r="C114">
        <v>3280.3</v>
      </c>
    </row>
    <row r="115" spans="2:3">
      <c r="B115" s="9">
        <v>40102</v>
      </c>
      <c r="C115">
        <v>2774.7</v>
      </c>
    </row>
    <row r="116" spans="2:3">
      <c r="B116" s="9">
        <v>40109</v>
      </c>
      <c r="C116">
        <v>2304</v>
      </c>
    </row>
    <row r="117" spans="2:3">
      <c r="B117" s="9">
        <v>40116</v>
      </c>
      <c r="C117">
        <v>2715.2</v>
      </c>
    </row>
    <row r="118" spans="2:3">
      <c r="B118" s="9">
        <v>40123</v>
      </c>
      <c r="C118">
        <v>2996</v>
      </c>
    </row>
    <row r="119" spans="2:3">
      <c r="B119" s="9">
        <v>40130</v>
      </c>
      <c r="C119">
        <v>3117</v>
      </c>
    </row>
    <row r="120" spans="2:3">
      <c r="B120" s="9">
        <v>40137</v>
      </c>
      <c r="C120">
        <v>2815.1</v>
      </c>
    </row>
    <row r="121" spans="2:3">
      <c r="B121" s="9">
        <v>40144</v>
      </c>
      <c r="C121">
        <v>2958.4</v>
      </c>
    </row>
    <row r="122" spans="2:3">
      <c r="B122" s="9">
        <v>40151</v>
      </c>
      <c r="C122">
        <v>3312.7</v>
      </c>
    </row>
    <row r="123" spans="2:3">
      <c r="B123" s="9">
        <v>40158</v>
      </c>
      <c r="C123">
        <v>3354</v>
      </c>
    </row>
    <row r="124" spans="2:3">
      <c r="B124" s="9">
        <v>40165</v>
      </c>
      <c r="C124">
        <v>2988.7</v>
      </c>
    </row>
    <row r="125" spans="2:3">
      <c r="B125" s="9">
        <v>40172</v>
      </c>
      <c r="C125">
        <v>2038.4</v>
      </c>
    </row>
    <row r="126" spans="2:3">
      <c r="B126" s="9">
        <v>40179</v>
      </c>
      <c r="C126">
        <v>2021.1</v>
      </c>
    </row>
    <row r="127" spans="2:3">
      <c r="B127" s="9">
        <v>40186</v>
      </c>
      <c r="C127">
        <v>2430</v>
      </c>
    </row>
    <row r="128" spans="2:3">
      <c r="B128" s="9">
        <v>40193</v>
      </c>
      <c r="C128">
        <v>2638.2</v>
      </c>
    </row>
    <row r="129" spans="2:3">
      <c r="B129" s="9">
        <v>40200</v>
      </c>
      <c r="C129">
        <v>2192.1</v>
      </c>
    </row>
    <row r="130" spans="2:3">
      <c r="B130" s="9">
        <v>40207</v>
      </c>
      <c r="C130">
        <v>2763.6</v>
      </c>
    </row>
    <row r="131" spans="2:3">
      <c r="B131" s="9">
        <v>40214</v>
      </c>
      <c r="C131">
        <v>2807.8</v>
      </c>
    </row>
    <row r="132" spans="2:3">
      <c r="B132" s="9">
        <v>40221</v>
      </c>
      <c r="C132">
        <v>2781.2</v>
      </c>
    </row>
    <row r="133" spans="2:3">
      <c r="B133" s="9">
        <v>40228</v>
      </c>
      <c r="C133">
        <v>2474.9</v>
      </c>
    </row>
    <row r="134" spans="2:3">
      <c r="B134" s="9">
        <v>40235</v>
      </c>
      <c r="C134">
        <v>2971.5</v>
      </c>
    </row>
    <row r="135" spans="2:3">
      <c r="B135" s="9">
        <v>40242</v>
      </c>
      <c r="C135">
        <v>2937.6</v>
      </c>
    </row>
    <row r="136" spans="2:3">
      <c r="B136" s="9">
        <v>40249</v>
      </c>
      <c r="C136">
        <v>2847.2</v>
      </c>
    </row>
    <row r="137" spans="2:3">
      <c r="B137" s="9">
        <v>40256</v>
      </c>
      <c r="C137">
        <v>2617.6999999999998</v>
      </c>
    </row>
    <row r="138" spans="2:3">
      <c r="B138" s="9">
        <v>40263</v>
      </c>
      <c r="C138">
        <v>2577.1999999999998</v>
      </c>
    </row>
    <row r="139" spans="2:3">
      <c r="B139" s="9">
        <v>40270</v>
      </c>
      <c r="C139">
        <v>2051.3000000000002</v>
      </c>
    </row>
    <row r="140" spans="2:3">
      <c r="B140" s="9">
        <v>40277</v>
      </c>
      <c r="C140">
        <v>1892.5</v>
      </c>
    </row>
    <row r="141" spans="2:3">
      <c r="B141" s="9">
        <v>40284</v>
      </c>
      <c r="C141">
        <v>2217</v>
      </c>
    </row>
    <row r="142" spans="2:3">
      <c r="B142" s="9">
        <v>40291</v>
      </c>
      <c r="C142">
        <v>1984.5</v>
      </c>
    </row>
    <row r="143" spans="2:3">
      <c r="B143" s="9">
        <v>40298</v>
      </c>
      <c r="C143">
        <v>1953.3</v>
      </c>
    </row>
    <row r="144" spans="2:3">
      <c r="B144" s="9">
        <v>40305</v>
      </c>
      <c r="C144">
        <v>2303.6</v>
      </c>
    </row>
    <row r="145" spans="2:3">
      <c r="B145" s="9">
        <v>40312</v>
      </c>
      <c r="C145">
        <v>2668.6</v>
      </c>
    </row>
    <row r="146" spans="2:3">
      <c r="B146" s="9">
        <v>40319</v>
      </c>
      <c r="C146">
        <v>3154.9</v>
      </c>
    </row>
    <row r="147" spans="2:3">
      <c r="B147" s="9">
        <v>40326</v>
      </c>
      <c r="C147">
        <v>3239.2</v>
      </c>
    </row>
    <row r="148" spans="2:3">
      <c r="B148" s="9">
        <v>40333</v>
      </c>
      <c r="C148">
        <v>2781.6</v>
      </c>
    </row>
    <row r="149" spans="2:3">
      <c r="B149" s="9">
        <v>40340</v>
      </c>
      <c r="C149">
        <v>3387.8</v>
      </c>
    </row>
    <row r="150" spans="2:3">
      <c r="B150" s="9">
        <v>40347</v>
      </c>
      <c r="C150">
        <v>3107.1</v>
      </c>
    </row>
    <row r="151" spans="2:3">
      <c r="B151" s="9">
        <v>40354</v>
      </c>
      <c r="C151">
        <v>3546.2</v>
      </c>
    </row>
    <row r="152" spans="2:3">
      <c r="B152" s="9">
        <v>40361</v>
      </c>
      <c r="C152">
        <v>3925.9</v>
      </c>
    </row>
    <row r="153" spans="2:3">
      <c r="B153" s="9">
        <v>40368</v>
      </c>
      <c r="C153">
        <v>3925.8</v>
      </c>
    </row>
    <row r="154" spans="2:3">
      <c r="B154" s="9">
        <v>40375</v>
      </c>
      <c r="C154">
        <v>4345.3999999999996</v>
      </c>
    </row>
    <row r="155" spans="2:3">
      <c r="B155" s="9">
        <v>40382</v>
      </c>
      <c r="C155">
        <v>4097.3</v>
      </c>
    </row>
    <row r="156" spans="2:3">
      <c r="B156" s="9">
        <v>40389</v>
      </c>
      <c r="C156">
        <v>4155.5</v>
      </c>
    </row>
    <row r="157" spans="2:3">
      <c r="B157" s="9">
        <v>40396</v>
      </c>
      <c r="C157">
        <v>4147.1000000000004</v>
      </c>
    </row>
    <row r="158" spans="2:3">
      <c r="B158" s="9">
        <v>40403</v>
      </c>
      <c r="C158">
        <v>4940.8999999999996</v>
      </c>
    </row>
    <row r="159" spans="2:3">
      <c r="B159" s="9">
        <v>40410</v>
      </c>
      <c r="C159">
        <v>5260.7</v>
      </c>
    </row>
    <row r="160" spans="2:3">
      <c r="B160" s="9">
        <v>40417</v>
      </c>
      <c r="C160">
        <v>5431.5</v>
      </c>
    </row>
    <row r="161" spans="2:3">
      <c r="B161" s="9">
        <v>40424</v>
      </c>
      <c r="C161">
        <v>5214.6000000000004</v>
      </c>
    </row>
    <row r="162" spans="2:3">
      <c r="B162" s="9">
        <v>40431</v>
      </c>
      <c r="C162">
        <v>4663.8</v>
      </c>
    </row>
    <row r="163" spans="2:3">
      <c r="B163" s="9">
        <v>40438</v>
      </c>
      <c r="C163">
        <v>4624.6000000000004</v>
      </c>
    </row>
    <row r="164" spans="2:3">
      <c r="B164" s="9">
        <v>40445</v>
      </c>
      <c r="C164">
        <v>4549.3</v>
      </c>
    </row>
    <row r="165" spans="2:3">
      <c r="B165" s="9">
        <v>40452</v>
      </c>
      <c r="C165">
        <v>4395.5</v>
      </c>
    </row>
    <row r="166" spans="2:3">
      <c r="B166" s="9">
        <v>40459</v>
      </c>
      <c r="C166">
        <v>5455.4</v>
      </c>
    </row>
    <row r="167" spans="2:3">
      <c r="B167" s="9">
        <v>40466</v>
      </c>
      <c r="C167">
        <v>4768.6000000000004</v>
      </c>
    </row>
    <row r="168" spans="2:3">
      <c r="B168" s="9">
        <v>40473</v>
      </c>
      <c r="C168">
        <v>4904.2</v>
      </c>
    </row>
    <row r="169" spans="2:3">
      <c r="B169" s="9">
        <v>40480</v>
      </c>
      <c r="C169">
        <v>4568.1000000000004</v>
      </c>
    </row>
    <row r="170" spans="2:3">
      <c r="B170" s="9">
        <v>40487</v>
      </c>
      <c r="C170">
        <v>4836.3999999999996</v>
      </c>
    </row>
    <row r="171" spans="2:3">
      <c r="B171" s="9">
        <v>40494</v>
      </c>
      <c r="C171">
        <v>4015.2</v>
      </c>
    </row>
    <row r="172" spans="2:3">
      <c r="B172" s="9">
        <v>40501</v>
      </c>
      <c r="C172">
        <v>4009.2</v>
      </c>
    </row>
    <row r="173" spans="2:3">
      <c r="B173" s="9">
        <v>40508</v>
      </c>
      <c r="C173">
        <v>3151.8</v>
      </c>
    </row>
    <row r="174" spans="2:3">
      <c r="B174" s="9">
        <v>40515</v>
      </c>
      <c r="C174">
        <v>3066.2</v>
      </c>
    </row>
    <row r="175" spans="2:3">
      <c r="B175" s="9">
        <v>40522</v>
      </c>
      <c r="C175">
        <v>3067.3</v>
      </c>
    </row>
    <row r="176" spans="2:3">
      <c r="B176" s="9">
        <v>40529</v>
      </c>
      <c r="C176">
        <v>2319.9</v>
      </c>
    </row>
    <row r="177" spans="2:3">
      <c r="B177" s="9">
        <v>40536</v>
      </c>
      <c r="C177">
        <v>2185.5</v>
      </c>
    </row>
    <row r="178" spans="2:3">
      <c r="B178" s="9">
        <v>40543</v>
      </c>
      <c r="C178">
        <v>2249.6</v>
      </c>
    </row>
    <row r="179" spans="2:3">
      <c r="B179" s="9">
        <v>40550</v>
      </c>
      <c r="C179">
        <v>2344.3000000000002</v>
      </c>
    </row>
    <row r="180" spans="2:3">
      <c r="B180" s="9">
        <v>40557</v>
      </c>
      <c r="C180">
        <v>2528.6999999999998</v>
      </c>
    </row>
    <row r="181" spans="2:3">
      <c r="B181" s="9">
        <v>40564</v>
      </c>
      <c r="C181">
        <v>2129.6999999999998</v>
      </c>
    </row>
    <row r="182" spans="2:3">
      <c r="B182" s="9">
        <v>40571</v>
      </c>
      <c r="C182">
        <v>2371.1</v>
      </c>
    </row>
    <row r="183" spans="2:3">
      <c r="B183" s="9">
        <v>40578</v>
      </c>
      <c r="C183">
        <v>2190.4</v>
      </c>
    </row>
    <row r="184" spans="2:3">
      <c r="B184" s="9">
        <v>40585</v>
      </c>
      <c r="C184">
        <v>1953.2</v>
      </c>
    </row>
    <row r="185" spans="2:3">
      <c r="B185" s="9">
        <v>40592</v>
      </c>
      <c r="C185">
        <v>2325.3000000000002</v>
      </c>
    </row>
    <row r="186" spans="2:3">
      <c r="B186" s="9">
        <v>40599</v>
      </c>
      <c r="C186">
        <v>2155.5</v>
      </c>
    </row>
    <row r="187" spans="2:3">
      <c r="B187" s="9">
        <v>40606</v>
      </c>
      <c r="C187">
        <v>2539.4</v>
      </c>
    </row>
    <row r="188" spans="2:3">
      <c r="B188" s="9">
        <v>40613</v>
      </c>
      <c r="C188">
        <v>2563.6</v>
      </c>
    </row>
    <row r="189" spans="2:3">
      <c r="B189" s="9">
        <v>40620</v>
      </c>
      <c r="C189">
        <v>2620.8000000000002</v>
      </c>
    </row>
    <row r="190" spans="2:3">
      <c r="B190" s="9">
        <v>40627</v>
      </c>
      <c r="C190">
        <v>2350.6999999999998</v>
      </c>
    </row>
    <row r="191" spans="2:3">
      <c r="B191" s="9">
        <v>40634</v>
      </c>
      <c r="C191">
        <v>2194.4</v>
      </c>
    </row>
    <row r="192" spans="2:3">
      <c r="B192" s="9">
        <v>40641</v>
      </c>
      <c r="C192">
        <v>2010.6</v>
      </c>
    </row>
    <row r="193" spans="2:3">
      <c r="B193" s="9">
        <v>40648</v>
      </c>
      <c r="C193">
        <v>2065.3000000000002</v>
      </c>
    </row>
    <row r="194" spans="2:3">
      <c r="B194" s="9">
        <v>40655</v>
      </c>
      <c r="C194">
        <v>2091.4</v>
      </c>
    </row>
    <row r="195" spans="2:3">
      <c r="B195" s="9">
        <v>40662</v>
      </c>
      <c r="C195">
        <v>2220.1</v>
      </c>
    </row>
    <row r="196" spans="2:3">
      <c r="B196" s="9">
        <v>40669</v>
      </c>
      <c r="C196">
        <v>2414.9</v>
      </c>
    </row>
    <row r="197" spans="2:3">
      <c r="B197" s="9">
        <v>40676</v>
      </c>
      <c r="C197">
        <v>2742.2</v>
      </c>
    </row>
    <row r="198" spans="2:3">
      <c r="B198" s="9">
        <v>40683</v>
      </c>
      <c r="C198">
        <v>2764.6</v>
      </c>
    </row>
    <row r="199" spans="2:3">
      <c r="B199" s="9">
        <v>40690</v>
      </c>
      <c r="C199">
        <v>2619.6999999999998</v>
      </c>
    </row>
    <row r="200" spans="2:3">
      <c r="B200" s="9">
        <v>40697</v>
      </c>
      <c r="C200">
        <v>2648</v>
      </c>
    </row>
    <row r="201" spans="2:3">
      <c r="B201" s="9">
        <v>40704</v>
      </c>
      <c r="C201">
        <v>3101.7</v>
      </c>
    </row>
    <row r="202" spans="2:3">
      <c r="B202" s="9">
        <v>40711</v>
      </c>
      <c r="C202">
        <v>2857.9</v>
      </c>
    </row>
    <row r="203" spans="2:3">
      <c r="B203" s="9">
        <v>40718</v>
      </c>
      <c r="C203">
        <v>2809.5</v>
      </c>
    </row>
    <row r="204" spans="2:3">
      <c r="B204" s="9">
        <v>40725</v>
      </c>
      <c r="C204">
        <v>2527.5</v>
      </c>
    </row>
    <row r="205" spans="2:3">
      <c r="B205" s="9">
        <v>40732</v>
      </c>
      <c r="C205">
        <v>2362.6999999999998</v>
      </c>
    </row>
    <row r="206" spans="2:3">
      <c r="B206" s="9">
        <v>40739</v>
      </c>
      <c r="C206">
        <v>2923.8</v>
      </c>
    </row>
    <row r="207" spans="2:3">
      <c r="B207" s="9">
        <v>40746</v>
      </c>
      <c r="C207">
        <v>2769.6</v>
      </c>
    </row>
    <row r="208" spans="2:3">
      <c r="B208" s="9">
        <v>40753</v>
      </c>
      <c r="C208">
        <v>2974.1</v>
      </c>
    </row>
    <row r="209" spans="2:3">
      <c r="B209" s="9">
        <v>40760</v>
      </c>
      <c r="C209">
        <v>3880.9</v>
      </c>
    </row>
    <row r="210" spans="2:3">
      <c r="B210" s="9">
        <v>40767</v>
      </c>
      <c r="C210">
        <v>4184.3999999999996</v>
      </c>
    </row>
    <row r="211" spans="2:3">
      <c r="B211" s="9">
        <v>40774</v>
      </c>
      <c r="C211">
        <v>4110.8</v>
      </c>
    </row>
    <row r="212" spans="2:3">
      <c r="B212" s="9">
        <v>40781</v>
      </c>
      <c r="C212">
        <v>3601.3</v>
      </c>
    </row>
    <row r="213" spans="2:3">
      <c r="B213" s="9">
        <v>40788</v>
      </c>
      <c r="C213">
        <v>3372</v>
      </c>
    </row>
    <row r="214" spans="2:3">
      <c r="B214" s="9">
        <v>40795</v>
      </c>
      <c r="C214">
        <v>3571.7</v>
      </c>
    </row>
    <row r="215" spans="2:3">
      <c r="B215" s="9">
        <v>40802</v>
      </c>
      <c r="C215">
        <v>4033.8</v>
      </c>
    </row>
    <row r="216" spans="2:3">
      <c r="B216" s="9">
        <v>40809</v>
      </c>
      <c r="C216">
        <v>4512.1000000000004</v>
      </c>
    </row>
    <row r="217" spans="2:3">
      <c r="B217" s="9">
        <v>40816</v>
      </c>
      <c r="C217">
        <v>4241.8</v>
      </c>
    </row>
    <row r="218" spans="2:3">
      <c r="B218" s="9">
        <v>40823</v>
      </c>
      <c r="C218">
        <v>4251.1000000000004</v>
      </c>
    </row>
    <row r="219" spans="2:3">
      <c r="B219" s="9">
        <v>40830</v>
      </c>
      <c r="C219">
        <v>3553.2</v>
      </c>
    </row>
    <row r="220" spans="2:3">
      <c r="B220" s="9">
        <v>40837</v>
      </c>
      <c r="C220">
        <v>3719.3</v>
      </c>
    </row>
    <row r="221" spans="2:3">
      <c r="B221" s="9">
        <v>40844</v>
      </c>
      <c r="C221">
        <v>3695</v>
      </c>
    </row>
    <row r="222" spans="2:3">
      <c r="B222" s="9">
        <v>40851</v>
      </c>
      <c r="C222">
        <v>4137.6000000000004</v>
      </c>
    </row>
    <row r="223" spans="2:3">
      <c r="B223" s="9">
        <v>40858</v>
      </c>
      <c r="C223">
        <v>3664.5</v>
      </c>
    </row>
    <row r="224" spans="2:3">
      <c r="B224" s="9">
        <v>40865</v>
      </c>
      <c r="C224">
        <v>3466.8</v>
      </c>
    </row>
    <row r="225" spans="2:3">
      <c r="B225" s="9">
        <v>40872</v>
      </c>
      <c r="C225">
        <v>2941.3</v>
      </c>
    </row>
    <row r="226" spans="2:3">
      <c r="B226" s="9">
        <v>40879</v>
      </c>
      <c r="C226">
        <v>3394.7</v>
      </c>
    </row>
    <row r="227" spans="2:3">
      <c r="B227" s="9">
        <v>40886</v>
      </c>
      <c r="C227">
        <v>3708.6</v>
      </c>
    </row>
    <row r="228" spans="2:3">
      <c r="B228" s="9">
        <v>40893</v>
      </c>
      <c r="C228">
        <v>3676.1</v>
      </c>
    </row>
    <row r="229" spans="2:3">
      <c r="B229" s="9">
        <v>40900</v>
      </c>
      <c r="C229">
        <v>3684.5</v>
      </c>
    </row>
    <row r="230" spans="2:3">
      <c r="B230" s="9">
        <v>40907</v>
      </c>
      <c r="C230">
        <v>3608.1</v>
      </c>
    </row>
    <row r="231" spans="2:3">
      <c r="B231" s="9">
        <v>40914</v>
      </c>
      <c r="C231">
        <v>3668.3</v>
      </c>
    </row>
    <row r="232" spans="2:3">
      <c r="B232" s="9">
        <v>40921</v>
      </c>
      <c r="C232">
        <v>4626.5</v>
      </c>
    </row>
    <row r="233" spans="2:3">
      <c r="B233" s="9">
        <v>40928</v>
      </c>
      <c r="C233">
        <v>4326.3999999999996</v>
      </c>
    </row>
    <row r="234" spans="2:3">
      <c r="B234" s="9">
        <v>40935</v>
      </c>
      <c r="C234">
        <v>4184.3</v>
      </c>
    </row>
    <row r="235" spans="2:3">
      <c r="B235" s="9">
        <v>40942</v>
      </c>
      <c r="C235">
        <v>4617.1000000000004</v>
      </c>
    </row>
    <row r="236" spans="2:3">
      <c r="B236" s="9">
        <v>40949</v>
      </c>
      <c r="C236">
        <v>4716.1000000000004</v>
      </c>
    </row>
    <row r="237" spans="2:3">
      <c r="B237" s="9">
        <v>40956</v>
      </c>
      <c r="C237">
        <v>4466.8999999999996</v>
      </c>
    </row>
    <row r="238" spans="2:3">
      <c r="B238" s="9">
        <v>40963</v>
      </c>
      <c r="C238">
        <v>4379.1000000000004</v>
      </c>
    </row>
    <row r="239" spans="2:3">
      <c r="B239" s="9">
        <v>40970</v>
      </c>
      <c r="C239">
        <v>4277.6000000000004</v>
      </c>
    </row>
    <row r="240" spans="2:3">
      <c r="B240" s="9">
        <v>40977</v>
      </c>
      <c r="C240">
        <v>4063.4</v>
      </c>
    </row>
    <row r="241" spans="2:3">
      <c r="B241" s="9">
        <v>40984</v>
      </c>
      <c r="C241">
        <v>3715.2</v>
      </c>
    </row>
    <row r="242" spans="2:3">
      <c r="B242" s="9">
        <v>40991</v>
      </c>
      <c r="C242">
        <v>3588.4</v>
      </c>
    </row>
    <row r="243" spans="2:3">
      <c r="B243" s="9">
        <v>40998</v>
      </c>
      <c r="C243">
        <v>3699.5</v>
      </c>
    </row>
    <row r="244" spans="2:3">
      <c r="B244" s="9">
        <v>41005</v>
      </c>
      <c r="C244">
        <v>3549.3</v>
      </c>
    </row>
    <row r="245" spans="2:3">
      <c r="B245" s="9">
        <v>41012</v>
      </c>
      <c r="C245">
        <v>4144.3</v>
      </c>
    </row>
    <row r="246" spans="2:3">
      <c r="B246" s="9">
        <v>41019</v>
      </c>
      <c r="C246">
        <v>3892.2</v>
      </c>
    </row>
    <row r="247" spans="2:3">
      <c r="B247" s="9">
        <v>41026</v>
      </c>
      <c r="C247">
        <v>3856</v>
      </c>
    </row>
    <row r="248" spans="2:3">
      <c r="B248" s="9">
        <v>41033</v>
      </c>
      <c r="C248">
        <v>3924.4</v>
      </c>
    </row>
    <row r="249" spans="2:3">
      <c r="B249" s="9">
        <v>41040</v>
      </c>
      <c r="C249">
        <v>4482</v>
      </c>
    </row>
    <row r="250" spans="2:3">
      <c r="B250" s="9">
        <v>41047</v>
      </c>
      <c r="C250">
        <v>4732</v>
      </c>
    </row>
    <row r="251" spans="2:3">
      <c r="B251" s="9">
        <v>41054</v>
      </c>
      <c r="C251">
        <v>4675.8999999999996</v>
      </c>
    </row>
    <row r="252" spans="2:3">
      <c r="B252" s="9">
        <v>41061</v>
      </c>
      <c r="C252">
        <v>4736</v>
      </c>
    </row>
    <row r="253" spans="2:3">
      <c r="B253" s="9">
        <v>41068</v>
      </c>
      <c r="C253">
        <v>5590</v>
      </c>
    </row>
    <row r="254" spans="2:3">
      <c r="B254" s="9">
        <v>41075</v>
      </c>
      <c r="C254">
        <v>4719.6000000000004</v>
      </c>
    </row>
    <row r="255" spans="2:3">
      <c r="B255" s="9">
        <v>41082</v>
      </c>
      <c r="C255">
        <v>4585.8</v>
      </c>
    </row>
    <row r="256" spans="2:3">
      <c r="B256" s="9">
        <v>41089</v>
      </c>
      <c r="C256">
        <v>4372.2</v>
      </c>
    </row>
    <row r="257" spans="2:3">
      <c r="B257" s="9">
        <v>41096</v>
      </c>
      <c r="C257">
        <v>4267.8999999999996</v>
      </c>
    </row>
    <row r="258" spans="2:3">
      <c r="B258" s="9">
        <v>41103</v>
      </c>
      <c r="C258">
        <v>5246.8</v>
      </c>
    </row>
    <row r="259" spans="2:3">
      <c r="B259" s="9">
        <v>41110</v>
      </c>
      <c r="C259">
        <v>5383.1</v>
      </c>
    </row>
    <row r="260" spans="2:3">
      <c r="B260" s="9">
        <v>41117</v>
      </c>
      <c r="C260">
        <v>5492.1</v>
      </c>
    </row>
    <row r="261" spans="2:3">
      <c r="B261" s="9">
        <v>41124</v>
      </c>
      <c r="C261">
        <v>5444.3</v>
      </c>
    </row>
    <row r="262" spans="2:3">
      <c r="B262" s="9">
        <v>41131</v>
      </c>
      <c r="C262">
        <v>5172.2</v>
      </c>
    </row>
    <row r="263" spans="2:3">
      <c r="B263" s="9">
        <v>41138</v>
      </c>
      <c r="C263">
        <v>4671.1000000000004</v>
      </c>
    </row>
    <row r="264" spans="2:3">
      <c r="B264" s="9">
        <v>41145</v>
      </c>
      <c r="C264">
        <v>4414.6000000000004</v>
      </c>
    </row>
    <row r="265" spans="2:3">
      <c r="B265" s="9">
        <v>41152</v>
      </c>
      <c r="C265">
        <v>4274.8</v>
      </c>
    </row>
    <row r="266" spans="2:3">
      <c r="B266" s="9">
        <v>41159</v>
      </c>
      <c r="C266">
        <v>4779.1000000000004</v>
      </c>
    </row>
    <row r="267" spans="2:3">
      <c r="B267" s="9">
        <v>41166</v>
      </c>
      <c r="C267">
        <v>4823.3</v>
      </c>
    </row>
    <row r="268" spans="2:3">
      <c r="B268" s="9">
        <v>41173</v>
      </c>
      <c r="C268">
        <v>4979</v>
      </c>
    </row>
    <row r="269" spans="2:3">
      <c r="B269" s="9">
        <v>41180</v>
      </c>
      <c r="C269">
        <v>5965.5</v>
      </c>
    </row>
    <row r="270" spans="2:3">
      <c r="B270" s="9">
        <v>41187</v>
      </c>
      <c r="C270">
        <v>5892.5</v>
      </c>
    </row>
    <row r="271" spans="2:3">
      <c r="B271" s="9">
        <v>41194</v>
      </c>
      <c r="C271">
        <v>5572.2</v>
      </c>
    </row>
    <row r="272" spans="2:3">
      <c r="B272" s="9">
        <v>41201</v>
      </c>
      <c r="C272">
        <v>4847.2</v>
      </c>
    </row>
    <row r="273" spans="2:3">
      <c r="B273" s="9">
        <v>41208</v>
      </c>
      <c r="C273">
        <v>4550.7</v>
      </c>
    </row>
    <row r="274" spans="2:3">
      <c r="B274" s="9">
        <v>41215</v>
      </c>
      <c r="C274">
        <v>4297.7</v>
      </c>
    </row>
    <row r="275" spans="2:3">
      <c r="B275" s="9">
        <v>41222</v>
      </c>
      <c r="C275">
        <v>4856.1000000000004</v>
      </c>
    </row>
    <row r="276" spans="2:3">
      <c r="B276" s="9">
        <v>41229</v>
      </c>
      <c r="C276">
        <v>4702.3999999999996</v>
      </c>
    </row>
    <row r="277" spans="2:3">
      <c r="B277" s="9">
        <v>41236</v>
      </c>
      <c r="C277">
        <v>4666.8</v>
      </c>
    </row>
    <row r="278" spans="2:3">
      <c r="B278" s="9">
        <v>41243</v>
      </c>
      <c r="C278">
        <v>4943</v>
      </c>
    </row>
    <row r="279" spans="2:3">
      <c r="B279" s="9">
        <v>41250</v>
      </c>
      <c r="C279">
        <v>5368.1</v>
      </c>
    </row>
    <row r="280" spans="2:3">
      <c r="B280" s="9">
        <v>41257</v>
      </c>
      <c r="C280">
        <v>4564.3999999999996</v>
      </c>
    </row>
    <row r="281" spans="2:3">
      <c r="B281" s="9">
        <v>41264</v>
      </c>
      <c r="C281">
        <v>3983.2</v>
      </c>
    </row>
    <row r="282" spans="2:3">
      <c r="B282" s="9">
        <v>41271</v>
      </c>
      <c r="C282">
        <v>3488.9</v>
      </c>
    </row>
    <row r="283" spans="2:3">
      <c r="B283" s="9">
        <v>41278</v>
      </c>
      <c r="C283">
        <v>3896.4</v>
      </c>
    </row>
    <row r="284" spans="2:3">
      <c r="B284" s="9">
        <v>41285</v>
      </c>
      <c r="C284">
        <v>4554.3999999999996</v>
      </c>
    </row>
    <row r="285" spans="2:3">
      <c r="B285" s="9">
        <v>41292</v>
      </c>
      <c r="C285">
        <v>4937.3999999999996</v>
      </c>
    </row>
    <row r="286" spans="2:3">
      <c r="B286" s="9">
        <v>41299</v>
      </c>
      <c r="C286">
        <v>4433.6000000000004</v>
      </c>
    </row>
    <row r="287" spans="2:3">
      <c r="B287" s="9">
        <v>41306</v>
      </c>
      <c r="C287">
        <v>4579</v>
      </c>
    </row>
    <row r="288" spans="2:3">
      <c r="B288" s="9">
        <v>41313</v>
      </c>
      <c r="C288">
        <v>4284.3</v>
      </c>
    </row>
    <row r="289" spans="2:3">
      <c r="B289" s="9">
        <v>41320</v>
      </c>
      <c r="C289">
        <v>4261.8</v>
      </c>
    </row>
    <row r="290" spans="2:3">
      <c r="B290" s="9">
        <v>41327</v>
      </c>
      <c r="C290">
        <v>4136.3</v>
      </c>
    </row>
    <row r="291" spans="2:3">
      <c r="B291" s="9">
        <v>41334</v>
      </c>
      <c r="C291">
        <v>4724.8999999999996</v>
      </c>
    </row>
    <row r="292" spans="2:3">
      <c r="B292" s="9">
        <v>41341</v>
      </c>
      <c r="C292">
        <v>4485.2</v>
      </c>
    </row>
    <row r="293" spans="2:3">
      <c r="B293" s="9">
        <v>41348</v>
      </c>
      <c r="C293">
        <v>4111.3</v>
      </c>
    </row>
    <row r="294" spans="2:3">
      <c r="B294" s="9">
        <v>41355</v>
      </c>
      <c r="C294">
        <v>4412.8999999999996</v>
      </c>
    </row>
    <row r="295" spans="2:3">
      <c r="B295" s="9">
        <v>41362</v>
      </c>
      <c r="C295">
        <v>4119.2</v>
      </c>
    </row>
    <row r="296" spans="2:3">
      <c r="B296" s="9">
        <v>41369</v>
      </c>
      <c r="C296">
        <v>4528.8999999999996</v>
      </c>
    </row>
    <row r="297" spans="2:3">
      <c r="B297" s="9">
        <v>41376</v>
      </c>
      <c r="C297">
        <v>4726.8999999999996</v>
      </c>
    </row>
    <row r="298" spans="2:3">
      <c r="B298" s="9">
        <v>41383</v>
      </c>
      <c r="C298">
        <v>4672.1000000000004</v>
      </c>
    </row>
    <row r="299" spans="2:3">
      <c r="B299" s="9">
        <v>41390</v>
      </c>
      <c r="C299">
        <v>4854.1000000000004</v>
      </c>
    </row>
    <row r="300" spans="2:3">
      <c r="B300" s="9">
        <v>41397</v>
      </c>
      <c r="C300">
        <v>5279.9</v>
      </c>
    </row>
    <row r="301" spans="2:3">
      <c r="B301" s="9">
        <v>41404</v>
      </c>
      <c r="C301">
        <v>4797.2</v>
      </c>
    </row>
    <row r="302" spans="2:3">
      <c r="B302" s="9">
        <v>41411</v>
      </c>
      <c r="C302">
        <v>4241.5</v>
      </c>
    </row>
    <row r="303" spans="2:3">
      <c r="B303" s="9">
        <v>41418</v>
      </c>
      <c r="C303">
        <v>3709.4</v>
      </c>
    </row>
    <row r="304" spans="2:3">
      <c r="B304" s="9">
        <v>41425</v>
      </c>
      <c r="C304">
        <v>3163.6</v>
      </c>
    </row>
    <row r="305" spans="2:3">
      <c r="B305" s="9">
        <v>41432</v>
      </c>
      <c r="C305">
        <v>3339.8</v>
      </c>
    </row>
    <row r="306" spans="2:3">
      <c r="B306" s="9">
        <v>41439</v>
      </c>
      <c r="C306">
        <v>3214.4</v>
      </c>
    </row>
    <row r="307" spans="2:3">
      <c r="B307" s="9">
        <v>41446</v>
      </c>
      <c r="C307">
        <v>3040.1</v>
      </c>
    </row>
    <row r="308" spans="2:3">
      <c r="B308" s="9">
        <v>41453</v>
      </c>
      <c r="C308">
        <v>2573.4</v>
      </c>
    </row>
    <row r="309" spans="2:3">
      <c r="B309" s="9">
        <v>41460</v>
      </c>
      <c r="C309">
        <v>2417.8000000000002</v>
      </c>
    </row>
    <row r="310" spans="2:3">
      <c r="B310" s="9">
        <v>41467</v>
      </c>
      <c r="C310">
        <v>2242.1999999999998</v>
      </c>
    </row>
    <row r="311" spans="2:3">
      <c r="B311" s="9">
        <v>41474</v>
      </c>
      <c r="C311">
        <v>2288</v>
      </c>
    </row>
    <row r="312" spans="2:3">
      <c r="B312" s="9">
        <v>41481</v>
      </c>
      <c r="C312">
        <v>2218.3000000000002</v>
      </c>
    </row>
    <row r="313" spans="2:3">
      <c r="B313" s="9">
        <v>41488</v>
      </c>
      <c r="C313">
        <v>2228.9</v>
      </c>
    </row>
    <row r="314" spans="2:3">
      <c r="B314" s="9">
        <v>41495</v>
      </c>
      <c r="C314">
        <v>2110.6</v>
      </c>
    </row>
    <row r="315" spans="2:3">
      <c r="B315" s="9">
        <v>41502</v>
      </c>
      <c r="C315">
        <v>1935.1</v>
      </c>
    </row>
    <row r="316" spans="2:3">
      <c r="B316" s="9">
        <v>41509</v>
      </c>
      <c r="C316">
        <v>1842.6</v>
      </c>
    </row>
    <row r="317" spans="2:3">
      <c r="B317" s="9">
        <v>41516</v>
      </c>
      <c r="C317">
        <v>1909</v>
      </c>
    </row>
    <row r="318" spans="2:3">
      <c r="B318" s="9">
        <v>41523</v>
      </c>
      <c r="C318">
        <v>1512.9</v>
      </c>
    </row>
    <row r="319" spans="2:3">
      <c r="B319" s="9">
        <v>41530</v>
      </c>
      <c r="C319">
        <v>1814</v>
      </c>
    </row>
    <row r="320" spans="2:3">
      <c r="B320" s="9">
        <v>41537</v>
      </c>
      <c r="C320">
        <v>1922.9</v>
      </c>
    </row>
    <row r="321" spans="2:3">
      <c r="B321" s="9">
        <v>41544</v>
      </c>
      <c r="C321">
        <v>1956.6</v>
      </c>
    </row>
    <row r="322" spans="2:3">
      <c r="B322" s="9">
        <v>41551</v>
      </c>
      <c r="C322">
        <v>2025.3</v>
      </c>
    </row>
    <row r="323" spans="2:3">
      <c r="B323" s="9">
        <v>41558</v>
      </c>
      <c r="C323">
        <v>2102.6999999999998</v>
      </c>
    </row>
    <row r="324" spans="2:3">
      <c r="B324" s="9">
        <v>41565</v>
      </c>
      <c r="C324">
        <v>2033.7</v>
      </c>
    </row>
    <row r="325" spans="2:3">
      <c r="B325" s="9">
        <v>41572</v>
      </c>
      <c r="C325">
        <v>2211.8000000000002</v>
      </c>
    </row>
    <row r="326" spans="2:3">
      <c r="B326" s="9">
        <v>41579</v>
      </c>
      <c r="C326">
        <v>2105.6</v>
      </c>
    </row>
    <row r="327" spans="2:3">
      <c r="B327" s="9">
        <v>41586</v>
      </c>
      <c r="C327">
        <v>2056.9</v>
      </c>
    </row>
    <row r="328" spans="2:3">
      <c r="B328" s="9">
        <v>41593</v>
      </c>
      <c r="C328">
        <v>1903.5</v>
      </c>
    </row>
    <row r="329" spans="2:3">
      <c r="B329" s="9">
        <v>41600</v>
      </c>
      <c r="C329">
        <v>1917.2</v>
      </c>
    </row>
    <row r="330" spans="2:3">
      <c r="B330" s="9">
        <v>41607</v>
      </c>
      <c r="C330">
        <v>1561.6</v>
      </c>
    </row>
    <row r="331" spans="2:3">
      <c r="B331" s="9">
        <v>41614</v>
      </c>
      <c r="C331">
        <v>1599.4</v>
      </c>
    </row>
    <row r="332" spans="2:3">
      <c r="B332" s="9">
        <v>41621</v>
      </c>
      <c r="C332">
        <v>1529.8</v>
      </c>
    </row>
    <row r="333" spans="2:3">
      <c r="B333" s="9">
        <v>41628</v>
      </c>
      <c r="C333">
        <v>1426.7</v>
      </c>
    </row>
    <row r="334" spans="2:3">
      <c r="B334" s="9">
        <v>41635</v>
      </c>
      <c r="C334">
        <v>1277.8</v>
      </c>
    </row>
    <row r="335" spans="2:3">
      <c r="B335" s="9">
        <v>41642</v>
      </c>
      <c r="C335">
        <v>1352.7</v>
      </c>
    </row>
    <row r="336" spans="2:3">
      <c r="B336" s="9">
        <v>41649</v>
      </c>
      <c r="C336">
        <v>1507</v>
      </c>
    </row>
    <row r="337" spans="2:3">
      <c r="B337" s="9">
        <v>41656</v>
      </c>
      <c r="C337">
        <v>1675.8</v>
      </c>
    </row>
    <row r="338" spans="2:3">
      <c r="B338" s="9">
        <v>41663</v>
      </c>
      <c r="C338">
        <v>1601.2</v>
      </c>
    </row>
    <row r="339" spans="2:3">
      <c r="B339" s="9">
        <v>41670</v>
      </c>
      <c r="C339">
        <v>1667.5</v>
      </c>
    </row>
    <row r="340" spans="2:3">
      <c r="B340" s="9">
        <v>41677</v>
      </c>
      <c r="C340">
        <v>1674.2</v>
      </c>
    </row>
    <row r="341" spans="2:3">
      <c r="B341" s="9">
        <v>41684</v>
      </c>
      <c r="C341">
        <v>1650.6</v>
      </c>
    </row>
    <row r="342" spans="2:3">
      <c r="B342" s="9">
        <v>41691</v>
      </c>
      <c r="C342">
        <v>1442.3</v>
      </c>
    </row>
    <row r="343" spans="2:3">
      <c r="B343" s="9">
        <v>41698</v>
      </c>
      <c r="C343">
        <v>1600.6</v>
      </c>
    </row>
    <row r="344" spans="2:3">
      <c r="B344" s="9">
        <v>41705</v>
      </c>
      <c r="C344">
        <v>1528</v>
      </c>
    </row>
    <row r="345" spans="2:3">
      <c r="B345" s="9">
        <v>41712</v>
      </c>
      <c r="C345">
        <v>1552.1</v>
      </c>
    </row>
    <row r="346" spans="2:3">
      <c r="B346" s="9">
        <v>41719</v>
      </c>
      <c r="C346">
        <v>1426.3</v>
      </c>
    </row>
    <row r="347" spans="2:3">
      <c r="B347" s="9">
        <v>41726</v>
      </c>
      <c r="C347">
        <v>1383.5</v>
      </c>
    </row>
    <row r="348" spans="2:3">
      <c r="B348" s="9">
        <v>41733</v>
      </c>
      <c r="C348">
        <v>1324.7</v>
      </c>
    </row>
    <row r="349" spans="2:3">
      <c r="B349" s="9">
        <v>41740</v>
      </c>
      <c r="C349">
        <v>1429.9</v>
      </c>
    </row>
    <row r="350" spans="2:3">
      <c r="B350" s="9">
        <v>41747</v>
      </c>
      <c r="C350">
        <v>1370.9</v>
      </c>
    </row>
    <row r="351" spans="2:3">
      <c r="B351" s="9">
        <v>41754</v>
      </c>
      <c r="C351">
        <v>1298.0999999999999</v>
      </c>
    </row>
    <row r="352" spans="2:3">
      <c r="B352" s="9">
        <v>41761</v>
      </c>
      <c r="C352">
        <v>1323.9</v>
      </c>
    </row>
    <row r="353" spans="2:3">
      <c r="B353" s="9">
        <v>41768</v>
      </c>
      <c r="C353">
        <v>1400.9</v>
      </c>
    </row>
    <row r="354" spans="2:3">
      <c r="B354" s="9">
        <v>41775</v>
      </c>
      <c r="C354">
        <v>1460.6</v>
      </c>
    </row>
    <row r="355" spans="2:3">
      <c r="B355" s="9">
        <v>41782</v>
      </c>
      <c r="C355">
        <v>1453.4</v>
      </c>
    </row>
    <row r="356" spans="2:3">
      <c r="B356" s="9">
        <v>41789</v>
      </c>
      <c r="C356">
        <v>1382.6</v>
      </c>
    </row>
    <row r="357" spans="2:3">
      <c r="B357" s="9">
        <v>41796</v>
      </c>
      <c r="C357">
        <v>1516.9</v>
      </c>
    </row>
    <row r="358" spans="2:3">
      <c r="B358" s="9">
        <v>41803</v>
      </c>
      <c r="C358">
        <v>1321.3</v>
      </c>
    </row>
    <row r="359" spans="2:3">
      <c r="B359" s="9">
        <v>41810</v>
      </c>
      <c r="C359">
        <v>1333.5</v>
      </c>
    </row>
    <row r="360" spans="2:3">
      <c r="B360" s="9">
        <v>41817</v>
      </c>
      <c r="C360">
        <v>1341.8</v>
      </c>
    </row>
    <row r="361" spans="2:3">
      <c r="B361" s="9">
        <v>41824</v>
      </c>
      <c r="C361">
        <v>1346.8</v>
      </c>
    </row>
    <row r="362" spans="2:3">
      <c r="B362" s="9">
        <v>41831</v>
      </c>
      <c r="C362">
        <v>1329.7</v>
      </c>
    </row>
    <row r="363" spans="2:3">
      <c r="B363" s="9">
        <v>41838</v>
      </c>
      <c r="C363">
        <v>1400.7</v>
      </c>
    </row>
    <row r="364" spans="2:3">
      <c r="B364" s="9">
        <v>41845</v>
      </c>
      <c r="C364">
        <v>1327.5</v>
      </c>
    </row>
    <row r="365" spans="2:3">
      <c r="B365" s="9">
        <v>41852</v>
      </c>
      <c r="C365">
        <v>1373.9</v>
      </c>
    </row>
    <row r="366" spans="2:3">
      <c r="B366" s="9">
        <v>41859</v>
      </c>
      <c r="C366">
        <v>1342.6</v>
      </c>
    </row>
    <row r="367" spans="2:3">
      <c r="B367" s="9">
        <v>41866</v>
      </c>
      <c r="C367">
        <v>1404.9</v>
      </c>
    </row>
    <row r="368" spans="2:3">
      <c r="B368" s="9">
        <v>41873</v>
      </c>
      <c r="C368">
        <v>1439.4</v>
      </c>
    </row>
    <row r="369" spans="2:3">
      <c r="B369" s="9">
        <v>41880</v>
      </c>
      <c r="C369">
        <v>1436</v>
      </c>
    </row>
    <row r="370" spans="2:3">
      <c r="B370" s="9">
        <v>41887</v>
      </c>
      <c r="C370">
        <v>1275.8</v>
      </c>
    </row>
    <row r="371" spans="2:3">
      <c r="B371" s="9">
        <v>41894</v>
      </c>
      <c r="C371">
        <v>1398.4</v>
      </c>
    </row>
    <row r="372" spans="2:3">
      <c r="B372" s="9">
        <v>41901</v>
      </c>
      <c r="C372">
        <v>1335.1</v>
      </c>
    </row>
    <row r="373" spans="2:3">
      <c r="B373" s="9">
        <v>41908</v>
      </c>
      <c r="C373">
        <v>1326.2</v>
      </c>
    </row>
    <row r="374" spans="2:3">
      <c r="B374" s="9">
        <v>41915</v>
      </c>
      <c r="C374">
        <v>1387.1</v>
      </c>
    </row>
    <row r="375" spans="2:3">
      <c r="B375" s="9">
        <v>41922</v>
      </c>
      <c r="C375">
        <v>1560.6</v>
      </c>
    </row>
    <row r="376" spans="2:3">
      <c r="B376" s="9">
        <v>41929</v>
      </c>
      <c r="C376">
        <v>1898.2</v>
      </c>
    </row>
    <row r="377" spans="2:3">
      <c r="B377" s="9">
        <v>41936</v>
      </c>
      <c r="C377">
        <v>1713.6</v>
      </c>
    </row>
    <row r="378" spans="2:3">
      <c r="B378" s="9">
        <v>41943</v>
      </c>
      <c r="C378">
        <v>1604.8</v>
      </c>
    </row>
    <row r="379" spans="2:3">
      <c r="B379" s="9">
        <v>41950</v>
      </c>
      <c r="C379">
        <v>1565.3</v>
      </c>
    </row>
    <row r="380" spans="2:3">
      <c r="B380" s="9">
        <v>41957</v>
      </c>
      <c r="C380">
        <v>1563.2</v>
      </c>
    </row>
    <row r="381" spans="2:3">
      <c r="B381" s="9">
        <v>41964</v>
      </c>
      <c r="C381">
        <v>1547.9</v>
      </c>
    </row>
    <row r="382" spans="2:3">
      <c r="B382" s="9">
        <v>41971</v>
      </c>
      <c r="C382">
        <v>1366.6</v>
      </c>
    </row>
    <row r="383" spans="2:3">
      <c r="B383" s="9">
        <v>41978</v>
      </c>
      <c r="C383">
        <v>1548.6</v>
      </c>
    </row>
    <row r="384" spans="2:3">
      <c r="B384" s="9">
        <v>41985</v>
      </c>
      <c r="C384">
        <v>1518.8</v>
      </c>
    </row>
    <row r="385" spans="2:3">
      <c r="B385" s="9">
        <v>41992</v>
      </c>
      <c r="C385">
        <v>1538.7</v>
      </c>
    </row>
    <row r="386" spans="2:3">
      <c r="B386" s="9">
        <v>41999</v>
      </c>
      <c r="C386">
        <v>1164.2</v>
      </c>
    </row>
    <row r="387" spans="2:3">
      <c r="B387" s="9">
        <v>42006</v>
      </c>
      <c r="C387">
        <v>1347.6</v>
      </c>
    </row>
    <row r="388" spans="2:3">
      <c r="B388" s="9">
        <v>42013</v>
      </c>
      <c r="C388">
        <v>2271.5</v>
      </c>
    </row>
    <row r="389" spans="2:3">
      <c r="B389" s="9">
        <v>42020</v>
      </c>
      <c r="C389">
        <v>2799.3</v>
      </c>
    </row>
    <row r="390" spans="2:3">
      <c r="B390" s="9">
        <v>42027</v>
      </c>
      <c r="C390">
        <v>2572.3000000000002</v>
      </c>
    </row>
    <row r="391" spans="2:3">
      <c r="B391" s="9">
        <v>42034</v>
      </c>
      <c r="C391">
        <v>2584.8000000000002</v>
      </c>
    </row>
    <row r="392" spans="2:3">
      <c r="B392" s="9">
        <v>42041</v>
      </c>
      <c r="C392">
        <v>2291.3000000000002</v>
      </c>
    </row>
    <row r="393" spans="2:3">
      <c r="B393" s="9">
        <v>42048</v>
      </c>
      <c r="C393">
        <v>1904.2</v>
      </c>
    </row>
    <row r="394" spans="2:3">
      <c r="B394" s="9">
        <v>42055</v>
      </c>
      <c r="C394">
        <v>1703.1</v>
      </c>
    </row>
    <row r="395" spans="2:3">
      <c r="B395" s="9">
        <v>42062</v>
      </c>
      <c r="C395">
        <v>1740.3</v>
      </c>
    </row>
    <row r="396" spans="2:3">
      <c r="B396" s="9">
        <v>42069</v>
      </c>
      <c r="C396">
        <v>1685.7</v>
      </c>
    </row>
    <row r="397" spans="2:3">
      <c r="B397" s="9">
        <v>42076</v>
      </c>
      <c r="C397">
        <v>1623.6</v>
      </c>
    </row>
    <row r="398" spans="2:3">
      <c r="B398" s="9">
        <v>42083</v>
      </c>
      <c r="C398">
        <v>1860.8</v>
      </c>
    </row>
    <row r="399" spans="2:3">
      <c r="B399" s="9">
        <v>42090</v>
      </c>
      <c r="C399">
        <v>1941.6</v>
      </c>
    </row>
    <row r="400" spans="2:3">
      <c r="B400" s="9">
        <v>42097</v>
      </c>
      <c r="C400">
        <v>1854.7</v>
      </c>
    </row>
    <row r="401" spans="2:3">
      <c r="B401" s="9">
        <v>42104</v>
      </c>
      <c r="C401">
        <v>1804.6</v>
      </c>
    </row>
    <row r="402" spans="2:3">
      <c r="B402" s="9">
        <v>42111</v>
      </c>
      <c r="C402">
        <v>1817</v>
      </c>
    </row>
    <row r="403" spans="2:3">
      <c r="B403" s="9"/>
    </row>
    <row r="404" spans="2:3">
      <c r="B404" s="9"/>
    </row>
    <row r="405" spans="2:3">
      <c r="B405" s="9"/>
    </row>
    <row r="406" spans="2:3">
      <c r="B406" s="9"/>
    </row>
    <row r="407" spans="2:3">
      <c r="B407" s="9"/>
    </row>
    <row r="408" spans="2:3">
      <c r="B408" s="9"/>
    </row>
    <row r="409" spans="2:3">
      <c r="B409" s="9"/>
    </row>
    <row r="410" spans="2:3">
      <c r="B410" s="9"/>
    </row>
    <row r="411" spans="2:3">
      <c r="B411" s="9"/>
    </row>
    <row r="412" spans="2:3">
      <c r="B412" s="9"/>
    </row>
    <row r="413" spans="2:3">
      <c r="B413" s="9"/>
    </row>
    <row r="414" spans="2:3">
      <c r="B414" s="9"/>
    </row>
    <row r="415" spans="2:3">
      <c r="B415" s="9"/>
    </row>
    <row r="416" spans="2:3">
      <c r="B416" s="9"/>
    </row>
    <row r="417" spans="2:2">
      <c r="B417" s="9"/>
    </row>
    <row r="418" spans="2:2">
      <c r="B418" s="9"/>
    </row>
    <row r="419" spans="2:2">
      <c r="B419" s="9"/>
    </row>
    <row r="420" spans="2:2">
      <c r="B420" s="9"/>
    </row>
    <row r="421" spans="2:2">
      <c r="B421" s="9"/>
    </row>
    <row r="422" spans="2:2">
      <c r="B422" s="9"/>
    </row>
    <row r="423" spans="2:2">
      <c r="B423" s="9"/>
    </row>
    <row r="424" spans="2:2">
      <c r="B424" s="9"/>
    </row>
    <row r="425" spans="2:2">
      <c r="B425" s="9"/>
    </row>
    <row r="426" spans="2:2">
      <c r="B426" s="9"/>
    </row>
    <row r="427" spans="2:2">
      <c r="B427" s="9"/>
    </row>
    <row r="428" spans="2:2">
      <c r="B428" s="9"/>
    </row>
    <row r="429" spans="2:2">
      <c r="B429" s="9"/>
    </row>
    <row r="430" spans="2:2">
      <c r="B430" s="9"/>
    </row>
    <row r="431" spans="2:2">
      <c r="B431" s="9"/>
    </row>
    <row r="432" spans="2:2">
      <c r="B432" s="9"/>
    </row>
    <row r="433" spans="2:2">
      <c r="B43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all FNCL</vt:lpstr>
      <vt:lpstr>projection</vt:lpstr>
      <vt:lpstr>Bloomberg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cp:lastPrinted>2014-10-22T18:01:51Z</cp:lastPrinted>
  <dcterms:created xsi:type="dcterms:W3CDTF">2014-05-08T14:19:03Z</dcterms:created>
  <dcterms:modified xsi:type="dcterms:W3CDTF">2015-05-05T12:44:56Z</dcterms:modified>
</cp:coreProperties>
</file>