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120" yWindow="375" windowWidth="15930" windowHeight="6480"/>
  </bookViews>
  <sheets>
    <sheet name="% of NAV " sheetId="4" r:id="rId1"/>
    <sheet name="Net IO Raw Data" sheetId="1" state="hidden" r:id="rId2"/>
    <sheet name="CMO MV Raw" sheetId="2" state="hidden" r:id="rId3"/>
    <sheet name="Sheet3" sheetId="3" state="hidden" r:id="rId4"/>
  </sheets>
  <definedNames>
    <definedName name="_xlnm.Print_Area" localSheetId="0">'% of NAV '!$E$1:$AC$68</definedName>
    <definedName name="Query_from_Agency" localSheetId="2" hidden="1">'CMO MV Raw'!$A$1:$B$1145</definedName>
    <definedName name="Query_from_Cello_SQL_Server" localSheetId="1" hidden="1">'Net IO Raw Data'!$A$1:$J$1136</definedName>
  </definedNames>
  <calcPr calcId="145621"/>
  <pivotCaches>
    <pivotCache cacheId="9" r:id="rId5"/>
  </pivotCaches>
</workbook>
</file>

<file path=xl/calcChain.xml><?xml version="1.0" encoding="utf-8"?>
<calcChain xmlns="http://schemas.openxmlformats.org/spreadsheetml/2006/main">
  <c r="K2" i="1" l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L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K754" i="4" l="1"/>
  <c r="H742" i="4"/>
  <c r="K751" i="4"/>
  <c r="D752" i="4" l="1"/>
</calcChain>
</file>

<file path=xl/connections.xml><?xml version="1.0" encoding="utf-8"?>
<connections xmlns="http://schemas.openxmlformats.org/spreadsheetml/2006/main">
  <connection id="1" name="MarketValueDataQuery" type="1" refreshedVersion="4" savePassword="1" saveData="1">
    <dbPr connection="DSN=Agency" command="SELECT CD_Portfolio.asOf, Sum(CD_Portfolio.marketValue)_x000d__x000a_FROM report.CD_Portfolio CD_Portfolio_x000d__x000a_WHERE (CD_Portfolio.assetType='BOND') and PortfolioName = 'AGENCY CMO'_x000d__x000a_GROUP BY CD_Portfolio.asOf_x000d__x000a_ORDER BY CD_Portfolio.asOf"/>
  </connection>
  <connection id="2" name="NetIODataQuery" type="1" refreshedVersion="4" savePassword="1" saveData="1">
    <dbPr connection="DSN=Cello SQL Server;Description=Cello SQL Server;UID=report;PWD=gm4SJDw4;APP=Microsoft Office 2010;WSID=CELLO-PC4;DATABASE=Cello" command="SELECT e.AsOfDate, e.NetIOPar, e.NetIOMarketValue, e.NetTBAPar, e.NetTBAMarketValue, NAV=dbo.GetEndingBalance(e.AsOfDate,1), NetIOPar_over_Nav=netIOPar/dbo.GetEndingBalance(e.AsOfDate,1)*1000000*100, NetIOMarketValue_over_Nav=NetIOMarketValue/dbo.GetEndingBalance(e.AsOfDate,1)*1000000*100, NetTBAPar_over_Nav=NetTBAPar/dbo.GetEndingBalance(e.AsOfDate,1)*1000000*100, NetTBAMarketValue_over_Nav=NetTBAMarketValue/dbo.GetEndingBalance(e.AsOfDate,1)*1000000*100_x000d__x000a_FROM Cello.dbo.CCMRiskPortfolioNetIOTBAEquivalent e where e.PortfolioId = 1_x000d__x000a_ORDER BY e.AsOfDate"/>
  </connection>
</connections>
</file>

<file path=xl/sharedStrings.xml><?xml version="1.0" encoding="utf-8"?>
<sst xmlns="http://schemas.openxmlformats.org/spreadsheetml/2006/main" count="17" uniqueCount="17">
  <si>
    <t>AsOfDate</t>
  </si>
  <si>
    <t>NetIOPar</t>
  </si>
  <si>
    <t>NetIOMarketValue</t>
  </si>
  <si>
    <t>NetTBAPar</t>
  </si>
  <si>
    <t>NetTBAMarketValue</t>
  </si>
  <si>
    <t>NAV</t>
  </si>
  <si>
    <t>NetIOPar_over_Nav</t>
  </si>
  <si>
    <t>NetIOMarketValue_over_Nav</t>
  </si>
  <si>
    <t>NetTBAPar_over_Nav</t>
  </si>
  <si>
    <t>NetTBAMarketValue_over_Nav</t>
  </si>
  <si>
    <t>Date</t>
  </si>
  <si>
    <t>asOf</t>
  </si>
  <si>
    <t>Sum(CD_Portfolio.marketValue)</t>
  </si>
  <si>
    <t>CMO MV</t>
  </si>
  <si>
    <t>% NAV CMO</t>
  </si>
  <si>
    <t>CMO Market Value (% of NAV)</t>
  </si>
  <si>
    <t>Net IO Market Value (% of NAV)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</si>
</sst>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mm/dd/yy;@"/>
  </numFmts>
  <fonts count="9" x14ac:knownFonts="1"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24"/>
      <color rgb="FF2E398A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">
    <xf numFmtId="0" fontId="0" fillId="0" borderId="0" xfId="0"/>
    <xf numFmtId="22" fontId="0" fillId="0" borderId="0" xfId="0" applyNumberFormat="1"/>
    <xf numFmtId="164" fontId="0" fillId="0" borderId="0" xfId="0" applyNumberFormat="1" applyAlignment="1">
      <alignment horizontal="left"/>
    </xf>
    <xf numFmtId="14" fontId="0" fillId="0" borderId="0" xfId="0" applyNumberFormat="1"/>
    <xf numFmtId="43" fontId="0" fillId="0" borderId="0" xfId="1" applyFont="1"/>
    <xf numFmtId="2" fontId="0" fillId="0" borderId="0" xfId="2" applyNumberFormat="1" applyFont="1"/>
    <xf numFmtId="0" fontId="0" fillId="0" borderId="0" xfId="0" pivotButton="1" applyAlignment="1">
      <alignment horizontal="center" wrapText="1"/>
    </xf>
    <xf numFmtId="0" fontId="0" fillId="0" borderId="0" xfId="0" applyAlignment="1">
      <alignment horizontal="center" wrapText="1"/>
    </xf>
    <xf numFmtId="2" fontId="0" fillId="0" borderId="0" xfId="0" applyNumberFormat="1"/>
    <xf numFmtId="43" fontId="3" fillId="0" borderId="0" xfId="1" applyFont="1"/>
    <xf numFmtId="0" fontId="2" fillId="0" borderId="0" xfId="0" applyFont="1" applyAlignment="1"/>
    <xf numFmtId="43" fontId="4" fillId="0" borderId="0" xfId="1" applyFont="1"/>
    <xf numFmtId="43" fontId="5" fillId="0" borderId="0" xfId="1" applyFont="1"/>
    <xf numFmtId="43" fontId="6" fillId="0" borderId="0" xfId="1" applyFont="1"/>
    <xf numFmtId="43" fontId="7" fillId="0" borderId="0" xfId="1" applyFont="1"/>
    <xf numFmtId="43" fontId="8" fillId="0" borderId="0" xfId="1" applyFont="1"/>
  </cellXfs>
  <cellStyles count="3">
    <cellStyle name="Comma" xfId="1" builtinId="3"/>
    <cellStyle name="Normal" xfId="0" builtinId="0"/>
    <cellStyle name="Percent" xfId="2" builtinId="5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numFmt numFmtId="19" formatCode="m/d/yyyy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numFmt numFmtId="27" formatCode="m/d/yyyy\ h:mm"/>
    </dxf>
    <dxf>
      <numFmt numFmtId="2" formatCode="0.00"/>
    </dxf>
    <dxf>
      <numFmt numFmtId="2" formatCode="0.00"/>
    </dxf>
    <dxf>
      <numFmt numFmtId="2" formatCode="0.00"/>
    </dxf>
    <dxf>
      <alignment horizont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wrapText="1" readingOrder="0"/>
    </dxf>
  </dxfs>
  <tableStyles count="0" defaultTableStyle="TableStyleMedium2" defaultPivotStyle="PivotStyleLight16"/>
  <colors>
    <mruColors>
      <color rgb="FF2E398A"/>
      <color rgb="FFAD275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[Cello Portfolio Net IO &amp; CMO Market Value % of NAV Master.xlsm]% of NAV !PivotTable1</c:name>
    <c:fmtId val="6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spPr>
          <a:ln>
            <a:solidFill>
              <a:srgbClr val="2E398A"/>
            </a:solidFill>
          </a:ln>
        </c:spPr>
        <c:marker>
          <c:symbol val="none"/>
        </c:marker>
      </c:pivotFmt>
      <c:pivotFmt>
        <c:idx val="5"/>
        <c:spPr>
          <a:ln>
            <a:solidFill>
              <a:srgbClr val="AD275C"/>
            </a:solidFill>
          </a:ln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5.1307843620785568E-2"/>
          <c:y val="0.12524727948332298"/>
          <c:w val="0.91895395449931472"/>
          <c:h val="0.79660641317147551"/>
        </c:manualLayout>
      </c:layout>
      <c:lineChart>
        <c:grouping val="standard"/>
        <c:varyColors val="0"/>
        <c:ser>
          <c:idx val="0"/>
          <c:order val="0"/>
          <c:tx>
            <c:strRef>
              <c:f>'% of NAV '!$B$3</c:f>
              <c:strCache>
                <c:ptCount val="1"/>
                <c:pt idx="0">
                  <c:v>Net IO Market Value (% of NAV)</c:v>
                </c:pt>
              </c:strCache>
            </c:strRef>
          </c:tx>
          <c:spPr>
            <a:ln>
              <a:solidFill>
                <a:srgbClr val="2E398A"/>
              </a:solidFill>
            </a:ln>
          </c:spPr>
          <c:marker>
            <c:symbol val="none"/>
          </c:marker>
          <c:cat>
            <c:strRef>
              <c:f>'% of NAV '!$A$4:$A$814</c:f>
              <c:strCache>
                <c:ptCount val="811"/>
                <c:pt idx="0">
                  <c:v>10/02/12</c:v>
                </c:pt>
                <c:pt idx="1">
                  <c:v>10/03/12</c:v>
                </c:pt>
                <c:pt idx="2">
                  <c:v>10/04/12</c:v>
                </c:pt>
                <c:pt idx="3">
                  <c:v>10/05/12</c:v>
                </c:pt>
                <c:pt idx="4">
                  <c:v>10/09/12</c:v>
                </c:pt>
                <c:pt idx="5">
                  <c:v>10/10/12</c:v>
                </c:pt>
                <c:pt idx="6">
                  <c:v>10/11/12</c:v>
                </c:pt>
                <c:pt idx="7">
                  <c:v>10/12/12</c:v>
                </c:pt>
                <c:pt idx="8">
                  <c:v>10/15/12</c:v>
                </c:pt>
                <c:pt idx="9">
                  <c:v>10/16/12</c:v>
                </c:pt>
                <c:pt idx="10">
                  <c:v>10/17/12</c:v>
                </c:pt>
                <c:pt idx="11">
                  <c:v>10/18/12</c:v>
                </c:pt>
                <c:pt idx="12">
                  <c:v>10/19/12</c:v>
                </c:pt>
                <c:pt idx="13">
                  <c:v>10/22/12</c:v>
                </c:pt>
                <c:pt idx="14">
                  <c:v>10/23/12</c:v>
                </c:pt>
                <c:pt idx="15">
                  <c:v>10/24/12</c:v>
                </c:pt>
                <c:pt idx="16">
                  <c:v>10/25/12</c:v>
                </c:pt>
                <c:pt idx="17">
                  <c:v>10/26/12</c:v>
                </c:pt>
                <c:pt idx="18">
                  <c:v>10/29/12</c:v>
                </c:pt>
                <c:pt idx="19">
                  <c:v>10/31/12</c:v>
                </c:pt>
                <c:pt idx="20">
                  <c:v>11/01/12</c:v>
                </c:pt>
                <c:pt idx="21">
                  <c:v>11/02/12</c:v>
                </c:pt>
                <c:pt idx="22">
                  <c:v>11/05/12</c:v>
                </c:pt>
                <c:pt idx="23">
                  <c:v>11/06/12</c:v>
                </c:pt>
                <c:pt idx="24">
                  <c:v>11/07/12</c:v>
                </c:pt>
                <c:pt idx="25">
                  <c:v>11/08/12</c:v>
                </c:pt>
                <c:pt idx="26">
                  <c:v>11/09/12</c:v>
                </c:pt>
                <c:pt idx="27">
                  <c:v>11/13/12</c:v>
                </c:pt>
                <c:pt idx="28">
                  <c:v>11/14/12</c:v>
                </c:pt>
                <c:pt idx="29">
                  <c:v>11/15/12</c:v>
                </c:pt>
                <c:pt idx="30">
                  <c:v>11/16/12</c:v>
                </c:pt>
                <c:pt idx="31">
                  <c:v>11/19/12</c:v>
                </c:pt>
                <c:pt idx="32">
                  <c:v>11/20/12</c:v>
                </c:pt>
                <c:pt idx="33">
                  <c:v>11/21/12</c:v>
                </c:pt>
                <c:pt idx="34">
                  <c:v>11/23/12</c:v>
                </c:pt>
                <c:pt idx="35">
                  <c:v>11/26/12</c:v>
                </c:pt>
                <c:pt idx="36">
                  <c:v>11/27/12</c:v>
                </c:pt>
                <c:pt idx="37">
                  <c:v>11/28/12</c:v>
                </c:pt>
                <c:pt idx="38">
                  <c:v>11/29/12</c:v>
                </c:pt>
                <c:pt idx="39">
                  <c:v>11/30/12</c:v>
                </c:pt>
                <c:pt idx="40">
                  <c:v>12/03/12</c:v>
                </c:pt>
                <c:pt idx="41">
                  <c:v>12/04/12</c:v>
                </c:pt>
                <c:pt idx="42">
                  <c:v>12/05/12</c:v>
                </c:pt>
                <c:pt idx="43">
                  <c:v>12/06/12</c:v>
                </c:pt>
                <c:pt idx="44">
                  <c:v>12/07/12</c:v>
                </c:pt>
                <c:pt idx="45">
                  <c:v>12/10/12</c:v>
                </c:pt>
                <c:pt idx="46">
                  <c:v>12/11/12</c:v>
                </c:pt>
                <c:pt idx="47">
                  <c:v>12/12/12</c:v>
                </c:pt>
                <c:pt idx="48">
                  <c:v>12/13/12</c:v>
                </c:pt>
                <c:pt idx="49">
                  <c:v>12/14/12</c:v>
                </c:pt>
                <c:pt idx="50">
                  <c:v>12/17/12</c:v>
                </c:pt>
                <c:pt idx="51">
                  <c:v>12/18/12</c:v>
                </c:pt>
                <c:pt idx="52">
                  <c:v>12/19/12</c:v>
                </c:pt>
                <c:pt idx="53">
                  <c:v>12/20/12</c:v>
                </c:pt>
                <c:pt idx="54">
                  <c:v>12/21/12</c:v>
                </c:pt>
                <c:pt idx="55">
                  <c:v>12/24/12</c:v>
                </c:pt>
                <c:pt idx="56">
                  <c:v>12/26/12</c:v>
                </c:pt>
                <c:pt idx="57">
                  <c:v>12/27/12</c:v>
                </c:pt>
                <c:pt idx="58">
                  <c:v>12/28/12</c:v>
                </c:pt>
                <c:pt idx="59">
                  <c:v>12/31/12</c:v>
                </c:pt>
                <c:pt idx="60">
                  <c:v>01/02/13</c:v>
                </c:pt>
                <c:pt idx="61">
                  <c:v>01/03/13</c:v>
                </c:pt>
                <c:pt idx="62">
                  <c:v>01/04/13</c:v>
                </c:pt>
                <c:pt idx="63">
                  <c:v>01/07/13</c:v>
                </c:pt>
                <c:pt idx="64">
                  <c:v>01/08/13</c:v>
                </c:pt>
                <c:pt idx="65">
                  <c:v>01/09/13</c:v>
                </c:pt>
                <c:pt idx="66">
                  <c:v>01/10/13</c:v>
                </c:pt>
                <c:pt idx="67">
                  <c:v>01/11/13</c:v>
                </c:pt>
                <c:pt idx="68">
                  <c:v>01/14/13</c:v>
                </c:pt>
                <c:pt idx="69">
                  <c:v>01/15/13</c:v>
                </c:pt>
                <c:pt idx="70">
                  <c:v>01/16/13</c:v>
                </c:pt>
                <c:pt idx="71">
                  <c:v>01/17/13</c:v>
                </c:pt>
                <c:pt idx="72">
                  <c:v>01/18/13</c:v>
                </c:pt>
                <c:pt idx="73">
                  <c:v>01/22/13</c:v>
                </c:pt>
                <c:pt idx="74">
                  <c:v>01/23/13</c:v>
                </c:pt>
                <c:pt idx="75">
                  <c:v>01/24/13</c:v>
                </c:pt>
                <c:pt idx="76">
                  <c:v>01/25/13</c:v>
                </c:pt>
                <c:pt idx="77">
                  <c:v>01/28/13</c:v>
                </c:pt>
                <c:pt idx="78">
                  <c:v>01/29/13</c:v>
                </c:pt>
                <c:pt idx="79">
                  <c:v>01/30/13</c:v>
                </c:pt>
                <c:pt idx="80">
                  <c:v>01/31/13</c:v>
                </c:pt>
                <c:pt idx="81">
                  <c:v>02/01/13</c:v>
                </c:pt>
                <c:pt idx="82">
                  <c:v>02/04/13</c:v>
                </c:pt>
                <c:pt idx="83">
                  <c:v>02/05/13</c:v>
                </c:pt>
                <c:pt idx="84">
                  <c:v>02/06/13</c:v>
                </c:pt>
                <c:pt idx="85">
                  <c:v>02/07/13</c:v>
                </c:pt>
                <c:pt idx="86">
                  <c:v>02/08/13</c:v>
                </c:pt>
                <c:pt idx="87">
                  <c:v>02/11/13</c:v>
                </c:pt>
                <c:pt idx="88">
                  <c:v>02/12/13</c:v>
                </c:pt>
                <c:pt idx="89">
                  <c:v>02/13/13</c:v>
                </c:pt>
                <c:pt idx="90">
                  <c:v>02/14/13</c:v>
                </c:pt>
                <c:pt idx="91">
                  <c:v>02/15/13</c:v>
                </c:pt>
                <c:pt idx="92">
                  <c:v>02/19/13</c:v>
                </c:pt>
                <c:pt idx="93">
                  <c:v>02/20/13</c:v>
                </c:pt>
                <c:pt idx="94">
                  <c:v>02/21/13</c:v>
                </c:pt>
                <c:pt idx="95">
                  <c:v>02/22/13</c:v>
                </c:pt>
                <c:pt idx="96">
                  <c:v>02/25/13</c:v>
                </c:pt>
                <c:pt idx="97">
                  <c:v>02/26/13</c:v>
                </c:pt>
                <c:pt idx="98">
                  <c:v>02/27/13</c:v>
                </c:pt>
                <c:pt idx="99">
                  <c:v>02/28/13</c:v>
                </c:pt>
                <c:pt idx="100">
                  <c:v>03/01/13</c:v>
                </c:pt>
                <c:pt idx="101">
                  <c:v>03/04/13</c:v>
                </c:pt>
                <c:pt idx="102">
                  <c:v>03/05/13</c:v>
                </c:pt>
                <c:pt idx="103">
                  <c:v>03/06/13</c:v>
                </c:pt>
                <c:pt idx="104">
                  <c:v>03/07/13</c:v>
                </c:pt>
                <c:pt idx="105">
                  <c:v>03/08/13</c:v>
                </c:pt>
                <c:pt idx="106">
                  <c:v>03/11/13</c:v>
                </c:pt>
                <c:pt idx="107">
                  <c:v>03/12/13</c:v>
                </c:pt>
                <c:pt idx="108">
                  <c:v>03/13/13</c:v>
                </c:pt>
                <c:pt idx="109">
                  <c:v>03/14/13</c:v>
                </c:pt>
                <c:pt idx="110">
                  <c:v>03/15/13</c:v>
                </c:pt>
                <c:pt idx="111">
                  <c:v>03/18/13</c:v>
                </c:pt>
                <c:pt idx="112">
                  <c:v>03/19/13</c:v>
                </c:pt>
                <c:pt idx="113">
                  <c:v>03/20/13</c:v>
                </c:pt>
                <c:pt idx="114">
                  <c:v>03/21/13</c:v>
                </c:pt>
                <c:pt idx="115">
                  <c:v>03/22/13</c:v>
                </c:pt>
                <c:pt idx="116">
                  <c:v>03/25/13</c:v>
                </c:pt>
                <c:pt idx="117">
                  <c:v>03/26/13</c:v>
                </c:pt>
                <c:pt idx="118">
                  <c:v>03/27/13</c:v>
                </c:pt>
                <c:pt idx="119">
                  <c:v>03/28/13</c:v>
                </c:pt>
                <c:pt idx="120">
                  <c:v>04/01/13</c:v>
                </c:pt>
                <c:pt idx="121">
                  <c:v>04/02/13</c:v>
                </c:pt>
                <c:pt idx="122">
                  <c:v>04/03/13</c:v>
                </c:pt>
                <c:pt idx="123">
                  <c:v>04/04/13</c:v>
                </c:pt>
                <c:pt idx="124">
                  <c:v>04/05/13</c:v>
                </c:pt>
                <c:pt idx="125">
                  <c:v>04/08/13</c:v>
                </c:pt>
                <c:pt idx="126">
                  <c:v>04/09/13</c:v>
                </c:pt>
                <c:pt idx="127">
                  <c:v>04/10/13</c:v>
                </c:pt>
                <c:pt idx="128">
                  <c:v>04/11/13</c:v>
                </c:pt>
                <c:pt idx="129">
                  <c:v>04/12/13</c:v>
                </c:pt>
                <c:pt idx="130">
                  <c:v>04/15/13</c:v>
                </c:pt>
                <c:pt idx="131">
                  <c:v>04/16/13</c:v>
                </c:pt>
                <c:pt idx="132">
                  <c:v>04/17/13</c:v>
                </c:pt>
                <c:pt idx="133">
                  <c:v>04/18/13</c:v>
                </c:pt>
                <c:pt idx="134">
                  <c:v>04/19/13</c:v>
                </c:pt>
                <c:pt idx="135">
                  <c:v>04/22/13</c:v>
                </c:pt>
                <c:pt idx="136">
                  <c:v>04/23/13</c:v>
                </c:pt>
                <c:pt idx="137">
                  <c:v>04/24/13</c:v>
                </c:pt>
                <c:pt idx="138">
                  <c:v>04/25/13</c:v>
                </c:pt>
                <c:pt idx="139">
                  <c:v>04/26/13</c:v>
                </c:pt>
                <c:pt idx="140">
                  <c:v>04/29/13</c:v>
                </c:pt>
                <c:pt idx="141">
                  <c:v>04/30/13</c:v>
                </c:pt>
                <c:pt idx="142">
                  <c:v>05/01/13</c:v>
                </c:pt>
                <c:pt idx="143">
                  <c:v>05/02/13</c:v>
                </c:pt>
                <c:pt idx="144">
                  <c:v>05/03/13</c:v>
                </c:pt>
                <c:pt idx="145">
                  <c:v>05/06/13</c:v>
                </c:pt>
                <c:pt idx="146">
                  <c:v>05/07/13</c:v>
                </c:pt>
                <c:pt idx="147">
                  <c:v>05/08/13</c:v>
                </c:pt>
                <c:pt idx="148">
                  <c:v>05/09/13</c:v>
                </c:pt>
                <c:pt idx="149">
                  <c:v>05/10/13</c:v>
                </c:pt>
                <c:pt idx="150">
                  <c:v>05/13/13</c:v>
                </c:pt>
                <c:pt idx="151">
                  <c:v>05/14/13</c:v>
                </c:pt>
                <c:pt idx="152">
                  <c:v>05/15/13</c:v>
                </c:pt>
                <c:pt idx="153">
                  <c:v>05/16/13</c:v>
                </c:pt>
                <c:pt idx="154">
                  <c:v>05/17/13</c:v>
                </c:pt>
                <c:pt idx="155">
                  <c:v>05/20/13</c:v>
                </c:pt>
                <c:pt idx="156">
                  <c:v>05/21/13</c:v>
                </c:pt>
                <c:pt idx="157">
                  <c:v>05/22/13</c:v>
                </c:pt>
                <c:pt idx="158">
                  <c:v>05/23/13</c:v>
                </c:pt>
                <c:pt idx="159">
                  <c:v>05/24/13</c:v>
                </c:pt>
                <c:pt idx="160">
                  <c:v>05/28/13</c:v>
                </c:pt>
                <c:pt idx="161">
                  <c:v>05/29/13</c:v>
                </c:pt>
                <c:pt idx="162">
                  <c:v>05/30/13</c:v>
                </c:pt>
                <c:pt idx="163">
                  <c:v>05/31/13</c:v>
                </c:pt>
                <c:pt idx="164">
                  <c:v>06/03/13</c:v>
                </c:pt>
                <c:pt idx="165">
                  <c:v>06/04/13</c:v>
                </c:pt>
                <c:pt idx="166">
                  <c:v>06/05/13</c:v>
                </c:pt>
                <c:pt idx="167">
                  <c:v>06/06/13</c:v>
                </c:pt>
                <c:pt idx="168">
                  <c:v>06/07/13</c:v>
                </c:pt>
                <c:pt idx="169">
                  <c:v>06/10/13</c:v>
                </c:pt>
                <c:pt idx="170">
                  <c:v>06/11/13</c:v>
                </c:pt>
                <c:pt idx="171">
                  <c:v>06/12/13</c:v>
                </c:pt>
                <c:pt idx="172">
                  <c:v>06/13/13</c:v>
                </c:pt>
                <c:pt idx="173">
                  <c:v>06/14/13</c:v>
                </c:pt>
                <c:pt idx="174">
                  <c:v>06/17/13</c:v>
                </c:pt>
                <c:pt idx="175">
                  <c:v>06/18/13</c:v>
                </c:pt>
                <c:pt idx="176">
                  <c:v>06/19/13</c:v>
                </c:pt>
                <c:pt idx="177">
                  <c:v>06/20/13</c:v>
                </c:pt>
                <c:pt idx="178">
                  <c:v>06/21/13</c:v>
                </c:pt>
                <c:pt idx="179">
                  <c:v>06/24/13</c:v>
                </c:pt>
                <c:pt idx="180">
                  <c:v>06/25/13</c:v>
                </c:pt>
                <c:pt idx="181">
                  <c:v>06/26/13</c:v>
                </c:pt>
                <c:pt idx="182">
                  <c:v>06/27/13</c:v>
                </c:pt>
                <c:pt idx="183">
                  <c:v>06/28/13</c:v>
                </c:pt>
                <c:pt idx="184">
                  <c:v>07/01/13</c:v>
                </c:pt>
                <c:pt idx="185">
                  <c:v>07/02/13</c:v>
                </c:pt>
                <c:pt idx="186">
                  <c:v>07/03/13</c:v>
                </c:pt>
                <c:pt idx="187">
                  <c:v>07/05/13</c:v>
                </c:pt>
                <c:pt idx="188">
                  <c:v>07/08/13</c:v>
                </c:pt>
                <c:pt idx="189">
                  <c:v>07/09/13</c:v>
                </c:pt>
                <c:pt idx="190">
                  <c:v>07/10/13</c:v>
                </c:pt>
                <c:pt idx="191">
                  <c:v>07/11/13</c:v>
                </c:pt>
                <c:pt idx="192">
                  <c:v>07/12/13</c:v>
                </c:pt>
                <c:pt idx="193">
                  <c:v>07/15/13</c:v>
                </c:pt>
                <c:pt idx="194">
                  <c:v>07/16/13</c:v>
                </c:pt>
                <c:pt idx="195">
                  <c:v>07/17/13</c:v>
                </c:pt>
                <c:pt idx="196">
                  <c:v>07/18/13</c:v>
                </c:pt>
                <c:pt idx="197">
                  <c:v>07/19/13</c:v>
                </c:pt>
                <c:pt idx="198">
                  <c:v>07/22/13</c:v>
                </c:pt>
                <c:pt idx="199">
                  <c:v>07/23/13</c:v>
                </c:pt>
                <c:pt idx="200">
                  <c:v>07/24/13</c:v>
                </c:pt>
                <c:pt idx="201">
                  <c:v>07/25/13</c:v>
                </c:pt>
                <c:pt idx="202">
                  <c:v>07/26/13</c:v>
                </c:pt>
                <c:pt idx="203">
                  <c:v>07/29/13</c:v>
                </c:pt>
                <c:pt idx="204">
                  <c:v>07/30/13</c:v>
                </c:pt>
                <c:pt idx="205">
                  <c:v>07/31/13</c:v>
                </c:pt>
                <c:pt idx="206">
                  <c:v>08/01/13</c:v>
                </c:pt>
                <c:pt idx="207">
                  <c:v>08/02/13</c:v>
                </c:pt>
                <c:pt idx="208">
                  <c:v>08/05/13</c:v>
                </c:pt>
                <c:pt idx="209">
                  <c:v>08/06/13</c:v>
                </c:pt>
                <c:pt idx="210">
                  <c:v>08/07/13</c:v>
                </c:pt>
                <c:pt idx="211">
                  <c:v>08/08/13</c:v>
                </c:pt>
                <c:pt idx="212">
                  <c:v>08/09/13</c:v>
                </c:pt>
                <c:pt idx="213">
                  <c:v>08/12/13</c:v>
                </c:pt>
                <c:pt idx="214">
                  <c:v>08/13/13</c:v>
                </c:pt>
                <c:pt idx="215">
                  <c:v>08/14/13</c:v>
                </c:pt>
                <c:pt idx="216">
                  <c:v>08/15/13</c:v>
                </c:pt>
                <c:pt idx="217">
                  <c:v>08/16/13</c:v>
                </c:pt>
                <c:pt idx="218">
                  <c:v>08/19/13</c:v>
                </c:pt>
                <c:pt idx="219">
                  <c:v>08/20/13</c:v>
                </c:pt>
                <c:pt idx="220">
                  <c:v>08/21/13</c:v>
                </c:pt>
                <c:pt idx="221">
                  <c:v>08/22/13</c:v>
                </c:pt>
                <c:pt idx="222">
                  <c:v>08/23/13</c:v>
                </c:pt>
                <c:pt idx="223">
                  <c:v>08/26/13</c:v>
                </c:pt>
                <c:pt idx="224">
                  <c:v>08/27/13</c:v>
                </c:pt>
                <c:pt idx="225">
                  <c:v>08/28/13</c:v>
                </c:pt>
                <c:pt idx="226">
                  <c:v>08/29/13</c:v>
                </c:pt>
                <c:pt idx="227">
                  <c:v>08/30/13</c:v>
                </c:pt>
                <c:pt idx="228">
                  <c:v>09/03/13</c:v>
                </c:pt>
                <c:pt idx="229">
                  <c:v>09/04/13</c:v>
                </c:pt>
                <c:pt idx="230">
                  <c:v>09/05/13</c:v>
                </c:pt>
                <c:pt idx="231">
                  <c:v>09/06/13</c:v>
                </c:pt>
                <c:pt idx="232">
                  <c:v>09/09/13</c:v>
                </c:pt>
                <c:pt idx="233">
                  <c:v>09/10/13</c:v>
                </c:pt>
                <c:pt idx="234">
                  <c:v>09/11/13</c:v>
                </c:pt>
                <c:pt idx="235">
                  <c:v>09/12/13</c:v>
                </c:pt>
                <c:pt idx="236">
                  <c:v>09/13/13</c:v>
                </c:pt>
                <c:pt idx="237">
                  <c:v>09/16/13</c:v>
                </c:pt>
                <c:pt idx="238">
                  <c:v>09/17/13</c:v>
                </c:pt>
                <c:pt idx="239">
                  <c:v>09/18/13</c:v>
                </c:pt>
                <c:pt idx="240">
                  <c:v>09/19/13</c:v>
                </c:pt>
                <c:pt idx="241">
                  <c:v>09/20/13</c:v>
                </c:pt>
                <c:pt idx="242">
                  <c:v>09/23/13</c:v>
                </c:pt>
                <c:pt idx="243">
                  <c:v>09/24/13</c:v>
                </c:pt>
                <c:pt idx="244">
                  <c:v>09/25/13</c:v>
                </c:pt>
                <c:pt idx="245">
                  <c:v>09/26/13</c:v>
                </c:pt>
                <c:pt idx="246">
                  <c:v>09/27/13</c:v>
                </c:pt>
                <c:pt idx="247">
                  <c:v>09/30/13</c:v>
                </c:pt>
                <c:pt idx="248">
                  <c:v>10/01/13</c:v>
                </c:pt>
                <c:pt idx="249">
                  <c:v>10/02/13</c:v>
                </c:pt>
                <c:pt idx="250">
                  <c:v>10/03/13</c:v>
                </c:pt>
                <c:pt idx="251">
                  <c:v>10/04/13</c:v>
                </c:pt>
                <c:pt idx="252">
                  <c:v>10/07/13</c:v>
                </c:pt>
                <c:pt idx="253">
                  <c:v>10/08/13</c:v>
                </c:pt>
                <c:pt idx="254">
                  <c:v>10/09/13</c:v>
                </c:pt>
                <c:pt idx="255">
                  <c:v>10/10/13</c:v>
                </c:pt>
                <c:pt idx="256">
                  <c:v>10/11/13</c:v>
                </c:pt>
                <c:pt idx="257">
                  <c:v>10/15/13</c:v>
                </c:pt>
                <c:pt idx="258">
                  <c:v>10/16/13</c:v>
                </c:pt>
                <c:pt idx="259">
                  <c:v>10/17/13</c:v>
                </c:pt>
                <c:pt idx="260">
                  <c:v>10/18/13</c:v>
                </c:pt>
                <c:pt idx="261">
                  <c:v>10/21/13</c:v>
                </c:pt>
                <c:pt idx="262">
                  <c:v>10/22/13</c:v>
                </c:pt>
                <c:pt idx="263">
                  <c:v>10/23/13</c:v>
                </c:pt>
                <c:pt idx="264">
                  <c:v>10/24/13</c:v>
                </c:pt>
                <c:pt idx="265">
                  <c:v>10/25/13</c:v>
                </c:pt>
                <c:pt idx="266">
                  <c:v>10/28/13</c:v>
                </c:pt>
                <c:pt idx="267">
                  <c:v>10/29/13</c:v>
                </c:pt>
                <c:pt idx="268">
                  <c:v>10/30/13</c:v>
                </c:pt>
                <c:pt idx="269">
                  <c:v>10/31/13</c:v>
                </c:pt>
                <c:pt idx="270">
                  <c:v>11/01/13</c:v>
                </c:pt>
                <c:pt idx="271">
                  <c:v>11/04/13</c:v>
                </c:pt>
                <c:pt idx="272">
                  <c:v>11/05/13</c:v>
                </c:pt>
                <c:pt idx="273">
                  <c:v>11/06/13</c:v>
                </c:pt>
                <c:pt idx="274">
                  <c:v>11/07/13</c:v>
                </c:pt>
                <c:pt idx="275">
                  <c:v>11/08/13</c:v>
                </c:pt>
                <c:pt idx="276">
                  <c:v>11/12/13</c:v>
                </c:pt>
                <c:pt idx="277">
                  <c:v>11/13/13</c:v>
                </c:pt>
                <c:pt idx="278">
                  <c:v>11/14/13</c:v>
                </c:pt>
                <c:pt idx="279">
                  <c:v>11/15/13</c:v>
                </c:pt>
                <c:pt idx="280">
                  <c:v>11/18/13</c:v>
                </c:pt>
                <c:pt idx="281">
                  <c:v>11/19/13</c:v>
                </c:pt>
                <c:pt idx="282">
                  <c:v>11/20/13</c:v>
                </c:pt>
                <c:pt idx="283">
                  <c:v>11/21/13</c:v>
                </c:pt>
                <c:pt idx="284">
                  <c:v>11/22/13</c:v>
                </c:pt>
                <c:pt idx="285">
                  <c:v>11/25/13</c:v>
                </c:pt>
                <c:pt idx="286">
                  <c:v>11/26/13</c:v>
                </c:pt>
                <c:pt idx="287">
                  <c:v>11/27/13</c:v>
                </c:pt>
                <c:pt idx="288">
                  <c:v>11/29/13</c:v>
                </c:pt>
                <c:pt idx="289">
                  <c:v>12/02/13</c:v>
                </c:pt>
                <c:pt idx="290">
                  <c:v>12/03/13</c:v>
                </c:pt>
                <c:pt idx="291">
                  <c:v>12/04/13</c:v>
                </c:pt>
                <c:pt idx="292">
                  <c:v>12/05/13</c:v>
                </c:pt>
                <c:pt idx="293">
                  <c:v>12/06/13</c:v>
                </c:pt>
                <c:pt idx="294">
                  <c:v>12/09/13</c:v>
                </c:pt>
                <c:pt idx="295">
                  <c:v>12/10/13</c:v>
                </c:pt>
                <c:pt idx="296">
                  <c:v>12/11/13</c:v>
                </c:pt>
                <c:pt idx="297">
                  <c:v>12/12/13</c:v>
                </c:pt>
                <c:pt idx="298">
                  <c:v>12/13/13</c:v>
                </c:pt>
                <c:pt idx="299">
                  <c:v>12/16/13</c:v>
                </c:pt>
                <c:pt idx="300">
                  <c:v>12/17/13</c:v>
                </c:pt>
                <c:pt idx="301">
                  <c:v>12/18/13</c:v>
                </c:pt>
                <c:pt idx="302">
                  <c:v>12/19/13</c:v>
                </c:pt>
                <c:pt idx="303">
                  <c:v>12/20/13</c:v>
                </c:pt>
                <c:pt idx="304">
                  <c:v>12/23/13</c:v>
                </c:pt>
                <c:pt idx="305">
                  <c:v>12/24/13</c:v>
                </c:pt>
                <c:pt idx="306">
                  <c:v>12/26/13</c:v>
                </c:pt>
                <c:pt idx="307">
                  <c:v>12/27/13</c:v>
                </c:pt>
                <c:pt idx="308">
                  <c:v>12/30/13</c:v>
                </c:pt>
                <c:pt idx="309">
                  <c:v>12/31/13</c:v>
                </c:pt>
                <c:pt idx="310">
                  <c:v>01/02/14</c:v>
                </c:pt>
                <c:pt idx="311">
                  <c:v>01/03/14</c:v>
                </c:pt>
                <c:pt idx="312">
                  <c:v>01/06/14</c:v>
                </c:pt>
                <c:pt idx="313">
                  <c:v>01/07/14</c:v>
                </c:pt>
                <c:pt idx="314">
                  <c:v>01/08/14</c:v>
                </c:pt>
                <c:pt idx="315">
                  <c:v>01/09/14</c:v>
                </c:pt>
                <c:pt idx="316">
                  <c:v>01/10/14</c:v>
                </c:pt>
                <c:pt idx="317">
                  <c:v>01/13/14</c:v>
                </c:pt>
                <c:pt idx="318">
                  <c:v>01/14/14</c:v>
                </c:pt>
                <c:pt idx="319">
                  <c:v>01/15/14</c:v>
                </c:pt>
                <c:pt idx="320">
                  <c:v>01/16/14</c:v>
                </c:pt>
                <c:pt idx="321">
                  <c:v>01/17/14</c:v>
                </c:pt>
                <c:pt idx="322">
                  <c:v>01/21/14</c:v>
                </c:pt>
                <c:pt idx="323">
                  <c:v>01/22/14</c:v>
                </c:pt>
                <c:pt idx="324">
                  <c:v>01/23/14</c:v>
                </c:pt>
                <c:pt idx="325">
                  <c:v>01/24/14</c:v>
                </c:pt>
                <c:pt idx="326">
                  <c:v>01/27/14</c:v>
                </c:pt>
                <c:pt idx="327">
                  <c:v>01/28/14</c:v>
                </c:pt>
                <c:pt idx="328">
                  <c:v>01/29/14</c:v>
                </c:pt>
                <c:pt idx="329">
                  <c:v>01/30/14</c:v>
                </c:pt>
                <c:pt idx="330">
                  <c:v>01/31/14</c:v>
                </c:pt>
                <c:pt idx="331">
                  <c:v>02/03/14</c:v>
                </c:pt>
                <c:pt idx="332">
                  <c:v>02/04/14</c:v>
                </c:pt>
                <c:pt idx="333">
                  <c:v>02/05/14</c:v>
                </c:pt>
                <c:pt idx="334">
                  <c:v>02/06/14</c:v>
                </c:pt>
                <c:pt idx="335">
                  <c:v>02/07/14</c:v>
                </c:pt>
                <c:pt idx="336">
                  <c:v>02/10/14</c:v>
                </c:pt>
                <c:pt idx="337">
                  <c:v>02/11/14</c:v>
                </c:pt>
                <c:pt idx="338">
                  <c:v>02/12/14</c:v>
                </c:pt>
                <c:pt idx="339">
                  <c:v>02/13/14</c:v>
                </c:pt>
                <c:pt idx="340">
                  <c:v>02/14/14</c:v>
                </c:pt>
                <c:pt idx="341">
                  <c:v>02/18/14</c:v>
                </c:pt>
                <c:pt idx="342">
                  <c:v>02/19/14</c:v>
                </c:pt>
                <c:pt idx="343">
                  <c:v>02/20/14</c:v>
                </c:pt>
                <c:pt idx="344">
                  <c:v>02/21/14</c:v>
                </c:pt>
                <c:pt idx="345">
                  <c:v>02/24/14</c:v>
                </c:pt>
                <c:pt idx="346">
                  <c:v>02/25/14</c:v>
                </c:pt>
                <c:pt idx="347">
                  <c:v>02/26/14</c:v>
                </c:pt>
                <c:pt idx="348">
                  <c:v>02/27/14</c:v>
                </c:pt>
                <c:pt idx="349">
                  <c:v>02/28/14</c:v>
                </c:pt>
                <c:pt idx="350">
                  <c:v>03/03/14</c:v>
                </c:pt>
                <c:pt idx="351">
                  <c:v>03/04/14</c:v>
                </c:pt>
                <c:pt idx="352">
                  <c:v>03/05/14</c:v>
                </c:pt>
                <c:pt idx="353">
                  <c:v>03/06/14</c:v>
                </c:pt>
                <c:pt idx="354">
                  <c:v>03/07/14</c:v>
                </c:pt>
                <c:pt idx="355">
                  <c:v>03/10/14</c:v>
                </c:pt>
                <c:pt idx="356">
                  <c:v>03/11/14</c:v>
                </c:pt>
                <c:pt idx="357">
                  <c:v>03/12/14</c:v>
                </c:pt>
                <c:pt idx="358">
                  <c:v>03/13/14</c:v>
                </c:pt>
                <c:pt idx="359">
                  <c:v>03/14/14</c:v>
                </c:pt>
                <c:pt idx="360">
                  <c:v>03/17/14</c:v>
                </c:pt>
                <c:pt idx="361">
                  <c:v>03/18/14</c:v>
                </c:pt>
                <c:pt idx="362">
                  <c:v>03/19/14</c:v>
                </c:pt>
                <c:pt idx="363">
                  <c:v>03/20/14</c:v>
                </c:pt>
                <c:pt idx="364">
                  <c:v>03/21/14</c:v>
                </c:pt>
                <c:pt idx="365">
                  <c:v>03/24/14</c:v>
                </c:pt>
                <c:pt idx="366">
                  <c:v>03/25/14</c:v>
                </c:pt>
                <c:pt idx="367">
                  <c:v>03/26/14</c:v>
                </c:pt>
                <c:pt idx="368">
                  <c:v>03/27/14</c:v>
                </c:pt>
                <c:pt idx="369">
                  <c:v>03/28/14</c:v>
                </c:pt>
                <c:pt idx="370">
                  <c:v>03/31/14</c:v>
                </c:pt>
                <c:pt idx="371">
                  <c:v>04/01/14</c:v>
                </c:pt>
                <c:pt idx="372">
                  <c:v>04/02/14</c:v>
                </c:pt>
                <c:pt idx="373">
                  <c:v>04/03/14</c:v>
                </c:pt>
                <c:pt idx="374">
                  <c:v>04/04/14</c:v>
                </c:pt>
                <c:pt idx="375">
                  <c:v>04/07/14</c:v>
                </c:pt>
                <c:pt idx="376">
                  <c:v>04/08/14</c:v>
                </c:pt>
                <c:pt idx="377">
                  <c:v>04/09/14</c:v>
                </c:pt>
                <c:pt idx="378">
                  <c:v>04/10/14</c:v>
                </c:pt>
                <c:pt idx="379">
                  <c:v>04/11/14</c:v>
                </c:pt>
                <c:pt idx="380">
                  <c:v>04/14/14</c:v>
                </c:pt>
                <c:pt idx="381">
                  <c:v>04/15/14</c:v>
                </c:pt>
                <c:pt idx="382">
                  <c:v>04/16/14</c:v>
                </c:pt>
                <c:pt idx="383">
                  <c:v>04/17/14</c:v>
                </c:pt>
                <c:pt idx="384">
                  <c:v>04/21/14</c:v>
                </c:pt>
                <c:pt idx="385">
                  <c:v>04/22/14</c:v>
                </c:pt>
                <c:pt idx="386">
                  <c:v>04/23/14</c:v>
                </c:pt>
                <c:pt idx="387">
                  <c:v>04/24/14</c:v>
                </c:pt>
                <c:pt idx="388">
                  <c:v>04/25/14</c:v>
                </c:pt>
                <c:pt idx="389">
                  <c:v>04/28/14</c:v>
                </c:pt>
                <c:pt idx="390">
                  <c:v>04/29/14</c:v>
                </c:pt>
                <c:pt idx="391">
                  <c:v>04/30/14</c:v>
                </c:pt>
                <c:pt idx="392">
                  <c:v>05/01/14</c:v>
                </c:pt>
                <c:pt idx="393">
                  <c:v>05/02/14</c:v>
                </c:pt>
                <c:pt idx="394">
                  <c:v>05/05/14</c:v>
                </c:pt>
                <c:pt idx="395">
                  <c:v>05/06/14</c:v>
                </c:pt>
                <c:pt idx="396">
                  <c:v>05/07/14</c:v>
                </c:pt>
                <c:pt idx="397">
                  <c:v>05/08/14</c:v>
                </c:pt>
                <c:pt idx="398">
                  <c:v>05/09/14</c:v>
                </c:pt>
                <c:pt idx="399">
                  <c:v>05/12/14</c:v>
                </c:pt>
                <c:pt idx="400">
                  <c:v>05/13/14</c:v>
                </c:pt>
                <c:pt idx="401">
                  <c:v>05/14/14</c:v>
                </c:pt>
                <c:pt idx="402">
                  <c:v>05/15/14</c:v>
                </c:pt>
                <c:pt idx="403">
                  <c:v>05/16/14</c:v>
                </c:pt>
                <c:pt idx="404">
                  <c:v>05/19/14</c:v>
                </c:pt>
                <c:pt idx="405">
                  <c:v>05/20/14</c:v>
                </c:pt>
                <c:pt idx="406">
                  <c:v>05/21/14</c:v>
                </c:pt>
                <c:pt idx="407">
                  <c:v>05/22/14</c:v>
                </c:pt>
                <c:pt idx="408">
                  <c:v>05/23/14</c:v>
                </c:pt>
                <c:pt idx="409">
                  <c:v>05/27/14</c:v>
                </c:pt>
                <c:pt idx="410">
                  <c:v>05/28/14</c:v>
                </c:pt>
                <c:pt idx="411">
                  <c:v>05/29/14</c:v>
                </c:pt>
                <c:pt idx="412">
                  <c:v>05/30/14</c:v>
                </c:pt>
                <c:pt idx="413">
                  <c:v>06/02/14</c:v>
                </c:pt>
                <c:pt idx="414">
                  <c:v>06/03/14</c:v>
                </c:pt>
                <c:pt idx="415">
                  <c:v>06/04/14</c:v>
                </c:pt>
                <c:pt idx="416">
                  <c:v>06/05/14</c:v>
                </c:pt>
                <c:pt idx="417">
                  <c:v>06/06/14</c:v>
                </c:pt>
                <c:pt idx="418">
                  <c:v>06/09/14</c:v>
                </c:pt>
                <c:pt idx="419">
                  <c:v>06/10/14</c:v>
                </c:pt>
                <c:pt idx="420">
                  <c:v>06/11/14</c:v>
                </c:pt>
                <c:pt idx="421">
                  <c:v>06/12/14</c:v>
                </c:pt>
                <c:pt idx="422">
                  <c:v>06/13/14</c:v>
                </c:pt>
                <c:pt idx="423">
                  <c:v>06/16/14</c:v>
                </c:pt>
                <c:pt idx="424">
                  <c:v>06/17/14</c:v>
                </c:pt>
                <c:pt idx="425">
                  <c:v>06/18/14</c:v>
                </c:pt>
                <c:pt idx="426">
                  <c:v>06/19/14</c:v>
                </c:pt>
                <c:pt idx="427">
                  <c:v>06/20/14</c:v>
                </c:pt>
                <c:pt idx="428">
                  <c:v>06/23/14</c:v>
                </c:pt>
                <c:pt idx="429">
                  <c:v>06/24/14</c:v>
                </c:pt>
                <c:pt idx="430">
                  <c:v>06/25/14</c:v>
                </c:pt>
                <c:pt idx="431">
                  <c:v>06/26/14</c:v>
                </c:pt>
                <c:pt idx="432">
                  <c:v>06/27/14</c:v>
                </c:pt>
                <c:pt idx="433">
                  <c:v>06/30/14</c:v>
                </c:pt>
                <c:pt idx="434">
                  <c:v>07/01/14</c:v>
                </c:pt>
                <c:pt idx="435">
                  <c:v>07/02/14</c:v>
                </c:pt>
                <c:pt idx="436">
                  <c:v>07/03/14</c:v>
                </c:pt>
                <c:pt idx="437">
                  <c:v>07/07/14</c:v>
                </c:pt>
                <c:pt idx="438">
                  <c:v>07/08/14</c:v>
                </c:pt>
                <c:pt idx="439">
                  <c:v>07/09/14</c:v>
                </c:pt>
                <c:pt idx="440">
                  <c:v>07/10/14</c:v>
                </c:pt>
                <c:pt idx="441">
                  <c:v>07/11/14</c:v>
                </c:pt>
                <c:pt idx="442">
                  <c:v>07/14/14</c:v>
                </c:pt>
                <c:pt idx="443">
                  <c:v>07/15/14</c:v>
                </c:pt>
                <c:pt idx="444">
                  <c:v>07/16/14</c:v>
                </c:pt>
                <c:pt idx="445">
                  <c:v>07/17/14</c:v>
                </c:pt>
                <c:pt idx="446">
                  <c:v>07/18/14</c:v>
                </c:pt>
                <c:pt idx="447">
                  <c:v>07/21/14</c:v>
                </c:pt>
                <c:pt idx="448">
                  <c:v>07/22/14</c:v>
                </c:pt>
                <c:pt idx="449">
                  <c:v>07/23/14</c:v>
                </c:pt>
                <c:pt idx="450">
                  <c:v>07/24/14</c:v>
                </c:pt>
                <c:pt idx="451">
                  <c:v>07/25/14</c:v>
                </c:pt>
                <c:pt idx="452">
                  <c:v>07/28/14</c:v>
                </c:pt>
                <c:pt idx="453">
                  <c:v>07/29/14</c:v>
                </c:pt>
                <c:pt idx="454">
                  <c:v>07/30/14</c:v>
                </c:pt>
                <c:pt idx="455">
                  <c:v>07/31/14</c:v>
                </c:pt>
                <c:pt idx="456">
                  <c:v>08/01/14</c:v>
                </c:pt>
                <c:pt idx="457">
                  <c:v>08/04/14</c:v>
                </c:pt>
                <c:pt idx="458">
                  <c:v>08/05/14</c:v>
                </c:pt>
                <c:pt idx="459">
                  <c:v>08/06/14</c:v>
                </c:pt>
                <c:pt idx="460">
                  <c:v>08/07/14</c:v>
                </c:pt>
                <c:pt idx="461">
                  <c:v>08/08/14</c:v>
                </c:pt>
                <c:pt idx="462">
                  <c:v>08/11/14</c:v>
                </c:pt>
                <c:pt idx="463">
                  <c:v>08/12/14</c:v>
                </c:pt>
                <c:pt idx="464">
                  <c:v>08/13/14</c:v>
                </c:pt>
                <c:pt idx="465">
                  <c:v>08/14/14</c:v>
                </c:pt>
                <c:pt idx="466">
                  <c:v>08/15/14</c:v>
                </c:pt>
                <c:pt idx="467">
                  <c:v>08/18/14</c:v>
                </c:pt>
                <c:pt idx="468">
                  <c:v>08/19/14</c:v>
                </c:pt>
                <c:pt idx="469">
                  <c:v>08/20/14</c:v>
                </c:pt>
                <c:pt idx="470">
                  <c:v>08/21/14</c:v>
                </c:pt>
                <c:pt idx="471">
                  <c:v>08/22/14</c:v>
                </c:pt>
                <c:pt idx="472">
                  <c:v>08/25/14</c:v>
                </c:pt>
                <c:pt idx="473">
                  <c:v>08/26/14</c:v>
                </c:pt>
                <c:pt idx="474">
                  <c:v>08/27/14</c:v>
                </c:pt>
                <c:pt idx="475">
                  <c:v>08/28/14</c:v>
                </c:pt>
                <c:pt idx="476">
                  <c:v>08/29/14</c:v>
                </c:pt>
                <c:pt idx="477">
                  <c:v>09/02/14</c:v>
                </c:pt>
                <c:pt idx="478">
                  <c:v>09/03/14</c:v>
                </c:pt>
                <c:pt idx="479">
                  <c:v>09/04/14</c:v>
                </c:pt>
                <c:pt idx="480">
                  <c:v>09/05/14</c:v>
                </c:pt>
                <c:pt idx="481">
                  <c:v>09/08/14</c:v>
                </c:pt>
                <c:pt idx="482">
                  <c:v>09/09/14</c:v>
                </c:pt>
                <c:pt idx="483">
                  <c:v>09/10/14</c:v>
                </c:pt>
                <c:pt idx="484">
                  <c:v>09/11/14</c:v>
                </c:pt>
                <c:pt idx="485">
                  <c:v>09/12/14</c:v>
                </c:pt>
                <c:pt idx="486">
                  <c:v>09/15/14</c:v>
                </c:pt>
                <c:pt idx="487">
                  <c:v>09/16/14</c:v>
                </c:pt>
                <c:pt idx="488">
                  <c:v>09/17/14</c:v>
                </c:pt>
                <c:pt idx="489">
                  <c:v>09/18/14</c:v>
                </c:pt>
                <c:pt idx="490">
                  <c:v>09/19/14</c:v>
                </c:pt>
                <c:pt idx="491">
                  <c:v>09/22/14</c:v>
                </c:pt>
                <c:pt idx="492">
                  <c:v>09/23/14</c:v>
                </c:pt>
                <c:pt idx="493">
                  <c:v>09/24/14</c:v>
                </c:pt>
                <c:pt idx="494">
                  <c:v>09/25/14</c:v>
                </c:pt>
                <c:pt idx="495">
                  <c:v>09/26/14</c:v>
                </c:pt>
                <c:pt idx="496">
                  <c:v>09/29/14</c:v>
                </c:pt>
                <c:pt idx="497">
                  <c:v>09/30/14</c:v>
                </c:pt>
                <c:pt idx="498">
                  <c:v>10/01/14</c:v>
                </c:pt>
                <c:pt idx="499">
                  <c:v>10/02/14</c:v>
                </c:pt>
                <c:pt idx="500">
                  <c:v>10/03/14</c:v>
                </c:pt>
                <c:pt idx="501">
                  <c:v>10/06/14</c:v>
                </c:pt>
                <c:pt idx="502">
                  <c:v>10/07/14</c:v>
                </c:pt>
                <c:pt idx="503">
                  <c:v>10/08/14</c:v>
                </c:pt>
                <c:pt idx="504">
                  <c:v>10/09/14</c:v>
                </c:pt>
                <c:pt idx="505">
                  <c:v>10/10/14</c:v>
                </c:pt>
                <c:pt idx="506">
                  <c:v>10/14/14</c:v>
                </c:pt>
                <c:pt idx="507">
                  <c:v>10/15/14</c:v>
                </c:pt>
                <c:pt idx="508">
                  <c:v>10/16/14</c:v>
                </c:pt>
                <c:pt idx="509">
                  <c:v>10/17/14</c:v>
                </c:pt>
                <c:pt idx="510">
                  <c:v>10/20/14</c:v>
                </c:pt>
                <c:pt idx="511">
                  <c:v>10/21/14</c:v>
                </c:pt>
                <c:pt idx="512">
                  <c:v>10/22/14</c:v>
                </c:pt>
                <c:pt idx="513">
                  <c:v>10/23/14</c:v>
                </c:pt>
                <c:pt idx="514">
                  <c:v>10/24/14</c:v>
                </c:pt>
                <c:pt idx="515">
                  <c:v>10/27/14</c:v>
                </c:pt>
                <c:pt idx="516">
                  <c:v>10/28/14</c:v>
                </c:pt>
                <c:pt idx="517">
                  <c:v>10/29/14</c:v>
                </c:pt>
                <c:pt idx="518">
                  <c:v>10/30/14</c:v>
                </c:pt>
                <c:pt idx="519">
                  <c:v>10/31/14</c:v>
                </c:pt>
                <c:pt idx="520">
                  <c:v>11/03/14</c:v>
                </c:pt>
                <c:pt idx="521">
                  <c:v>11/04/14</c:v>
                </c:pt>
                <c:pt idx="522">
                  <c:v>11/05/14</c:v>
                </c:pt>
                <c:pt idx="523">
                  <c:v>11/06/14</c:v>
                </c:pt>
                <c:pt idx="524">
                  <c:v>11/07/14</c:v>
                </c:pt>
                <c:pt idx="525">
                  <c:v>11/10/14</c:v>
                </c:pt>
                <c:pt idx="526">
                  <c:v>11/12/14</c:v>
                </c:pt>
                <c:pt idx="527">
                  <c:v>11/13/14</c:v>
                </c:pt>
                <c:pt idx="528">
                  <c:v>11/14/14</c:v>
                </c:pt>
                <c:pt idx="529">
                  <c:v>11/17/14</c:v>
                </c:pt>
                <c:pt idx="530">
                  <c:v>11/18/14</c:v>
                </c:pt>
                <c:pt idx="531">
                  <c:v>11/19/14</c:v>
                </c:pt>
                <c:pt idx="532">
                  <c:v>11/20/14</c:v>
                </c:pt>
                <c:pt idx="533">
                  <c:v>11/21/14</c:v>
                </c:pt>
                <c:pt idx="534">
                  <c:v>11/24/14</c:v>
                </c:pt>
                <c:pt idx="535">
                  <c:v>11/25/14</c:v>
                </c:pt>
                <c:pt idx="536">
                  <c:v>11/26/14</c:v>
                </c:pt>
                <c:pt idx="537">
                  <c:v>11/28/14</c:v>
                </c:pt>
                <c:pt idx="538">
                  <c:v>12/01/14</c:v>
                </c:pt>
                <c:pt idx="539">
                  <c:v>12/02/14</c:v>
                </c:pt>
                <c:pt idx="540">
                  <c:v>12/03/14</c:v>
                </c:pt>
                <c:pt idx="541">
                  <c:v>12/04/14</c:v>
                </c:pt>
                <c:pt idx="542">
                  <c:v>12/05/14</c:v>
                </c:pt>
                <c:pt idx="543">
                  <c:v>12/08/14</c:v>
                </c:pt>
                <c:pt idx="544">
                  <c:v>12/09/14</c:v>
                </c:pt>
                <c:pt idx="545">
                  <c:v>12/10/14</c:v>
                </c:pt>
                <c:pt idx="546">
                  <c:v>12/11/14</c:v>
                </c:pt>
                <c:pt idx="547">
                  <c:v>12/12/14</c:v>
                </c:pt>
                <c:pt idx="548">
                  <c:v>12/15/14</c:v>
                </c:pt>
                <c:pt idx="549">
                  <c:v>12/16/14</c:v>
                </c:pt>
                <c:pt idx="550">
                  <c:v>12/17/14</c:v>
                </c:pt>
                <c:pt idx="551">
                  <c:v>12/18/14</c:v>
                </c:pt>
                <c:pt idx="552">
                  <c:v>12/19/14</c:v>
                </c:pt>
                <c:pt idx="553">
                  <c:v>12/22/14</c:v>
                </c:pt>
                <c:pt idx="554">
                  <c:v>12/23/14</c:v>
                </c:pt>
                <c:pt idx="555">
                  <c:v>12/24/14</c:v>
                </c:pt>
                <c:pt idx="556">
                  <c:v>12/26/14</c:v>
                </c:pt>
                <c:pt idx="557">
                  <c:v>12/29/14</c:v>
                </c:pt>
                <c:pt idx="558">
                  <c:v>12/30/14</c:v>
                </c:pt>
                <c:pt idx="559">
                  <c:v>12/31/14</c:v>
                </c:pt>
                <c:pt idx="560">
                  <c:v>01/02/15</c:v>
                </c:pt>
                <c:pt idx="561">
                  <c:v>01/05/15</c:v>
                </c:pt>
                <c:pt idx="562">
                  <c:v>01/06/15</c:v>
                </c:pt>
                <c:pt idx="563">
                  <c:v>01/07/15</c:v>
                </c:pt>
                <c:pt idx="564">
                  <c:v>01/08/15</c:v>
                </c:pt>
                <c:pt idx="565">
                  <c:v>01/09/15</c:v>
                </c:pt>
                <c:pt idx="566">
                  <c:v>01/12/15</c:v>
                </c:pt>
                <c:pt idx="567">
                  <c:v>01/13/15</c:v>
                </c:pt>
                <c:pt idx="568">
                  <c:v>01/14/15</c:v>
                </c:pt>
                <c:pt idx="569">
                  <c:v>01/15/15</c:v>
                </c:pt>
                <c:pt idx="570">
                  <c:v>01/16/15</c:v>
                </c:pt>
                <c:pt idx="571">
                  <c:v>01/20/15</c:v>
                </c:pt>
                <c:pt idx="572">
                  <c:v>01/21/15</c:v>
                </c:pt>
                <c:pt idx="573">
                  <c:v>01/22/15</c:v>
                </c:pt>
                <c:pt idx="574">
                  <c:v>01/23/15</c:v>
                </c:pt>
                <c:pt idx="575">
                  <c:v>01/26/15</c:v>
                </c:pt>
                <c:pt idx="576">
                  <c:v>01/27/15</c:v>
                </c:pt>
                <c:pt idx="577">
                  <c:v>01/28/15</c:v>
                </c:pt>
                <c:pt idx="578">
                  <c:v>01/29/15</c:v>
                </c:pt>
                <c:pt idx="579">
                  <c:v>01/30/15</c:v>
                </c:pt>
                <c:pt idx="580">
                  <c:v>02/02/15</c:v>
                </c:pt>
                <c:pt idx="581">
                  <c:v>02/03/15</c:v>
                </c:pt>
                <c:pt idx="582">
                  <c:v>02/04/15</c:v>
                </c:pt>
                <c:pt idx="583">
                  <c:v>02/05/15</c:v>
                </c:pt>
                <c:pt idx="584">
                  <c:v>02/06/15</c:v>
                </c:pt>
                <c:pt idx="585">
                  <c:v>02/09/15</c:v>
                </c:pt>
                <c:pt idx="586">
                  <c:v>02/10/15</c:v>
                </c:pt>
                <c:pt idx="587">
                  <c:v>02/11/15</c:v>
                </c:pt>
                <c:pt idx="588">
                  <c:v>02/12/15</c:v>
                </c:pt>
                <c:pt idx="589">
                  <c:v>02/13/15</c:v>
                </c:pt>
                <c:pt idx="590">
                  <c:v>02/17/15</c:v>
                </c:pt>
                <c:pt idx="591">
                  <c:v>02/18/15</c:v>
                </c:pt>
                <c:pt idx="592">
                  <c:v>02/19/15</c:v>
                </c:pt>
                <c:pt idx="593">
                  <c:v>02/20/15</c:v>
                </c:pt>
                <c:pt idx="594">
                  <c:v>02/23/15</c:v>
                </c:pt>
                <c:pt idx="595">
                  <c:v>02/24/15</c:v>
                </c:pt>
                <c:pt idx="596">
                  <c:v>02/25/15</c:v>
                </c:pt>
                <c:pt idx="597">
                  <c:v>02/26/15</c:v>
                </c:pt>
                <c:pt idx="598">
                  <c:v>02/27/15</c:v>
                </c:pt>
                <c:pt idx="599">
                  <c:v>03/02/15</c:v>
                </c:pt>
                <c:pt idx="600">
                  <c:v>03/03/15</c:v>
                </c:pt>
                <c:pt idx="601">
                  <c:v>03/04/15</c:v>
                </c:pt>
                <c:pt idx="602">
                  <c:v>03/05/15</c:v>
                </c:pt>
                <c:pt idx="603">
                  <c:v>03/06/15</c:v>
                </c:pt>
                <c:pt idx="604">
                  <c:v>03/09/15</c:v>
                </c:pt>
                <c:pt idx="605">
                  <c:v>03/10/15</c:v>
                </c:pt>
                <c:pt idx="606">
                  <c:v>03/11/15</c:v>
                </c:pt>
                <c:pt idx="607">
                  <c:v>03/12/15</c:v>
                </c:pt>
                <c:pt idx="608">
                  <c:v>03/13/15</c:v>
                </c:pt>
                <c:pt idx="609">
                  <c:v>03/16/15</c:v>
                </c:pt>
                <c:pt idx="610">
                  <c:v>03/17/15</c:v>
                </c:pt>
                <c:pt idx="611">
                  <c:v>03/18/15</c:v>
                </c:pt>
                <c:pt idx="612">
                  <c:v>03/19/15</c:v>
                </c:pt>
                <c:pt idx="613">
                  <c:v>03/20/15</c:v>
                </c:pt>
                <c:pt idx="614">
                  <c:v>03/23/15</c:v>
                </c:pt>
                <c:pt idx="615">
                  <c:v>03/24/15</c:v>
                </c:pt>
                <c:pt idx="616">
                  <c:v>03/25/15</c:v>
                </c:pt>
                <c:pt idx="617">
                  <c:v>03/26/15</c:v>
                </c:pt>
                <c:pt idx="618">
                  <c:v>03/27/15</c:v>
                </c:pt>
                <c:pt idx="619">
                  <c:v>03/30/15</c:v>
                </c:pt>
                <c:pt idx="620">
                  <c:v>03/31/15</c:v>
                </c:pt>
                <c:pt idx="621">
                  <c:v>04/01/15</c:v>
                </c:pt>
                <c:pt idx="622">
                  <c:v>04/02/15</c:v>
                </c:pt>
                <c:pt idx="623">
                  <c:v>04/03/15</c:v>
                </c:pt>
                <c:pt idx="624">
                  <c:v>04/06/15</c:v>
                </c:pt>
                <c:pt idx="625">
                  <c:v>04/07/15</c:v>
                </c:pt>
                <c:pt idx="626">
                  <c:v>04/08/15</c:v>
                </c:pt>
                <c:pt idx="627">
                  <c:v>04/09/15</c:v>
                </c:pt>
                <c:pt idx="628">
                  <c:v>04/10/15</c:v>
                </c:pt>
                <c:pt idx="629">
                  <c:v>04/13/15</c:v>
                </c:pt>
                <c:pt idx="630">
                  <c:v>04/14/15</c:v>
                </c:pt>
                <c:pt idx="631">
                  <c:v>04/15/15</c:v>
                </c:pt>
                <c:pt idx="632">
                  <c:v>04/16/15</c:v>
                </c:pt>
                <c:pt idx="633">
                  <c:v>04/17/15</c:v>
                </c:pt>
                <c:pt idx="634">
                  <c:v>04/20/15</c:v>
                </c:pt>
                <c:pt idx="635">
                  <c:v>04/21/15</c:v>
                </c:pt>
                <c:pt idx="636">
                  <c:v>04/22/15</c:v>
                </c:pt>
                <c:pt idx="637">
                  <c:v>04/23/15</c:v>
                </c:pt>
                <c:pt idx="638">
                  <c:v>04/24/15</c:v>
                </c:pt>
                <c:pt idx="639">
                  <c:v>04/27/15</c:v>
                </c:pt>
                <c:pt idx="640">
                  <c:v>04/28/15</c:v>
                </c:pt>
                <c:pt idx="641">
                  <c:v>04/29/15</c:v>
                </c:pt>
                <c:pt idx="642">
                  <c:v>04/30/15</c:v>
                </c:pt>
                <c:pt idx="643">
                  <c:v>05/01/15</c:v>
                </c:pt>
                <c:pt idx="644">
                  <c:v>05/04/15</c:v>
                </c:pt>
                <c:pt idx="645">
                  <c:v>05/05/15</c:v>
                </c:pt>
                <c:pt idx="646">
                  <c:v>05/06/15</c:v>
                </c:pt>
                <c:pt idx="647">
                  <c:v>05/07/15</c:v>
                </c:pt>
                <c:pt idx="648">
                  <c:v>05/08/15</c:v>
                </c:pt>
                <c:pt idx="649">
                  <c:v>05/11/15</c:v>
                </c:pt>
                <c:pt idx="650">
                  <c:v>05/12/15</c:v>
                </c:pt>
                <c:pt idx="651">
                  <c:v>05/13/15</c:v>
                </c:pt>
                <c:pt idx="652">
                  <c:v>05/14/15</c:v>
                </c:pt>
                <c:pt idx="653">
                  <c:v>05/15/15</c:v>
                </c:pt>
                <c:pt idx="654">
                  <c:v>05/18/15</c:v>
                </c:pt>
                <c:pt idx="655">
                  <c:v>05/19/15</c:v>
                </c:pt>
                <c:pt idx="656">
                  <c:v>05/20/15</c:v>
                </c:pt>
                <c:pt idx="657">
                  <c:v>05/21/15</c:v>
                </c:pt>
                <c:pt idx="658">
                  <c:v>05/22/15</c:v>
                </c:pt>
                <c:pt idx="659">
                  <c:v>05/26/15</c:v>
                </c:pt>
                <c:pt idx="660">
                  <c:v>05/27/15</c:v>
                </c:pt>
                <c:pt idx="661">
                  <c:v>05/28/15</c:v>
                </c:pt>
                <c:pt idx="662">
                  <c:v>05/29/15</c:v>
                </c:pt>
                <c:pt idx="663">
                  <c:v>06/01/15</c:v>
                </c:pt>
                <c:pt idx="664">
                  <c:v>06/02/15</c:v>
                </c:pt>
                <c:pt idx="665">
                  <c:v>06/03/15</c:v>
                </c:pt>
                <c:pt idx="666">
                  <c:v>06/04/15</c:v>
                </c:pt>
                <c:pt idx="667">
                  <c:v>06/05/15</c:v>
                </c:pt>
                <c:pt idx="668">
                  <c:v>06/08/15</c:v>
                </c:pt>
                <c:pt idx="669">
                  <c:v>06/09/15</c:v>
                </c:pt>
                <c:pt idx="670">
                  <c:v>06/10/15</c:v>
                </c:pt>
                <c:pt idx="671">
                  <c:v>06/11/15</c:v>
                </c:pt>
                <c:pt idx="672">
                  <c:v>06/12/15</c:v>
                </c:pt>
                <c:pt idx="673">
                  <c:v>06/15/15</c:v>
                </c:pt>
                <c:pt idx="674">
                  <c:v>06/16/15</c:v>
                </c:pt>
                <c:pt idx="675">
                  <c:v>06/17/15</c:v>
                </c:pt>
                <c:pt idx="676">
                  <c:v>06/18/15</c:v>
                </c:pt>
                <c:pt idx="677">
                  <c:v>06/19/15</c:v>
                </c:pt>
                <c:pt idx="678">
                  <c:v>06/22/15</c:v>
                </c:pt>
                <c:pt idx="679">
                  <c:v>06/23/15</c:v>
                </c:pt>
                <c:pt idx="680">
                  <c:v>06/24/15</c:v>
                </c:pt>
                <c:pt idx="681">
                  <c:v>06/25/15</c:v>
                </c:pt>
                <c:pt idx="682">
                  <c:v>06/26/15</c:v>
                </c:pt>
                <c:pt idx="683">
                  <c:v>06/29/15</c:v>
                </c:pt>
                <c:pt idx="684">
                  <c:v>06/30/15</c:v>
                </c:pt>
                <c:pt idx="685">
                  <c:v>07/01/15</c:v>
                </c:pt>
                <c:pt idx="686">
                  <c:v>07/02/15</c:v>
                </c:pt>
                <c:pt idx="687">
                  <c:v>07/06/15</c:v>
                </c:pt>
                <c:pt idx="688">
                  <c:v>07/07/15</c:v>
                </c:pt>
                <c:pt idx="689">
                  <c:v>07/08/15</c:v>
                </c:pt>
                <c:pt idx="690">
                  <c:v>07/09/15</c:v>
                </c:pt>
                <c:pt idx="691">
                  <c:v>07/10/15</c:v>
                </c:pt>
                <c:pt idx="692">
                  <c:v>07/13/15</c:v>
                </c:pt>
                <c:pt idx="693">
                  <c:v>07/14/15</c:v>
                </c:pt>
                <c:pt idx="694">
                  <c:v>07/15/15</c:v>
                </c:pt>
                <c:pt idx="695">
                  <c:v>07/16/15</c:v>
                </c:pt>
                <c:pt idx="696">
                  <c:v>07/17/15</c:v>
                </c:pt>
                <c:pt idx="697">
                  <c:v>07/20/15</c:v>
                </c:pt>
                <c:pt idx="698">
                  <c:v>07/21/15</c:v>
                </c:pt>
                <c:pt idx="699">
                  <c:v>07/22/15</c:v>
                </c:pt>
                <c:pt idx="700">
                  <c:v>07/23/15</c:v>
                </c:pt>
                <c:pt idx="701">
                  <c:v>07/24/15</c:v>
                </c:pt>
                <c:pt idx="702">
                  <c:v>07/27/15</c:v>
                </c:pt>
                <c:pt idx="703">
                  <c:v>07/28/15</c:v>
                </c:pt>
                <c:pt idx="704">
                  <c:v>07/29/15</c:v>
                </c:pt>
                <c:pt idx="705">
                  <c:v>07/30/15</c:v>
                </c:pt>
                <c:pt idx="706">
                  <c:v>07/31/15</c:v>
                </c:pt>
                <c:pt idx="707">
                  <c:v>08/03/15</c:v>
                </c:pt>
                <c:pt idx="708">
                  <c:v>08/04/15</c:v>
                </c:pt>
                <c:pt idx="709">
                  <c:v>08/05/15</c:v>
                </c:pt>
                <c:pt idx="710">
                  <c:v>08/06/15</c:v>
                </c:pt>
                <c:pt idx="711">
                  <c:v>08/07/15</c:v>
                </c:pt>
                <c:pt idx="712">
                  <c:v>08/10/15</c:v>
                </c:pt>
                <c:pt idx="713">
                  <c:v>08/11/15</c:v>
                </c:pt>
                <c:pt idx="714">
                  <c:v>08/12/15</c:v>
                </c:pt>
                <c:pt idx="715">
                  <c:v>08/13/15</c:v>
                </c:pt>
                <c:pt idx="716">
                  <c:v>08/14/15</c:v>
                </c:pt>
                <c:pt idx="717">
                  <c:v>08/17/15</c:v>
                </c:pt>
                <c:pt idx="718">
                  <c:v>08/18/15</c:v>
                </c:pt>
                <c:pt idx="719">
                  <c:v>08/19/15</c:v>
                </c:pt>
                <c:pt idx="720">
                  <c:v>08/20/15</c:v>
                </c:pt>
                <c:pt idx="721">
                  <c:v>08/21/15</c:v>
                </c:pt>
                <c:pt idx="722">
                  <c:v>08/24/15</c:v>
                </c:pt>
                <c:pt idx="723">
                  <c:v>08/25/15</c:v>
                </c:pt>
                <c:pt idx="724">
                  <c:v>08/26/15</c:v>
                </c:pt>
                <c:pt idx="725">
                  <c:v>08/27/15</c:v>
                </c:pt>
                <c:pt idx="726">
                  <c:v>08/28/15</c:v>
                </c:pt>
                <c:pt idx="727">
                  <c:v>08/31/15</c:v>
                </c:pt>
                <c:pt idx="728">
                  <c:v>09/01/15</c:v>
                </c:pt>
                <c:pt idx="729">
                  <c:v>09/02/15</c:v>
                </c:pt>
                <c:pt idx="730">
                  <c:v>09/03/15</c:v>
                </c:pt>
                <c:pt idx="731">
                  <c:v>09/04/15</c:v>
                </c:pt>
                <c:pt idx="732">
                  <c:v>09/08/15</c:v>
                </c:pt>
                <c:pt idx="733">
                  <c:v>09/09/15</c:v>
                </c:pt>
                <c:pt idx="734">
                  <c:v>09/10/15</c:v>
                </c:pt>
                <c:pt idx="735">
                  <c:v>09/11/15</c:v>
                </c:pt>
                <c:pt idx="736">
                  <c:v>09/14/15</c:v>
                </c:pt>
                <c:pt idx="737">
                  <c:v>09/15/15</c:v>
                </c:pt>
                <c:pt idx="738">
                  <c:v>09/16/15</c:v>
                </c:pt>
                <c:pt idx="739">
                  <c:v>09/17/15</c:v>
                </c:pt>
                <c:pt idx="740">
                  <c:v>09/18/15</c:v>
                </c:pt>
                <c:pt idx="741">
                  <c:v>09/21/15</c:v>
                </c:pt>
                <c:pt idx="742">
                  <c:v>09/22/15</c:v>
                </c:pt>
                <c:pt idx="743">
                  <c:v>09/23/15</c:v>
                </c:pt>
                <c:pt idx="744">
                  <c:v>09/24/15</c:v>
                </c:pt>
                <c:pt idx="745">
                  <c:v>09/25/15</c:v>
                </c:pt>
                <c:pt idx="746">
                  <c:v>09/28/15</c:v>
                </c:pt>
                <c:pt idx="747">
                  <c:v>09/29/15</c:v>
                </c:pt>
                <c:pt idx="748">
                  <c:v>09/30/15</c:v>
                </c:pt>
                <c:pt idx="749">
                  <c:v>10/01/15</c:v>
                </c:pt>
                <c:pt idx="750">
                  <c:v>10/02/15</c:v>
                </c:pt>
                <c:pt idx="751">
                  <c:v>10/05/15</c:v>
                </c:pt>
                <c:pt idx="752">
                  <c:v>10/06/15</c:v>
                </c:pt>
                <c:pt idx="753">
                  <c:v>10/07/15</c:v>
                </c:pt>
                <c:pt idx="754">
                  <c:v>10/08/15</c:v>
                </c:pt>
                <c:pt idx="755">
                  <c:v>10/09/15</c:v>
                </c:pt>
                <c:pt idx="756">
                  <c:v>10/13/15</c:v>
                </c:pt>
                <c:pt idx="757">
                  <c:v>10/14/15</c:v>
                </c:pt>
                <c:pt idx="758">
                  <c:v>10/15/15</c:v>
                </c:pt>
                <c:pt idx="759">
                  <c:v>10/16/15</c:v>
                </c:pt>
                <c:pt idx="760">
                  <c:v>10/19/15</c:v>
                </c:pt>
                <c:pt idx="761">
                  <c:v>10/20/15</c:v>
                </c:pt>
                <c:pt idx="762">
                  <c:v>10/21/15</c:v>
                </c:pt>
                <c:pt idx="763">
                  <c:v>10/22/15</c:v>
                </c:pt>
                <c:pt idx="764">
                  <c:v>10/23/15</c:v>
                </c:pt>
                <c:pt idx="765">
                  <c:v>10/26/15</c:v>
                </c:pt>
                <c:pt idx="766">
                  <c:v>10/27/15</c:v>
                </c:pt>
                <c:pt idx="767">
                  <c:v>10/28/15</c:v>
                </c:pt>
                <c:pt idx="768">
                  <c:v>10/29/15</c:v>
                </c:pt>
                <c:pt idx="769">
                  <c:v>10/30/15</c:v>
                </c:pt>
                <c:pt idx="770">
                  <c:v>11/02/15</c:v>
                </c:pt>
                <c:pt idx="771">
                  <c:v>11/03/15</c:v>
                </c:pt>
                <c:pt idx="772">
                  <c:v>11/04/15</c:v>
                </c:pt>
                <c:pt idx="773">
                  <c:v>11/05/15</c:v>
                </c:pt>
                <c:pt idx="774">
                  <c:v>11/06/15</c:v>
                </c:pt>
                <c:pt idx="775">
                  <c:v>11/09/15</c:v>
                </c:pt>
                <c:pt idx="776">
                  <c:v>11/10/15</c:v>
                </c:pt>
                <c:pt idx="777">
                  <c:v>11/12/15</c:v>
                </c:pt>
                <c:pt idx="778">
                  <c:v>11/13/15</c:v>
                </c:pt>
                <c:pt idx="779">
                  <c:v>11/16/15</c:v>
                </c:pt>
                <c:pt idx="780">
                  <c:v>11/17/15</c:v>
                </c:pt>
                <c:pt idx="781">
                  <c:v>11/18/15</c:v>
                </c:pt>
                <c:pt idx="782">
                  <c:v>11/19/15</c:v>
                </c:pt>
                <c:pt idx="783">
                  <c:v>11/20/15</c:v>
                </c:pt>
                <c:pt idx="784">
                  <c:v>11/23/15</c:v>
                </c:pt>
                <c:pt idx="785">
                  <c:v>11/24/15</c:v>
                </c:pt>
                <c:pt idx="786">
                  <c:v>11/25/15</c:v>
                </c:pt>
                <c:pt idx="787">
                  <c:v>11/27/15</c:v>
                </c:pt>
                <c:pt idx="788">
                  <c:v>11/30/15</c:v>
                </c:pt>
                <c:pt idx="789">
                  <c:v>12/01/15</c:v>
                </c:pt>
                <c:pt idx="790">
                  <c:v>12/02/15</c:v>
                </c:pt>
                <c:pt idx="791">
                  <c:v>12/03/15</c:v>
                </c:pt>
                <c:pt idx="792">
                  <c:v>12/04/15</c:v>
                </c:pt>
                <c:pt idx="793">
                  <c:v>12/07/15</c:v>
                </c:pt>
                <c:pt idx="794">
                  <c:v>12/08/15</c:v>
                </c:pt>
                <c:pt idx="795">
                  <c:v>12/09/15</c:v>
                </c:pt>
                <c:pt idx="796">
                  <c:v>12/10/15</c:v>
                </c:pt>
                <c:pt idx="797">
                  <c:v>12/11/15</c:v>
                </c:pt>
                <c:pt idx="798">
                  <c:v>12/14/15</c:v>
                </c:pt>
                <c:pt idx="799">
                  <c:v>12/15/15</c:v>
                </c:pt>
                <c:pt idx="800">
                  <c:v>12/16/15</c:v>
                </c:pt>
                <c:pt idx="801">
                  <c:v>12/17/15</c:v>
                </c:pt>
                <c:pt idx="802">
                  <c:v>12/18/15</c:v>
                </c:pt>
                <c:pt idx="803">
                  <c:v>12/21/15</c:v>
                </c:pt>
                <c:pt idx="804">
                  <c:v>12/22/15</c:v>
                </c:pt>
                <c:pt idx="805">
                  <c:v>12/23/15</c:v>
                </c:pt>
                <c:pt idx="806">
                  <c:v>12/24/15</c:v>
                </c:pt>
                <c:pt idx="807">
                  <c:v>12/28/15</c:v>
                </c:pt>
                <c:pt idx="808">
                  <c:v>12/29/15</c:v>
                </c:pt>
                <c:pt idx="809">
                  <c:v>12/30/15</c:v>
                </c:pt>
                <c:pt idx="810">
                  <c:v>12/31/15</c:v>
                </c:pt>
              </c:strCache>
            </c:strRef>
          </c:cat>
          <c:val>
            <c:numRef>
              <c:f>'% of NAV '!$B$4:$B$814</c:f>
              <c:numCache>
                <c:formatCode>0.00</c:formatCode>
                <c:ptCount val="811"/>
                <c:pt idx="0">
                  <c:v>25.883645999999999</c:v>
                </c:pt>
                <c:pt idx="1">
                  <c:v>26.831116000000002</c:v>
                </c:pt>
                <c:pt idx="2">
                  <c:v>28.309221999999998</c:v>
                </c:pt>
                <c:pt idx="3">
                  <c:v>28.816966000000001</c:v>
                </c:pt>
                <c:pt idx="4">
                  <c:v>29.056712000000001</c:v>
                </c:pt>
                <c:pt idx="5">
                  <c:v>28.313753999999999</c:v>
                </c:pt>
                <c:pt idx="6">
                  <c:v>27.167952</c:v>
                </c:pt>
                <c:pt idx="7">
                  <c:v>26.142544999999998</c:v>
                </c:pt>
                <c:pt idx="8">
                  <c:v>26.367825</c:v>
                </c:pt>
                <c:pt idx="9">
                  <c:v>28.947092999999999</c:v>
                </c:pt>
                <c:pt idx="10">
                  <c:v>30.622824999999999</c:v>
                </c:pt>
                <c:pt idx="11">
                  <c:v>31.085387000000001</c:v>
                </c:pt>
                <c:pt idx="12">
                  <c:v>30.200389000000001</c:v>
                </c:pt>
                <c:pt idx="13">
                  <c:v>31.086841</c:v>
                </c:pt>
                <c:pt idx="14">
                  <c:v>30.412296999999999</c:v>
                </c:pt>
                <c:pt idx="15">
                  <c:v>30.788242</c:v>
                </c:pt>
                <c:pt idx="16">
                  <c:v>31.372575999999999</c:v>
                </c:pt>
                <c:pt idx="17">
                  <c:v>29.850722000000001</c:v>
                </c:pt>
                <c:pt idx="18">
                  <c:v>29.407878</c:v>
                </c:pt>
                <c:pt idx="19">
                  <c:v>28.520900999999999</c:v>
                </c:pt>
                <c:pt idx="20">
                  <c:v>29.970516</c:v>
                </c:pt>
                <c:pt idx="21">
                  <c:v>29.378712</c:v>
                </c:pt>
                <c:pt idx="22">
                  <c:v>28.706379999999999</c:v>
                </c:pt>
                <c:pt idx="23">
                  <c:v>29.422011000000001</c:v>
                </c:pt>
                <c:pt idx="24">
                  <c:v>29.135427</c:v>
                </c:pt>
                <c:pt idx="25">
                  <c:v>27.911749</c:v>
                </c:pt>
                <c:pt idx="26">
                  <c:v>26.509743</c:v>
                </c:pt>
                <c:pt idx="27">
                  <c:v>27.83314</c:v>
                </c:pt>
                <c:pt idx="28">
                  <c:v>28.587439</c:v>
                </c:pt>
                <c:pt idx="29">
                  <c:v>27.722311000000001</c:v>
                </c:pt>
                <c:pt idx="30">
                  <c:v>27.565147</c:v>
                </c:pt>
                <c:pt idx="31">
                  <c:v>28.060596</c:v>
                </c:pt>
                <c:pt idx="32">
                  <c:v>26.693218999999999</c:v>
                </c:pt>
                <c:pt idx="33">
                  <c:v>27.073944000000001</c:v>
                </c:pt>
                <c:pt idx="34">
                  <c:v>27.109318999999999</c:v>
                </c:pt>
                <c:pt idx="35">
                  <c:v>26.221747000000001</c:v>
                </c:pt>
                <c:pt idx="36">
                  <c:v>24.928211000000001</c:v>
                </c:pt>
                <c:pt idx="37">
                  <c:v>25.059723000000002</c:v>
                </c:pt>
                <c:pt idx="38">
                  <c:v>25.284609</c:v>
                </c:pt>
                <c:pt idx="39">
                  <c:v>25.508417999999999</c:v>
                </c:pt>
                <c:pt idx="40">
                  <c:v>25.825151000000002</c:v>
                </c:pt>
                <c:pt idx="41">
                  <c:v>27.553262</c:v>
                </c:pt>
                <c:pt idx="42">
                  <c:v>27.733855999999999</c:v>
                </c:pt>
                <c:pt idx="43">
                  <c:v>28.179123000000001</c:v>
                </c:pt>
                <c:pt idx="44">
                  <c:v>29.816201</c:v>
                </c:pt>
                <c:pt idx="45">
                  <c:v>31.194579999999998</c:v>
                </c:pt>
                <c:pt idx="46">
                  <c:v>30.092714000000001</c:v>
                </c:pt>
                <c:pt idx="47">
                  <c:v>31.177085000000002</c:v>
                </c:pt>
                <c:pt idx="48">
                  <c:v>31.307652999999998</c:v>
                </c:pt>
                <c:pt idx="49">
                  <c:v>31.287519</c:v>
                </c:pt>
                <c:pt idx="50">
                  <c:v>34.835250000000002</c:v>
                </c:pt>
                <c:pt idx="51">
                  <c:v>35.688836999999999</c:v>
                </c:pt>
                <c:pt idx="52">
                  <c:v>34.987439999999999</c:v>
                </c:pt>
                <c:pt idx="53">
                  <c:v>34.692906000000001</c:v>
                </c:pt>
                <c:pt idx="54">
                  <c:v>34.304803999999997</c:v>
                </c:pt>
                <c:pt idx="55">
                  <c:v>34.631424000000003</c:v>
                </c:pt>
                <c:pt idx="56">
                  <c:v>33.837757000000003</c:v>
                </c:pt>
                <c:pt idx="57">
                  <c:v>33.528222999999997</c:v>
                </c:pt>
                <c:pt idx="58">
                  <c:v>33.803725</c:v>
                </c:pt>
                <c:pt idx="59">
                  <c:v>34.593195000000001</c:v>
                </c:pt>
                <c:pt idx="60">
                  <c:v>36.347472000000003</c:v>
                </c:pt>
                <c:pt idx="61">
                  <c:v>39.057251999999998</c:v>
                </c:pt>
                <c:pt idx="62">
                  <c:v>39.157913000000001</c:v>
                </c:pt>
                <c:pt idx="63">
                  <c:v>37.634211000000001</c:v>
                </c:pt>
                <c:pt idx="64">
                  <c:v>42.168261000000001</c:v>
                </c:pt>
                <c:pt idx="65">
                  <c:v>43.234597000000001</c:v>
                </c:pt>
                <c:pt idx="66">
                  <c:v>43.346341000000002</c:v>
                </c:pt>
                <c:pt idx="67">
                  <c:v>43.586559999999999</c:v>
                </c:pt>
                <c:pt idx="68">
                  <c:v>42.989204999999998</c:v>
                </c:pt>
                <c:pt idx="69">
                  <c:v>43.891651000000003</c:v>
                </c:pt>
                <c:pt idx="70">
                  <c:v>43.723843000000002</c:v>
                </c:pt>
                <c:pt idx="71">
                  <c:v>47.773071000000002</c:v>
                </c:pt>
                <c:pt idx="72">
                  <c:v>47.313130999999998</c:v>
                </c:pt>
                <c:pt idx="73">
                  <c:v>46.146949999999997</c:v>
                </c:pt>
                <c:pt idx="74">
                  <c:v>46.540143999999998</c:v>
                </c:pt>
                <c:pt idx="75">
                  <c:v>47.063384999999997</c:v>
                </c:pt>
                <c:pt idx="76">
                  <c:v>49.127246999999997</c:v>
                </c:pt>
                <c:pt idx="77">
                  <c:v>48.829557000000001</c:v>
                </c:pt>
                <c:pt idx="78">
                  <c:v>49.134377000000001</c:v>
                </c:pt>
                <c:pt idx="79">
                  <c:v>48.165674000000003</c:v>
                </c:pt>
                <c:pt idx="80">
                  <c:v>48.321429000000002</c:v>
                </c:pt>
                <c:pt idx="81">
                  <c:v>47.168300000000002</c:v>
                </c:pt>
                <c:pt idx="82">
                  <c:v>46.627797999999999</c:v>
                </c:pt>
                <c:pt idx="83">
                  <c:v>47.222549000000001</c:v>
                </c:pt>
                <c:pt idx="84">
                  <c:v>45.690207999999998</c:v>
                </c:pt>
                <c:pt idx="85">
                  <c:v>49.407378999999999</c:v>
                </c:pt>
                <c:pt idx="86">
                  <c:v>42.844585000000002</c:v>
                </c:pt>
                <c:pt idx="87">
                  <c:v>40.609003999999999</c:v>
                </c:pt>
                <c:pt idx="88">
                  <c:v>41.449627999999997</c:v>
                </c:pt>
                <c:pt idx="89">
                  <c:v>65.828106000000005</c:v>
                </c:pt>
                <c:pt idx="90">
                  <c:v>65.387304999999998</c:v>
                </c:pt>
                <c:pt idx="91">
                  <c:v>67.953301999999994</c:v>
                </c:pt>
                <c:pt idx="92">
                  <c:v>68.165518000000006</c:v>
                </c:pt>
                <c:pt idx="93">
                  <c:v>64.800155000000004</c:v>
                </c:pt>
                <c:pt idx="94">
                  <c:v>64.810102999999998</c:v>
                </c:pt>
                <c:pt idx="95">
                  <c:v>64.619253999999998</c:v>
                </c:pt>
                <c:pt idx="96">
                  <c:v>62.871428000000002</c:v>
                </c:pt>
                <c:pt idx="97">
                  <c:v>62.790764000000003</c:v>
                </c:pt>
                <c:pt idx="98">
                  <c:v>62.134633999999998</c:v>
                </c:pt>
                <c:pt idx="99">
                  <c:v>59.868664000000003</c:v>
                </c:pt>
                <c:pt idx="100">
                  <c:v>59.564087999999998</c:v>
                </c:pt>
                <c:pt idx="101">
                  <c:v>59.818306</c:v>
                </c:pt>
                <c:pt idx="102">
                  <c:v>59.967585999999997</c:v>
                </c:pt>
                <c:pt idx="103">
                  <c:v>60.611643000000001</c:v>
                </c:pt>
                <c:pt idx="104">
                  <c:v>60.876894999999998</c:v>
                </c:pt>
                <c:pt idx="105">
                  <c:v>61.664349000000001</c:v>
                </c:pt>
                <c:pt idx="106">
                  <c:v>60.715960000000003</c:v>
                </c:pt>
                <c:pt idx="107">
                  <c:v>60.699499000000003</c:v>
                </c:pt>
                <c:pt idx="108">
                  <c:v>60.395955999999998</c:v>
                </c:pt>
                <c:pt idx="109">
                  <c:v>60.358972000000001</c:v>
                </c:pt>
                <c:pt idx="110">
                  <c:v>60.814912999999997</c:v>
                </c:pt>
                <c:pt idx="111">
                  <c:v>60.120562</c:v>
                </c:pt>
                <c:pt idx="112">
                  <c:v>59.852291999999998</c:v>
                </c:pt>
                <c:pt idx="113">
                  <c:v>63.409419</c:v>
                </c:pt>
                <c:pt idx="114">
                  <c:v>67.250783999999996</c:v>
                </c:pt>
                <c:pt idx="115">
                  <c:v>67.584835999999996</c:v>
                </c:pt>
                <c:pt idx="116">
                  <c:v>66.743146999999993</c:v>
                </c:pt>
                <c:pt idx="117">
                  <c:v>66.949445999999995</c:v>
                </c:pt>
                <c:pt idx="118">
                  <c:v>66.600047000000004</c:v>
                </c:pt>
                <c:pt idx="119">
                  <c:v>66.393694999999994</c:v>
                </c:pt>
                <c:pt idx="120">
                  <c:v>69.893056000000001</c:v>
                </c:pt>
                <c:pt idx="121">
                  <c:v>70.275383000000005</c:v>
                </c:pt>
                <c:pt idx="122">
                  <c:v>69.766484000000005</c:v>
                </c:pt>
                <c:pt idx="123">
                  <c:v>67.631274000000005</c:v>
                </c:pt>
                <c:pt idx="124">
                  <c:v>66.282979999999995</c:v>
                </c:pt>
                <c:pt idx="125">
                  <c:v>66.708984000000001</c:v>
                </c:pt>
                <c:pt idx="126">
                  <c:v>66.767028999999994</c:v>
                </c:pt>
                <c:pt idx="127">
                  <c:v>67.131136999999995</c:v>
                </c:pt>
                <c:pt idx="128">
                  <c:v>64.572042999999994</c:v>
                </c:pt>
                <c:pt idx="129">
                  <c:v>63.413784</c:v>
                </c:pt>
                <c:pt idx="130">
                  <c:v>63.045102</c:v>
                </c:pt>
                <c:pt idx="131">
                  <c:v>63.345151999999999</c:v>
                </c:pt>
                <c:pt idx="132">
                  <c:v>60.871693</c:v>
                </c:pt>
                <c:pt idx="133">
                  <c:v>60.416758999999999</c:v>
                </c:pt>
                <c:pt idx="134">
                  <c:v>60.248125999999999</c:v>
                </c:pt>
                <c:pt idx="135">
                  <c:v>60.1372</c:v>
                </c:pt>
                <c:pt idx="136">
                  <c:v>59.930745999999999</c:v>
                </c:pt>
                <c:pt idx="137">
                  <c:v>59.687466999999998</c:v>
                </c:pt>
                <c:pt idx="138">
                  <c:v>57.749872000000003</c:v>
                </c:pt>
                <c:pt idx="139">
                  <c:v>56.507595000000002</c:v>
                </c:pt>
                <c:pt idx="140">
                  <c:v>56.777628</c:v>
                </c:pt>
                <c:pt idx="141">
                  <c:v>56.800508999999998</c:v>
                </c:pt>
                <c:pt idx="142">
                  <c:v>54.563146000000003</c:v>
                </c:pt>
                <c:pt idx="143">
                  <c:v>55.188963999999999</c:v>
                </c:pt>
                <c:pt idx="144">
                  <c:v>57.165964000000002</c:v>
                </c:pt>
                <c:pt idx="145">
                  <c:v>56.469363000000001</c:v>
                </c:pt>
                <c:pt idx="146">
                  <c:v>55.975219000000003</c:v>
                </c:pt>
                <c:pt idx="147">
                  <c:v>56.687035999999999</c:v>
                </c:pt>
                <c:pt idx="148">
                  <c:v>57.719728000000003</c:v>
                </c:pt>
                <c:pt idx="149">
                  <c:v>56.788426000000001</c:v>
                </c:pt>
                <c:pt idx="150">
                  <c:v>55.586041999999999</c:v>
                </c:pt>
                <c:pt idx="151">
                  <c:v>56.040086000000002</c:v>
                </c:pt>
                <c:pt idx="152">
                  <c:v>56.965344999999999</c:v>
                </c:pt>
                <c:pt idx="153">
                  <c:v>58.197434999999999</c:v>
                </c:pt>
                <c:pt idx="154">
                  <c:v>58.332585999999999</c:v>
                </c:pt>
                <c:pt idx="155">
                  <c:v>58.042374000000002</c:v>
                </c:pt>
                <c:pt idx="156">
                  <c:v>58.025821000000001</c:v>
                </c:pt>
                <c:pt idx="157">
                  <c:v>57.724510000000002</c:v>
                </c:pt>
                <c:pt idx="158">
                  <c:v>57.950381999999998</c:v>
                </c:pt>
                <c:pt idx="159">
                  <c:v>58.124040999999998</c:v>
                </c:pt>
                <c:pt idx="160">
                  <c:v>56.964587000000002</c:v>
                </c:pt>
                <c:pt idx="161">
                  <c:v>56.932226</c:v>
                </c:pt>
                <c:pt idx="162">
                  <c:v>57.561641000000002</c:v>
                </c:pt>
                <c:pt idx="163">
                  <c:v>57.754069999999999</c:v>
                </c:pt>
                <c:pt idx="164">
                  <c:v>57.243749999999999</c:v>
                </c:pt>
                <c:pt idx="165">
                  <c:v>57.772742999999998</c:v>
                </c:pt>
                <c:pt idx="166">
                  <c:v>58.068523999999996</c:v>
                </c:pt>
                <c:pt idx="167">
                  <c:v>58.469776000000003</c:v>
                </c:pt>
                <c:pt idx="168">
                  <c:v>59.249456000000002</c:v>
                </c:pt>
                <c:pt idx="169">
                  <c:v>59.144154</c:v>
                </c:pt>
                <c:pt idx="170">
                  <c:v>57.951126000000002</c:v>
                </c:pt>
                <c:pt idx="171">
                  <c:v>58.281210999999999</c:v>
                </c:pt>
                <c:pt idx="172">
                  <c:v>58.183438000000002</c:v>
                </c:pt>
                <c:pt idx="173">
                  <c:v>62.280101999999999</c:v>
                </c:pt>
                <c:pt idx="174">
                  <c:v>64.379101000000006</c:v>
                </c:pt>
                <c:pt idx="175">
                  <c:v>64.478070000000002</c:v>
                </c:pt>
                <c:pt idx="176">
                  <c:v>65.519375999999994</c:v>
                </c:pt>
                <c:pt idx="177">
                  <c:v>67.336873999999995</c:v>
                </c:pt>
                <c:pt idx="178">
                  <c:v>68.599971999999994</c:v>
                </c:pt>
                <c:pt idx="179">
                  <c:v>68.932473999999999</c:v>
                </c:pt>
                <c:pt idx="180">
                  <c:v>64.053338999999994</c:v>
                </c:pt>
                <c:pt idx="181">
                  <c:v>63.755265000000001</c:v>
                </c:pt>
                <c:pt idx="182">
                  <c:v>63.584060999999998</c:v>
                </c:pt>
                <c:pt idx="183">
                  <c:v>62.939588999999998</c:v>
                </c:pt>
                <c:pt idx="184">
                  <c:v>70.716013000000004</c:v>
                </c:pt>
                <c:pt idx="185">
                  <c:v>70.498501000000005</c:v>
                </c:pt>
                <c:pt idx="186">
                  <c:v>70.660617999999999</c:v>
                </c:pt>
                <c:pt idx="187">
                  <c:v>74.302012000000005</c:v>
                </c:pt>
                <c:pt idx="188">
                  <c:v>73.945970000000003</c:v>
                </c:pt>
                <c:pt idx="189">
                  <c:v>73.568414000000004</c:v>
                </c:pt>
                <c:pt idx="190">
                  <c:v>73.827483000000001</c:v>
                </c:pt>
                <c:pt idx="191">
                  <c:v>74.328433000000004</c:v>
                </c:pt>
                <c:pt idx="192">
                  <c:v>66.658314000000004</c:v>
                </c:pt>
                <c:pt idx="193">
                  <c:v>64.911169999999998</c:v>
                </c:pt>
                <c:pt idx="194">
                  <c:v>70.437516000000002</c:v>
                </c:pt>
                <c:pt idx="195">
                  <c:v>69.516081999999997</c:v>
                </c:pt>
                <c:pt idx="196">
                  <c:v>63.819885999999997</c:v>
                </c:pt>
                <c:pt idx="197">
                  <c:v>63.273704000000002</c:v>
                </c:pt>
                <c:pt idx="198">
                  <c:v>63.277498999999999</c:v>
                </c:pt>
                <c:pt idx="199">
                  <c:v>63.742539999999998</c:v>
                </c:pt>
                <c:pt idx="200">
                  <c:v>63.893228000000001</c:v>
                </c:pt>
                <c:pt idx="201">
                  <c:v>63.790481</c:v>
                </c:pt>
                <c:pt idx="202">
                  <c:v>61.231321000000001</c:v>
                </c:pt>
                <c:pt idx="203">
                  <c:v>61.156213999999999</c:v>
                </c:pt>
                <c:pt idx="204">
                  <c:v>61.206162999999997</c:v>
                </c:pt>
                <c:pt idx="205">
                  <c:v>61.89987</c:v>
                </c:pt>
                <c:pt idx="206">
                  <c:v>56.572657</c:v>
                </c:pt>
                <c:pt idx="207">
                  <c:v>56.423268</c:v>
                </c:pt>
                <c:pt idx="208">
                  <c:v>56.394632000000001</c:v>
                </c:pt>
                <c:pt idx="209">
                  <c:v>56.937209000000003</c:v>
                </c:pt>
                <c:pt idx="210">
                  <c:v>57.490360000000003</c:v>
                </c:pt>
                <c:pt idx="211">
                  <c:v>57.141716000000002</c:v>
                </c:pt>
                <c:pt idx="212">
                  <c:v>56.229284</c:v>
                </c:pt>
                <c:pt idx="213">
                  <c:v>57.391039999999997</c:v>
                </c:pt>
                <c:pt idx="214">
                  <c:v>60.119183</c:v>
                </c:pt>
                <c:pt idx="215">
                  <c:v>60.154262000000003</c:v>
                </c:pt>
                <c:pt idx="216">
                  <c:v>60.182876999999998</c:v>
                </c:pt>
                <c:pt idx="217">
                  <c:v>60.540908999999999</c:v>
                </c:pt>
                <c:pt idx="218">
                  <c:v>60.608260000000001</c:v>
                </c:pt>
                <c:pt idx="219">
                  <c:v>60.615938</c:v>
                </c:pt>
                <c:pt idx="220">
                  <c:v>62.379413</c:v>
                </c:pt>
                <c:pt idx="221">
                  <c:v>62.490746000000001</c:v>
                </c:pt>
                <c:pt idx="222">
                  <c:v>64.291068999999993</c:v>
                </c:pt>
                <c:pt idx="223">
                  <c:v>62.615879999999997</c:v>
                </c:pt>
                <c:pt idx="224">
                  <c:v>61.359377000000002</c:v>
                </c:pt>
                <c:pt idx="225">
                  <c:v>61.431305000000002</c:v>
                </c:pt>
                <c:pt idx="226">
                  <c:v>61.488182000000002</c:v>
                </c:pt>
                <c:pt idx="227">
                  <c:v>65.075316999999998</c:v>
                </c:pt>
                <c:pt idx="228">
                  <c:v>62.004412000000002</c:v>
                </c:pt>
                <c:pt idx="229">
                  <c:v>61.637523000000002</c:v>
                </c:pt>
                <c:pt idx="230">
                  <c:v>61.318717999999997</c:v>
                </c:pt>
                <c:pt idx="231">
                  <c:v>62.512858999999999</c:v>
                </c:pt>
                <c:pt idx="232">
                  <c:v>62.707304000000001</c:v>
                </c:pt>
                <c:pt idx="233">
                  <c:v>62.584806999999998</c:v>
                </c:pt>
                <c:pt idx="234">
                  <c:v>61.813595999999997</c:v>
                </c:pt>
                <c:pt idx="235">
                  <c:v>71.069348000000005</c:v>
                </c:pt>
                <c:pt idx="236">
                  <c:v>71.020647999999994</c:v>
                </c:pt>
                <c:pt idx="237">
                  <c:v>70.934499000000002</c:v>
                </c:pt>
                <c:pt idx="238">
                  <c:v>71.097533999999996</c:v>
                </c:pt>
                <c:pt idx="239">
                  <c:v>71.434814000000003</c:v>
                </c:pt>
                <c:pt idx="240">
                  <c:v>71.290189999999996</c:v>
                </c:pt>
                <c:pt idx="241">
                  <c:v>71.273122999999998</c:v>
                </c:pt>
                <c:pt idx="242">
                  <c:v>71.395280999999997</c:v>
                </c:pt>
                <c:pt idx="243">
                  <c:v>71.297011999999995</c:v>
                </c:pt>
                <c:pt idx="244">
                  <c:v>70.575892999999994</c:v>
                </c:pt>
                <c:pt idx="245">
                  <c:v>70.699555000000004</c:v>
                </c:pt>
                <c:pt idx="246">
                  <c:v>67.651399999999995</c:v>
                </c:pt>
                <c:pt idx="247">
                  <c:v>68.287344000000004</c:v>
                </c:pt>
                <c:pt idx="248">
                  <c:v>67.989165999999997</c:v>
                </c:pt>
                <c:pt idx="249">
                  <c:v>68.024238999999994</c:v>
                </c:pt>
                <c:pt idx="250">
                  <c:v>67.862758999999997</c:v>
                </c:pt>
                <c:pt idx="251">
                  <c:v>68.090152000000003</c:v>
                </c:pt>
                <c:pt idx="252">
                  <c:v>68.895077000000001</c:v>
                </c:pt>
                <c:pt idx="253">
                  <c:v>69.344746000000001</c:v>
                </c:pt>
                <c:pt idx="254">
                  <c:v>65.800475000000006</c:v>
                </c:pt>
                <c:pt idx="255">
                  <c:v>66.033693</c:v>
                </c:pt>
                <c:pt idx="256">
                  <c:v>65.264104000000003</c:v>
                </c:pt>
                <c:pt idx="257">
                  <c:v>65.477868000000001</c:v>
                </c:pt>
                <c:pt idx="258">
                  <c:v>65.121253999999993</c:v>
                </c:pt>
                <c:pt idx="259">
                  <c:v>59.814079999999997</c:v>
                </c:pt>
                <c:pt idx="260">
                  <c:v>59.529283999999997</c:v>
                </c:pt>
                <c:pt idx="261">
                  <c:v>59.728282999999998</c:v>
                </c:pt>
                <c:pt idx="262">
                  <c:v>57.772592000000003</c:v>
                </c:pt>
                <c:pt idx="263">
                  <c:v>56.646447999999999</c:v>
                </c:pt>
                <c:pt idx="264">
                  <c:v>42.942802</c:v>
                </c:pt>
                <c:pt idx="265">
                  <c:v>42.009731000000002</c:v>
                </c:pt>
                <c:pt idx="266">
                  <c:v>54.648521000000002</c:v>
                </c:pt>
                <c:pt idx="267">
                  <c:v>55.287103999999999</c:v>
                </c:pt>
                <c:pt idx="268">
                  <c:v>55.298473000000001</c:v>
                </c:pt>
                <c:pt idx="269">
                  <c:v>55.411499999999997</c:v>
                </c:pt>
                <c:pt idx="270">
                  <c:v>53.764192000000001</c:v>
                </c:pt>
                <c:pt idx="271">
                  <c:v>53.539994</c:v>
                </c:pt>
                <c:pt idx="272">
                  <c:v>53.869109000000002</c:v>
                </c:pt>
                <c:pt idx="273">
                  <c:v>54.948681999999998</c:v>
                </c:pt>
                <c:pt idx="274">
                  <c:v>55.082335999999998</c:v>
                </c:pt>
                <c:pt idx="275">
                  <c:v>55.010379</c:v>
                </c:pt>
                <c:pt idx="276">
                  <c:v>55.174190000000003</c:v>
                </c:pt>
                <c:pt idx="277">
                  <c:v>55.021974999999998</c:v>
                </c:pt>
                <c:pt idx="278">
                  <c:v>54.877487000000002</c:v>
                </c:pt>
                <c:pt idx="279">
                  <c:v>58.431387000000001</c:v>
                </c:pt>
                <c:pt idx="280">
                  <c:v>57.612555</c:v>
                </c:pt>
                <c:pt idx="281">
                  <c:v>57.838059000000001</c:v>
                </c:pt>
                <c:pt idx="282">
                  <c:v>58.231577000000001</c:v>
                </c:pt>
                <c:pt idx="283">
                  <c:v>57.220615000000002</c:v>
                </c:pt>
                <c:pt idx="284">
                  <c:v>50.827021000000002</c:v>
                </c:pt>
                <c:pt idx="285">
                  <c:v>49.963712000000001</c:v>
                </c:pt>
                <c:pt idx="286">
                  <c:v>49.472805999999999</c:v>
                </c:pt>
                <c:pt idx="287">
                  <c:v>49.737166000000002</c:v>
                </c:pt>
                <c:pt idx="288">
                  <c:v>50.381131000000003</c:v>
                </c:pt>
                <c:pt idx="289">
                  <c:v>50.098744000000003</c:v>
                </c:pt>
                <c:pt idx="290">
                  <c:v>50.251460000000002</c:v>
                </c:pt>
                <c:pt idx="291">
                  <c:v>50.700547999999998</c:v>
                </c:pt>
                <c:pt idx="292">
                  <c:v>51.337299000000002</c:v>
                </c:pt>
                <c:pt idx="293">
                  <c:v>48.549647999999998</c:v>
                </c:pt>
                <c:pt idx="294">
                  <c:v>48.355781</c:v>
                </c:pt>
                <c:pt idx="295">
                  <c:v>48.582273000000001</c:v>
                </c:pt>
                <c:pt idx="296">
                  <c:v>48.368968000000002</c:v>
                </c:pt>
                <c:pt idx="297">
                  <c:v>52.256067999999999</c:v>
                </c:pt>
                <c:pt idx="298">
                  <c:v>54.009511000000003</c:v>
                </c:pt>
                <c:pt idx="299">
                  <c:v>53.975915000000001</c:v>
                </c:pt>
                <c:pt idx="300">
                  <c:v>53.493518000000002</c:v>
                </c:pt>
                <c:pt idx="301">
                  <c:v>53.464241000000001</c:v>
                </c:pt>
                <c:pt idx="302">
                  <c:v>53.505420999999998</c:v>
                </c:pt>
                <c:pt idx="303">
                  <c:v>53.034998999999999</c:v>
                </c:pt>
                <c:pt idx="304">
                  <c:v>52.637850999999998</c:v>
                </c:pt>
                <c:pt idx="305">
                  <c:v>53.223835000000001</c:v>
                </c:pt>
                <c:pt idx="306">
                  <c:v>52.261254000000001</c:v>
                </c:pt>
                <c:pt idx="307">
                  <c:v>52.145192999999999</c:v>
                </c:pt>
                <c:pt idx="308">
                  <c:v>52.223820000000003</c:v>
                </c:pt>
                <c:pt idx="309">
                  <c:v>52.416381000000001</c:v>
                </c:pt>
                <c:pt idx="310">
                  <c:v>56.533535000000001</c:v>
                </c:pt>
                <c:pt idx="311">
                  <c:v>56.444325999999997</c:v>
                </c:pt>
                <c:pt idx="312">
                  <c:v>55.408236000000002</c:v>
                </c:pt>
                <c:pt idx="313">
                  <c:v>55.501009000000003</c:v>
                </c:pt>
                <c:pt idx="314">
                  <c:v>56.073627999999999</c:v>
                </c:pt>
                <c:pt idx="315">
                  <c:v>53.319037000000002</c:v>
                </c:pt>
                <c:pt idx="316">
                  <c:v>53.149175</c:v>
                </c:pt>
                <c:pt idx="317">
                  <c:v>52.981791999999999</c:v>
                </c:pt>
                <c:pt idx="318">
                  <c:v>53.028435000000002</c:v>
                </c:pt>
                <c:pt idx="319">
                  <c:v>52.862585000000003</c:v>
                </c:pt>
                <c:pt idx="320">
                  <c:v>52.814532</c:v>
                </c:pt>
                <c:pt idx="321">
                  <c:v>52.739392000000002</c:v>
                </c:pt>
                <c:pt idx="322">
                  <c:v>52.692515</c:v>
                </c:pt>
                <c:pt idx="323">
                  <c:v>53.058459999999997</c:v>
                </c:pt>
                <c:pt idx="324">
                  <c:v>53.395498000000003</c:v>
                </c:pt>
                <c:pt idx="325">
                  <c:v>53.167281000000003</c:v>
                </c:pt>
                <c:pt idx="326">
                  <c:v>53.447501000000003</c:v>
                </c:pt>
                <c:pt idx="327">
                  <c:v>52.665855999999998</c:v>
                </c:pt>
                <c:pt idx="328">
                  <c:v>52.498151</c:v>
                </c:pt>
                <c:pt idx="329">
                  <c:v>52.219152999999999</c:v>
                </c:pt>
                <c:pt idx="330">
                  <c:v>52.092371999999997</c:v>
                </c:pt>
                <c:pt idx="331">
                  <c:v>51.744028</c:v>
                </c:pt>
                <c:pt idx="332">
                  <c:v>51.711184000000003</c:v>
                </c:pt>
                <c:pt idx="333">
                  <c:v>51.890960999999997</c:v>
                </c:pt>
                <c:pt idx="334">
                  <c:v>51.883679999999998</c:v>
                </c:pt>
                <c:pt idx="335">
                  <c:v>52.377161000000001</c:v>
                </c:pt>
                <c:pt idx="336">
                  <c:v>52.365839999999999</c:v>
                </c:pt>
                <c:pt idx="337">
                  <c:v>52.057139999999997</c:v>
                </c:pt>
                <c:pt idx="338">
                  <c:v>52.639864000000003</c:v>
                </c:pt>
                <c:pt idx="339">
                  <c:v>52.603679999999997</c:v>
                </c:pt>
                <c:pt idx="340">
                  <c:v>52.738160000000001</c:v>
                </c:pt>
                <c:pt idx="341">
                  <c:v>52.676257</c:v>
                </c:pt>
                <c:pt idx="342">
                  <c:v>52.745148999999998</c:v>
                </c:pt>
                <c:pt idx="343">
                  <c:v>52.743105999999997</c:v>
                </c:pt>
                <c:pt idx="344">
                  <c:v>52.721632999999997</c:v>
                </c:pt>
                <c:pt idx="345">
                  <c:v>50.896503000000003</c:v>
                </c:pt>
                <c:pt idx="346">
                  <c:v>51.529214000000003</c:v>
                </c:pt>
                <c:pt idx="347">
                  <c:v>51.598103999999999</c:v>
                </c:pt>
                <c:pt idx="348">
                  <c:v>47.118907</c:v>
                </c:pt>
                <c:pt idx="349">
                  <c:v>46.909489999999998</c:v>
                </c:pt>
                <c:pt idx="350">
                  <c:v>46.982404000000002</c:v>
                </c:pt>
                <c:pt idx="351">
                  <c:v>47.337933999999997</c:v>
                </c:pt>
                <c:pt idx="352">
                  <c:v>47.354891000000002</c:v>
                </c:pt>
                <c:pt idx="353">
                  <c:v>48.481968999999999</c:v>
                </c:pt>
                <c:pt idx="354">
                  <c:v>48.204934000000002</c:v>
                </c:pt>
                <c:pt idx="355">
                  <c:v>47.918309000000001</c:v>
                </c:pt>
                <c:pt idx="356">
                  <c:v>47.746862</c:v>
                </c:pt>
                <c:pt idx="357">
                  <c:v>47.748506999999996</c:v>
                </c:pt>
                <c:pt idx="358">
                  <c:v>47.451563</c:v>
                </c:pt>
                <c:pt idx="359">
                  <c:v>48.982194999999997</c:v>
                </c:pt>
                <c:pt idx="360">
                  <c:v>48.919355000000003</c:v>
                </c:pt>
                <c:pt idx="361">
                  <c:v>48.822704999999999</c:v>
                </c:pt>
                <c:pt idx="362">
                  <c:v>49.138879000000003</c:v>
                </c:pt>
                <c:pt idx="363">
                  <c:v>49.136457</c:v>
                </c:pt>
                <c:pt idx="364">
                  <c:v>49.065589000000003</c:v>
                </c:pt>
                <c:pt idx="365">
                  <c:v>49.027346999999999</c:v>
                </c:pt>
                <c:pt idx="366">
                  <c:v>49.117635999999997</c:v>
                </c:pt>
                <c:pt idx="367">
                  <c:v>48.160637000000001</c:v>
                </c:pt>
                <c:pt idx="368">
                  <c:v>48.099418</c:v>
                </c:pt>
                <c:pt idx="369">
                  <c:v>48.144905999999999</c:v>
                </c:pt>
                <c:pt idx="370">
                  <c:v>47.847835000000003</c:v>
                </c:pt>
                <c:pt idx="371">
                  <c:v>50.595534000000001</c:v>
                </c:pt>
                <c:pt idx="372">
                  <c:v>50.895130999999999</c:v>
                </c:pt>
                <c:pt idx="373">
                  <c:v>50.793574</c:v>
                </c:pt>
                <c:pt idx="374">
                  <c:v>50.471682999999999</c:v>
                </c:pt>
                <c:pt idx="375">
                  <c:v>50.963334000000003</c:v>
                </c:pt>
                <c:pt idx="376">
                  <c:v>50.920878000000002</c:v>
                </c:pt>
                <c:pt idx="377">
                  <c:v>51.091974</c:v>
                </c:pt>
                <c:pt idx="378">
                  <c:v>53.127245000000002</c:v>
                </c:pt>
                <c:pt idx="379">
                  <c:v>51.085472000000003</c:v>
                </c:pt>
                <c:pt idx="380">
                  <c:v>51.112825000000001</c:v>
                </c:pt>
                <c:pt idx="381">
                  <c:v>51.097385000000003</c:v>
                </c:pt>
                <c:pt idx="382">
                  <c:v>51.206270000000004</c:v>
                </c:pt>
                <c:pt idx="383">
                  <c:v>51.262672999999999</c:v>
                </c:pt>
                <c:pt idx="384">
                  <c:v>51.465035</c:v>
                </c:pt>
                <c:pt idx="385">
                  <c:v>51.297876000000002</c:v>
                </c:pt>
                <c:pt idx="386">
                  <c:v>51.223745999999998</c:v>
                </c:pt>
                <c:pt idx="387">
                  <c:v>51.137749999999997</c:v>
                </c:pt>
                <c:pt idx="388">
                  <c:v>50.290194</c:v>
                </c:pt>
                <c:pt idx="389">
                  <c:v>50.069603000000001</c:v>
                </c:pt>
                <c:pt idx="390">
                  <c:v>50.139727999999998</c:v>
                </c:pt>
                <c:pt idx="391">
                  <c:v>50.968625000000003</c:v>
                </c:pt>
                <c:pt idx="392">
                  <c:v>50.036799000000002</c:v>
                </c:pt>
                <c:pt idx="393">
                  <c:v>50.036636999999999</c:v>
                </c:pt>
                <c:pt idx="394">
                  <c:v>49.923226999999997</c:v>
                </c:pt>
                <c:pt idx="395">
                  <c:v>49.884222999999999</c:v>
                </c:pt>
                <c:pt idx="396">
                  <c:v>48.339491000000002</c:v>
                </c:pt>
                <c:pt idx="397">
                  <c:v>48.358232000000001</c:v>
                </c:pt>
                <c:pt idx="398">
                  <c:v>47.933866000000002</c:v>
                </c:pt>
                <c:pt idx="399">
                  <c:v>48.043004000000003</c:v>
                </c:pt>
                <c:pt idx="400">
                  <c:v>48.099243000000001</c:v>
                </c:pt>
                <c:pt idx="401">
                  <c:v>47.270097</c:v>
                </c:pt>
                <c:pt idx="402">
                  <c:v>47.003115000000001</c:v>
                </c:pt>
                <c:pt idx="403">
                  <c:v>46.639932000000002</c:v>
                </c:pt>
                <c:pt idx="404">
                  <c:v>46.511127000000002</c:v>
                </c:pt>
                <c:pt idx="405">
                  <c:v>46.585970000000003</c:v>
                </c:pt>
                <c:pt idx="406">
                  <c:v>44.588214999999998</c:v>
                </c:pt>
                <c:pt idx="407">
                  <c:v>44.543615000000003</c:v>
                </c:pt>
                <c:pt idx="408">
                  <c:v>44.687925</c:v>
                </c:pt>
                <c:pt idx="409">
                  <c:v>44.099077999999999</c:v>
                </c:pt>
                <c:pt idx="410">
                  <c:v>43.878888000000003</c:v>
                </c:pt>
                <c:pt idx="411">
                  <c:v>43.926591000000002</c:v>
                </c:pt>
                <c:pt idx="412">
                  <c:v>43.844726000000001</c:v>
                </c:pt>
                <c:pt idx="413">
                  <c:v>44.044916999999998</c:v>
                </c:pt>
                <c:pt idx="414">
                  <c:v>44.128644999999999</c:v>
                </c:pt>
                <c:pt idx="415">
                  <c:v>44.056277000000001</c:v>
                </c:pt>
                <c:pt idx="416">
                  <c:v>44.040140000000001</c:v>
                </c:pt>
                <c:pt idx="417">
                  <c:v>44.551096000000001</c:v>
                </c:pt>
                <c:pt idx="418">
                  <c:v>44.516894000000001</c:v>
                </c:pt>
                <c:pt idx="419">
                  <c:v>44.702595000000002</c:v>
                </c:pt>
                <c:pt idx="420">
                  <c:v>44.108190999999998</c:v>
                </c:pt>
                <c:pt idx="421">
                  <c:v>44.195762999999999</c:v>
                </c:pt>
                <c:pt idx="422">
                  <c:v>42.010008999999997</c:v>
                </c:pt>
                <c:pt idx="423">
                  <c:v>41.903322000000003</c:v>
                </c:pt>
                <c:pt idx="424">
                  <c:v>42.141368999999997</c:v>
                </c:pt>
                <c:pt idx="425">
                  <c:v>41.965865000000001</c:v>
                </c:pt>
                <c:pt idx="426">
                  <c:v>41.820298999999999</c:v>
                </c:pt>
                <c:pt idx="427">
                  <c:v>41.896994999999997</c:v>
                </c:pt>
                <c:pt idx="428">
                  <c:v>41.98386</c:v>
                </c:pt>
                <c:pt idx="429">
                  <c:v>41.962549000000003</c:v>
                </c:pt>
                <c:pt idx="430">
                  <c:v>41.277723999999999</c:v>
                </c:pt>
                <c:pt idx="431">
                  <c:v>41.355662000000002</c:v>
                </c:pt>
                <c:pt idx="432">
                  <c:v>41.282846999999997</c:v>
                </c:pt>
                <c:pt idx="433">
                  <c:v>42.028753999999999</c:v>
                </c:pt>
                <c:pt idx="434">
                  <c:v>40.035829</c:v>
                </c:pt>
                <c:pt idx="435">
                  <c:v>40.111871999999998</c:v>
                </c:pt>
                <c:pt idx="436">
                  <c:v>40.245792999999999</c:v>
                </c:pt>
                <c:pt idx="437">
                  <c:v>40.286324</c:v>
                </c:pt>
                <c:pt idx="438">
                  <c:v>40.855649999999997</c:v>
                </c:pt>
                <c:pt idx="439">
                  <c:v>40.913541000000002</c:v>
                </c:pt>
                <c:pt idx="440">
                  <c:v>39.953684000000003</c:v>
                </c:pt>
                <c:pt idx="441">
                  <c:v>39.450527000000001</c:v>
                </c:pt>
                <c:pt idx="442">
                  <c:v>40.814388000000001</c:v>
                </c:pt>
                <c:pt idx="443">
                  <c:v>40.856226999999997</c:v>
                </c:pt>
                <c:pt idx="444">
                  <c:v>40.875433000000001</c:v>
                </c:pt>
                <c:pt idx="445">
                  <c:v>41.043092000000001</c:v>
                </c:pt>
                <c:pt idx="446">
                  <c:v>40.951194999999998</c:v>
                </c:pt>
                <c:pt idx="447">
                  <c:v>40.863089000000002</c:v>
                </c:pt>
                <c:pt idx="448">
                  <c:v>40.903024000000002</c:v>
                </c:pt>
                <c:pt idx="449">
                  <c:v>40.900393999999999</c:v>
                </c:pt>
                <c:pt idx="450">
                  <c:v>40.649140000000003</c:v>
                </c:pt>
                <c:pt idx="451">
                  <c:v>40.766047</c:v>
                </c:pt>
                <c:pt idx="452">
                  <c:v>39.826053000000002</c:v>
                </c:pt>
                <c:pt idx="453">
                  <c:v>39.809353000000002</c:v>
                </c:pt>
                <c:pt idx="454">
                  <c:v>39.927231999999997</c:v>
                </c:pt>
                <c:pt idx="455">
                  <c:v>40.420197000000002</c:v>
                </c:pt>
                <c:pt idx="456">
                  <c:v>39.536158999999998</c:v>
                </c:pt>
                <c:pt idx="457">
                  <c:v>37.754443000000002</c:v>
                </c:pt>
                <c:pt idx="458">
                  <c:v>37.734363000000002</c:v>
                </c:pt>
                <c:pt idx="459">
                  <c:v>37.890143999999999</c:v>
                </c:pt>
                <c:pt idx="460">
                  <c:v>38.244450999999998</c:v>
                </c:pt>
                <c:pt idx="461">
                  <c:v>38.240577000000002</c:v>
                </c:pt>
                <c:pt idx="462">
                  <c:v>37.705460000000002</c:v>
                </c:pt>
                <c:pt idx="463">
                  <c:v>37.714447</c:v>
                </c:pt>
                <c:pt idx="464">
                  <c:v>37.610568000000001</c:v>
                </c:pt>
                <c:pt idx="465">
                  <c:v>37.680956999999999</c:v>
                </c:pt>
                <c:pt idx="466">
                  <c:v>37.670495000000003</c:v>
                </c:pt>
                <c:pt idx="467">
                  <c:v>37.712415999999997</c:v>
                </c:pt>
                <c:pt idx="468">
                  <c:v>37.747622999999997</c:v>
                </c:pt>
                <c:pt idx="469">
                  <c:v>38.784253</c:v>
                </c:pt>
                <c:pt idx="470">
                  <c:v>38.837899</c:v>
                </c:pt>
                <c:pt idx="471">
                  <c:v>38.965231000000003</c:v>
                </c:pt>
                <c:pt idx="472">
                  <c:v>38.865957999999999</c:v>
                </c:pt>
                <c:pt idx="473">
                  <c:v>38.185913999999997</c:v>
                </c:pt>
                <c:pt idx="474">
                  <c:v>38.057440999999997</c:v>
                </c:pt>
                <c:pt idx="475">
                  <c:v>38.025314000000002</c:v>
                </c:pt>
                <c:pt idx="476">
                  <c:v>37.793849999999999</c:v>
                </c:pt>
                <c:pt idx="477">
                  <c:v>37.908819999999999</c:v>
                </c:pt>
                <c:pt idx="478">
                  <c:v>38.032879000000001</c:v>
                </c:pt>
                <c:pt idx="479">
                  <c:v>38.063471999999997</c:v>
                </c:pt>
                <c:pt idx="480">
                  <c:v>38.223022999999998</c:v>
                </c:pt>
                <c:pt idx="481">
                  <c:v>39.515255000000003</c:v>
                </c:pt>
                <c:pt idx="482">
                  <c:v>39.647956999999998</c:v>
                </c:pt>
                <c:pt idx="483">
                  <c:v>39.610039</c:v>
                </c:pt>
                <c:pt idx="484">
                  <c:v>39.04786</c:v>
                </c:pt>
                <c:pt idx="485">
                  <c:v>39.226993</c:v>
                </c:pt>
                <c:pt idx="486">
                  <c:v>39.125861999999998</c:v>
                </c:pt>
                <c:pt idx="487">
                  <c:v>39.102445000000003</c:v>
                </c:pt>
                <c:pt idx="488">
                  <c:v>38.89479</c:v>
                </c:pt>
                <c:pt idx="489">
                  <c:v>38.891173000000002</c:v>
                </c:pt>
                <c:pt idx="490">
                  <c:v>39.028233</c:v>
                </c:pt>
                <c:pt idx="491">
                  <c:v>38.982008</c:v>
                </c:pt>
                <c:pt idx="492">
                  <c:v>39.020493000000002</c:v>
                </c:pt>
                <c:pt idx="493">
                  <c:v>39.145038999999997</c:v>
                </c:pt>
                <c:pt idx="494">
                  <c:v>38.511271999999998</c:v>
                </c:pt>
                <c:pt idx="495">
                  <c:v>38.595934999999997</c:v>
                </c:pt>
                <c:pt idx="496">
                  <c:v>38.485596000000001</c:v>
                </c:pt>
                <c:pt idx="497">
                  <c:v>38.233576999999997</c:v>
                </c:pt>
                <c:pt idx="498">
                  <c:v>38.960200999999998</c:v>
                </c:pt>
                <c:pt idx="499">
                  <c:v>38.989356999999998</c:v>
                </c:pt>
                <c:pt idx="500">
                  <c:v>39.151091000000001</c:v>
                </c:pt>
                <c:pt idx="501">
                  <c:v>38.972614</c:v>
                </c:pt>
                <c:pt idx="502">
                  <c:v>38.807817</c:v>
                </c:pt>
                <c:pt idx="503">
                  <c:v>38.730106999999997</c:v>
                </c:pt>
                <c:pt idx="504">
                  <c:v>38.789544999999997</c:v>
                </c:pt>
                <c:pt idx="505">
                  <c:v>38.298971000000002</c:v>
                </c:pt>
                <c:pt idx="506">
                  <c:v>37.603299999999997</c:v>
                </c:pt>
                <c:pt idx="507">
                  <c:v>27.347971000000001</c:v>
                </c:pt>
                <c:pt idx="508">
                  <c:v>27.755631999999999</c:v>
                </c:pt>
                <c:pt idx="509">
                  <c:v>27.823595000000001</c:v>
                </c:pt>
                <c:pt idx="510">
                  <c:v>27.640373</c:v>
                </c:pt>
                <c:pt idx="511">
                  <c:v>27.691331999999999</c:v>
                </c:pt>
                <c:pt idx="512">
                  <c:v>27.769732999999999</c:v>
                </c:pt>
                <c:pt idx="513">
                  <c:v>28.133389000000001</c:v>
                </c:pt>
                <c:pt idx="514">
                  <c:v>28.404527999999999</c:v>
                </c:pt>
                <c:pt idx="515">
                  <c:v>28.401108000000001</c:v>
                </c:pt>
                <c:pt idx="516">
                  <c:v>28.368948</c:v>
                </c:pt>
                <c:pt idx="517">
                  <c:v>28.536877</c:v>
                </c:pt>
                <c:pt idx="518">
                  <c:v>28.451484000000001</c:v>
                </c:pt>
                <c:pt idx="519">
                  <c:v>28.74878</c:v>
                </c:pt>
                <c:pt idx="520">
                  <c:v>28.860157000000001</c:v>
                </c:pt>
                <c:pt idx="521">
                  <c:v>28.887346999999998</c:v>
                </c:pt>
                <c:pt idx="522">
                  <c:v>28.867260000000002</c:v>
                </c:pt>
                <c:pt idx="523">
                  <c:v>28.823931000000002</c:v>
                </c:pt>
                <c:pt idx="524">
                  <c:v>28.900106999999998</c:v>
                </c:pt>
                <c:pt idx="525">
                  <c:v>28.511167</c:v>
                </c:pt>
                <c:pt idx="526">
                  <c:v>28.522055000000002</c:v>
                </c:pt>
                <c:pt idx="527">
                  <c:v>28.499202</c:v>
                </c:pt>
                <c:pt idx="528">
                  <c:v>28.426062999999999</c:v>
                </c:pt>
                <c:pt idx="529">
                  <c:v>27.307727</c:v>
                </c:pt>
                <c:pt idx="530">
                  <c:v>27.370865999999999</c:v>
                </c:pt>
                <c:pt idx="531">
                  <c:v>27.50704</c:v>
                </c:pt>
                <c:pt idx="532">
                  <c:v>27.392507999999999</c:v>
                </c:pt>
                <c:pt idx="533">
                  <c:v>27.426454</c:v>
                </c:pt>
                <c:pt idx="534">
                  <c:v>27.033594000000001</c:v>
                </c:pt>
                <c:pt idx="535">
                  <c:v>26.678274999999999</c:v>
                </c:pt>
                <c:pt idx="536">
                  <c:v>26.645821999999999</c:v>
                </c:pt>
                <c:pt idx="537">
                  <c:v>25.990769</c:v>
                </c:pt>
                <c:pt idx="538">
                  <c:v>25.899387999999998</c:v>
                </c:pt>
                <c:pt idx="539">
                  <c:v>26.269362000000001</c:v>
                </c:pt>
                <c:pt idx="540">
                  <c:v>26.469963</c:v>
                </c:pt>
                <c:pt idx="541">
                  <c:v>26.366738000000002</c:v>
                </c:pt>
                <c:pt idx="542">
                  <c:v>26.988807999999999</c:v>
                </c:pt>
                <c:pt idx="543">
                  <c:v>26.705466000000001</c:v>
                </c:pt>
                <c:pt idx="544">
                  <c:v>26.024478999999999</c:v>
                </c:pt>
                <c:pt idx="545">
                  <c:v>25.880379999999999</c:v>
                </c:pt>
                <c:pt idx="546">
                  <c:v>25.502655000000001</c:v>
                </c:pt>
                <c:pt idx="547">
                  <c:v>25.131264999999999</c:v>
                </c:pt>
                <c:pt idx="548">
                  <c:v>25.328071000000001</c:v>
                </c:pt>
                <c:pt idx="549">
                  <c:v>25.148904999999999</c:v>
                </c:pt>
                <c:pt idx="550">
                  <c:v>25.344905000000001</c:v>
                </c:pt>
                <c:pt idx="551">
                  <c:v>25.466612000000001</c:v>
                </c:pt>
                <c:pt idx="552">
                  <c:v>24.069006999999999</c:v>
                </c:pt>
                <c:pt idx="553">
                  <c:v>24.144452000000001</c:v>
                </c:pt>
                <c:pt idx="554">
                  <c:v>24.324396</c:v>
                </c:pt>
                <c:pt idx="555">
                  <c:v>24.435092999999998</c:v>
                </c:pt>
                <c:pt idx="556">
                  <c:v>24.024979999999999</c:v>
                </c:pt>
                <c:pt idx="557">
                  <c:v>23.926565</c:v>
                </c:pt>
                <c:pt idx="558">
                  <c:v>23.947399000000001</c:v>
                </c:pt>
                <c:pt idx="559">
                  <c:v>23.951056000000001</c:v>
                </c:pt>
                <c:pt idx="560">
                  <c:v>24.686389999999999</c:v>
                </c:pt>
                <c:pt idx="561">
                  <c:v>24.312279</c:v>
                </c:pt>
                <c:pt idx="562">
                  <c:v>26.748937999999999</c:v>
                </c:pt>
                <c:pt idx="563">
                  <c:v>26.687895000000001</c:v>
                </c:pt>
                <c:pt idx="564">
                  <c:v>26.707581000000001</c:v>
                </c:pt>
                <c:pt idx="565">
                  <c:v>26.313776000000001</c:v>
                </c:pt>
                <c:pt idx="566">
                  <c:v>25.841097000000001</c:v>
                </c:pt>
                <c:pt idx="567">
                  <c:v>25.540937</c:v>
                </c:pt>
                <c:pt idx="568">
                  <c:v>24.913245</c:v>
                </c:pt>
                <c:pt idx="569">
                  <c:v>24.936067999999999</c:v>
                </c:pt>
                <c:pt idx="570">
                  <c:v>25.971854</c:v>
                </c:pt>
                <c:pt idx="571">
                  <c:v>25.988593999999999</c:v>
                </c:pt>
                <c:pt idx="572">
                  <c:v>26.246426</c:v>
                </c:pt>
                <c:pt idx="573">
                  <c:v>26.349426999999999</c:v>
                </c:pt>
                <c:pt idx="574">
                  <c:v>25.784669999999998</c:v>
                </c:pt>
                <c:pt idx="575">
                  <c:v>25.990003999999999</c:v>
                </c:pt>
                <c:pt idx="576">
                  <c:v>25.567751000000001</c:v>
                </c:pt>
                <c:pt idx="577">
                  <c:v>25.326937999999998</c:v>
                </c:pt>
                <c:pt idx="578">
                  <c:v>25.653328999999999</c:v>
                </c:pt>
                <c:pt idx="579">
                  <c:v>24.914301999999999</c:v>
                </c:pt>
                <c:pt idx="580">
                  <c:v>24.428550999999999</c:v>
                </c:pt>
                <c:pt idx="581">
                  <c:v>24.294481000000001</c:v>
                </c:pt>
                <c:pt idx="582">
                  <c:v>24.47655</c:v>
                </c:pt>
                <c:pt idx="583">
                  <c:v>24.602784</c:v>
                </c:pt>
                <c:pt idx="584">
                  <c:v>25.427002000000002</c:v>
                </c:pt>
                <c:pt idx="585">
                  <c:v>25.262957</c:v>
                </c:pt>
                <c:pt idx="586">
                  <c:v>25.397372000000001</c:v>
                </c:pt>
                <c:pt idx="587">
                  <c:v>25.212502000000001</c:v>
                </c:pt>
                <c:pt idx="588">
                  <c:v>23.900863000000001</c:v>
                </c:pt>
                <c:pt idx="589">
                  <c:v>23.897000999999999</c:v>
                </c:pt>
                <c:pt idx="590">
                  <c:v>24.633299000000001</c:v>
                </c:pt>
                <c:pt idx="591">
                  <c:v>24.510556999999999</c:v>
                </c:pt>
                <c:pt idx="592">
                  <c:v>24.76435</c:v>
                </c:pt>
                <c:pt idx="593">
                  <c:v>24.851103999999999</c:v>
                </c:pt>
                <c:pt idx="594">
                  <c:v>24.710740000000001</c:v>
                </c:pt>
                <c:pt idx="595">
                  <c:v>24.057383000000002</c:v>
                </c:pt>
                <c:pt idx="596">
                  <c:v>24.095192000000001</c:v>
                </c:pt>
                <c:pt idx="597">
                  <c:v>24.295635999999998</c:v>
                </c:pt>
                <c:pt idx="598">
                  <c:v>24.411673</c:v>
                </c:pt>
                <c:pt idx="599">
                  <c:v>24.420725000000001</c:v>
                </c:pt>
                <c:pt idx="600">
                  <c:v>24.560172000000001</c:v>
                </c:pt>
                <c:pt idx="601">
                  <c:v>24.491312000000001</c:v>
                </c:pt>
                <c:pt idx="602">
                  <c:v>24.437802000000001</c:v>
                </c:pt>
                <c:pt idx="603">
                  <c:v>24.872610000000002</c:v>
                </c:pt>
                <c:pt idx="604">
                  <c:v>24.862012</c:v>
                </c:pt>
                <c:pt idx="605">
                  <c:v>24.728276000000001</c:v>
                </c:pt>
                <c:pt idx="606">
                  <c:v>24.387999000000001</c:v>
                </c:pt>
                <c:pt idx="607">
                  <c:v>23.491606000000001</c:v>
                </c:pt>
                <c:pt idx="608">
                  <c:v>23.386626</c:v>
                </c:pt>
                <c:pt idx="609">
                  <c:v>23.326072</c:v>
                </c:pt>
                <c:pt idx="610">
                  <c:v>23.313966000000001</c:v>
                </c:pt>
                <c:pt idx="611">
                  <c:v>22.859414999999998</c:v>
                </c:pt>
                <c:pt idx="612">
                  <c:v>17.056695999999999</c:v>
                </c:pt>
                <c:pt idx="613">
                  <c:v>16.956160000000001</c:v>
                </c:pt>
                <c:pt idx="614">
                  <c:v>16.915507000000002</c:v>
                </c:pt>
                <c:pt idx="615">
                  <c:v>16.841317</c:v>
                </c:pt>
                <c:pt idx="616">
                  <c:v>17.049430000000001</c:v>
                </c:pt>
                <c:pt idx="617">
                  <c:v>16.305211</c:v>
                </c:pt>
                <c:pt idx="618">
                  <c:v>16.347833999999999</c:v>
                </c:pt>
                <c:pt idx="619">
                  <c:v>16.364796999999999</c:v>
                </c:pt>
                <c:pt idx="620">
                  <c:v>16.052406999999999</c:v>
                </c:pt>
                <c:pt idx="621">
                  <c:v>17.12931</c:v>
                </c:pt>
                <c:pt idx="622">
                  <c:v>17.455293999999999</c:v>
                </c:pt>
                <c:pt idx="623">
                  <c:v>17.186525</c:v>
                </c:pt>
                <c:pt idx="624">
                  <c:v>17.18056</c:v>
                </c:pt>
                <c:pt idx="625">
                  <c:v>16.810623</c:v>
                </c:pt>
                <c:pt idx="626">
                  <c:v>13.695944000000001</c:v>
                </c:pt>
                <c:pt idx="627">
                  <c:v>13.595838000000001</c:v>
                </c:pt>
                <c:pt idx="628">
                  <c:v>13.42234</c:v>
                </c:pt>
                <c:pt idx="629">
                  <c:v>12.738417</c:v>
                </c:pt>
                <c:pt idx="630">
                  <c:v>12.402900000000001</c:v>
                </c:pt>
                <c:pt idx="631">
                  <c:v>12.328512999999999</c:v>
                </c:pt>
                <c:pt idx="632">
                  <c:v>12.433062</c:v>
                </c:pt>
                <c:pt idx="633">
                  <c:v>12.759219</c:v>
                </c:pt>
                <c:pt idx="634">
                  <c:v>13.000508</c:v>
                </c:pt>
                <c:pt idx="635">
                  <c:v>13.412314</c:v>
                </c:pt>
                <c:pt idx="636">
                  <c:v>15.850439</c:v>
                </c:pt>
                <c:pt idx="637">
                  <c:v>15.777777</c:v>
                </c:pt>
                <c:pt idx="638">
                  <c:v>15.441689</c:v>
                </c:pt>
                <c:pt idx="639">
                  <c:v>15.796950000000001</c:v>
                </c:pt>
                <c:pt idx="640">
                  <c:v>16.241992</c:v>
                </c:pt>
                <c:pt idx="641">
                  <c:v>16.603883</c:v>
                </c:pt>
                <c:pt idx="642">
                  <c:v>16.165697000000002</c:v>
                </c:pt>
                <c:pt idx="643">
                  <c:v>15.29172</c:v>
                </c:pt>
                <c:pt idx="644">
                  <c:v>16.375736</c:v>
                </c:pt>
                <c:pt idx="645">
                  <c:v>18.733643000000001</c:v>
                </c:pt>
                <c:pt idx="646">
                  <c:v>18.845994999999998</c:v>
                </c:pt>
                <c:pt idx="647">
                  <c:v>22.604413000000001</c:v>
                </c:pt>
                <c:pt idx="648">
                  <c:v>21.973448000000001</c:v>
                </c:pt>
                <c:pt idx="649">
                  <c:v>22.236910000000002</c:v>
                </c:pt>
                <c:pt idx="650">
                  <c:v>22.444506000000001</c:v>
                </c:pt>
                <c:pt idx="651">
                  <c:v>23.502922999999999</c:v>
                </c:pt>
                <c:pt idx="652">
                  <c:v>22.895842999999999</c:v>
                </c:pt>
                <c:pt idx="653">
                  <c:v>22.716847999999999</c:v>
                </c:pt>
                <c:pt idx="654">
                  <c:v>22.911014000000002</c:v>
                </c:pt>
                <c:pt idx="655">
                  <c:v>23.599184999999999</c:v>
                </c:pt>
                <c:pt idx="656">
                  <c:v>24.292452000000001</c:v>
                </c:pt>
                <c:pt idx="657">
                  <c:v>23.806778000000001</c:v>
                </c:pt>
                <c:pt idx="658">
                  <c:v>24.067810999999999</c:v>
                </c:pt>
                <c:pt idx="659">
                  <c:v>25.268988</c:v>
                </c:pt>
                <c:pt idx="660">
                  <c:v>25.242948999999999</c:v>
                </c:pt>
                <c:pt idx="661">
                  <c:v>25.208311999999999</c:v>
                </c:pt>
                <c:pt idx="662">
                  <c:v>25.214618999999999</c:v>
                </c:pt>
                <c:pt idx="663">
                  <c:v>25.727784</c:v>
                </c:pt>
                <c:pt idx="664">
                  <c:v>27.767641999999999</c:v>
                </c:pt>
                <c:pt idx="665">
                  <c:v>28.452314999999999</c:v>
                </c:pt>
                <c:pt idx="666">
                  <c:v>30.097602999999999</c:v>
                </c:pt>
                <c:pt idx="667">
                  <c:v>31.385162000000001</c:v>
                </c:pt>
                <c:pt idx="668">
                  <c:v>31.167054</c:v>
                </c:pt>
                <c:pt idx="669">
                  <c:v>31.801929000000001</c:v>
                </c:pt>
                <c:pt idx="670">
                  <c:v>32.244399999999999</c:v>
                </c:pt>
                <c:pt idx="671">
                  <c:v>30.864605999999998</c:v>
                </c:pt>
                <c:pt idx="672">
                  <c:v>31.386768</c:v>
                </c:pt>
                <c:pt idx="673">
                  <c:v>31.355350999999999</c:v>
                </c:pt>
                <c:pt idx="674">
                  <c:v>32.022348999999998</c:v>
                </c:pt>
                <c:pt idx="675">
                  <c:v>31.949795999999999</c:v>
                </c:pt>
                <c:pt idx="676">
                  <c:v>31.948723999999999</c:v>
                </c:pt>
                <c:pt idx="677">
                  <c:v>31.615005</c:v>
                </c:pt>
                <c:pt idx="678">
                  <c:v>32.144841999999997</c:v>
                </c:pt>
                <c:pt idx="679">
                  <c:v>31.975221999999999</c:v>
                </c:pt>
                <c:pt idx="680">
                  <c:v>31.847280000000001</c:v>
                </c:pt>
                <c:pt idx="681">
                  <c:v>31.531331999999999</c:v>
                </c:pt>
                <c:pt idx="682">
                  <c:v>31.296254999999999</c:v>
                </c:pt>
                <c:pt idx="683">
                  <c:v>30.77317</c:v>
                </c:pt>
                <c:pt idx="684">
                  <c:v>30.174624000000001</c:v>
                </c:pt>
                <c:pt idx="685">
                  <c:v>32.557284000000003</c:v>
                </c:pt>
                <c:pt idx="686">
                  <c:v>32.325108999999998</c:v>
                </c:pt>
                <c:pt idx="687">
                  <c:v>32.108787</c:v>
                </c:pt>
                <c:pt idx="688">
                  <c:v>31.797304</c:v>
                </c:pt>
                <c:pt idx="689">
                  <c:v>32.594478000000002</c:v>
                </c:pt>
                <c:pt idx="690">
                  <c:v>33.009135000000001</c:v>
                </c:pt>
                <c:pt idx="691">
                  <c:v>32.672434000000003</c:v>
                </c:pt>
                <c:pt idx="692">
                  <c:v>32.726613999999998</c:v>
                </c:pt>
                <c:pt idx="693">
                  <c:v>32.417301000000002</c:v>
                </c:pt>
                <c:pt idx="694">
                  <c:v>32.199837000000002</c:v>
                </c:pt>
                <c:pt idx="695">
                  <c:v>32.248536999999999</c:v>
                </c:pt>
                <c:pt idx="696">
                  <c:v>36.139722999999996</c:v>
                </c:pt>
                <c:pt idx="697">
                  <c:v>36.261702</c:v>
                </c:pt>
                <c:pt idx="698">
                  <c:v>39.670369999999998</c:v>
                </c:pt>
                <c:pt idx="699">
                  <c:v>39.683793999999999</c:v>
                </c:pt>
                <c:pt idx="700">
                  <c:v>39.891679000000003</c:v>
                </c:pt>
                <c:pt idx="701">
                  <c:v>38.335419999999999</c:v>
                </c:pt>
                <c:pt idx="702">
                  <c:v>37.851098999999998</c:v>
                </c:pt>
                <c:pt idx="703">
                  <c:v>37.270462000000002</c:v>
                </c:pt>
                <c:pt idx="704">
                  <c:v>37.256267000000001</c:v>
                </c:pt>
                <c:pt idx="705">
                  <c:v>38.750767000000003</c:v>
                </c:pt>
                <c:pt idx="706">
                  <c:v>35.112510999999998</c:v>
                </c:pt>
                <c:pt idx="707">
                  <c:v>35.142457</c:v>
                </c:pt>
                <c:pt idx="708">
                  <c:v>33.080829999999999</c:v>
                </c:pt>
                <c:pt idx="709">
                  <c:v>30.454118999999999</c:v>
                </c:pt>
                <c:pt idx="710">
                  <c:v>30.704830000000001</c:v>
                </c:pt>
                <c:pt idx="711">
                  <c:v>27.854158999999999</c:v>
                </c:pt>
                <c:pt idx="712">
                  <c:v>28.195124</c:v>
                </c:pt>
                <c:pt idx="713">
                  <c:v>27.781725000000002</c:v>
                </c:pt>
                <c:pt idx="714">
                  <c:v>27.718935999999999</c:v>
                </c:pt>
                <c:pt idx="715">
                  <c:v>28.118852</c:v>
                </c:pt>
                <c:pt idx="716">
                  <c:v>28.337869000000001</c:v>
                </c:pt>
                <c:pt idx="717">
                  <c:v>28.110789</c:v>
                </c:pt>
                <c:pt idx="718">
                  <c:v>28.238064999999999</c:v>
                </c:pt>
                <c:pt idx="719">
                  <c:v>27.354559999999999</c:v>
                </c:pt>
                <c:pt idx="720">
                  <c:v>27.147328999999999</c:v>
                </c:pt>
                <c:pt idx="721">
                  <c:v>27.078589999999998</c:v>
                </c:pt>
                <c:pt idx="722">
                  <c:v>27.052021</c:v>
                </c:pt>
                <c:pt idx="723">
                  <c:v>24.737276999999999</c:v>
                </c:pt>
                <c:pt idx="724">
                  <c:v>24.441004</c:v>
                </c:pt>
                <c:pt idx="725">
                  <c:v>24.263403</c:v>
                </c:pt>
                <c:pt idx="726">
                  <c:v>24.167273999999999</c:v>
                </c:pt>
                <c:pt idx="727">
                  <c:v>24.377569000000001</c:v>
                </c:pt>
                <c:pt idx="728">
                  <c:v>24.430669999999999</c:v>
                </c:pt>
                <c:pt idx="729">
                  <c:v>24.56129</c:v>
                </c:pt>
                <c:pt idx="730">
                  <c:v>24.220457</c:v>
                </c:pt>
                <c:pt idx="731">
                  <c:v>24.25253</c:v>
                </c:pt>
                <c:pt idx="732">
                  <c:v>24.85322</c:v>
                </c:pt>
                <c:pt idx="733">
                  <c:v>24.867251</c:v>
                </c:pt>
                <c:pt idx="734">
                  <c:v>25.140364000000002</c:v>
                </c:pt>
                <c:pt idx="735">
                  <c:v>24.572292000000001</c:v>
                </c:pt>
                <c:pt idx="736">
                  <c:v>24.281293999999999</c:v>
                </c:pt>
                <c:pt idx="737">
                  <c:v>24.498837000000002</c:v>
                </c:pt>
                <c:pt idx="738">
                  <c:v>24.320478000000001</c:v>
                </c:pt>
                <c:pt idx="739">
                  <c:v>23.984722999999999</c:v>
                </c:pt>
                <c:pt idx="740">
                  <c:v>23.870604</c:v>
                </c:pt>
                <c:pt idx="741">
                  <c:v>24.301946999999998</c:v>
                </c:pt>
                <c:pt idx="742">
                  <c:v>24.216577000000001</c:v>
                </c:pt>
                <c:pt idx="743">
                  <c:v>24.828164000000001</c:v>
                </c:pt>
                <c:pt idx="744">
                  <c:v>25.020309000000001</c:v>
                </c:pt>
                <c:pt idx="745">
                  <c:v>24.757963</c:v>
                </c:pt>
                <c:pt idx="746">
                  <c:v>25.192608</c:v>
                </c:pt>
                <c:pt idx="747">
                  <c:v>24.966442000000001</c:v>
                </c:pt>
                <c:pt idx="748">
                  <c:v>24.290308</c:v>
                </c:pt>
                <c:pt idx="749">
                  <c:v>25.515775000000001</c:v>
                </c:pt>
                <c:pt idx="750">
                  <c:v>25.530944000000002</c:v>
                </c:pt>
                <c:pt idx="751">
                  <c:v>25.174538999999999</c:v>
                </c:pt>
                <c:pt idx="752">
                  <c:v>22.894969</c:v>
                </c:pt>
                <c:pt idx="753">
                  <c:v>23.6661</c:v>
                </c:pt>
                <c:pt idx="754">
                  <c:v>22.798794000000001</c:v>
                </c:pt>
                <c:pt idx="755">
                  <c:v>22.470815000000002</c:v>
                </c:pt>
                <c:pt idx="756">
                  <c:v>22.528217000000001</c:v>
                </c:pt>
                <c:pt idx="757">
                  <c:v>22.918931000000001</c:v>
                </c:pt>
                <c:pt idx="758">
                  <c:v>22.697654</c:v>
                </c:pt>
                <c:pt idx="759">
                  <c:v>22.701879999999999</c:v>
                </c:pt>
                <c:pt idx="760">
                  <c:v>22.569219</c:v>
                </c:pt>
                <c:pt idx="761">
                  <c:v>22.407056000000001</c:v>
                </c:pt>
                <c:pt idx="762">
                  <c:v>22.571608999999999</c:v>
                </c:pt>
                <c:pt idx="763">
                  <c:v>22.197309000000001</c:v>
                </c:pt>
                <c:pt idx="764">
                  <c:v>22.118849999999998</c:v>
                </c:pt>
                <c:pt idx="765">
                  <c:v>22.274989999999999</c:v>
                </c:pt>
                <c:pt idx="766">
                  <c:v>22.009153999999999</c:v>
                </c:pt>
                <c:pt idx="767">
                  <c:v>21.722355</c:v>
                </c:pt>
                <c:pt idx="768">
                  <c:v>21.795521000000001</c:v>
                </c:pt>
                <c:pt idx="769">
                  <c:v>21.101804999999999</c:v>
                </c:pt>
                <c:pt idx="770">
                  <c:v>20.927879999999998</c:v>
                </c:pt>
                <c:pt idx="771">
                  <c:v>21.188551</c:v>
                </c:pt>
                <c:pt idx="772">
                  <c:v>22.326442</c:v>
                </c:pt>
                <c:pt idx="773">
                  <c:v>22.427572000000001</c:v>
                </c:pt>
                <c:pt idx="774">
                  <c:v>22.546672000000001</c:v>
                </c:pt>
                <c:pt idx="775">
                  <c:v>22.870334</c:v>
                </c:pt>
                <c:pt idx="776">
                  <c:v>22.770600999999999</c:v>
                </c:pt>
                <c:pt idx="777">
                  <c:v>22.558617000000002</c:v>
                </c:pt>
                <c:pt idx="778">
                  <c:v>22.602256000000001</c:v>
                </c:pt>
                <c:pt idx="779">
                  <c:v>22.481383999999998</c:v>
                </c:pt>
                <c:pt idx="780">
                  <c:v>22.508628000000002</c:v>
                </c:pt>
                <c:pt idx="781">
                  <c:v>22.501602999999999</c:v>
                </c:pt>
                <c:pt idx="782">
                  <c:v>22.532105999999999</c:v>
                </c:pt>
                <c:pt idx="783">
                  <c:v>22.527028000000001</c:v>
                </c:pt>
                <c:pt idx="784">
                  <c:v>22.332453999999998</c:v>
                </c:pt>
                <c:pt idx="785">
                  <c:v>21.903016000000001</c:v>
                </c:pt>
                <c:pt idx="786">
                  <c:v>21.880071999999998</c:v>
                </c:pt>
                <c:pt idx="787">
                  <c:v>21.752393000000001</c:v>
                </c:pt>
                <c:pt idx="788">
                  <c:v>21.699211999999999</c:v>
                </c:pt>
                <c:pt idx="789">
                  <c:v>21.541782999999999</c:v>
                </c:pt>
                <c:pt idx="790">
                  <c:v>21.348213999999999</c:v>
                </c:pt>
                <c:pt idx="791">
                  <c:v>21.420387999999999</c:v>
                </c:pt>
                <c:pt idx="792">
                  <c:v>21.230564000000001</c:v>
                </c:pt>
                <c:pt idx="793">
                  <c:v>21.489205999999999</c:v>
                </c:pt>
                <c:pt idx="794">
                  <c:v>21.172882000000001</c:v>
                </c:pt>
                <c:pt idx="795">
                  <c:v>21.273249</c:v>
                </c:pt>
                <c:pt idx="796">
                  <c:v>21.103149999999999</c:v>
                </c:pt>
                <c:pt idx="797">
                  <c:v>17.942667</c:v>
                </c:pt>
                <c:pt idx="798">
                  <c:v>18.289100999999999</c:v>
                </c:pt>
                <c:pt idx="799">
                  <c:v>18.286949</c:v>
                </c:pt>
                <c:pt idx="800">
                  <c:v>18.153728999999998</c:v>
                </c:pt>
                <c:pt idx="801">
                  <c:v>18.034403999999999</c:v>
                </c:pt>
                <c:pt idx="802">
                  <c:v>17.866985</c:v>
                </c:pt>
                <c:pt idx="803">
                  <c:v>17.748011999999999</c:v>
                </c:pt>
                <c:pt idx="804">
                  <c:v>17.804044000000001</c:v>
                </c:pt>
                <c:pt idx="805">
                  <c:v>17.762217</c:v>
                </c:pt>
                <c:pt idx="806">
                  <c:v>17.830780000000001</c:v>
                </c:pt>
                <c:pt idx="807">
                  <c:v>17.369899</c:v>
                </c:pt>
                <c:pt idx="808">
                  <c:v>17.336009000000001</c:v>
                </c:pt>
                <c:pt idx="809">
                  <c:v>17.290292000000001</c:v>
                </c:pt>
                <c:pt idx="810">
                  <c:v>16.753824000000002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'% of NAV '!$C$3</c:f>
              <c:strCache>
                <c:ptCount val="1"/>
                <c:pt idx="0">
                  <c:v>CMO Market Value (% of NAV)</c:v>
                </c:pt>
              </c:strCache>
            </c:strRef>
          </c:tx>
          <c:spPr>
            <a:ln>
              <a:solidFill>
                <a:srgbClr val="AD275C"/>
              </a:solidFill>
            </a:ln>
          </c:spPr>
          <c:marker>
            <c:symbol val="none"/>
          </c:marker>
          <c:cat>
            <c:strRef>
              <c:f>'% of NAV '!$A$4:$A$814</c:f>
              <c:strCache>
                <c:ptCount val="811"/>
                <c:pt idx="0">
                  <c:v>10/02/12</c:v>
                </c:pt>
                <c:pt idx="1">
                  <c:v>10/03/12</c:v>
                </c:pt>
                <c:pt idx="2">
                  <c:v>10/04/12</c:v>
                </c:pt>
                <c:pt idx="3">
                  <c:v>10/05/12</c:v>
                </c:pt>
                <c:pt idx="4">
                  <c:v>10/09/12</c:v>
                </c:pt>
                <c:pt idx="5">
                  <c:v>10/10/12</c:v>
                </c:pt>
                <c:pt idx="6">
                  <c:v>10/11/12</c:v>
                </c:pt>
                <c:pt idx="7">
                  <c:v>10/12/12</c:v>
                </c:pt>
                <c:pt idx="8">
                  <c:v>10/15/12</c:v>
                </c:pt>
                <c:pt idx="9">
                  <c:v>10/16/12</c:v>
                </c:pt>
                <c:pt idx="10">
                  <c:v>10/17/12</c:v>
                </c:pt>
                <c:pt idx="11">
                  <c:v>10/18/12</c:v>
                </c:pt>
                <c:pt idx="12">
                  <c:v>10/19/12</c:v>
                </c:pt>
                <c:pt idx="13">
                  <c:v>10/22/12</c:v>
                </c:pt>
                <c:pt idx="14">
                  <c:v>10/23/12</c:v>
                </c:pt>
                <c:pt idx="15">
                  <c:v>10/24/12</c:v>
                </c:pt>
                <c:pt idx="16">
                  <c:v>10/25/12</c:v>
                </c:pt>
                <c:pt idx="17">
                  <c:v>10/26/12</c:v>
                </c:pt>
                <c:pt idx="18">
                  <c:v>10/29/12</c:v>
                </c:pt>
                <c:pt idx="19">
                  <c:v>10/31/12</c:v>
                </c:pt>
                <c:pt idx="20">
                  <c:v>11/01/12</c:v>
                </c:pt>
                <c:pt idx="21">
                  <c:v>11/02/12</c:v>
                </c:pt>
                <c:pt idx="22">
                  <c:v>11/05/12</c:v>
                </c:pt>
                <c:pt idx="23">
                  <c:v>11/06/12</c:v>
                </c:pt>
                <c:pt idx="24">
                  <c:v>11/07/12</c:v>
                </c:pt>
                <c:pt idx="25">
                  <c:v>11/08/12</c:v>
                </c:pt>
                <c:pt idx="26">
                  <c:v>11/09/12</c:v>
                </c:pt>
                <c:pt idx="27">
                  <c:v>11/13/12</c:v>
                </c:pt>
                <c:pt idx="28">
                  <c:v>11/14/12</c:v>
                </c:pt>
                <c:pt idx="29">
                  <c:v>11/15/12</c:v>
                </c:pt>
                <c:pt idx="30">
                  <c:v>11/16/12</c:v>
                </c:pt>
                <c:pt idx="31">
                  <c:v>11/19/12</c:v>
                </c:pt>
                <c:pt idx="32">
                  <c:v>11/20/12</c:v>
                </c:pt>
                <c:pt idx="33">
                  <c:v>11/21/12</c:v>
                </c:pt>
                <c:pt idx="34">
                  <c:v>11/23/12</c:v>
                </c:pt>
                <c:pt idx="35">
                  <c:v>11/26/12</c:v>
                </c:pt>
                <c:pt idx="36">
                  <c:v>11/27/12</c:v>
                </c:pt>
                <c:pt idx="37">
                  <c:v>11/28/12</c:v>
                </c:pt>
                <c:pt idx="38">
                  <c:v>11/29/12</c:v>
                </c:pt>
                <c:pt idx="39">
                  <c:v>11/30/12</c:v>
                </c:pt>
                <c:pt idx="40">
                  <c:v>12/03/12</c:v>
                </c:pt>
                <c:pt idx="41">
                  <c:v>12/04/12</c:v>
                </c:pt>
                <c:pt idx="42">
                  <c:v>12/05/12</c:v>
                </c:pt>
                <c:pt idx="43">
                  <c:v>12/06/12</c:v>
                </c:pt>
                <c:pt idx="44">
                  <c:v>12/07/12</c:v>
                </c:pt>
                <c:pt idx="45">
                  <c:v>12/10/12</c:v>
                </c:pt>
                <c:pt idx="46">
                  <c:v>12/11/12</c:v>
                </c:pt>
                <c:pt idx="47">
                  <c:v>12/12/12</c:v>
                </c:pt>
                <c:pt idx="48">
                  <c:v>12/13/12</c:v>
                </c:pt>
                <c:pt idx="49">
                  <c:v>12/14/12</c:v>
                </c:pt>
                <c:pt idx="50">
                  <c:v>12/17/12</c:v>
                </c:pt>
                <c:pt idx="51">
                  <c:v>12/18/12</c:v>
                </c:pt>
                <c:pt idx="52">
                  <c:v>12/19/12</c:v>
                </c:pt>
                <c:pt idx="53">
                  <c:v>12/20/12</c:v>
                </c:pt>
                <c:pt idx="54">
                  <c:v>12/21/12</c:v>
                </c:pt>
                <c:pt idx="55">
                  <c:v>12/24/12</c:v>
                </c:pt>
                <c:pt idx="56">
                  <c:v>12/26/12</c:v>
                </c:pt>
                <c:pt idx="57">
                  <c:v>12/27/12</c:v>
                </c:pt>
                <c:pt idx="58">
                  <c:v>12/28/12</c:v>
                </c:pt>
                <c:pt idx="59">
                  <c:v>12/31/12</c:v>
                </c:pt>
                <c:pt idx="60">
                  <c:v>01/02/13</c:v>
                </c:pt>
                <c:pt idx="61">
                  <c:v>01/03/13</c:v>
                </c:pt>
                <c:pt idx="62">
                  <c:v>01/04/13</c:v>
                </c:pt>
                <c:pt idx="63">
                  <c:v>01/07/13</c:v>
                </c:pt>
                <c:pt idx="64">
                  <c:v>01/08/13</c:v>
                </c:pt>
                <c:pt idx="65">
                  <c:v>01/09/13</c:v>
                </c:pt>
                <c:pt idx="66">
                  <c:v>01/10/13</c:v>
                </c:pt>
                <c:pt idx="67">
                  <c:v>01/11/13</c:v>
                </c:pt>
                <c:pt idx="68">
                  <c:v>01/14/13</c:v>
                </c:pt>
                <c:pt idx="69">
                  <c:v>01/15/13</c:v>
                </c:pt>
                <c:pt idx="70">
                  <c:v>01/16/13</c:v>
                </c:pt>
                <c:pt idx="71">
                  <c:v>01/17/13</c:v>
                </c:pt>
                <c:pt idx="72">
                  <c:v>01/18/13</c:v>
                </c:pt>
                <c:pt idx="73">
                  <c:v>01/22/13</c:v>
                </c:pt>
                <c:pt idx="74">
                  <c:v>01/23/13</c:v>
                </c:pt>
                <c:pt idx="75">
                  <c:v>01/24/13</c:v>
                </c:pt>
                <c:pt idx="76">
                  <c:v>01/25/13</c:v>
                </c:pt>
                <c:pt idx="77">
                  <c:v>01/28/13</c:v>
                </c:pt>
                <c:pt idx="78">
                  <c:v>01/29/13</c:v>
                </c:pt>
                <c:pt idx="79">
                  <c:v>01/30/13</c:v>
                </c:pt>
                <c:pt idx="80">
                  <c:v>01/31/13</c:v>
                </c:pt>
                <c:pt idx="81">
                  <c:v>02/01/13</c:v>
                </c:pt>
                <c:pt idx="82">
                  <c:v>02/04/13</c:v>
                </c:pt>
                <c:pt idx="83">
                  <c:v>02/05/13</c:v>
                </c:pt>
                <c:pt idx="84">
                  <c:v>02/06/13</c:v>
                </c:pt>
                <c:pt idx="85">
                  <c:v>02/07/13</c:v>
                </c:pt>
                <c:pt idx="86">
                  <c:v>02/08/13</c:v>
                </c:pt>
                <c:pt idx="87">
                  <c:v>02/11/13</c:v>
                </c:pt>
                <c:pt idx="88">
                  <c:v>02/12/13</c:v>
                </c:pt>
                <c:pt idx="89">
                  <c:v>02/13/13</c:v>
                </c:pt>
                <c:pt idx="90">
                  <c:v>02/14/13</c:v>
                </c:pt>
                <c:pt idx="91">
                  <c:v>02/15/13</c:v>
                </c:pt>
                <c:pt idx="92">
                  <c:v>02/19/13</c:v>
                </c:pt>
                <c:pt idx="93">
                  <c:v>02/20/13</c:v>
                </c:pt>
                <c:pt idx="94">
                  <c:v>02/21/13</c:v>
                </c:pt>
                <c:pt idx="95">
                  <c:v>02/22/13</c:v>
                </c:pt>
                <c:pt idx="96">
                  <c:v>02/25/13</c:v>
                </c:pt>
                <c:pt idx="97">
                  <c:v>02/26/13</c:v>
                </c:pt>
                <c:pt idx="98">
                  <c:v>02/27/13</c:v>
                </c:pt>
                <c:pt idx="99">
                  <c:v>02/28/13</c:v>
                </c:pt>
                <c:pt idx="100">
                  <c:v>03/01/13</c:v>
                </c:pt>
                <c:pt idx="101">
                  <c:v>03/04/13</c:v>
                </c:pt>
                <c:pt idx="102">
                  <c:v>03/05/13</c:v>
                </c:pt>
                <c:pt idx="103">
                  <c:v>03/06/13</c:v>
                </c:pt>
                <c:pt idx="104">
                  <c:v>03/07/13</c:v>
                </c:pt>
                <c:pt idx="105">
                  <c:v>03/08/13</c:v>
                </c:pt>
                <c:pt idx="106">
                  <c:v>03/11/13</c:v>
                </c:pt>
                <c:pt idx="107">
                  <c:v>03/12/13</c:v>
                </c:pt>
                <c:pt idx="108">
                  <c:v>03/13/13</c:v>
                </c:pt>
                <c:pt idx="109">
                  <c:v>03/14/13</c:v>
                </c:pt>
                <c:pt idx="110">
                  <c:v>03/15/13</c:v>
                </c:pt>
                <c:pt idx="111">
                  <c:v>03/18/13</c:v>
                </c:pt>
                <c:pt idx="112">
                  <c:v>03/19/13</c:v>
                </c:pt>
                <c:pt idx="113">
                  <c:v>03/20/13</c:v>
                </c:pt>
                <c:pt idx="114">
                  <c:v>03/21/13</c:v>
                </c:pt>
                <c:pt idx="115">
                  <c:v>03/22/13</c:v>
                </c:pt>
                <c:pt idx="116">
                  <c:v>03/25/13</c:v>
                </c:pt>
                <c:pt idx="117">
                  <c:v>03/26/13</c:v>
                </c:pt>
                <c:pt idx="118">
                  <c:v>03/27/13</c:v>
                </c:pt>
                <c:pt idx="119">
                  <c:v>03/28/13</c:v>
                </c:pt>
                <c:pt idx="120">
                  <c:v>04/01/13</c:v>
                </c:pt>
                <c:pt idx="121">
                  <c:v>04/02/13</c:v>
                </c:pt>
                <c:pt idx="122">
                  <c:v>04/03/13</c:v>
                </c:pt>
                <c:pt idx="123">
                  <c:v>04/04/13</c:v>
                </c:pt>
                <c:pt idx="124">
                  <c:v>04/05/13</c:v>
                </c:pt>
                <c:pt idx="125">
                  <c:v>04/08/13</c:v>
                </c:pt>
                <c:pt idx="126">
                  <c:v>04/09/13</c:v>
                </c:pt>
                <c:pt idx="127">
                  <c:v>04/10/13</c:v>
                </c:pt>
                <c:pt idx="128">
                  <c:v>04/11/13</c:v>
                </c:pt>
                <c:pt idx="129">
                  <c:v>04/12/13</c:v>
                </c:pt>
                <c:pt idx="130">
                  <c:v>04/15/13</c:v>
                </c:pt>
                <c:pt idx="131">
                  <c:v>04/16/13</c:v>
                </c:pt>
                <c:pt idx="132">
                  <c:v>04/17/13</c:v>
                </c:pt>
                <c:pt idx="133">
                  <c:v>04/18/13</c:v>
                </c:pt>
                <c:pt idx="134">
                  <c:v>04/19/13</c:v>
                </c:pt>
                <c:pt idx="135">
                  <c:v>04/22/13</c:v>
                </c:pt>
                <c:pt idx="136">
                  <c:v>04/23/13</c:v>
                </c:pt>
                <c:pt idx="137">
                  <c:v>04/24/13</c:v>
                </c:pt>
                <c:pt idx="138">
                  <c:v>04/25/13</c:v>
                </c:pt>
                <c:pt idx="139">
                  <c:v>04/26/13</c:v>
                </c:pt>
                <c:pt idx="140">
                  <c:v>04/29/13</c:v>
                </c:pt>
                <c:pt idx="141">
                  <c:v>04/30/13</c:v>
                </c:pt>
                <c:pt idx="142">
                  <c:v>05/01/13</c:v>
                </c:pt>
                <c:pt idx="143">
                  <c:v>05/02/13</c:v>
                </c:pt>
                <c:pt idx="144">
                  <c:v>05/03/13</c:v>
                </c:pt>
                <c:pt idx="145">
                  <c:v>05/06/13</c:v>
                </c:pt>
                <c:pt idx="146">
                  <c:v>05/07/13</c:v>
                </c:pt>
                <c:pt idx="147">
                  <c:v>05/08/13</c:v>
                </c:pt>
                <c:pt idx="148">
                  <c:v>05/09/13</c:v>
                </c:pt>
                <c:pt idx="149">
                  <c:v>05/10/13</c:v>
                </c:pt>
                <c:pt idx="150">
                  <c:v>05/13/13</c:v>
                </c:pt>
                <c:pt idx="151">
                  <c:v>05/14/13</c:v>
                </c:pt>
                <c:pt idx="152">
                  <c:v>05/15/13</c:v>
                </c:pt>
                <c:pt idx="153">
                  <c:v>05/16/13</c:v>
                </c:pt>
                <c:pt idx="154">
                  <c:v>05/17/13</c:v>
                </c:pt>
                <c:pt idx="155">
                  <c:v>05/20/13</c:v>
                </c:pt>
                <c:pt idx="156">
                  <c:v>05/21/13</c:v>
                </c:pt>
                <c:pt idx="157">
                  <c:v>05/22/13</c:v>
                </c:pt>
                <c:pt idx="158">
                  <c:v>05/23/13</c:v>
                </c:pt>
                <c:pt idx="159">
                  <c:v>05/24/13</c:v>
                </c:pt>
                <c:pt idx="160">
                  <c:v>05/28/13</c:v>
                </c:pt>
                <c:pt idx="161">
                  <c:v>05/29/13</c:v>
                </c:pt>
                <c:pt idx="162">
                  <c:v>05/30/13</c:v>
                </c:pt>
                <c:pt idx="163">
                  <c:v>05/31/13</c:v>
                </c:pt>
                <c:pt idx="164">
                  <c:v>06/03/13</c:v>
                </c:pt>
                <c:pt idx="165">
                  <c:v>06/04/13</c:v>
                </c:pt>
                <c:pt idx="166">
                  <c:v>06/05/13</c:v>
                </c:pt>
                <c:pt idx="167">
                  <c:v>06/06/13</c:v>
                </c:pt>
                <c:pt idx="168">
                  <c:v>06/07/13</c:v>
                </c:pt>
                <c:pt idx="169">
                  <c:v>06/10/13</c:v>
                </c:pt>
                <c:pt idx="170">
                  <c:v>06/11/13</c:v>
                </c:pt>
                <c:pt idx="171">
                  <c:v>06/12/13</c:v>
                </c:pt>
                <c:pt idx="172">
                  <c:v>06/13/13</c:v>
                </c:pt>
                <c:pt idx="173">
                  <c:v>06/14/13</c:v>
                </c:pt>
                <c:pt idx="174">
                  <c:v>06/17/13</c:v>
                </c:pt>
                <c:pt idx="175">
                  <c:v>06/18/13</c:v>
                </c:pt>
                <c:pt idx="176">
                  <c:v>06/19/13</c:v>
                </c:pt>
                <c:pt idx="177">
                  <c:v>06/20/13</c:v>
                </c:pt>
                <c:pt idx="178">
                  <c:v>06/21/13</c:v>
                </c:pt>
                <c:pt idx="179">
                  <c:v>06/24/13</c:v>
                </c:pt>
                <c:pt idx="180">
                  <c:v>06/25/13</c:v>
                </c:pt>
                <c:pt idx="181">
                  <c:v>06/26/13</c:v>
                </c:pt>
                <c:pt idx="182">
                  <c:v>06/27/13</c:v>
                </c:pt>
                <c:pt idx="183">
                  <c:v>06/28/13</c:v>
                </c:pt>
                <c:pt idx="184">
                  <c:v>07/01/13</c:v>
                </c:pt>
                <c:pt idx="185">
                  <c:v>07/02/13</c:v>
                </c:pt>
                <c:pt idx="186">
                  <c:v>07/03/13</c:v>
                </c:pt>
                <c:pt idx="187">
                  <c:v>07/05/13</c:v>
                </c:pt>
                <c:pt idx="188">
                  <c:v>07/08/13</c:v>
                </c:pt>
                <c:pt idx="189">
                  <c:v>07/09/13</c:v>
                </c:pt>
                <c:pt idx="190">
                  <c:v>07/10/13</c:v>
                </c:pt>
                <c:pt idx="191">
                  <c:v>07/11/13</c:v>
                </c:pt>
                <c:pt idx="192">
                  <c:v>07/12/13</c:v>
                </c:pt>
                <c:pt idx="193">
                  <c:v>07/15/13</c:v>
                </c:pt>
                <c:pt idx="194">
                  <c:v>07/16/13</c:v>
                </c:pt>
                <c:pt idx="195">
                  <c:v>07/17/13</c:v>
                </c:pt>
                <c:pt idx="196">
                  <c:v>07/18/13</c:v>
                </c:pt>
                <c:pt idx="197">
                  <c:v>07/19/13</c:v>
                </c:pt>
                <c:pt idx="198">
                  <c:v>07/22/13</c:v>
                </c:pt>
                <c:pt idx="199">
                  <c:v>07/23/13</c:v>
                </c:pt>
                <c:pt idx="200">
                  <c:v>07/24/13</c:v>
                </c:pt>
                <c:pt idx="201">
                  <c:v>07/25/13</c:v>
                </c:pt>
                <c:pt idx="202">
                  <c:v>07/26/13</c:v>
                </c:pt>
                <c:pt idx="203">
                  <c:v>07/29/13</c:v>
                </c:pt>
                <c:pt idx="204">
                  <c:v>07/30/13</c:v>
                </c:pt>
                <c:pt idx="205">
                  <c:v>07/31/13</c:v>
                </c:pt>
                <c:pt idx="206">
                  <c:v>08/01/13</c:v>
                </c:pt>
                <c:pt idx="207">
                  <c:v>08/02/13</c:v>
                </c:pt>
                <c:pt idx="208">
                  <c:v>08/05/13</c:v>
                </c:pt>
                <c:pt idx="209">
                  <c:v>08/06/13</c:v>
                </c:pt>
                <c:pt idx="210">
                  <c:v>08/07/13</c:v>
                </c:pt>
                <c:pt idx="211">
                  <c:v>08/08/13</c:v>
                </c:pt>
                <c:pt idx="212">
                  <c:v>08/09/13</c:v>
                </c:pt>
                <c:pt idx="213">
                  <c:v>08/12/13</c:v>
                </c:pt>
                <c:pt idx="214">
                  <c:v>08/13/13</c:v>
                </c:pt>
                <c:pt idx="215">
                  <c:v>08/14/13</c:v>
                </c:pt>
                <c:pt idx="216">
                  <c:v>08/15/13</c:v>
                </c:pt>
                <c:pt idx="217">
                  <c:v>08/16/13</c:v>
                </c:pt>
                <c:pt idx="218">
                  <c:v>08/19/13</c:v>
                </c:pt>
                <c:pt idx="219">
                  <c:v>08/20/13</c:v>
                </c:pt>
                <c:pt idx="220">
                  <c:v>08/21/13</c:v>
                </c:pt>
                <c:pt idx="221">
                  <c:v>08/22/13</c:v>
                </c:pt>
                <c:pt idx="222">
                  <c:v>08/23/13</c:v>
                </c:pt>
                <c:pt idx="223">
                  <c:v>08/26/13</c:v>
                </c:pt>
                <c:pt idx="224">
                  <c:v>08/27/13</c:v>
                </c:pt>
                <c:pt idx="225">
                  <c:v>08/28/13</c:v>
                </c:pt>
                <c:pt idx="226">
                  <c:v>08/29/13</c:v>
                </c:pt>
                <c:pt idx="227">
                  <c:v>08/30/13</c:v>
                </c:pt>
                <c:pt idx="228">
                  <c:v>09/03/13</c:v>
                </c:pt>
                <c:pt idx="229">
                  <c:v>09/04/13</c:v>
                </c:pt>
                <c:pt idx="230">
                  <c:v>09/05/13</c:v>
                </c:pt>
                <c:pt idx="231">
                  <c:v>09/06/13</c:v>
                </c:pt>
                <c:pt idx="232">
                  <c:v>09/09/13</c:v>
                </c:pt>
                <c:pt idx="233">
                  <c:v>09/10/13</c:v>
                </c:pt>
                <c:pt idx="234">
                  <c:v>09/11/13</c:v>
                </c:pt>
                <c:pt idx="235">
                  <c:v>09/12/13</c:v>
                </c:pt>
                <c:pt idx="236">
                  <c:v>09/13/13</c:v>
                </c:pt>
                <c:pt idx="237">
                  <c:v>09/16/13</c:v>
                </c:pt>
                <c:pt idx="238">
                  <c:v>09/17/13</c:v>
                </c:pt>
                <c:pt idx="239">
                  <c:v>09/18/13</c:v>
                </c:pt>
                <c:pt idx="240">
                  <c:v>09/19/13</c:v>
                </c:pt>
                <c:pt idx="241">
                  <c:v>09/20/13</c:v>
                </c:pt>
                <c:pt idx="242">
                  <c:v>09/23/13</c:v>
                </c:pt>
                <c:pt idx="243">
                  <c:v>09/24/13</c:v>
                </c:pt>
                <c:pt idx="244">
                  <c:v>09/25/13</c:v>
                </c:pt>
                <c:pt idx="245">
                  <c:v>09/26/13</c:v>
                </c:pt>
                <c:pt idx="246">
                  <c:v>09/27/13</c:v>
                </c:pt>
                <c:pt idx="247">
                  <c:v>09/30/13</c:v>
                </c:pt>
                <c:pt idx="248">
                  <c:v>10/01/13</c:v>
                </c:pt>
                <c:pt idx="249">
                  <c:v>10/02/13</c:v>
                </c:pt>
                <c:pt idx="250">
                  <c:v>10/03/13</c:v>
                </c:pt>
                <c:pt idx="251">
                  <c:v>10/04/13</c:v>
                </c:pt>
                <c:pt idx="252">
                  <c:v>10/07/13</c:v>
                </c:pt>
                <c:pt idx="253">
                  <c:v>10/08/13</c:v>
                </c:pt>
                <c:pt idx="254">
                  <c:v>10/09/13</c:v>
                </c:pt>
                <c:pt idx="255">
                  <c:v>10/10/13</c:v>
                </c:pt>
                <c:pt idx="256">
                  <c:v>10/11/13</c:v>
                </c:pt>
                <c:pt idx="257">
                  <c:v>10/15/13</c:v>
                </c:pt>
                <c:pt idx="258">
                  <c:v>10/16/13</c:v>
                </c:pt>
                <c:pt idx="259">
                  <c:v>10/17/13</c:v>
                </c:pt>
                <c:pt idx="260">
                  <c:v>10/18/13</c:v>
                </c:pt>
                <c:pt idx="261">
                  <c:v>10/21/13</c:v>
                </c:pt>
                <c:pt idx="262">
                  <c:v>10/22/13</c:v>
                </c:pt>
                <c:pt idx="263">
                  <c:v>10/23/13</c:v>
                </c:pt>
                <c:pt idx="264">
                  <c:v>10/24/13</c:v>
                </c:pt>
                <c:pt idx="265">
                  <c:v>10/25/13</c:v>
                </c:pt>
                <c:pt idx="266">
                  <c:v>10/28/13</c:v>
                </c:pt>
                <c:pt idx="267">
                  <c:v>10/29/13</c:v>
                </c:pt>
                <c:pt idx="268">
                  <c:v>10/30/13</c:v>
                </c:pt>
                <c:pt idx="269">
                  <c:v>10/31/13</c:v>
                </c:pt>
                <c:pt idx="270">
                  <c:v>11/01/13</c:v>
                </c:pt>
                <c:pt idx="271">
                  <c:v>11/04/13</c:v>
                </c:pt>
                <c:pt idx="272">
                  <c:v>11/05/13</c:v>
                </c:pt>
                <c:pt idx="273">
                  <c:v>11/06/13</c:v>
                </c:pt>
                <c:pt idx="274">
                  <c:v>11/07/13</c:v>
                </c:pt>
                <c:pt idx="275">
                  <c:v>11/08/13</c:v>
                </c:pt>
                <c:pt idx="276">
                  <c:v>11/12/13</c:v>
                </c:pt>
                <c:pt idx="277">
                  <c:v>11/13/13</c:v>
                </c:pt>
                <c:pt idx="278">
                  <c:v>11/14/13</c:v>
                </c:pt>
                <c:pt idx="279">
                  <c:v>11/15/13</c:v>
                </c:pt>
                <c:pt idx="280">
                  <c:v>11/18/13</c:v>
                </c:pt>
                <c:pt idx="281">
                  <c:v>11/19/13</c:v>
                </c:pt>
                <c:pt idx="282">
                  <c:v>11/20/13</c:v>
                </c:pt>
                <c:pt idx="283">
                  <c:v>11/21/13</c:v>
                </c:pt>
                <c:pt idx="284">
                  <c:v>11/22/13</c:v>
                </c:pt>
                <c:pt idx="285">
                  <c:v>11/25/13</c:v>
                </c:pt>
                <c:pt idx="286">
                  <c:v>11/26/13</c:v>
                </c:pt>
                <c:pt idx="287">
                  <c:v>11/27/13</c:v>
                </c:pt>
                <c:pt idx="288">
                  <c:v>11/29/13</c:v>
                </c:pt>
                <c:pt idx="289">
                  <c:v>12/02/13</c:v>
                </c:pt>
                <c:pt idx="290">
                  <c:v>12/03/13</c:v>
                </c:pt>
                <c:pt idx="291">
                  <c:v>12/04/13</c:v>
                </c:pt>
                <c:pt idx="292">
                  <c:v>12/05/13</c:v>
                </c:pt>
                <c:pt idx="293">
                  <c:v>12/06/13</c:v>
                </c:pt>
                <c:pt idx="294">
                  <c:v>12/09/13</c:v>
                </c:pt>
                <c:pt idx="295">
                  <c:v>12/10/13</c:v>
                </c:pt>
                <c:pt idx="296">
                  <c:v>12/11/13</c:v>
                </c:pt>
                <c:pt idx="297">
                  <c:v>12/12/13</c:v>
                </c:pt>
                <c:pt idx="298">
                  <c:v>12/13/13</c:v>
                </c:pt>
                <c:pt idx="299">
                  <c:v>12/16/13</c:v>
                </c:pt>
                <c:pt idx="300">
                  <c:v>12/17/13</c:v>
                </c:pt>
                <c:pt idx="301">
                  <c:v>12/18/13</c:v>
                </c:pt>
                <c:pt idx="302">
                  <c:v>12/19/13</c:v>
                </c:pt>
                <c:pt idx="303">
                  <c:v>12/20/13</c:v>
                </c:pt>
                <c:pt idx="304">
                  <c:v>12/23/13</c:v>
                </c:pt>
                <c:pt idx="305">
                  <c:v>12/24/13</c:v>
                </c:pt>
                <c:pt idx="306">
                  <c:v>12/26/13</c:v>
                </c:pt>
                <c:pt idx="307">
                  <c:v>12/27/13</c:v>
                </c:pt>
                <c:pt idx="308">
                  <c:v>12/30/13</c:v>
                </c:pt>
                <c:pt idx="309">
                  <c:v>12/31/13</c:v>
                </c:pt>
                <c:pt idx="310">
                  <c:v>01/02/14</c:v>
                </c:pt>
                <c:pt idx="311">
                  <c:v>01/03/14</c:v>
                </c:pt>
                <c:pt idx="312">
                  <c:v>01/06/14</c:v>
                </c:pt>
                <c:pt idx="313">
                  <c:v>01/07/14</c:v>
                </c:pt>
                <c:pt idx="314">
                  <c:v>01/08/14</c:v>
                </c:pt>
                <c:pt idx="315">
                  <c:v>01/09/14</c:v>
                </c:pt>
                <c:pt idx="316">
                  <c:v>01/10/14</c:v>
                </c:pt>
                <c:pt idx="317">
                  <c:v>01/13/14</c:v>
                </c:pt>
                <c:pt idx="318">
                  <c:v>01/14/14</c:v>
                </c:pt>
                <c:pt idx="319">
                  <c:v>01/15/14</c:v>
                </c:pt>
                <c:pt idx="320">
                  <c:v>01/16/14</c:v>
                </c:pt>
                <c:pt idx="321">
                  <c:v>01/17/14</c:v>
                </c:pt>
                <c:pt idx="322">
                  <c:v>01/21/14</c:v>
                </c:pt>
                <c:pt idx="323">
                  <c:v>01/22/14</c:v>
                </c:pt>
                <c:pt idx="324">
                  <c:v>01/23/14</c:v>
                </c:pt>
                <c:pt idx="325">
                  <c:v>01/24/14</c:v>
                </c:pt>
                <c:pt idx="326">
                  <c:v>01/27/14</c:v>
                </c:pt>
                <c:pt idx="327">
                  <c:v>01/28/14</c:v>
                </c:pt>
                <c:pt idx="328">
                  <c:v>01/29/14</c:v>
                </c:pt>
                <c:pt idx="329">
                  <c:v>01/30/14</c:v>
                </c:pt>
                <c:pt idx="330">
                  <c:v>01/31/14</c:v>
                </c:pt>
                <c:pt idx="331">
                  <c:v>02/03/14</c:v>
                </c:pt>
                <c:pt idx="332">
                  <c:v>02/04/14</c:v>
                </c:pt>
                <c:pt idx="333">
                  <c:v>02/05/14</c:v>
                </c:pt>
                <c:pt idx="334">
                  <c:v>02/06/14</c:v>
                </c:pt>
                <c:pt idx="335">
                  <c:v>02/07/14</c:v>
                </c:pt>
                <c:pt idx="336">
                  <c:v>02/10/14</c:v>
                </c:pt>
                <c:pt idx="337">
                  <c:v>02/11/14</c:v>
                </c:pt>
                <c:pt idx="338">
                  <c:v>02/12/14</c:v>
                </c:pt>
                <c:pt idx="339">
                  <c:v>02/13/14</c:v>
                </c:pt>
                <c:pt idx="340">
                  <c:v>02/14/14</c:v>
                </c:pt>
                <c:pt idx="341">
                  <c:v>02/18/14</c:v>
                </c:pt>
                <c:pt idx="342">
                  <c:v>02/19/14</c:v>
                </c:pt>
                <c:pt idx="343">
                  <c:v>02/20/14</c:v>
                </c:pt>
                <c:pt idx="344">
                  <c:v>02/21/14</c:v>
                </c:pt>
                <c:pt idx="345">
                  <c:v>02/24/14</c:v>
                </c:pt>
                <c:pt idx="346">
                  <c:v>02/25/14</c:v>
                </c:pt>
                <c:pt idx="347">
                  <c:v>02/26/14</c:v>
                </c:pt>
                <c:pt idx="348">
                  <c:v>02/27/14</c:v>
                </c:pt>
                <c:pt idx="349">
                  <c:v>02/28/14</c:v>
                </c:pt>
                <c:pt idx="350">
                  <c:v>03/03/14</c:v>
                </c:pt>
                <c:pt idx="351">
                  <c:v>03/04/14</c:v>
                </c:pt>
                <c:pt idx="352">
                  <c:v>03/05/14</c:v>
                </c:pt>
                <c:pt idx="353">
                  <c:v>03/06/14</c:v>
                </c:pt>
                <c:pt idx="354">
                  <c:v>03/07/14</c:v>
                </c:pt>
                <c:pt idx="355">
                  <c:v>03/10/14</c:v>
                </c:pt>
                <c:pt idx="356">
                  <c:v>03/11/14</c:v>
                </c:pt>
                <c:pt idx="357">
                  <c:v>03/12/14</c:v>
                </c:pt>
                <c:pt idx="358">
                  <c:v>03/13/14</c:v>
                </c:pt>
                <c:pt idx="359">
                  <c:v>03/14/14</c:v>
                </c:pt>
                <c:pt idx="360">
                  <c:v>03/17/14</c:v>
                </c:pt>
                <c:pt idx="361">
                  <c:v>03/18/14</c:v>
                </c:pt>
                <c:pt idx="362">
                  <c:v>03/19/14</c:v>
                </c:pt>
                <c:pt idx="363">
                  <c:v>03/20/14</c:v>
                </c:pt>
                <c:pt idx="364">
                  <c:v>03/21/14</c:v>
                </c:pt>
                <c:pt idx="365">
                  <c:v>03/24/14</c:v>
                </c:pt>
                <c:pt idx="366">
                  <c:v>03/25/14</c:v>
                </c:pt>
                <c:pt idx="367">
                  <c:v>03/26/14</c:v>
                </c:pt>
                <c:pt idx="368">
                  <c:v>03/27/14</c:v>
                </c:pt>
                <c:pt idx="369">
                  <c:v>03/28/14</c:v>
                </c:pt>
                <c:pt idx="370">
                  <c:v>03/31/14</c:v>
                </c:pt>
                <c:pt idx="371">
                  <c:v>04/01/14</c:v>
                </c:pt>
                <c:pt idx="372">
                  <c:v>04/02/14</c:v>
                </c:pt>
                <c:pt idx="373">
                  <c:v>04/03/14</c:v>
                </c:pt>
                <c:pt idx="374">
                  <c:v>04/04/14</c:v>
                </c:pt>
                <c:pt idx="375">
                  <c:v>04/07/14</c:v>
                </c:pt>
                <c:pt idx="376">
                  <c:v>04/08/14</c:v>
                </c:pt>
                <c:pt idx="377">
                  <c:v>04/09/14</c:v>
                </c:pt>
                <c:pt idx="378">
                  <c:v>04/10/14</c:v>
                </c:pt>
                <c:pt idx="379">
                  <c:v>04/11/14</c:v>
                </c:pt>
                <c:pt idx="380">
                  <c:v>04/14/14</c:v>
                </c:pt>
                <c:pt idx="381">
                  <c:v>04/15/14</c:v>
                </c:pt>
                <c:pt idx="382">
                  <c:v>04/16/14</c:v>
                </c:pt>
                <c:pt idx="383">
                  <c:v>04/17/14</c:v>
                </c:pt>
                <c:pt idx="384">
                  <c:v>04/21/14</c:v>
                </c:pt>
                <c:pt idx="385">
                  <c:v>04/22/14</c:v>
                </c:pt>
                <c:pt idx="386">
                  <c:v>04/23/14</c:v>
                </c:pt>
                <c:pt idx="387">
                  <c:v>04/24/14</c:v>
                </c:pt>
                <c:pt idx="388">
                  <c:v>04/25/14</c:v>
                </c:pt>
                <c:pt idx="389">
                  <c:v>04/28/14</c:v>
                </c:pt>
                <c:pt idx="390">
                  <c:v>04/29/14</c:v>
                </c:pt>
                <c:pt idx="391">
                  <c:v>04/30/14</c:v>
                </c:pt>
                <c:pt idx="392">
                  <c:v>05/01/14</c:v>
                </c:pt>
                <c:pt idx="393">
                  <c:v>05/02/14</c:v>
                </c:pt>
                <c:pt idx="394">
                  <c:v>05/05/14</c:v>
                </c:pt>
                <c:pt idx="395">
                  <c:v>05/06/14</c:v>
                </c:pt>
                <c:pt idx="396">
                  <c:v>05/07/14</c:v>
                </c:pt>
                <c:pt idx="397">
                  <c:v>05/08/14</c:v>
                </c:pt>
                <c:pt idx="398">
                  <c:v>05/09/14</c:v>
                </c:pt>
                <c:pt idx="399">
                  <c:v>05/12/14</c:v>
                </c:pt>
                <c:pt idx="400">
                  <c:v>05/13/14</c:v>
                </c:pt>
                <c:pt idx="401">
                  <c:v>05/14/14</c:v>
                </c:pt>
                <c:pt idx="402">
                  <c:v>05/15/14</c:v>
                </c:pt>
                <c:pt idx="403">
                  <c:v>05/16/14</c:v>
                </c:pt>
                <c:pt idx="404">
                  <c:v>05/19/14</c:v>
                </c:pt>
                <c:pt idx="405">
                  <c:v>05/20/14</c:v>
                </c:pt>
                <c:pt idx="406">
                  <c:v>05/21/14</c:v>
                </c:pt>
                <c:pt idx="407">
                  <c:v>05/22/14</c:v>
                </c:pt>
                <c:pt idx="408">
                  <c:v>05/23/14</c:v>
                </c:pt>
                <c:pt idx="409">
                  <c:v>05/27/14</c:v>
                </c:pt>
                <c:pt idx="410">
                  <c:v>05/28/14</c:v>
                </c:pt>
                <c:pt idx="411">
                  <c:v>05/29/14</c:v>
                </c:pt>
                <c:pt idx="412">
                  <c:v>05/30/14</c:v>
                </c:pt>
                <c:pt idx="413">
                  <c:v>06/02/14</c:v>
                </c:pt>
                <c:pt idx="414">
                  <c:v>06/03/14</c:v>
                </c:pt>
                <c:pt idx="415">
                  <c:v>06/04/14</c:v>
                </c:pt>
                <c:pt idx="416">
                  <c:v>06/05/14</c:v>
                </c:pt>
                <c:pt idx="417">
                  <c:v>06/06/14</c:v>
                </c:pt>
                <c:pt idx="418">
                  <c:v>06/09/14</c:v>
                </c:pt>
                <c:pt idx="419">
                  <c:v>06/10/14</c:v>
                </c:pt>
                <c:pt idx="420">
                  <c:v>06/11/14</c:v>
                </c:pt>
                <c:pt idx="421">
                  <c:v>06/12/14</c:v>
                </c:pt>
                <c:pt idx="422">
                  <c:v>06/13/14</c:v>
                </c:pt>
                <c:pt idx="423">
                  <c:v>06/16/14</c:v>
                </c:pt>
                <c:pt idx="424">
                  <c:v>06/17/14</c:v>
                </c:pt>
                <c:pt idx="425">
                  <c:v>06/18/14</c:v>
                </c:pt>
                <c:pt idx="426">
                  <c:v>06/19/14</c:v>
                </c:pt>
                <c:pt idx="427">
                  <c:v>06/20/14</c:v>
                </c:pt>
                <c:pt idx="428">
                  <c:v>06/23/14</c:v>
                </c:pt>
                <c:pt idx="429">
                  <c:v>06/24/14</c:v>
                </c:pt>
                <c:pt idx="430">
                  <c:v>06/25/14</c:v>
                </c:pt>
                <c:pt idx="431">
                  <c:v>06/26/14</c:v>
                </c:pt>
                <c:pt idx="432">
                  <c:v>06/27/14</c:v>
                </c:pt>
                <c:pt idx="433">
                  <c:v>06/30/14</c:v>
                </c:pt>
                <c:pt idx="434">
                  <c:v>07/01/14</c:v>
                </c:pt>
                <c:pt idx="435">
                  <c:v>07/02/14</c:v>
                </c:pt>
                <c:pt idx="436">
                  <c:v>07/03/14</c:v>
                </c:pt>
                <c:pt idx="437">
                  <c:v>07/07/14</c:v>
                </c:pt>
                <c:pt idx="438">
                  <c:v>07/08/14</c:v>
                </c:pt>
                <c:pt idx="439">
                  <c:v>07/09/14</c:v>
                </c:pt>
                <c:pt idx="440">
                  <c:v>07/10/14</c:v>
                </c:pt>
                <c:pt idx="441">
                  <c:v>07/11/14</c:v>
                </c:pt>
                <c:pt idx="442">
                  <c:v>07/14/14</c:v>
                </c:pt>
                <c:pt idx="443">
                  <c:v>07/15/14</c:v>
                </c:pt>
                <c:pt idx="444">
                  <c:v>07/16/14</c:v>
                </c:pt>
                <c:pt idx="445">
                  <c:v>07/17/14</c:v>
                </c:pt>
                <c:pt idx="446">
                  <c:v>07/18/14</c:v>
                </c:pt>
                <c:pt idx="447">
                  <c:v>07/21/14</c:v>
                </c:pt>
                <c:pt idx="448">
                  <c:v>07/22/14</c:v>
                </c:pt>
                <c:pt idx="449">
                  <c:v>07/23/14</c:v>
                </c:pt>
                <c:pt idx="450">
                  <c:v>07/24/14</c:v>
                </c:pt>
                <c:pt idx="451">
                  <c:v>07/25/14</c:v>
                </c:pt>
                <c:pt idx="452">
                  <c:v>07/28/14</c:v>
                </c:pt>
                <c:pt idx="453">
                  <c:v>07/29/14</c:v>
                </c:pt>
                <c:pt idx="454">
                  <c:v>07/30/14</c:v>
                </c:pt>
                <c:pt idx="455">
                  <c:v>07/31/14</c:v>
                </c:pt>
                <c:pt idx="456">
                  <c:v>08/01/14</c:v>
                </c:pt>
                <c:pt idx="457">
                  <c:v>08/04/14</c:v>
                </c:pt>
                <c:pt idx="458">
                  <c:v>08/05/14</c:v>
                </c:pt>
                <c:pt idx="459">
                  <c:v>08/06/14</c:v>
                </c:pt>
                <c:pt idx="460">
                  <c:v>08/07/14</c:v>
                </c:pt>
                <c:pt idx="461">
                  <c:v>08/08/14</c:v>
                </c:pt>
                <c:pt idx="462">
                  <c:v>08/11/14</c:v>
                </c:pt>
                <c:pt idx="463">
                  <c:v>08/12/14</c:v>
                </c:pt>
                <c:pt idx="464">
                  <c:v>08/13/14</c:v>
                </c:pt>
                <c:pt idx="465">
                  <c:v>08/14/14</c:v>
                </c:pt>
                <c:pt idx="466">
                  <c:v>08/15/14</c:v>
                </c:pt>
                <c:pt idx="467">
                  <c:v>08/18/14</c:v>
                </c:pt>
                <c:pt idx="468">
                  <c:v>08/19/14</c:v>
                </c:pt>
                <c:pt idx="469">
                  <c:v>08/20/14</c:v>
                </c:pt>
                <c:pt idx="470">
                  <c:v>08/21/14</c:v>
                </c:pt>
                <c:pt idx="471">
                  <c:v>08/22/14</c:v>
                </c:pt>
                <c:pt idx="472">
                  <c:v>08/25/14</c:v>
                </c:pt>
                <c:pt idx="473">
                  <c:v>08/26/14</c:v>
                </c:pt>
                <c:pt idx="474">
                  <c:v>08/27/14</c:v>
                </c:pt>
                <c:pt idx="475">
                  <c:v>08/28/14</c:v>
                </c:pt>
                <c:pt idx="476">
                  <c:v>08/29/14</c:v>
                </c:pt>
                <c:pt idx="477">
                  <c:v>09/02/14</c:v>
                </c:pt>
                <c:pt idx="478">
                  <c:v>09/03/14</c:v>
                </c:pt>
                <c:pt idx="479">
                  <c:v>09/04/14</c:v>
                </c:pt>
                <c:pt idx="480">
                  <c:v>09/05/14</c:v>
                </c:pt>
                <c:pt idx="481">
                  <c:v>09/08/14</c:v>
                </c:pt>
                <c:pt idx="482">
                  <c:v>09/09/14</c:v>
                </c:pt>
                <c:pt idx="483">
                  <c:v>09/10/14</c:v>
                </c:pt>
                <c:pt idx="484">
                  <c:v>09/11/14</c:v>
                </c:pt>
                <c:pt idx="485">
                  <c:v>09/12/14</c:v>
                </c:pt>
                <c:pt idx="486">
                  <c:v>09/15/14</c:v>
                </c:pt>
                <c:pt idx="487">
                  <c:v>09/16/14</c:v>
                </c:pt>
                <c:pt idx="488">
                  <c:v>09/17/14</c:v>
                </c:pt>
                <c:pt idx="489">
                  <c:v>09/18/14</c:v>
                </c:pt>
                <c:pt idx="490">
                  <c:v>09/19/14</c:v>
                </c:pt>
                <c:pt idx="491">
                  <c:v>09/22/14</c:v>
                </c:pt>
                <c:pt idx="492">
                  <c:v>09/23/14</c:v>
                </c:pt>
                <c:pt idx="493">
                  <c:v>09/24/14</c:v>
                </c:pt>
                <c:pt idx="494">
                  <c:v>09/25/14</c:v>
                </c:pt>
                <c:pt idx="495">
                  <c:v>09/26/14</c:v>
                </c:pt>
                <c:pt idx="496">
                  <c:v>09/29/14</c:v>
                </c:pt>
                <c:pt idx="497">
                  <c:v>09/30/14</c:v>
                </c:pt>
                <c:pt idx="498">
                  <c:v>10/01/14</c:v>
                </c:pt>
                <c:pt idx="499">
                  <c:v>10/02/14</c:v>
                </c:pt>
                <c:pt idx="500">
                  <c:v>10/03/14</c:v>
                </c:pt>
                <c:pt idx="501">
                  <c:v>10/06/14</c:v>
                </c:pt>
                <c:pt idx="502">
                  <c:v>10/07/14</c:v>
                </c:pt>
                <c:pt idx="503">
                  <c:v>10/08/14</c:v>
                </c:pt>
                <c:pt idx="504">
                  <c:v>10/09/14</c:v>
                </c:pt>
                <c:pt idx="505">
                  <c:v>10/10/14</c:v>
                </c:pt>
                <c:pt idx="506">
                  <c:v>10/14/14</c:v>
                </c:pt>
                <c:pt idx="507">
                  <c:v>10/15/14</c:v>
                </c:pt>
                <c:pt idx="508">
                  <c:v>10/16/14</c:v>
                </c:pt>
                <c:pt idx="509">
                  <c:v>10/17/14</c:v>
                </c:pt>
                <c:pt idx="510">
                  <c:v>10/20/14</c:v>
                </c:pt>
                <c:pt idx="511">
                  <c:v>10/21/14</c:v>
                </c:pt>
                <c:pt idx="512">
                  <c:v>10/22/14</c:v>
                </c:pt>
                <c:pt idx="513">
                  <c:v>10/23/14</c:v>
                </c:pt>
                <c:pt idx="514">
                  <c:v>10/24/14</c:v>
                </c:pt>
                <c:pt idx="515">
                  <c:v>10/27/14</c:v>
                </c:pt>
                <c:pt idx="516">
                  <c:v>10/28/14</c:v>
                </c:pt>
                <c:pt idx="517">
                  <c:v>10/29/14</c:v>
                </c:pt>
                <c:pt idx="518">
                  <c:v>10/30/14</c:v>
                </c:pt>
                <c:pt idx="519">
                  <c:v>10/31/14</c:v>
                </c:pt>
                <c:pt idx="520">
                  <c:v>11/03/14</c:v>
                </c:pt>
                <c:pt idx="521">
                  <c:v>11/04/14</c:v>
                </c:pt>
                <c:pt idx="522">
                  <c:v>11/05/14</c:v>
                </c:pt>
                <c:pt idx="523">
                  <c:v>11/06/14</c:v>
                </c:pt>
                <c:pt idx="524">
                  <c:v>11/07/14</c:v>
                </c:pt>
                <c:pt idx="525">
                  <c:v>11/10/14</c:v>
                </c:pt>
                <c:pt idx="526">
                  <c:v>11/12/14</c:v>
                </c:pt>
                <c:pt idx="527">
                  <c:v>11/13/14</c:v>
                </c:pt>
                <c:pt idx="528">
                  <c:v>11/14/14</c:v>
                </c:pt>
                <c:pt idx="529">
                  <c:v>11/17/14</c:v>
                </c:pt>
                <c:pt idx="530">
                  <c:v>11/18/14</c:v>
                </c:pt>
                <c:pt idx="531">
                  <c:v>11/19/14</c:v>
                </c:pt>
                <c:pt idx="532">
                  <c:v>11/20/14</c:v>
                </c:pt>
                <c:pt idx="533">
                  <c:v>11/21/14</c:v>
                </c:pt>
                <c:pt idx="534">
                  <c:v>11/24/14</c:v>
                </c:pt>
                <c:pt idx="535">
                  <c:v>11/25/14</c:v>
                </c:pt>
                <c:pt idx="536">
                  <c:v>11/26/14</c:v>
                </c:pt>
                <c:pt idx="537">
                  <c:v>11/28/14</c:v>
                </c:pt>
                <c:pt idx="538">
                  <c:v>12/01/14</c:v>
                </c:pt>
                <c:pt idx="539">
                  <c:v>12/02/14</c:v>
                </c:pt>
                <c:pt idx="540">
                  <c:v>12/03/14</c:v>
                </c:pt>
                <c:pt idx="541">
                  <c:v>12/04/14</c:v>
                </c:pt>
                <c:pt idx="542">
                  <c:v>12/05/14</c:v>
                </c:pt>
                <c:pt idx="543">
                  <c:v>12/08/14</c:v>
                </c:pt>
                <c:pt idx="544">
                  <c:v>12/09/14</c:v>
                </c:pt>
                <c:pt idx="545">
                  <c:v>12/10/14</c:v>
                </c:pt>
                <c:pt idx="546">
                  <c:v>12/11/14</c:v>
                </c:pt>
                <c:pt idx="547">
                  <c:v>12/12/14</c:v>
                </c:pt>
                <c:pt idx="548">
                  <c:v>12/15/14</c:v>
                </c:pt>
                <c:pt idx="549">
                  <c:v>12/16/14</c:v>
                </c:pt>
                <c:pt idx="550">
                  <c:v>12/17/14</c:v>
                </c:pt>
                <c:pt idx="551">
                  <c:v>12/18/14</c:v>
                </c:pt>
                <c:pt idx="552">
                  <c:v>12/19/14</c:v>
                </c:pt>
                <c:pt idx="553">
                  <c:v>12/22/14</c:v>
                </c:pt>
                <c:pt idx="554">
                  <c:v>12/23/14</c:v>
                </c:pt>
                <c:pt idx="555">
                  <c:v>12/24/14</c:v>
                </c:pt>
                <c:pt idx="556">
                  <c:v>12/26/14</c:v>
                </c:pt>
                <c:pt idx="557">
                  <c:v>12/29/14</c:v>
                </c:pt>
                <c:pt idx="558">
                  <c:v>12/30/14</c:v>
                </c:pt>
                <c:pt idx="559">
                  <c:v>12/31/14</c:v>
                </c:pt>
                <c:pt idx="560">
                  <c:v>01/02/15</c:v>
                </c:pt>
                <c:pt idx="561">
                  <c:v>01/05/15</c:v>
                </c:pt>
                <c:pt idx="562">
                  <c:v>01/06/15</c:v>
                </c:pt>
                <c:pt idx="563">
                  <c:v>01/07/15</c:v>
                </c:pt>
                <c:pt idx="564">
                  <c:v>01/08/15</c:v>
                </c:pt>
                <c:pt idx="565">
                  <c:v>01/09/15</c:v>
                </c:pt>
                <c:pt idx="566">
                  <c:v>01/12/15</c:v>
                </c:pt>
                <c:pt idx="567">
                  <c:v>01/13/15</c:v>
                </c:pt>
                <c:pt idx="568">
                  <c:v>01/14/15</c:v>
                </c:pt>
                <c:pt idx="569">
                  <c:v>01/15/15</c:v>
                </c:pt>
                <c:pt idx="570">
                  <c:v>01/16/15</c:v>
                </c:pt>
                <c:pt idx="571">
                  <c:v>01/20/15</c:v>
                </c:pt>
                <c:pt idx="572">
                  <c:v>01/21/15</c:v>
                </c:pt>
                <c:pt idx="573">
                  <c:v>01/22/15</c:v>
                </c:pt>
                <c:pt idx="574">
                  <c:v>01/23/15</c:v>
                </c:pt>
                <c:pt idx="575">
                  <c:v>01/26/15</c:v>
                </c:pt>
                <c:pt idx="576">
                  <c:v>01/27/15</c:v>
                </c:pt>
                <c:pt idx="577">
                  <c:v>01/28/15</c:v>
                </c:pt>
                <c:pt idx="578">
                  <c:v>01/29/15</c:v>
                </c:pt>
                <c:pt idx="579">
                  <c:v>01/30/15</c:v>
                </c:pt>
                <c:pt idx="580">
                  <c:v>02/02/15</c:v>
                </c:pt>
                <c:pt idx="581">
                  <c:v>02/03/15</c:v>
                </c:pt>
                <c:pt idx="582">
                  <c:v>02/04/15</c:v>
                </c:pt>
                <c:pt idx="583">
                  <c:v>02/05/15</c:v>
                </c:pt>
                <c:pt idx="584">
                  <c:v>02/06/15</c:v>
                </c:pt>
                <c:pt idx="585">
                  <c:v>02/09/15</c:v>
                </c:pt>
                <c:pt idx="586">
                  <c:v>02/10/15</c:v>
                </c:pt>
                <c:pt idx="587">
                  <c:v>02/11/15</c:v>
                </c:pt>
                <c:pt idx="588">
                  <c:v>02/12/15</c:v>
                </c:pt>
                <c:pt idx="589">
                  <c:v>02/13/15</c:v>
                </c:pt>
                <c:pt idx="590">
                  <c:v>02/17/15</c:v>
                </c:pt>
                <c:pt idx="591">
                  <c:v>02/18/15</c:v>
                </c:pt>
                <c:pt idx="592">
                  <c:v>02/19/15</c:v>
                </c:pt>
                <c:pt idx="593">
                  <c:v>02/20/15</c:v>
                </c:pt>
                <c:pt idx="594">
                  <c:v>02/23/15</c:v>
                </c:pt>
                <c:pt idx="595">
                  <c:v>02/24/15</c:v>
                </c:pt>
                <c:pt idx="596">
                  <c:v>02/25/15</c:v>
                </c:pt>
                <c:pt idx="597">
                  <c:v>02/26/15</c:v>
                </c:pt>
                <c:pt idx="598">
                  <c:v>02/27/15</c:v>
                </c:pt>
                <c:pt idx="599">
                  <c:v>03/02/15</c:v>
                </c:pt>
                <c:pt idx="600">
                  <c:v>03/03/15</c:v>
                </c:pt>
                <c:pt idx="601">
                  <c:v>03/04/15</c:v>
                </c:pt>
                <c:pt idx="602">
                  <c:v>03/05/15</c:v>
                </c:pt>
                <c:pt idx="603">
                  <c:v>03/06/15</c:v>
                </c:pt>
                <c:pt idx="604">
                  <c:v>03/09/15</c:v>
                </c:pt>
                <c:pt idx="605">
                  <c:v>03/10/15</c:v>
                </c:pt>
                <c:pt idx="606">
                  <c:v>03/11/15</c:v>
                </c:pt>
                <c:pt idx="607">
                  <c:v>03/12/15</c:v>
                </c:pt>
                <c:pt idx="608">
                  <c:v>03/13/15</c:v>
                </c:pt>
                <c:pt idx="609">
                  <c:v>03/16/15</c:v>
                </c:pt>
                <c:pt idx="610">
                  <c:v>03/17/15</c:v>
                </c:pt>
                <c:pt idx="611">
                  <c:v>03/18/15</c:v>
                </c:pt>
                <c:pt idx="612">
                  <c:v>03/19/15</c:v>
                </c:pt>
                <c:pt idx="613">
                  <c:v>03/20/15</c:v>
                </c:pt>
                <c:pt idx="614">
                  <c:v>03/23/15</c:v>
                </c:pt>
                <c:pt idx="615">
                  <c:v>03/24/15</c:v>
                </c:pt>
                <c:pt idx="616">
                  <c:v>03/25/15</c:v>
                </c:pt>
                <c:pt idx="617">
                  <c:v>03/26/15</c:v>
                </c:pt>
                <c:pt idx="618">
                  <c:v>03/27/15</c:v>
                </c:pt>
                <c:pt idx="619">
                  <c:v>03/30/15</c:v>
                </c:pt>
                <c:pt idx="620">
                  <c:v>03/31/15</c:v>
                </c:pt>
                <c:pt idx="621">
                  <c:v>04/01/15</c:v>
                </c:pt>
                <c:pt idx="622">
                  <c:v>04/02/15</c:v>
                </c:pt>
                <c:pt idx="623">
                  <c:v>04/03/15</c:v>
                </c:pt>
                <c:pt idx="624">
                  <c:v>04/06/15</c:v>
                </c:pt>
                <c:pt idx="625">
                  <c:v>04/07/15</c:v>
                </c:pt>
                <c:pt idx="626">
                  <c:v>04/08/15</c:v>
                </c:pt>
                <c:pt idx="627">
                  <c:v>04/09/15</c:v>
                </c:pt>
                <c:pt idx="628">
                  <c:v>04/10/15</c:v>
                </c:pt>
                <c:pt idx="629">
                  <c:v>04/13/15</c:v>
                </c:pt>
                <c:pt idx="630">
                  <c:v>04/14/15</c:v>
                </c:pt>
                <c:pt idx="631">
                  <c:v>04/15/15</c:v>
                </c:pt>
                <c:pt idx="632">
                  <c:v>04/16/15</c:v>
                </c:pt>
                <c:pt idx="633">
                  <c:v>04/17/15</c:v>
                </c:pt>
                <c:pt idx="634">
                  <c:v>04/20/15</c:v>
                </c:pt>
                <c:pt idx="635">
                  <c:v>04/21/15</c:v>
                </c:pt>
                <c:pt idx="636">
                  <c:v>04/22/15</c:v>
                </c:pt>
                <c:pt idx="637">
                  <c:v>04/23/15</c:v>
                </c:pt>
                <c:pt idx="638">
                  <c:v>04/24/15</c:v>
                </c:pt>
                <c:pt idx="639">
                  <c:v>04/27/15</c:v>
                </c:pt>
                <c:pt idx="640">
                  <c:v>04/28/15</c:v>
                </c:pt>
                <c:pt idx="641">
                  <c:v>04/29/15</c:v>
                </c:pt>
                <c:pt idx="642">
                  <c:v>04/30/15</c:v>
                </c:pt>
                <c:pt idx="643">
                  <c:v>05/01/15</c:v>
                </c:pt>
                <c:pt idx="644">
                  <c:v>05/04/15</c:v>
                </c:pt>
                <c:pt idx="645">
                  <c:v>05/05/15</c:v>
                </c:pt>
                <c:pt idx="646">
                  <c:v>05/06/15</c:v>
                </c:pt>
                <c:pt idx="647">
                  <c:v>05/07/15</c:v>
                </c:pt>
                <c:pt idx="648">
                  <c:v>05/08/15</c:v>
                </c:pt>
                <c:pt idx="649">
                  <c:v>05/11/15</c:v>
                </c:pt>
                <c:pt idx="650">
                  <c:v>05/12/15</c:v>
                </c:pt>
                <c:pt idx="651">
                  <c:v>05/13/15</c:v>
                </c:pt>
                <c:pt idx="652">
                  <c:v>05/14/15</c:v>
                </c:pt>
                <c:pt idx="653">
                  <c:v>05/15/15</c:v>
                </c:pt>
                <c:pt idx="654">
                  <c:v>05/18/15</c:v>
                </c:pt>
                <c:pt idx="655">
                  <c:v>05/19/15</c:v>
                </c:pt>
                <c:pt idx="656">
                  <c:v>05/20/15</c:v>
                </c:pt>
                <c:pt idx="657">
                  <c:v>05/21/15</c:v>
                </c:pt>
                <c:pt idx="658">
                  <c:v>05/22/15</c:v>
                </c:pt>
                <c:pt idx="659">
                  <c:v>05/26/15</c:v>
                </c:pt>
                <c:pt idx="660">
                  <c:v>05/27/15</c:v>
                </c:pt>
                <c:pt idx="661">
                  <c:v>05/28/15</c:v>
                </c:pt>
                <c:pt idx="662">
                  <c:v>05/29/15</c:v>
                </c:pt>
                <c:pt idx="663">
                  <c:v>06/01/15</c:v>
                </c:pt>
                <c:pt idx="664">
                  <c:v>06/02/15</c:v>
                </c:pt>
                <c:pt idx="665">
                  <c:v>06/03/15</c:v>
                </c:pt>
                <c:pt idx="666">
                  <c:v>06/04/15</c:v>
                </c:pt>
                <c:pt idx="667">
                  <c:v>06/05/15</c:v>
                </c:pt>
                <c:pt idx="668">
                  <c:v>06/08/15</c:v>
                </c:pt>
                <c:pt idx="669">
                  <c:v>06/09/15</c:v>
                </c:pt>
                <c:pt idx="670">
                  <c:v>06/10/15</c:v>
                </c:pt>
                <c:pt idx="671">
                  <c:v>06/11/15</c:v>
                </c:pt>
                <c:pt idx="672">
                  <c:v>06/12/15</c:v>
                </c:pt>
                <c:pt idx="673">
                  <c:v>06/15/15</c:v>
                </c:pt>
                <c:pt idx="674">
                  <c:v>06/16/15</c:v>
                </c:pt>
                <c:pt idx="675">
                  <c:v>06/17/15</c:v>
                </c:pt>
                <c:pt idx="676">
                  <c:v>06/18/15</c:v>
                </c:pt>
                <c:pt idx="677">
                  <c:v>06/19/15</c:v>
                </c:pt>
                <c:pt idx="678">
                  <c:v>06/22/15</c:v>
                </c:pt>
                <c:pt idx="679">
                  <c:v>06/23/15</c:v>
                </c:pt>
                <c:pt idx="680">
                  <c:v>06/24/15</c:v>
                </c:pt>
                <c:pt idx="681">
                  <c:v>06/25/15</c:v>
                </c:pt>
                <c:pt idx="682">
                  <c:v>06/26/15</c:v>
                </c:pt>
                <c:pt idx="683">
                  <c:v>06/29/15</c:v>
                </c:pt>
                <c:pt idx="684">
                  <c:v>06/30/15</c:v>
                </c:pt>
                <c:pt idx="685">
                  <c:v>07/01/15</c:v>
                </c:pt>
                <c:pt idx="686">
                  <c:v>07/02/15</c:v>
                </c:pt>
                <c:pt idx="687">
                  <c:v>07/06/15</c:v>
                </c:pt>
                <c:pt idx="688">
                  <c:v>07/07/15</c:v>
                </c:pt>
                <c:pt idx="689">
                  <c:v>07/08/15</c:v>
                </c:pt>
                <c:pt idx="690">
                  <c:v>07/09/15</c:v>
                </c:pt>
                <c:pt idx="691">
                  <c:v>07/10/15</c:v>
                </c:pt>
                <c:pt idx="692">
                  <c:v>07/13/15</c:v>
                </c:pt>
                <c:pt idx="693">
                  <c:v>07/14/15</c:v>
                </c:pt>
                <c:pt idx="694">
                  <c:v>07/15/15</c:v>
                </c:pt>
                <c:pt idx="695">
                  <c:v>07/16/15</c:v>
                </c:pt>
                <c:pt idx="696">
                  <c:v>07/17/15</c:v>
                </c:pt>
                <c:pt idx="697">
                  <c:v>07/20/15</c:v>
                </c:pt>
                <c:pt idx="698">
                  <c:v>07/21/15</c:v>
                </c:pt>
                <c:pt idx="699">
                  <c:v>07/22/15</c:v>
                </c:pt>
                <c:pt idx="700">
                  <c:v>07/23/15</c:v>
                </c:pt>
                <c:pt idx="701">
                  <c:v>07/24/15</c:v>
                </c:pt>
                <c:pt idx="702">
                  <c:v>07/27/15</c:v>
                </c:pt>
                <c:pt idx="703">
                  <c:v>07/28/15</c:v>
                </c:pt>
                <c:pt idx="704">
                  <c:v>07/29/15</c:v>
                </c:pt>
                <c:pt idx="705">
                  <c:v>07/30/15</c:v>
                </c:pt>
                <c:pt idx="706">
                  <c:v>07/31/15</c:v>
                </c:pt>
                <c:pt idx="707">
                  <c:v>08/03/15</c:v>
                </c:pt>
                <c:pt idx="708">
                  <c:v>08/04/15</c:v>
                </c:pt>
                <c:pt idx="709">
                  <c:v>08/05/15</c:v>
                </c:pt>
                <c:pt idx="710">
                  <c:v>08/06/15</c:v>
                </c:pt>
                <c:pt idx="711">
                  <c:v>08/07/15</c:v>
                </c:pt>
                <c:pt idx="712">
                  <c:v>08/10/15</c:v>
                </c:pt>
                <c:pt idx="713">
                  <c:v>08/11/15</c:v>
                </c:pt>
                <c:pt idx="714">
                  <c:v>08/12/15</c:v>
                </c:pt>
                <c:pt idx="715">
                  <c:v>08/13/15</c:v>
                </c:pt>
                <c:pt idx="716">
                  <c:v>08/14/15</c:v>
                </c:pt>
                <c:pt idx="717">
                  <c:v>08/17/15</c:v>
                </c:pt>
                <c:pt idx="718">
                  <c:v>08/18/15</c:v>
                </c:pt>
                <c:pt idx="719">
                  <c:v>08/19/15</c:v>
                </c:pt>
                <c:pt idx="720">
                  <c:v>08/20/15</c:v>
                </c:pt>
                <c:pt idx="721">
                  <c:v>08/21/15</c:v>
                </c:pt>
                <c:pt idx="722">
                  <c:v>08/24/15</c:v>
                </c:pt>
                <c:pt idx="723">
                  <c:v>08/25/15</c:v>
                </c:pt>
                <c:pt idx="724">
                  <c:v>08/26/15</c:v>
                </c:pt>
                <c:pt idx="725">
                  <c:v>08/27/15</c:v>
                </c:pt>
                <c:pt idx="726">
                  <c:v>08/28/15</c:v>
                </c:pt>
                <c:pt idx="727">
                  <c:v>08/31/15</c:v>
                </c:pt>
                <c:pt idx="728">
                  <c:v>09/01/15</c:v>
                </c:pt>
                <c:pt idx="729">
                  <c:v>09/02/15</c:v>
                </c:pt>
                <c:pt idx="730">
                  <c:v>09/03/15</c:v>
                </c:pt>
                <c:pt idx="731">
                  <c:v>09/04/15</c:v>
                </c:pt>
                <c:pt idx="732">
                  <c:v>09/08/15</c:v>
                </c:pt>
                <c:pt idx="733">
                  <c:v>09/09/15</c:v>
                </c:pt>
                <c:pt idx="734">
                  <c:v>09/10/15</c:v>
                </c:pt>
                <c:pt idx="735">
                  <c:v>09/11/15</c:v>
                </c:pt>
                <c:pt idx="736">
                  <c:v>09/14/15</c:v>
                </c:pt>
                <c:pt idx="737">
                  <c:v>09/15/15</c:v>
                </c:pt>
                <c:pt idx="738">
                  <c:v>09/16/15</c:v>
                </c:pt>
                <c:pt idx="739">
                  <c:v>09/17/15</c:v>
                </c:pt>
                <c:pt idx="740">
                  <c:v>09/18/15</c:v>
                </c:pt>
                <c:pt idx="741">
                  <c:v>09/21/15</c:v>
                </c:pt>
                <c:pt idx="742">
                  <c:v>09/22/15</c:v>
                </c:pt>
                <c:pt idx="743">
                  <c:v>09/23/15</c:v>
                </c:pt>
                <c:pt idx="744">
                  <c:v>09/24/15</c:v>
                </c:pt>
                <c:pt idx="745">
                  <c:v>09/25/15</c:v>
                </c:pt>
                <c:pt idx="746">
                  <c:v>09/28/15</c:v>
                </c:pt>
                <c:pt idx="747">
                  <c:v>09/29/15</c:v>
                </c:pt>
                <c:pt idx="748">
                  <c:v>09/30/15</c:v>
                </c:pt>
                <c:pt idx="749">
                  <c:v>10/01/15</c:v>
                </c:pt>
                <c:pt idx="750">
                  <c:v>10/02/15</c:v>
                </c:pt>
                <c:pt idx="751">
                  <c:v>10/05/15</c:v>
                </c:pt>
                <c:pt idx="752">
                  <c:v>10/06/15</c:v>
                </c:pt>
                <c:pt idx="753">
                  <c:v>10/07/15</c:v>
                </c:pt>
                <c:pt idx="754">
                  <c:v>10/08/15</c:v>
                </c:pt>
                <c:pt idx="755">
                  <c:v>10/09/15</c:v>
                </c:pt>
                <c:pt idx="756">
                  <c:v>10/13/15</c:v>
                </c:pt>
                <c:pt idx="757">
                  <c:v>10/14/15</c:v>
                </c:pt>
                <c:pt idx="758">
                  <c:v>10/15/15</c:v>
                </c:pt>
                <c:pt idx="759">
                  <c:v>10/16/15</c:v>
                </c:pt>
                <c:pt idx="760">
                  <c:v>10/19/15</c:v>
                </c:pt>
                <c:pt idx="761">
                  <c:v>10/20/15</c:v>
                </c:pt>
                <c:pt idx="762">
                  <c:v>10/21/15</c:v>
                </c:pt>
                <c:pt idx="763">
                  <c:v>10/22/15</c:v>
                </c:pt>
                <c:pt idx="764">
                  <c:v>10/23/15</c:v>
                </c:pt>
                <c:pt idx="765">
                  <c:v>10/26/15</c:v>
                </c:pt>
                <c:pt idx="766">
                  <c:v>10/27/15</c:v>
                </c:pt>
                <c:pt idx="767">
                  <c:v>10/28/15</c:v>
                </c:pt>
                <c:pt idx="768">
                  <c:v>10/29/15</c:v>
                </c:pt>
                <c:pt idx="769">
                  <c:v>10/30/15</c:v>
                </c:pt>
                <c:pt idx="770">
                  <c:v>11/02/15</c:v>
                </c:pt>
                <c:pt idx="771">
                  <c:v>11/03/15</c:v>
                </c:pt>
                <c:pt idx="772">
                  <c:v>11/04/15</c:v>
                </c:pt>
                <c:pt idx="773">
                  <c:v>11/05/15</c:v>
                </c:pt>
                <c:pt idx="774">
                  <c:v>11/06/15</c:v>
                </c:pt>
                <c:pt idx="775">
                  <c:v>11/09/15</c:v>
                </c:pt>
                <c:pt idx="776">
                  <c:v>11/10/15</c:v>
                </c:pt>
                <c:pt idx="777">
                  <c:v>11/12/15</c:v>
                </c:pt>
                <c:pt idx="778">
                  <c:v>11/13/15</c:v>
                </c:pt>
                <c:pt idx="779">
                  <c:v>11/16/15</c:v>
                </c:pt>
                <c:pt idx="780">
                  <c:v>11/17/15</c:v>
                </c:pt>
                <c:pt idx="781">
                  <c:v>11/18/15</c:v>
                </c:pt>
                <c:pt idx="782">
                  <c:v>11/19/15</c:v>
                </c:pt>
                <c:pt idx="783">
                  <c:v>11/20/15</c:v>
                </c:pt>
                <c:pt idx="784">
                  <c:v>11/23/15</c:v>
                </c:pt>
                <c:pt idx="785">
                  <c:v>11/24/15</c:v>
                </c:pt>
                <c:pt idx="786">
                  <c:v>11/25/15</c:v>
                </c:pt>
                <c:pt idx="787">
                  <c:v>11/27/15</c:v>
                </c:pt>
                <c:pt idx="788">
                  <c:v>11/30/15</c:v>
                </c:pt>
                <c:pt idx="789">
                  <c:v>12/01/15</c:v>
                </c:pt>
                <c:pt idx="790">
                  <c:v>12/02/15</c:v>
                </c:pt>
                <c:pt idx="791">
                  <c:v>12/03/15</c:v>
                </c:pt>
                <c:pt idx="792">
                  <c:v>12/04/15</c:v>
                </c:pt>
                <c:pt idx="793">
                  <c:v>12/07/15</c:v>
                </c:pt>
                <c:pt idx="794">
                  <c:v>12/08/15</c:v>
                </c:pt>
                <c:pt idx="795">
                  <c:v>12/09/15</c:v>
                </c:pt>
                <c:pt idx="796">
                  <c:v>12/10/15</c:v>
                </c:pt>
                <c:pt idx="797">
                  <c:v>12/11/15</c:v>
                </c:pt>
                <c:pt idx="798">
                  <c:v>12/14/15</c:v>
                </c:pt>
                <c:pt idx="799">
                  <c:v>12/15/15</c:v>
                </c:pt>
                <c:pt idx="800">
                  <c:v>12/16/15</c:v>
                </c:pt>
                <c:pt idx="801">
                  <c:v>12/17/15</c:v>
                </c:pt>
                <c:pt idx="802">
                  <c:v>12/18/15</c:v>
                </c:pt>
                <c:pt idx="803">
                  <c:v>12/21/15</c:v>
                </c:pt>
                <c:pt idx="804">
                  <c:v>12/22/15</c:v>
                </c:pt>
                <c:pt idx="805">
                  <c:v>12/23/15</c:v>
                </c:pt>
                <c:pt idx="806">
                  <c:v>12/24/15</c:v>
                </c:pt>
                <c:pt idx="807">
                  <c:v>12/28/15</c:v>
                </c:pt>
                <c:pt idx="808">
                  <c:v>12/29/15</c:v>
                </c:pt>
                <c:pt idx="809">
                  <c:v>12/30/15</c:v>
                </c:pt>
                <c:pt idx="810">
                  <c:v>12/31/15</c:v>
                </c:pt>
              </c:strCache>
            </c:strRef>
          </c:cat>
          <c:val>
            <c:numRef>
              <c:f>'% of NAV '!$C$4:$C$814</c:f>
              <c:numCache>
                <c:formatCode>0.00</c:formatCode>
                <c:ptCount val="811"/>
                <c:pt idx="0">
                  <c:v>36.682991776618138</c:v>
                </c:pt>
                <c:pt idx="1">
                  <c:v>36.922118878484305</c:v>
                </c:pt>
                <c:pt idx="2">
                  <c:v>37.37303119752238</c:v>
                </c:pt>
                <c:pt idx="3">
                  <c:v>37.496253369290919</c:v>
                </c:pt>
                <c:pt idx="4">
                  <c:v>37.760229946414313</c:v>
                </c:pt>
                <c:pt idx="5">
                  <c:v>37.334114580581321</c:v>
                </c:pt>
                <c:pt idx="6">
                  <c:v>36.015121053243881</c:v>
                </c:pt>
                <c:pt idx="7">
                  <c:v>35.855868269296707</c:v>
                </c:pt>
                <c:pt idx="8">
                  <c:v>36.041637186035231</c:v>
                </c:pt>
                <c:pt idx="9">
                  <c:v>37.302311984356471</c:v>
                </c:pt>
                <c:pt idx="10">
                  <c:v>37.861461076665506</c:v>
                </c:pt>
                <c:pt idx="11">
                  <c:v>38.142088707151785</c:v>
                </c:pt>
                <c:pt idx="12">
                  <c:v>37.425769529901558</c:v>
                </c:pt>
                <c:pt idx="13">
                  <c:v>37.549864748425819</c:v>
                </c:pt>
                <c:pt idx="14">
                  <c:v>37.43000950892398</c:v>
                </c:pt>
                <c:pt idx="15">
                  <c:v>37.72792627419296</c:v>
                </c:pt>
                <c:pt idx="16">
                  <c:v>37.884955429547126</c:v>
                </c:pt>
                <c:pt idx="17">
                  <c:v>37.017421104737224</c:v>
                </c:pt>
                <c:pt idx="18">
                  <c:v>36.877949043616745</c:v>
                </c:pt>
                <c:pt idx="19">
                  <c:v>36.759935647866904</c:v>
                </c:pt>
                <c:pt idx="20">
                  <c:v>36.968204738595908</c:v>
                </c:pt>
                <c:pt idx="21">
                  <c:v>36.72381927154278</c:v>
                </c:pt>
                <c:pt idx="22">
                  <c:v>36.46607434335197</c:v>
                </c:pt>
                <c:pt idx="23">
                  <c:v>36.973279647277998</c:v>
                </c:pt>
                <c:pt idx="24">
                  <c:v>36.302066285256259</c:v>
                </c:pt>
                <c:pt idx="25">
                  <c:v>35.774287465618656</c:v>
                </c:pt>
                <c:pt idx="26">
                  <c:v>35.808624756997432</c:v>
                </c:pt>
                <c:pt idx="27">
                  <c:v>40.137753675464189</c:v>
                </c:pt>
                <c:pt idx="28">
                  <c:v>40.345640269398629</c:v>
                </c:pt>
                <c:pt idx="29">
                  <c:v>42.390994285575267</c:v>
                </c:pt>
                <c:pt idx="30">
                  <c:v>42.123770228191646</c:v>
                </c:pt>
                <c:pt idx="31">
                  <c:v>42.094647536122658</c:v>
                </c:pt>
                <c:pt idx="32">
                  <c:v>39.678803635211651</c:v>
                </c:pt>
                <c:pt idx="33">
                  <c:v>39.758736726453435</c:v>
                </c:pt>
                <c:pt idx="34">
                  <c:v>39.770486464818674</c:v>
                </c:pt>
                <c:pt idx="35">
                  <c:v>39.643355238323643</c:v>
                </c:pt>
                <c:pt idx="36">
                  <c:v>38.980060209375047</c:v>
                </c:pt>
                <c:pt idx="37">
                  <c:v>39.164499799457317</c:v>
                </c:pt>
                <c:pt idx="38">
                  <c:v>39.243559677462521</c:v>
                </c:pt>
                <c:pt idx="39">
                  <c:v>39.215085214125942</c:v>
                </c:pt>
                <c:pt idx="40">
                  <c:v>40.033075143830473</c:v>
                </c:pt>
                <c:pt idx="41">
                  <c:v>41.668078264383936</c:v>
                </c:pt>
                <c:pt idx="42">
                  <c:v>41.690824503500821</c:v>
                </c:pt>
                <c:pt idx="43">
                  <c:v>41.893436959084738</c:v>
                </c:pt>
                <c:pt idx="44">
                  <c:v>42.080252009462043</c:v>
                </c:pt>
                <c:pt idx="45">
                  <c:v>43.643391831149373</c:v>
                </c:pt>
                <c:pt idx="46">
                  <c:v>44.070993558281927</c:v>
                </c:pt>
                <c:pt idx="47">
                  <c:v>44.76881619014668</c:v>
                </c:pt>
                <c:pt idx="48">
                  <c:v>44.772780322551448</c:v>
                </c:pt>
                <c:pt idx="49">
                  <c:v>44.497428042720315</c:v>
                </c:pt>
                <c:pt idx="50">
                  <c:v>47.267367115333805</c:v>
                </c:pt>
                <c:pt idx="51">
                  <c:v>47.495357954412093</c:v>
                </c:pt>
                <c:pt idx="52">
                  <c:v>46.981126016146412</c:v>
                </c:pt>
                <c:pt idx="53">
                  <c:v>46.901885578560226</c:v>
                </c:pt>
                <c:pt idx="54">
                  <c:v>46.695441607803048</c:v>
                </c:pt>
                <c:pt idx="55">
                  <c:v>46.737805478397007</c:v>
                </c:pt>
                <c:pt idx="56">
                  <c:v>46.020195972931404</c:v>
                </c:pt>
                <c:pt idx="57">
                  <c:v>45.983469912454048</c:v>
                </c:pt>
                <c:pt idx="58">
                  <c:v>46.090365589479809</c:v>
                </c:pt>
                <c:pt idx="59">
                  <c:v>45.934869335080627</c:v>
                </c:pt>
                <c:pt idx="60">
                  <c:v>48.588768708833712</c:v>
                </c:pt>
                <c:pt idx="61">
                  <c:v>50.111946064205362</c:v>
                </c:pt>
                <c:pt idx="62">
                  <c:v>50.278779579702203</c:v>
                </c:pt>
                <c:pt idx="63">
                  <c:v>50.099796565585706</c:v>
                </c:pt>
                <c:pt idx="64">
                  <c:v>52.51177094603208</c:v>
                </c:pt>
                <c:pt idx="65">
                  <c:v>52.79841219073618</c:v>
                </c:pt>
                <c:pt idx="66">
                  <c:v>52.742613600616295</c:v>
                </c:pt>
                <c:pt idx="67">
                  <c:v>54.646850770263541</c:v>
                </c:pt>
                <c:pt idx="68">
                  <c:v>54.66479972389272</c:v>
                </c:pt>
                <c:pt idx="69">
                  <c:v>55.81027821659147</c:v>
                </c:pt>
                <c:pt idx="70">
                  <c:v>55.861916957052848</c:v>
                </c:pt>
                <c:pt idx="71">
                  <c:v>58.851030870523701</c:v>
                </c:pt>
                <c:pt idx="72">
                  <c:v>58.429165596286211</c:v>
                </c:pt>
                <c:pt idx="73">
                  <c:v>56.734131557457822</c:v>
                </c:pt>
                <c:pt idx="74">
                  <c:v>57.654946998101231</c:v>
                </c:pt>
                <c:pt idx="75">
                  <c:v>58.991827760946215</c:v>
                </c:pt>
                <c:pt idx="76">
                  <c:v>59.893384485443178</c:v>
                </c:pt>
                <c:pt idx="77">
                  <c:v>59.137739092076878</c:v>
                </c:pt>
                <c:pt idx="78">
                  <c:v>59.357505369650895</c:v>
                </c:pt>
                <c:pt idx="79">
                  <c:v>58.100510436440388</c:v>
                </c:pt>
                <c:pt idx="80">
                  <c:v>57.984530696144475</c:v>
                </c:pt>
                <c:pt idx="81">
                  <c:v>57.009419992752122</c:v>
                </c:pt>
                <c:pt idx="82">
                  <c:v>56.776701139197129</c:v>
                </c:pt>
                <c:pt idx="83">
                  <c:v>57.163085498971512</c:v>
                </c:pt>
                <c:pt idx="84">
                  <c:v>57.16416188271689</c:v>
                </c:pt>
                <c:pt idx="85">
                  <c:v>57.146364899496191</c:v>
                </c:pt>
                <c:pt idx="86">
                  <c:v>57.509773624727359</c:v>
                </c:pt>
                <c:pt idx="87">
                  <c:v>57.02246097538022</c:v>
                </c:pt>
                <c:pt idx="88">
                  <c:v>57.341701790291047</c:v>
                </c:pt>
                <c:pt idx="89">
                  <c:v>58.578125716380249</c:v>
                </c:pt>
                <c:pt idx="90">
                  <c:v>58.292119663618728</c:v>
                </c:pt>
                <c:pt idx="91">
                  <c:v>61.448539189646077</c:v>
                </c:pt>
                <c:pt idx="92">
                  <c:v>61.234637410216031</c:v>
                </c:pt>
                <c:pt idx="93">
                  <c:v>61.267498475700258</c:v>
                </c:pt>
                <c:pt idx="94">
                  <c:v>61.246678731303646</c:v>
                </c:pt>
                <c:pt idx="95">
                  <c:v>61.327359401998869</c:v>
                </c:pt>
                <c:pt idx="96">
                  <c:v>60.035253375118003</c:v>
                </c:pt>
                <c:pt idx="97">
                  <c:v>59.893430511847257</c:v>
                </c:pt>
                <c:pt idx="98">
                  <c:v>58.784640120176036</c:v>
                </c:pt>
                <c:pt idx="99">
                  <c:v>56.757903499719376</c:v>
                </c:pt>
                <c:pt idx="100">
                  <c:v>56.802134194739807</c:v>
                </c:pt>
                <c:pt idx="101">
                  <c:v>56.870877376548847</c:v>
                </c:pt>
                <c:pt idx="102">
                  <c:v>57.04327145352012</c:v>
                </c:pt>
                <c:pt idx="103">
                  <c:v>57.581620751536889</c:v>
                </c:pt>
                <c:pt idx="104">
                  <c:v>57.808489218891779</c:v>
                </c:pt>
                <c:pt idx="105">
                  <c:v>58.526758505036256</c:v>
                </c:pt>
                <c:pt idx="106">
                  <c:v>58.184284299618461</c:v>
                </c:pt>
                <c:pt idx="107">
                  <c:v>58.000351352662364</c:v>
                </c:pt>
                <c:pt idx="108">
                  <c:v>57.952901325696239</c:v>
                </c:pt>
                <c:pt idx="109">
                  <c:v>57.729638562352612</c:v>
                </c:pt>
                <c:pt idx="110">
                  <c:v>57.502229967951948</c:v>
                </c:pt>
                <c:pt idx="111">
                  <c:v>57.161035689045036</c:v>
                </c:pt>
                <c:pt idx="112">
                  <c:v>56.683974491997255</c:v>
                </c:pt>
                <c:pt idx="113">
                  <c:v>60.345153379877658</c:v>
                </c:pt>
                <c:pt idx="114">
                  <c:v>65.031702711180102</c:v>
                </c:pt>
                <c:pt idx="115">
                  <c:v>65.383637026301827</c:v>
                </c:pt>
                <c:pt idx="116">
                  <c:v>64.595852019357025</c:v>
                </c:pt>
                <c:pt idx="117">
                  <c:v>64.633281893341362</c:v>
                </c:pt>
                <c:pt idx="118">
                  <c:v>64.478493019066178</c:v>
                </c:pt>
                <c:pt idx="119">
                  <c:v>64.512354002478389</c:v>
                </c:pt>
                <c:pt idx="120">
                  <c:v>67.371502901385895</c:v>
                </c:pt>
                <c:pt idx="121">
                  <c:v>67.417027045879465</c:v>
                </c:pt>
                <c:pt idx="122">
                  <c:v>67.077180925886481</c:v>
                </c:pt>
                <c:pt idx="123">
                  <c:v>66.108616533078418</c:v>
                </c:pt>
                <c:pt idx="124">
                  <c:v>65.384106343283165</c:v>
                </c:pt>
                <c:pt idx="125">
                  <c:v>65.817593990245612</c:v>
                </c:pt>
                <c:pt idx="126">
                  <c:v>65.709102433224643</c:v>
                </c:pt>
                <c:pt idx="127">
                  <c:v>66.071693347729607</c:v>
                </c:pt>
                <c:pt idx="128">
                  <c:v>65.628426476050478</c:v>
                </c:pt>
                <c:pt idx="129">
                  <c:v>65.210958695830143</c:v>
                </c:pt>
                <c:pt idx="130">
                  <c:v>64.774106910146799</c:v>
                </c:pt>
                <c:pt idx="131">
                  <c:v>64.734877447688987</c:v>
                </c:pt>
                <c:pt idx="132">
                  <c:v>61.587468134015367</c:v>
                </c:pt>
                <c:pt idx="133">
                  <c:v>61.43258771382699</c:v>
                </c:pt>
                <c:pt idx="134">
                  <c:v>61.247000203818992</c:v>
                </c:pt>
                <c:pt idx="135">
                  <c:v>61.232443592521633</c:v>
                </c:pt>
                <c:pt idx="136">
                  <c:v>61.14867114461746</c:v>
                </c:pt>
                <c:pt idx="137">
                  <c:v>61.140816494311892</c:v>
                </c:pt>
                <c:pt idx="138">
                  <c:v>59.905636335893576</c:v>
                </c:pt>
                <c:pt idx="139">
                  <c:v>59.526292835236227</c:v>
                </c:pt>
                <c:pt idx="140">
                  <c:v>59.572557184530972</c:v>
                </c:pt>
                <c:pt idx="141">
                  <c:v>59.376644326652382</c:v>
                </c:pt>
                <c:pt idx="142">
                  <c:v>57.638855489797848</c:v>
                </c:pt>
                <c:pt idx="143">
                  <c:v>58.065869199324013</c:v>
                </c:pt>
                <c:pt idx="144">
                  <c:v>58.936300465530209</c:v>
                </c:pt>
                <c:pt idx="145">
                  <c:v>58.992591322544655</c:v>
                </c:pt>
                <c:pt idx="146">
                  <c:v>59.176569341486427</c:v>
                </c:pt>
                <c:pt idx="147">
                  <c:v>59.820584978167169</c:v>
                </c:pt>
                <c:pt idx="148">
                  <c:v>60.737459265998183</c:v>
                </c:pt>
                <c:pt idx="149">
                  <c:v>60.946195679800383</c:v>
                </c:pt>
                <c:pt idx="150">
                  <c:v>60.810419985459973</c:v>
                </c:pt>
                <c:pt idx="151">
                  <c:v>61.491503764698138</c:v>
                </c:pt>
                <c:pt idx="152">
                  <c:v>63.511298551494143</c:v>
                </c:pt>
                <c:pt idx="153">
                  <c:v>65.05347466987935</c:v>
                </c:pt>
                <c:pt idx="154">
                  <c:v>65.160613354861951</c:v>
                </c:pt>
                <c:pt idx="155">
                  <c:v>65.123120100768247</c:v>
                </c:pt>
                <c:pt idx="156">
                  <c:v>64.766882808850795</c:v>
                </c:pt>
                <c:pt idx="157">
                  <c:v>65.23903796035296</c:v>
                </c:pt>
                <c:pt idx="158">
                  <c:v>65.464167070885509</c:v>
                </c:pt>
                <c:pt idx="159">
                  <c:v>65.41214288911516</c:v>
                </c:pt>
                <c:pt idx="160">
                  <c:v>64.61269371980579</c:v>
                </c:pt>
                <c:pt idx="161">
                  <c:v>64.463718060838175</c:v>
                </c:pt>
                <c:pt idx="162">
                  <c:v>65.261256394187711</c:v>
                </c:pt>
                <c:pt idx="163">
                  <c:v>65.917435859245941</c:v>
                </c:pt>
                <c:pt idx="164">
                  <c:v>65.858941030389929</c:v>
                </c:pt>
                <c:pt idx="165">
                  <c:v>66.219225909159078</c:v>
                </c:pt>
                <c:pt idx="166">
                  <c:v>65.991906238183532</c:v>
                </c:pt>
                <c:pt idx="167">
                  <c:v>65.560770055205495</c:v>
                </c:pt>
                <c:pt idx="168">
                  <c:v>66.221444671034419</c:v>
                </c:pt>
                <c:pt idx="169">
                  <c:v>66.331742999821046</c:v>
                </c:pt>
                <c:pt idx="170">
                  <c:v>65.718702197997175</c:v>
                </c:pt>
                <c:pt idx="171">
                  <c:v>66.103570533241907</c:v>
                </c:pt>
                <c:pt idx="172">
                  <c:v>65.683834127265925</c:v>
                </c:pt>
                <c:pt idx="173">
                  <c:v>68.413988697500386</c:v>
                </c:pt>
                <c:pt idx="174">
                  <c:v>69.125010049969944</c:v>
                </c:pt>
                <c:pt idx="175">
                  <c:v>69.166066685194522</c:v>
                </c:pt>
                <c:pt idx="176">
                  <c:v>70.323230963208161</c:v>
                </c:pt>
                <c:pt idx="177">
                  <c:v>71.6991228995753</c:v>
                </c:pt>
                <c:pt idx="178">
                  <c:v>73.044666860407645</c:v>
                </c:pt>
                <c:pt idx="179">
                  <c:v>73.368945843997778</c:v>
                </c:pt>
                <c:pt idx="180">
                  <c:v>71.19266776230333</c:v>
                </c:pt>
                <c:pt idx="181">
                  <c:v>70.696268981692057</c:v>
                </c:pt>
                <c:pt idx="182">
                  <c:v>69.594697434741647</c:v>
                </c:pt>
                <c:pt idx="183">
                  <c:v>75.741268699495407</c:v>
                </c:pt>
                <c:pt idx="184">
                  <c:v>77.436525984119669</c:v>
                </c:pt>
                <c:pt idx="185">
                  <c:v>77.557790782095694</c:v>
                </c:pt>
                <c:pt idx="186">
                  <c:v>78.103936103955462</c:v>
                </c:pt>
                <c:pt idx="187">
                  <c:v>81.850433899197924</c:v>
                </c:pt>
                <c:pt idx="188">
                  <c:v>80.566809790110099</c:v>
                </c:pt>
                <c:pt idx="189">
                  <c:v>79.891917146844406</c:v>
                </c:pt>
                <c:pt idx="190">
                  <c:v>81.022125266827643</c:v>
                </c:pt>
                <c:pt idx="191">
                  <c:v>81.428754250825435</c:v>
                </c:pt>
                <c:pt idx="192">
                  <c:v>73.540568504522071</c:v>
                </c:pt>
                <c:pt idx="193">
                  <c:v>71.535115563523917</c:v>
                </c:pt>
                <c:pt idx="194">
                  <c:v>77.018640546294719</c:v>
                </c:pt>
                <c:pt idx="195">
                  <c:v>76.44932704511389</c:v>
                </c:pt>
                <c:pt idx="196">
                  <c:v>72.091027082941565</c:v>
                </c:pt>
                <c:pt idx="197">
                  <c:v>71.133925361608959</c:v>
                </c:pt>
                <c:pt idx="198">
                  <c:v>70.996176526919598</c:v>
                </c:pt>
                <c:pt idx="199">
                  <c:v>71.661759989335408</c:v>
                </c:pt>
                <c:pt idx="200">
                  <c:v>72.356193089470125</c:v>
                </c:pt>
                <c:pt idx="201">
                  <c:v>72.473835376186855</c:v>
                </c:pt>
                <c:pt idx="202">
                  <c:v>70.840771235974927</c:v>
                </c:pt>
                <c:pt idx="203">
                  <c:v>70.882790746270359</c:v>
                </c:pt>
                <c:pt idx="204">
                  <c:v>71.340758689138084</c:v>
                </c:pt>
                <c:pt idx="205">
                  <c:v>71.474660005615078</c:v>
                </c:pt>
                <c:pt idx="206">
                  <c:v>66.002737160202926</c:v>
                </c:pt>
                <c:pt idx="207">
                  <c:v>65.078964562232215</c:v>
                </c:pt>
                <c:pt idx="208">
                  <c:v>65.125019189466428</c:v>
                </c:pt>
                <c:pt idx="209">
                  <c:v>65.652736619351586</c:v>
                </c:pt>
                <c:pt idx="210">
                  <c:v>64.993544130526033</c:v>
                </c:pt>
                <c:pt idx="211">
                  <c:v>67.299117130511377</c:v>
                </c:pt>
                <c:pt idx="212">
                  <c:v>66.910589687024526</c:v>
                </c:pt>
                <c:pt idx="213">
                  <c:v>68.358874750559806</c:v>
                </c:pt>
                <c:pt idx="214">
                  <c:v>71.812023706130731</c:v>
                </c:pt>
                <c:pt idx="215">
                  <c:v>71.505967698400426</c:v>
                </c:pt>
                <c:pt idx="216">
                  <c:v>71.830509545254557</c:v>
                </c:pt>
                <c:pt idx="217">
                  <c:v>72.450687521770902</c:v>
                </c:pt>
                <c:pt idx="218">
                  <c:v>72.664982468104995</c:v>
                </c:pt>
                <c:pt idx="219">
                  <c:v>72.249735723282669</c:v>
                </c:pt>
                <c:pt idx="220">
                  <c:v>74.435883646174261</c:v>
                </c:pt>
                <c:pt idx="221">
                  <c:v>74.291052484316822</c:v>
                </c:pt>
                <c:pt idx="222">
                  <c:v>76.174325987154347</c:v>
                </c:pt>
                <c:pt idx="223">
                  <c:v>73.946061333500424</c:v>
                </c:pt>
                <c:pt idx="224">
                  <c:v>73.497751024200213</c:v>
                </c:pt>
                <c:pt idx="225">
                  <c:v>73.625251537912874</c:v>
                </c:pt>
                <c:pt idx="226">
                  <c:v>73.485850885923654</c:v>
                </c:pt>
                <c:pt idx="227">
                  <c:v>76.13327241418726</c:v>
                </c:pt>
                <c:pt idx="228">
                  <c:v>74.850705412863178</c:v>
                </c:pt>
                <c:pt idx="229">
                  <c:v>74.928907945689119</c:v>
                </c:pt>
                <c:pt idx="230">
                  <c:v>75.102771472968783</c:v>
                </c:pt>
                <c:pt idx="231">
                  <c:v>75.261855984877172</c:v>
                </c:pt>
                <c:pt idx="232">
                  <c:v>75.374308946042419</c:v>
                </c:pt>
                <c:pt idx="233">
                  <c:v>75.120576198185489</c:v>
                </c:pt>
                <c:pt idx="234">
                  <c:v>75.121682175606949</c:v>
                </c:pt>
                <c:pt idx="235">
                  <c:v>86.440190779496049</c:v>
                </c:pt>
                <c:pt idx="236">
                  <c:v>86.357207191506831</c:v>
                </c:pt>
                <c:pt idx="237">
                  <c:v>86.121707606255555</c:v>
                </c:pt>
                <c:pt idx="238">
                  <c:v>86.166071714831617</c:v>
                </c:pt>
                <c:pt idx="239">
                  <c:v>85.874242020090293</c:v>
                </c:pt>
                <c:pt idx="240">
                  <c:v>85.579879166619932</c:v>
                </c:pt>
                <c:pt idx="241">
                  <c:v>85.69896287812017</c:v>
                </c:pt>
                <c:pt idx="242">
                  <c:v>85.600554215195501</c:v>
                </c:pt>
                <c:pt idx="243">
                  <c:v>85.145896677446885</c:v>
                </c:pt>
                <c:pt idx="244">
                  <c:v>83.787090879547918</c:v>
                </c:pt>
                <c:pt idx="245">
                  <c:v>84.07689786677804</c:v>
                </c:pt>
                <c:pt idx="246">
                  <c:v>80.461570852842328</c:v>
                </c:pt>
                <c:pt idx="247">
                  <c:v>80.776662713867466</c:v>
                </c:pt>
                <c:pt idx="248">
                  <c:v>81.35290436146586</c:v>
                </c:pt>
                <c:pt idx="249">
                  <c:v>81.387555274441354</c:v>
                </c:pt>
                <c:pt idx="250">
                  <c:v>81.154662534080472</c:v>
                </c:pt>
                <c:pt idx="251">
                  <c:v>81.665444208748937</c:v>
                </c:pt>
                <c:pt idx="252">
                  <c:v>81.556824804684354</c:v>
                </c:pt>
                <c:pt idx="253">
                  <c:v>81.413430627773167</c:v>
                </c:pt>
                <c:pt idx="254">
                  <c:v>78.153146249942708</c:v>
                </c:pt>
                <c:pt idx="255">
                  <c:v>78.351346854345465</c:v>
                </c:pt>
                <c:pt idx="256">
                  <c:v>78.471981539371598</c:v>
                </c:pt>
                <c:pt idx="257">
                  <c:v>78.587545093885979</c:v>
                </c:pt>
                <c:pt idx="258">
                  <c:v>78.188571267279045</c:v>
                </c:pt>
                <c:pt idx="259">
                  <c:v>72.555920173921322</c:v>
                </c:pt>
                <c:pt idx="260">
                  <c:v>72.538150096474979</c:v>
                </c:pt>
                <c:pt idx="261">
                  <c:v>72.425688463935359</c:v>
                </c:pt>
                <c:pt idx="262">
                  <c:v>69.313535626370765</c:v>
                </c:pt>
                <c:pt idx="263">
                  <c:v>67.83323208034021</c:v>
                </c:pt>
                <c:pt idx="264">
                  <c:v>68.049073095406612</c:v>
                </c:pt>
                <c:pt idx="265">
                  <c:v>67.804147403794687</c:v>
                </c:pt>
                <c:pt idx="266">
                  <c:v>66.978906297985844</c:v>
                </c:pt>
                <c:pt idx="267">
                  <c:v>66.928864789212099</c:v>
                </c:pt>
                <c:pt idx="268">
                  <c:v>66.991473456105126</c:v>
                </c:pt>
                <c:pt idx="269">
                  <c:v>66.824339195583264</c:v>
                </c:pt>
                <c:pt idx="270">
                  <c:v>65.797227747948838</c:v>
                </c:pt>
                <c:pt idx="271">
                  <c:v>65.661067371945663</c:v>
                </c:pt>
                <c:pt idx="272">
                  <c:v>66.478183601271425</c:v>
                </c:pt>
                <c:pt idx="273">
                  <c:v>66.742431404951503</c:v>
                </c:pt>
                <c:pt idx="274">
                  <c:v>66.775381427338132</c:v>
                </c:pt>
                <c:pt idx="275">
                  <c:v>67.614222631520775</c:v>
                </c:pt>
                <c:pt idx="276">
                  <c:v>#N/A</c:v>
                </c:pt>
                <c:pt idx="277">
                  <c:v>67.316434278490931</c:v>
                </c:pt>
                <c:pt idx="278">
                  <c:v>66.829971172754256</c:v>
                </c:pt>
                <c:pt idx="279">
                  <c:v>69.630636260804096</c:v>
                </c:pt>
                <c:pt idx="280">
                  <c:v>69.331308917827627</c:v>
                </c:pt>
                <c:pt idx="281">
                  <c:v>69.454996744516663</c:v>
                </c:pt>
                <c:pt idx="282">
                  <c:v>70.276917038616588</c:v>
                </c:pt>
                <c:pt idx="283">
                  <c:v>69.975931084637594</c:v>
                </c:pt>
                <c:pt idx="284">
                  <c:v>64.960603441221579</c:v>
                </c:pt>
                <c:pt idx="285">
                  <c:v>64.197618109331117</c:v>
                </c:pt>
                <c:pt idx="286">
                  <c:v>65.269358190325406</c:v>
                </c:pt>
                <c:pt idx="287">
                  <c:v>65.643957026699312</c:v>
                </c:pt>
                <c:pt idx="288">
                  <c:v>65.775180218886788</c:v>
                </c:pt>
                <c:pt idx="289">
                  <c:v>66.149311087064405</c:v>
                </c:pt>
                <c:pt idx="290">
                  <c:v>66.241690825312475</c:v>
                </c:pt>
                <c:pt idx="291">
                  <c:v>66.608929778331245</c:v>
                </c:pt>
                <c:pt idx="292">
                  <c:v>66.827728141689136</c:v>
                </c:pt>
                <c:pt idx="293">
                  <c:v>64.03181262593381</c:v>
                </c:pt>
                <c:pt idx="294">
                  <c:v>63.849549284868047</c:v>
                </c:pt>
                <c:pt idx="295">
                  <c:v>63.56102610888572</c:v>
                </c:pt>
                <c:pt idx="296">
                  <c:v>63.787758752009374</c:v>
                </c:pt>
                <c:pt idx="297">
                  <c:v>66.897759628801353</c:v>
                </c:pt>
                <c:pt idx="298">
                  <c:v>69.360761447171839</c:v>
                </c:pt>
                <c:pt idx="299">
                  <c:v>69.33398695607292</c:v>
                </c:pt>
                <c:pt idx="300">
                  <c:v>68.905797970954808</c:v>
                </c:pt>
                <c:pt idx="301">
                  <c:v>68.80374085395718</c:v>
                </c:pt>
                <c:pt idx="302">
                  <c:v>68.584055173983955</c:v>
                </c:pt>
                <c:pt idx="303">
                  <c:v>#N/A</c:v>
                </c:pt>
                <c:pt idx="304">
                  <c:v>68.0824939300728</c:v>
                </c:pt>
                <c:pt idx="305">
                  <c:v>68.204430971819789</c:v>
                </c:pt>
                <c:pt idx="306">
                  <c:v>67.454403856415411</c:v>
                </c:pt>
                <c:pt idx="307">
                  <c:v>67.526705603939959</c:v>
                </c:pt>
                <c:pt idx="308">
                  <c:v>67.362440859302453</c:v>
                </c:pt>
                <c:pt idx="309">
                  <c:v>67.541834572247609</c:v>
                </c:pt>
                <c:pt idx="310">
                  <c:v>72.852163831212621</c:v>
                </c:pt>
                <c:pt idx="311">
                  <c:v>72.821091850669958</c:v>
                </c:pt>
                <c:pt idx="312">
                  <c:v>72.70706668824532</c:v>
                </c:pt>
                <c:pt idx="313">
                  <c:v>72.686194997311929</c:v>
                </c:pt>
                <c:pt idx="314">
                  <c:v>72.735834254956927</c:v>
                </c:pt>
                <c:pt idx="315">
                  <c:v>77.9610939320673</c:v>
                </c:pt>
                <c:pt idx="316">
                  <c:v>77.831588850337823</c:v>
                </c:pt>
                <c:pt idx="317">
                  <c:v>77.739100644484154</c:v>
                </c:pt>
                <c:pt idx="318">
                  <c:v>77.861158259955246</c:v>
                </c:pt>
                <c:pt idx="319">
                  <c:v>77.487741389175184</c:v>
                </c:pt>
                <c:pt idx="320">
                  <c:v>77.356955661237151</c:v>
                </c:pt>
                <c:pt idx="321">
                  <c:v>77.272326712711219</c:v>
                </c:pt>
                <c:pt idx="322">
                  <c:v>76.95956922609048</c:v>
                </c:pt>
                <c:pt idx="323">
                  <c:v>77.117738764512239</c:v>
                </c:pt>
                <c:pt idx="324">
                  <c:v>77.212359290534266</c:v>
                </c:pt>
                <c:pt idx="325">
                  <c:v>77.043144753067764</c:v>
                </c:pt>
                <c:pt idx="326">
                  <c:v>77.179118556281395</c:v>
                </c:pt>
                <c:pt idx="327">
                  <c:v>76.462867497866682</c:v>
                </c:pt>
                <c:pt idx="328">
                  <c:v>76.347253396515015</c:v>
                </c:pt>
                <c:pt idx="329">
                  <c:v>80.942454709754514</c:v>
                </c:pt>
                <c:pt idx="330">
                  <c:v>80.704735018944376</c:v>
                </c:pt>
                <c:pt idx="331">
                  <c:v>80.615088696811682</c:v>
                </c:pt>
                <c:pt idx="332">
                  <c:v>80.702809346085118</c:v>
                </c:pt>
                <c:pt idx="333">
                  <c:v>80.897100474989728</c:v>
                </c:pt>
                <c:pt idx="334">
                  <c:v>80.904531284356608</c:v>
                </c:pt>
                <c:pt idx="335">
                  <c:v>83.852005266922447</c:v>
                </c:pt>
                <c:pt idx="336">
                  <c:v>83.863102893879116</c:v>
                </c:pt>
                <c:pt idx="337">
                  <c:v>83.599948845299721</c:v>
                </c:pt>
                <c:pt idx="338">
                  <c:v>83.766549975500411</c:v>
                </c:pt>
                <c:pt idx="339">
                  <c:v>83.613886449770433</c:v>
                </c:pt>
                <c:pt idx="340">
                  <c:v>83.726832494247333</c:v>
                </c:pt>
                <c:pt idx="341">
                  <c:v>83.747999725761531</c:v>
                </c:pt>
                <c:pt idx="342">
                  <c:v>83.507489535478982</c:v>
                </c:pt>
                <c:pt idx="343">
                  <c:v>89.939948729516615</c:v>
                </c:pt>
                <c:pt idx="344">
                  <c:v>89.925019603178683</c:v>
                </c:pt>
                <c:pt idx="345">
                  <c:v>88.07190421226548</c:v>
                </c:pt>
                <c:pt idx="346">
                  <c:v>95.196878798484946</c:v>
                </c:pt>
                <c:pt idx="347">
                  <c:v>95.246151375144024</c:v>
                </c:pt>
                <c:pt idx="348">
                  <c:v>90.328185731723735</c:v>
                </c:pt>
                <c:pt idx="349">
                  <c:v>89.957982607779215</c:v>
                </c:pt>
                <c:pt idx="350">
                  <c:v>89.993649835419518</c:v>
                </c:pt>
                <c:pt idx="351">
                  <c:v>90.13514657939028</c:v>
                </c:pt>
                <c:pt idx="352">
                  <c:v>90.142461013500949</c:v>
                </c:pt>
                <c:pt idx="353">
                  <c:v>89.790134428287075</c:v>
                </c:pt>
                <c:pt idx="354">
                  <c:v>94.294870516941046</c:v>
                </c:pt>
                <c:pt idx="355">
                  <c:v>94.259072682511658</c:v>
                </c:pt>
                <c:pt idx="356">
                  <c:v>93.948975490073678</c:v>
                </c:pt>
                <c:pt idx="357">
                  <c:v>93.610576778620796</c:v>
                </c:pt>
                <c:pt idx="358">
                  <c:v>93.633428046746431</c:v>
                </c:pt>
                <c:pt idx="359">
                  <c:v>94.916372289214507</c:v>
                </c:pt>
                <c:pt idx="360">
                  <c:v>95.687808833083636</c:v>
                </c:pt>
                <c:pt idx="361">
                  <c:v>95.692596953750424</c:v>
                </c:pt>
                <c:pt idx="362">
                  <c:v>95.33683576771088</c:v>
                </c:pt>
                <c:pt idx="363">
                  <c:v>95.259369862692267</c:v>
                </c:pt>
                <c:pt idx="364">
                  <c:v>95.299083328216014</c:v>
                </c:pt>
                <c:pt idx="365">
                  <c:v>95.198202131296242</c:v>
                </c:pt>
                <c:pt idx="366">
                  <c:v>95.259909611370446</c:v>
                </c:pt>
                <c:pt idx="367">
                  <c:v>94.608908408779996</c:v>
                </c:pt>
                <c:pt idx="368">
                  <c:v>94.601331690009587</c:v>
                </c:pt>
                <c:pt idx="369">
                  <c:v>94.549773524363616</c:v>
                </c:pt>
                <c:pt idx="370">
                  <c:v>94.032127447021367</c:v>
                </c:pt>
                <c:pt idx="371">
                  <c:v>98.997284096675997</c:v>
                </c:pt>
                <c:pt idx="372">
                  <c:v>98.01139715754357</c:v>
                </c:pt>
                <c:pt idx="373">
                  <c:v>98.005651368827941</c:v>
                </c:pt>
                <c:pt idx="374">
                  <c:v>98.178012185327319</c:v>
                </c:pt>
                <c:pt idx="375">
                  <c:v>98.355546782587737</c:v>
                </c:pt>
                <c:pt idx="376">
                  <c:v>98.370025142527069</c:v>
                </c:pt>
                <c:pt idx="377">
                  <c:v>98.05883737131866</c:v>
                </c:pt>
                <c:pt idx="378">
                  <c:v>100.95814553946443</c:v>
                </c:pt>
                <c:pt idx="379">
                  <c:v>99.738383813539471</c:v>
                </c:pt>
                <c:pt idx="380">
                  <c:v>99.398883001533036</c:v>
                </c:pt>
                <c:pt idx="381">
                  <c:v>99.439534447087283</c:v>
                </c:pt>
                <c:pt idx="382">
                  <c:v>99.435315914493245</c:v>
                </c:pt>
                <c:pt idx="383">
                  <c:v>99.187815800977006</c:v>
                </c:pt>
                <c:pt idx="384">
                  <c:v>99.109589554870908</c:v>
                </c:pt>
                <c:pt idx="385">
                  <c:v>99.012915269483656</c:v>
                </c:pt>
                <c:pt idx="386">
                  <c:v>99.102575379425289</c:v>
                </c:pt>
                <c:pt idx="387">
                  <c:v>99.089304962017366</c:v>
                </c:pt>
                <c:pt idx="388">
                  <c:v>98.472705976490275</c:v>
                </c:pt>
                <c:pt idx="389">
                  <c:v>98.420285480339658</c:v>
                </c:pt>
                <c:pt idx="390">
                  <c:v>98.368168128282989</c:v>
                </c:pt>
                <c:pt idx="391">
                  <c:v>98.534787033042619</c:v>
                </c:pt>
                <c:pt idx="392">
                  <c:v>96.341992558989233</c:v>
                </c:pt>
                <c:pt idx="393">
                  <c:v>96.364505857064771</c:v>
                </c:pt>
                <c:pt idx="394">
                  <c:v>96.236768924574505</c:v>
                </c:pt>
                <c:pt idx="395">
                  <c:v>96.263311107945029</c:v>
                </c:pt>
                <c:pt idx="396">
                  <c:v>94.623013453219826</c:v>
                </c:pt>
                <c:pt idx="397">
                  <c:v>94.725899439675445</c:v>
                </c:pt>
                <c:pt idx="398">
                  <c:v>94.323489185912564</c:v>
                </c:pt>
                <c:pt idx="399">
                  <c:v>94.263397126662511</c:v>
                </c:pt>
                <c:pt idx="400">
                  <c:v>91.859224595102191</c:v>
                </c:pt>
                <c:pt idx="401">
                  <c:v>90.353277520517764</c:v>
                </c:pt>
                <c:pt idx="402">
                  <c:v>89.762678111634713</c:v>
                </c:pt>
                <c:pt idx="403">
                  <c:v>85.849582705965801</c:v>
                </c:pt>
                <c:pt idx="404">
                  <c:v>85.886078364622591</c:v>
                </c:pt>
                <c:pt idx="405">
                  <c:v>85.717616763395029</c:v>
                </c:pt>
                <c:pt idx="406">
                  <c:v>83.905050934152499</c:v>
                </c:pt>
                <c:pt idx="407">
                  <c:v>83.91182249426987</c:v>
                </c:pt>
                <c:pt idx="408">
                  <c:v>83.961043123636884</c:v>
                </c:pt>
                <c:pt idx="409">
                  <c:v>83.358099840655086</c:v>
                </c:pt>
                <c:pt idx="410">
                  <c:v>83.246117482804621</c:v>
                </c:pt>
                <c:pt idx="411">
                  <c:v>83.27415504414563</c:v>
                </c:pt>
                <c:pt idx="412">
                  <c:v>83.473078340235602</c:v>
                </c:pt>
                <c:pt idx="413">
                  <c:v>83.364102211807776</c:v>
                </c:pt>
                <c:pt idx="414">
                  <c:v>83.415875500815119</c:v>
                </c:pt>
                <c:pt idx="415">
                  <c:v>83.413222352813349</c:v>
                </c:pt>
                <c:pt idx="416">
                  <c:v>83.524961022760223</c:v>
                </c:pt>
                <c:pt idx="417">
                  <c:v>83.333748907394252</c:v>
                </c:pt>
                <c:pt idx="418">
                  <c:v>83.275308724348619</c:v>
                </c:pt>
                <c:pt idx="419">
                  <c:v>82.855780174790723</c:v>
                </c:pt>
                <c:pt idx="420">
                  <c:v>82.848932242253099</c:v>
                </c:pt>
                <c:pt idx="421">
                  <c:v>82.93343383168164</c:v>
                </c:pt>
                <c:pt idx="422">
                  <c:v>82.89385337062059</c:v>
                </c:pt>
                <c:pt idx="423">
                  <c:v>82.444161797222634</c:v>
                </c:pt>
                <c:pt idx="424">
                  <c:v>82.445662237716917</c:v>
                </c:pt>
                <c:pt idx="425">
                  <c:v>82.425605343862856</c:v>
                </c:pt>
                <c:pt idx="426">
                  <c:v>82.284984363432983</c:v>
                </c:pt>
                <c:pt idx="427">
                  <c:v>82.283477044880669</c:v>
                </c:pt>
                <c:pt idx="428">
                  <c:v>82.349824232398632</c:v>
                </c:pt>
                <c:pt idx="429">
                  <c:v>82.35459667653933</c:v>
                </c:pt>
                <c:pt idx="430">
                  <c:v>81.847934151224351</c:v>
                </c:pt>
                <c:pt idx="431">
                  <c:v>81.923785780323684</c:v>
                </c:pt>
                <c:pt idx="432">
                  <c:v>81.907791643162923</c:v>
                </c:pt>
                <c:pt idx="433">
                  <c:v>82.147115499672836</c:v>
                </c:pt>
                <c:pt idx="434">
                  <c:v>79.038884801818369</c:v>
                </c:pt>
                <c:pt idx="435">
                  <c:v>79.047006768259322</c:v>
                </c:pt>
                <c:pt idx="436">
                  <c:v>79.032569322763592</c:v>
                </c:pt>
                <c:pt idx="437">
                  <c:v>79.013543311233505</c:v>
                </c:pt>
                <c:pt idx="438">
                  <c:v>78.997298951009981</c:v>
                </c:pt>
                <c:pt idx="439">
                  <c:v>78.694981893210652</c:v>
                </c:pt>
                <c:pt idx="440">
                  <c:v>77.856106542264797</c:v>
                </c:pt>
                <c:pt idx="441">
                  <c:v>77.839732441932014</c:v>
                </c:pt>
                <c:pt idx="442">
                  <c:v>74.977133816227678</c:v>
                </c:pt>
                <c:pt idx="443">
                  <c:v>74.562952005660733</c:v>
                </c:pt>
                <c:pt idx="444">
                  <c:v>74.553790314780031</c:v>
                </c:pt>
                <c:pt idx="445">
                  <c:v>74.478603108113376</c:v>
                </c:pt>
                <c:pt idx="446">
                  <c:v>74.428025396309934</c:v>
                </c:pt>
                <c:pt idx="447">
                  <c:v>74.184643804543811</c:v>
                </c:pt>
                <c:pt idx="448">
                  <c:v>74.198206469920095</c:v>
                </c:pt>
                <c:pt idx="449">
                  <c:v>74.254708138643068</c:v>
                </c:pt>
                <c:pt idx="450">
                  <c:v>74.316946931982997</c:v>
                </c:pt>
                <c:pt idx="451">
                  <c:v>74.222164096718117</c:v>
                </c:pt>
                <c:pt idx="452">
                  <c:v>73.604210507858696</c:v>
                </c:pt>
                <c:pt idx="453">
                  <c:v>73.538493543240463</c:v>
                </c:pt>
                <c:pt idx="454">
                  <c:v>73.735341961301444</c:v>
                </c:pt>
                <c:pt idx="455">
                  <c:v>73.951025599528393</c:v>
                </c:pt>
                <c:pt idx="456">
                  <c:v>72.482604497179281</c:v>
                </c:pt>
                <c:pt idx="457">
                  <c:v>71.067977359663175</c:v>
                </c:pt>
                <c:pt idx="458">
                  <c:v>71.054891718952348</c:v>
                </c:pt>
                <c:pt idx="459">
                  <c:v>71.037336107329239</c:v>
                </c:pt>
                <c:pt idx="460">
                  <c:v>71.034032609029268</c:v>
                </c:pt>
                <c:pt idx="461">
                  <c:v>70.975418511688034</c:v>
                </c:pt>
                <c:pt idx="462">
                  <c:v>70.663652297640837</c:v>
                </c:pt>
                <c:pt idx="463">
                  <c:v>70.705305714338706</c:v>
                </c:pt>
                <c:pt idx="464">
                  <c:v>70.695757727462933</c:v>
                </c:pt>
                <c:pt idx="465">
                  <c:v>70.295461336300519</c:v>
                </c:pt>
                <c:pt idx="466">
                  <c:v>70.202920781117811</c:v>
                </c:pt>
                <c:pt idx="467">
                  <c:v>70.258924175821605</c:v>
                </c:pt>
                <c:pt idx="468">
                  <c:v>70.190587051177275</c:v>
                </c:pt>
                <c:pt idx="469">
                  <c:v>71.685568491721838</c:v>
                </c:pt>
                <c:pt idx="470">
                  <c:v>71.6501111054055</c:v>
                </c:pt>
                <c:pt idx="471">
                  <c:v>71.6249202014058</c:v>
                </c:pt>
                <c:pt idx="472">
                  <c:v>71.544706599338852</c:v>
                </c:pt>
                <c:pt idx="473">
                  <c:v>71.042886928637316</c:v>
                </c:pt>
                <c:pt idx="474">
                  <c:v>70.965590052317594</c:v>
                </c:pt>
                <c:pt idx="475">
                  <c:v>70.934310395288207</c:v>
                </c:pt>
                <c:pt idx="476">
                  <c:v>70.896898105228033</c:v>
                </c:pt>
                <c:pt idx="477">
                  <c:v>71.160474827307013</c:v>
                </c:pt>
                <c:pt idx="478">
                  <c:v>71.219694251478685</c:v>
                </c:pt>
                <c:pt idx="479">
                  <c:v>71.363900761157097</c:v>
                </c:pt>
                <c:pt idx="480">
                  <c:v>71.416219830621856</c:v>
                </c:pt>
                <c:pt idx="481">
                  <c:v>70.134764801019216</c:v>
                </c:pt>
                <c:pt idx="482">
                  <c:v>69.840303541359589</c:v>
                </c:pt>
                <c:pt idx="483">
                  <c:v>69.823405212092922</c:v>
                </c:pt>
                <c:pt idx="484">
                  <c:v>69.793464878957934</c:v>
                </c:pt>
                <c:pt idx="485">
                  <c:v>69.899401537746456</c:v>
                </c:pt>
                <c:pt idx="486">
                  <c:v>69.892582848267622</c:v>
                </c:pt>
                <c:pt idx="487">
                  <c:v>69.642568705272978</c:v>
                </c:pt>
                <c:pt idx="488">
                  <c:v>69.61551213571407</c:v>
                </c:pt>
                <c:pt idx="489">
                  <c:v>69.605968899778432</c:v>
                </c:pt>
                <c:pt idx="490">
                  <c:v>69.419002340786804</c:v>
                </c:pt>
                <c:pt idx="491">
                  <c:v>69.460239647347862</c:v>
                </c:pt>
                <c:pt idx="492">
                  <c:v>69.4773847194665</c:v>
                </c:pt>
                <c:pt idx="493">
                  <c:v>69.51214462724036</c:v>
                </c:pt>
                <c:pt idx="494">
                  <c:v>69.028707502950809</c:v>
                </c:pt>
                <c:pt idx="495">
                  <c:v>68.982965121107242</c:v>
                </c:pt>
                <c:pt idx="496">
                  <c:v>68.907864032978367</c:v>
                </c:pt>
                <c:pt idx="497">
                  <c:v>68.964051546859437</c:v>
                </c:pt>
                <c:pt idx="498">
                  <c:v>70.863546855453734</c:v>
                </c:pt>
                <c:pt idx="499">
                  <c:v>70.911876102746163</c:v>
                </c:pt>
                <c:pt idx="500">
                  <c:v>70.881553020528898</c:v>
                </c:pt>
                <c:pt idx="501">
                  <c:v>70.920123878399281</c:v>
                </c:pt>
                <c:pt idx="502">
                  <c:v>70.974932986005641</c:v>
                </c:pt>
                <c:pt idx="503">
                  <c:v>70.711779390651557</c:v>
                </c:pt>
                <c:pt idx="504">
                  <c:v>70.677256034415706</c:v>
                </c:pt>
                <c:pt idx="505">
                  <c:v>70.550248459569445</c:v>
                </c:pt>
                <c:pt idx="506">
                  <c:v>70.147889740216286</c:v>
                </c:pt>
                <c:pt idx="507">
                  <c:v>61.092524640721344</c:v>
                </c:pt>
                <c:pt idx="508">
                  <c:v>61.158792964190688</c:v>
                </c:pt>
                <c:pt idx="509">
                  <c:v>61.191527548276035</c:v>
                </c:pt>
                <c:pt idx="510">
                  <c:v>61.244721619464372</c:v>
                </c:pt>
                <c:pt idx="511">
                  <c:v>61.135314697961483</c:v>
                </c:pt>
                <c:pt idx="512">
                  <c:v>61.156191873651181</c:v>
                </c:pt>
                <c:pt idx="513">
                  <c:v>61.248080537529638</c:v>
                </c:pt>
                <c:pt idx="514">
                  <c:v>61.343802850229146</c:v>
                </c:pt>
                <c:pt idx="515">
                  <c:v>61.413339581380633</c:v>
                </c:pt>
                <c:pt idx="516">
                  <c:v>61.103814061859183</c:v>
                </c:pt>
                <c:pt idx="517">
                  <c:v>60.971034270868387</c:v>
                </c:pt>
                <c:pt idx="518">
                  <c:v>61.046311461001537</c:v>
                </c:pt>
                <c:pt idx="519">
                  <c:v>61.24402143001798</c:v>
                </c:pt>
                <c:pt idx="520">
                  <c:v>61.230165131465327</c:v>
                </c:pt>
                <c:pt idx="521">
                  <c:v>61.234265334800938</c:v>
                </c:pt>
                <c:pt idx="522">
                  <c:v>61.231345588985228</c:v>
                </c:pt>
                <c:pt idx="523">
                  <c:v>61.221936972613456</c:v>
                </c:pt>
                <c:pt idx="524">
                  <c:v>61.280500301413596</c:v>
                </c:pt>
                <c:pt idx="525">
                  <c:v>60.918072178543447</c:v>
                </c:pt>
                <c:pt idx="526">
                  <c:v>60.93292339812303</c:v>
                </c:pt>
                <c:pt idx="527">
                  <c:v>60.991024895055425</c:v>
                </c:pt>
                <c:pt idx="528">
                  <c:v>60.906932235728192</c:v>
                </c:pt>
                <c:pt idx="529">
                  <c:v>60.22395045118396</c:v>
                </c:pt>
                <c:pt idx="530">
                  <c:v>60.257565305612218</c:v>
                </c:pt>
                <c:pt idx="531">
                  <c:v>60.121690749708911</c:v>
                </c:pt>
                <c:pt idx="532">
                  <c:v>60.134252595196436</c:v>
                </c:pt>
                <c:pt idx="533">
                  <c:v>60.145743407573406</c:v>
                </c:pt>
                <c:pt idx="534">
                  <c:v>59.841924554928397</c:v>
                </c:pt>
                <c:pt idx="535">
                  <c:v>59.781103956955704</c:v>
                </c:pt>
                <c:pt idx="536">
                  <c:v>59.753961057029947</c:v>
                </c:pt>
                <c:pt idx="537">
                  <c:v>59.7034382203936</c:v>
                </c:pt>
                <c:pt idx="538">
                  <c:v>59.738493107393033</c:v>
                </c:pt>
                <c:pt idx="539">
                  <c:v>59.724798512721733</c:v>
                </c:pt>
                <c:pt idx="540">
                  <c:v>59.686502019494014</c:v>
                </c:pt>
                <c:pt idx="541">
                  <c:v>59.726966618220132</c:v>
                </c:pt>
                <c:pt idx="542">
                  <c:v>59.562479455829411</c:v>
                </c:pt>
                <c:pt idx="543">
                  <c:v>59.462300660080501</c:v>
                </c:pt>
                <c:pt idx="544">
                  <c:v>62.062144194450056</c:v>
                </c:pt>
                <c:pt idx="545">
                  <c:v>62.096516841799662</c:v>
                </c:pt>
                <c:pt idx="546">
                  <c:v>61.918019694353724</c:v>
                </c:pt>
                <c:pt idx="547">
                  <c:v>61.956846049959339</c:v>
                </c:pt>
                <c:pt idx="548">
                  <c:v>61.782066745178469</c:v>
                </c:pt>
                <c:pt idx="549">
                  <c:v>61.72253388498622</c:v>
                </c:pt>
                <c:pt idx="550">
                  <c:v>61.721581625815404</c:v>
                </c:pt>
                <c:pt idx="551">
                  <c:v>61.803102616254336</c:v>
                </c:pt>
                <c:pt idx="552">
                  <c:v>61.544682511043582</c:v>
                </c:pt>
                <c:pt idx="553">
                  <c:v>61.537790475962893</c:v>
                </c:pt>
                <c:pt idx="554">
                  <c:v>61.569274596690896</c:v>
                </c:pt>
                <c:pt idx="555">
                  <c:v>61.573027144072633</c:v>
                </c:pt>
                <c:pt idx="556">
                  <c:v>61.275567830054023</c:v>
                </c:pt>
                <c:pt idx="557">
                  <c:v>61.32385509911343</c:v>
                </c:pt>
                <c:pt idx="558">
                  <c:v>61.358894326386128</c:v>
                </c:pt>
                <c:pt idx="559">
                  <c:v>61.587815371182067</c:v>
                </c:pt>
                <c:pt idx="560">
                  <c:v>63.593626022873238</c:v>
                </c:pt>
                <c:pt idx="561">
                  <c:v>63.453718890583666</c:v>
                </c:pt>
                <c:pt idx="562">
                  <c:v>63.390658931563571</c:v>
                </c:pt>
                <c:pt idx="563">
                  <c:v>63.320045871604833</c:v>
                </c:pt>
                <c:pt idx="564">
                  <c:v>63.421392324563442</c:v>
                </c:pt>
                <c:pt idx="565">
                  <c:v>63.108486230869154</c:v>
                </c:pt>
                <c:pt idx="566">
                  <c:v>62.943482180848932</c:v>
                </c:pt>
                <c:pt idx="567">
                  <c:v>62.713587058197952</c:v>
                </c:pt>
                <c:pt idx="568">
                  <c:v>62.679572688268905</c:v>
                </c:pt>
                <c:pt idx="569">
                  <c:v>62.588766450316847</c:v>
                </c:pt>
                <c:pt idx="570">
                  <c:v>62.679969775862475</c:v>
                </c:pt>
                <c:pt idx="571">
                  <c:v>62.378871031627845</c:v>
                </c:pt>
                <c:pt idx="572">
                  <c:v>62.442583620758697</c:v>
                </c:pt>
                <c:pt idx="573">
                  <c:v>62.560620706747251</c:v>
                </c:pt>
                <c:pt idx="574">
                  <c:v>62.367841191804587</c:v>
                </c:pt>
                <c:pt idx="575">
                  <c:v>62.352269377912364</c:v>
                </c:pt>
                <c:pt idx="576">
                  <c:v>62.060259586159027</c:v>
                </c:pt>
                <c:pt idx="577">
                  <c:v>64.15594019738316</c:v>
                </c:pt>
                <c:pt idx="578">
                  <c:v>64.334878803374323</c:v>
                </c:pt>
                <c:pt idx="579">
                  <c:v>64.158272518829747</c:v>
                </c:pt>
                <c:pt idx="580">
                  <c:v>62.878110279544963</c:v>
                </c:pt>
                <c:pt idx="581">
                  <c:v>62.527762281700738</c:v>
                </c:pt>
                <c:pt idx="582">
                  <c:v>62.516578831103729</c:v>
                </c:pt>
                <c:pt idx="583">
                  <c:v>62.681030707277216</c:v>
                </c:pt>
                <c:pt idx="584">
                  <c:v>62.761246147597426</c:v>
                </c:pt>
                <c:pt idx="585">
                  <c:v>62.75666574276466</c:v>
                </c:pt>
                <c:pt idx="586">
                  <c:v>62.518711029466914</c:v>
                </c:pt>
                <c:pt idx="587">
                  <c:v>62.542061253306983</c:v>
                </c:pt>
                <c:pt idx="588">
                  <c:v>61.063276986665095</c:v>
                </c:pt>
                <c:pt idx="589">
                  <c:v>61.115881195223054</c:v>
                </c:pt>
                <c:pt idx="590">
                  <c:v>61.301867578418786</c:v>
                </c:pt>
                <c:pt idx="591">
                  <c:v>61.375877607775351</c:v>
                </c:pt>
                <c:pt idx="592">
                  <c:v>61.287251329438377</c:v>
                </c:pt>
                <c:pt idx="593">
                  <c:v>61.280685954803005</c:v>
                </c:pt>
                <c:pt idx="594">
                  <c:v>61.172591460692303</c:v>
                </c:pt>
                <c:pt idx="595">
                  <c:v>60.756824873909807</c:v>
                </c:pt>
                <c:pt idx="596">
                  <c:v>60.705964293295253</c:v>
                </c:pt>
                <c:pt idx="597">
                  <c:v>60.683887321230046</c:v>
                </c:pt>
                <c:pt idx="598">
                  <c:v>61.124093983729551</c:v>
                </c:pt>
                <c:pt idx="599">
                  <c:v>61.044156261941318</c:v>
                </c:pt>
                <c:pt idx="600">
                  <c:v>61.038821771945607</c:v>
                </c:pt>
                <c:pt idx="601">
                  <c:v>61.110062997389846</c:v>
                </c:pt>
                <c:pt idx="602">
                  <c:v>61.184710687696651</c:v>
                </c:pt>
                <c:pt idx="603">
                  <c:v>61.31411649136583</c:v>
                </c:pt>
                <c:pt idx="604">
                  <c:v>61.33038502774528</c:v>
                </c:pt>
                <c:pt idx="605">
                  <c:v>60.872920633816108</c:v>
                </c:pt>
                <c:pt idx="606">
                  <c:v>60.769118646547035</c:v>
                </c:pt>
                <c:pt idx="607">
                  <c:v>60.856223449191184</c:v>
                </c:pt>
                <c:pt idx="608">
                  <c:v>60.834177819562399</c:v>
                </c:pt>
                <c:pt idx="609">
                  <c:v>60.742137396640381</c:v>
                </c:pt>
                <c:pt idx="610">
                  <c:v>60.600143405502124</c:v>
                </c:pt>
                <c:pt idx="611">
                  <c:v>60.668404998069036</c:v>
                </c:pt>
                <c:pt idx="612">
                  <c:v>58.312281476774928</c:v>
                </c:pt>
                <c:pt idx="613">
                  <c:v>58.317304612235652</c:v>
                </c:pt>
                <c:pt idx="614">
                  <c:v>58.385802245673389</c:v>
                </c:pt>
                <c:pt idx="615">
                  <c:v>58.354802188394338</c:v>
                </c:pt>
                <c:pt idx="616">
                  <c:v>58.392354465093241</c:v>
                </c:pt>
                <c:pt idx="617">
                  <c:v>58.022198985707497</c:v>
                </c:pt>
                <c:pt idx="618">
                  <c:v>58.029017123871128</c:v>
                </c:pt>
                <c:pt idx="619">
                  <c:v>58.120337526498425</c:v>
                </c:pt>
                <c:pt idx="620">
                  <c:v>58.11822815179837</c:v>
                </c:pt>
                <c:pt idx="621">
                  <c:v>62.372277403946043</c:v>
                </c:pt>
                <c:pt idx="622">
                  <c:v>62.485922242410297</c:v>
                </c:pt>
                <c:pt idx="623">
                  <c:v>62.530452604390462</c:v>
                </c:pt>
                <c:pt idx="624">
                  <c:v>62.663505895862983</c:v>
                </c:pt>
                <c:pt idx="625">
                  <c:v>62.50842160460838</c:v>
                </c:pt>
                <c:pt idx="626">
                  <c:v>66.915980613446806</c:v>
                </c:pt>
                <c:pt idx="627">
                  <c:v>66.667430171509167</c:v>
                </c:pt>
                <c:pt idx="628">
                  <c:v>66.559249665519218</c:v>
                </c:pt>
                <c:pt idx="629">
                  <c:v>66.773240580193786</c:v>
                </c:pt>
                <c:pt idx="630">
                  <c:v>66.57500802412973</c:v>
                </c:pt>
                <c:pt idx="631">
                  <c:v>66.648462805097395</c:v>
                </c:pt>
                <c:pt idx="632">
                  <c:v>66.765495510163859</c:v>
                </c:pt>
                <c:pt idx="633">
                  <c:v>66.587352961820812</c:v>
                </c:pt>
                <c:pt idx="634">
                  <c:v>66.815998770469903</c:v>
                </c:pt>
                <c:pt idx="635">
                  <c:v>66.843774411820078</c:v>
                </c:pt>
                <c:pt idx="636">
                  <c:v>67.094747723543421</c:v>
                </c:pt>
                <c:pt idx="637">
                  <c:v>67.126937107939327</c:v>
                </c:pt>
                <c:pt idx="638">
                  <c:v>67.143955669419555</c:v>
                </c:pt>
                <c:pt idx="639">
                  <c:v>67.354353171231168</c:v>
                </c:pt>
                <c:pt idx="640">
                  <c:v>67.491298182832864</c:v>
                </c:pt>
                <c:pt idx="641">
                  <c:v>67.667503536800595</c:v>
                </c:pt>
                <c:pt idx="642">
                  <c:v>67.717261065386936</c:v>
                </c:pt>
                <c:pt idx="643">
                  <c:v>67.01529638161108</c:v>
                </c:pt>
                <c:pt idx="644">
                  <c:v>68.508489586963421</c:v>
                </c:pt>
                <c:pt idx="645">
                  <c:v>71.418983819750338</c:v>
                </c:pt>
                <c:pt idx="646">
                  <c:v>71.617010612596218</c:v>
                </c:pt>
                <c:pt idx="647">
                  <c:v>75.524890394622076</c:v>
                </c:pt>
                <c:pt idx="648">
                  <c:v>75.714553891315063</c:v>
                </c:pt>
                <c:pt idx="649">
                  <c:v>75.456773101226574</c:v>
                </c:pt>
                <c:pt idx="650">
                  <c:v>75.417045968552515</c:v>
                </c:pt>
                <c:pt idx="651">
                  <c:v>76.415597611962895</c:v>
                </c:pt>
                <c:pt idx="652">
                  <c:v>76.366855687337193</c:v>
                </c:pt>
                <c:pt idx="653">
                  <c:v>76.394713205471618</c:v>
                </c:pt>
                <c:pt idx="654">
                  <c:v>76.328409329394788</c:v>
                </c:pt>
                <c:pt idx="655">
                  <c:v>76.089804246562792</c:v>
                </c:pt>
                <c:pt idx="656">
                  <c:v>72.410403470729221</c:v>
                </c:pt>
                <c:pt idx="657">
                  <c:v>72.370063248038207</c:v>
                </c:pt>
                <c:pt idx="658">
                  <c:v>72.288089248639281</c:v>
                </c:pt>
                <c:pt idx="659">
                  <c:v>71.790114932406766</c:v>
                </c:pt>
                <c:pt idx="660">
                  <c:v>71.786977563434334</c:v>
                </c:pt>
                <c:pt idx="661">
                  <c:v>71.866944438721958</c:v>
                </c:pt>
                <c:pt idx="662">
                  <c:v>72.538198389841085</c:v>
                </c:pt>
                <c:pt idx="663">
                  <c:v>72.619700311912894</c:v>
                </c:pt>
                <c:pt idx="664">
                  <c:v>73.655321466325105</c:v>
                </c:pt>
                <c:pt idx="665">
                  <c:v>73.486395777846425</c:v>
                </c:pt>
                <c:pt idx="666">
                  <c:v>73.547724114472146</c:v>
                </c:pt>
                <c:pt idx="667">
                  <c:v>73.375495332767741</c:v>
                </c:pt>
                <c:pt idx="668">
                  <c:v>73.530639144922333</c:v>
                </c:pt>
                <c:pt idx="669">
                  <c:v>67.261212410481036</c:v>
                </c:pt>
                <c:pt idx="670">
                  <c:v>67.15902912436475</c:v>
                </c:pt>
                <c:pt idx="671">
                  <c:v>67.211272774745368</c:v>
                </c:pt>
                <c:pt idx="672">
                  <c:v>67.191052016071822</c:v>
                </c:pt>
                <c:pt idx="673">
                  <c:v>67.253475262307091</c:v>
                </c:pt>
                <c:pt idx="674">
                  <c:v>63.831134240152096</c:v>
                </c:pt>
                <c:pt idx="675">
                  <c:v>63.954147964776041</c:v>
                </c:pt>
                <c:pt idx="676">
                  <c:v>63.982177634558738</c:v>
                </c:pt>
                <c:pt idx="677">
                  <c:v>63.936225545083921</c:v>
                </c:pt>
                <c:pt idx="678">
                  <c:v>63.929465773888126</c:v>
                </c:pt>
                <c:pt idx="679">
                  <c:v>63.870849995233883</c:v>
                </c:pt>
                <c:pt idx="680">
                  <c:v>63.938486473238441</c:v>
                </c:pt>
                <c:pt idx="681">
                  <c:v>63.509782117505353</c:v>
                </c:pt>
                <c:pt idx="682">
                  <c:v>63.101653860189813</c:v>
                </c:pt>
                <c:pt idx="683">
                  <c:v>63.385294544012481</c:v>
                </c:pt>
                <c:pt idx="684">
                  <c:v>63.140874087531394</c:v>
                </c:pt>
                <c:pt idx="685">
                  <c:v>67.419840849817362</c:v>
                </c:pt>
                <c:pt idx="686">
                  <c:v>67.545901629644817</c:v>
                </c:pt>
                <c:pt idx="687">
                  <c:v>67.831367204623902</c:v>
                </c:pt>
                <c:pt idx="688">
                  <c:v>68.01327169801489</c:v>
                </c:pt>
                <c:pt idx="689">
                  <c:v>68.100516886562787</c:v>
                </c:pt>
                <c:pt idx="690">
                  <c:v>67.496757574070372</c:v>
                </c:pt>
                <c:pt idx="691">
                  <c:v>67.14345382885476</c:v>
                </c:pt>
                <c:pt idx="692">
                  <c:v>67.10861740437592</c:v>
                </c:pt>
                <c:pt idx="693">
                  <c:v>67.157007821268138</c:v>
                </c:pt>
                <c:pt idx="694">
                  <c:v>67.286711385074454</c:v>
                </c:pt>
                <c:pt idx="695">
                  <c:v>67.264408045906393</c:v>
                </c:pt>
                <c:pt idx="696">
                  <c:v>71.053986850746341</c:v>
                </c:pt>
                <c:pt idx="697">
                  <c:v>70.968625190465644</c:v>
                </c:pt>
                <c:pt idx="698">
                  <c:v>73.64430941483721</c:v>
                </c:pt>
                <c:pt idx="699">
                  <c:v>73.654205227629802</c:v>
                </c:pt>
                <c:pt idx="700">
                  <c:v>73.754145386662742</c:v>
                </c:pt>
                <c:pt idx="701">
                  <c:v>71.859315131352005</c:v>
                </c:pt>
                <c:pt idx="702">
                  <c:v>71.770262515109224</c:v>
                </c:pt>
                <c:pt idx="703">
                  <c:v>71.065499141035275</c:v>
                </c:pt>
                <c:pt idx="704">
                  <c:v>71.052674942148059</c:v>
                </c:pt>
                <c:pt idx="705">
                  <c:v>79.614382396373117</c:v>
                </c:pt>
                <c:pt idx="706">
                  <c:v>79.350161641645684</c:v>
                </c:pt>
                <c:pt idx="707">
                  <c:v>79.665096822054366</c:v>
                </c:pt>
                <c:pt idx="708">
                  <c:v>77.299901227545462</c:v>
                </c:pt>
                <c:pt idx="709">
                  <c:v>77.381915794651974</c:v>
                </c:pt>
                <c:pt idx="710">
                  <c:v>73.823492647518393</c:v>
                </c:pt>
                <c:pt idx="711">
                  <c:v>71.104445957000024</c:v>
                </c:pt>
                <c:pt idx="712">
                  <c:v>71.294107844916169</c:v>
                </c:pt>
                <c:pt idx="713">
                  <c:v>70.720816002626776</c:v>
                </c:pt>
                <c:pt idx="714">
                  <c:v>70.788210249193355</c:v>
                </c:pt>
                <c:pt idx="715">
                  <c:v>70.860015614196158</c:v>
                </c:pt>
                <c:pt idx="716">
                  <c:v>70.917693446359252</c:v>
                </c:pt>
                <c:pt idx="717">
                  <c:v>70.924895508614654</c:v>
                </c:pt>
                <c:pt idx="718">
                  <c:v>71.003314878074278</c:v>
                </c:pt>
                <c:pt idx="719">
                  <c:v>70.765242912707933</c:v>
                </c:pt>
                <c:pt idx="720">
                  <c:v>70.586965363452407</c:v>
                </c:pt>
                <c:pt idx="721">
                  <c:v>70.616094438629929</c:v>
                </c:pt>
                <c:pt idx="722">
                  <c:v>70.695503226609674</c:v>
                </c:pt>
                <c:pt idx="723">
                  <c:v>69.179204662790085</c:v>
                </c:pt>
                <c:pt idx="724">
                  <c:v>68.784378004154789</c:v>
                </c:pt>
                <c:pt idx="725">
                  <c:v>68.691386999058082</c:v>
                </c:pt>
                <c:pt idx="726">
                  <c:v>68.552608689784066</c:v>
                </c:pt>
                <c:pt idx="727">
                  <c:v>68.447250888795253</c:v>
                </c:pt>
                <c:pt idx="728">
                  <c:v>68.829743980932463</c:v>
                </c:pt>
                <c:pt idx="729">
                  <c:v>68.898650425001279</c:v>
                </c:pt>
                <c:pt idx="730">
                  <c:v>68.759920713755236</c:v>
                </c:pt>
                <c:pt idx="731">
                  <c:v>68.778403939802118</c:v>
                </c:pt>
                <c:pt idx="732">
                  <c:v>68.862450592322475</c:v>
                </c:pt>
                <c:pt idx="733">
                  <c:v>68.532428842648159</c:v>
                </c:pt>
                <c:pt idx="734">
                  <c:v>68.650207900740199</c:v>
                </c:pt>
                <c:pt idx="735">
                  <c:v>68.659691672289739</c:v>
                </c:pt>
                <c:pt idx="736">
                  <c:v>68.571880761753661</c:v>
                </c:pt>
                <c:pt idx="737">
                  <c:v>68.699200585670823</c:v>
                </c:pt>
                <c:pt idx="738">
                  <c:v>68.648799714640433</c:v>
                </c:pt>
                <c:pt idx="739">
                  <c:v>68.679783066561569</c:v>
                </c:pt>
                <c:pt idx="740">
                  <c:v>68.637065877335274</c:v>
                </c:pt>
                <c:pt idx="741">
                  <c:v>68.701979666185053</c:v>
                </c:pt>
                <c:pt idx="742">
                  <c:v>68.764449860422147</c:v>
                </c:pt>
                <c:pt idx="743">
                  <c:v>69.372047908218576</c:v>
                </c:pt>
                <c:pt idx="744">
                  <c:v>69.460961518643813</c:v>
                </c:pt>
                <c:pt idx="745">
                  <c:v>68.983633340168097</c:v>
                </c:pt>
                <c:pt idx="746">
                  <c:v>69.595530070258434</c:v>
                </c:pt>
                <c:pt idx="747">
                  <c:v>69.488419762348528</c:v>
                </c:pt>
                <c:pt idx="748">
                  <c:v>69.167827605744705</c:v>
                </c:pt>
                <c:pt idx="749">
                  <c:v>83.025706145950124</c:v>
                </c:pt>
                <c:pt idx="750">
                  <c:v>83.099785773830277</c:v>
                </c:pt>
                <c:pt idx="751">
                  <c:v>83.122756650088007</c:v>
                </c:pt>
                <c:pt idx="752">
                  <c:v>79.027346937594203</c:v>
                </c:pt>
                <c:pt idx="753">
                  <c:v>78.987847433137034</c:v>
                </c:pt>
                <c:pt idx="754">
                  <c:v>77.41795564977599</c:v>
                </c:pt>
                <c:pt idx="755">
                  <c:v>77.349879112770083</c:v>
                </c:pt>
                <c:pt idx="756">
                  <c:v>77.352017815040924</c:v>
                </c:pt>
                <c:pt idx="757">
                  <c:v>77.414907154329697</c:v>
                </c:pt>
                <c:pt idx="758">
                  <c:v>77.257213127621227</c:v>
                </c:pt>
                <c:pt idx="759">
                  <c:v>77.181213819688281</c:v>
                </c:pt>
                <c:pt idx="760">
                  <c:v>77.2099970632419</c:v>
                </c:pt>
                <c:pt idx="761">
                  <c:v>77.073628454606009</c:v>
                </c:pt>
                <c:pt idx="762">
                  <c:v>77.023267467950575</c:v>
                </c:pt>
                <c:pt idx="763">
                  <c:v>76.890503706914501</c:v>
                </c:pt>
                <c:pt idx="764">
                  <c:v>76.993692771612189</c:v>
                </c:pt>
                <c:pt idx="765">
                  <c:v>77.000729653292382</c:v>
                </c:pt>
                <c:pt idx="766">
                  <c:v>76.494144583699878</c:v>
                </c:pt>
                <c:pt idx="767">
                  <c:v>76.427647655922087</c:v>
                </c:pt>
                <c:pt idx="768">
                  <c:v>76.639437699491936</c:v>
                </c:pt>
                <c:pt idx="769">
                  <c:v>76.42863255778056</c:v>
                </c:pt>
                <c:pt idx="770">
                  <c:v>76.566831939893561</c:v>
                </c:pt>
                <c:pt idx="771">
                  <c:v>76.763216422402408</c:v>
                </c:pt>
                <c:pt idx="772">
                  <c:v>71.217717553684707</c:v>
                </c:pt>
                <c:pt idx="773">
                  <c:v>71.293733191333075</c:v>
                </c:pt>
                <c:pt idx="774">
                  <c:v>71.219059860636662</c:v>
                </c:pt>
                <c:pt idx="775">
                  <c:v>71.059008689228222</c:v>
                </c:pt>
                <c:pt idx="776">
                  <c:v>71.07312923201448</c:v>
                </c:pt>
                <c:pt idx="777">
                  <c:v>71.02099522831962</c:v>
                </c:pt>
                <c:pt idx="778">
                  <c:v>71.156097887059545</c:v>
                </c:pt>
                <c:pt idx="779">
                  <c:v>71.126572807787156</c:v>
                </c:pt>
                <c:pt idx="780">
                  <c:v>71.100640540966452</c:v>
                </c:pt>
                <c:pt idx="781">
                  <c:v>71.064805352753339</c:v>
                </c:pt>
                <c:pt idx="782">
                  <c:v>70.890876252105045</c:v>
                </c:pt>
                <c:pt idx="783">
                  <c:v>71.005973938246896</c:v>
                </c:pt>
                <c:pt idx="784">
                  <c:v>70.900145973908153</c:v>
                </c:pt>
                <c:pt idx="785">
                  <c:v>70.337370913764957</c:v>
                </c:pt>
                <c:pt idx="786">
                  <c:v>70.373553251822855</c:v>
                </c:pt>
                <c:pt idx="787">
                  <c:v>70.381628952925595</c:v>
                </c:pt>
                <c:pt idx="788">
                  <c:v>70.274874531961956</c:v>
                </c:pt>
                <c:pt idx="789">
                  <c:v>70.255947665445277</c:v>
                </c:pt>
                <c:pt idx="790">
                  <c:v>70.142006045545472</c:v>
                </c:pt>
                <c:pt idx="791">
                  <c:v>70.696461341268417</c:v>
                </c:pt>
                <c:pt idx="792">
                  <c:v>70.433216838553818</c:v>
                </c:pt>
                <c:pt idx="793">
                  <c:v>70.219923671789488</c:v>
                </c:pt>
                <c:pt idx="794">
                  <c:v>70.203770119089242</c:v>
                </c:pt>
                <c:pt idx="795">
                  <c:v>69.945411917419236</c:v>
                </c:pt>
                <c:pt idx="796">
                  <c:v>70.003006308569212</c:v>
                </c:pt>
                <c:pt idx="797">
                  <c:v>64.354782375197104</c:v>
                </c:pt>
                <c:pt idx="798">
                  <c:v>64.65958557030693</c:v>
                </c:pt>
                <c:pt idx="799">
                  <c:v>64.65175149518646</c:v>
                </c:pt>
                <c:pt idx="800">
                  <c:v>64.451940520480278</c:v>
                </c:pt>
                <c:pt idx="801">
                  <c:v>64.214584007309554</c:v>
                </c:pt>
                <c:pt idx="802">
                  <c:v>64.086845687849987</c:v>
                </c:pt>
                <c:pt idx="803">
                  <c:v>63.918398070316393</c:v>
                </c:pt>
                <c:pt idx="804">
                  <c:v>64.027576674755977</c:v>
                </c:pt>
                <c:pt idx="805">
                  <c:v>64.043942997832929</c:v>
                </c:pt>
                <c:pt idx="806">
                  <c:v>64.027382196255729</c:v>
                </c:pt>
                <c:pt idx="807">
                  <c:v>63.390454191244203</c:v>
                </c:pt>
                <c:pt idx="808">
                  <c:v>63.338391484376324</c:v>
                </c:pt>
                <c:pt idx="809">
                  <c:v>63.362101991769215</c:v>
                </c:pt>
                <c:pt idx="810">
                  <c:v>63.21608341609609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443712"/>
        <c:axId val="197042944"/>
      </c:lineChart>
      <c:catAx>
        <c:axId val="19544371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97042944"/>
        <c:crosses val="autoZero"/>
        <c:auto val="1"/>
        <c:lblAlgn val="ctr"/>
        <c:lblOffset val="100"/>
        <c:tickLblSkip val="7"/>
        <c:noMultiLvlLbl val="0"/>
      </c:catAx>
      <c:valAx>
        <c:axId val="197042944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9544371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35014576200553227"/>
          <c:y val="0.15958574143749274"/>
          <c:w val="0.20359692838832144"/>
          <c:h val="5.0069485758724601E-2"/>
        </c:manualLayout>
      </c:layout>
      <c:overlay val="0"/>
      <c:txPr>
        <a:bodyPr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558800</xdr:colOff>
      <xdr:row>7</xdr:row>
      <xdr:rowOff>88901</xdr:rowOff>
    </xdr:from>
    <xdr:to>
      <xdr:col>28</xdr:col>
      <xdr:colOff>165100</xdr:colOff>
      <xdr:row>65</xdr:row>
      <xdr:rowOff>95251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10</xdr:col>
      <xdr:colOff>533400</xdr:colOff>
      <xdr:row>9</xdr:row>
      <xdr:rowOff>53975</xdr:rowOff>
    </xdr:from>
    <xdr:ext cx="6334125" cy="405432"/>
    <xdr:sp macro="" textlink="">
      <xdr:nvSpPr>
        <xdr:cNvPr id="8" name="TextBox 7"/>
        <xdr:cNvSpPr txBox="1"/>
      </xdr:nvSpPr>
      <xdr:spPr>
        <a:xfrm>
          <a:off x="7788275" y="1974850"/>
          <a:ext cx="6334125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2000" b="1">
              <a:solidFill>
                <a:srgbClr val="2E398A"/>
              </a:solidFill>
            </a:rPr>
            <a:t>Cello Portfolio Net IO &amp; CMO Market Value (% of NAV) </a:t>
          </a:r>
        </a:p>
      </xdr:txBody>
    </xdr:sp>
    <xdr:clientData/>
  </xdr:oneCellAnchor>
  <xdr:twoCellAnchor editAs="absolute">
    <xdr:from>
      <xdr:col>0</xdr:col>
      <xdr:colOff>476249</xdr:colOff>
      <xdr:row>0</xdr:row>
      <xdr:rowOff>114300</xdr:rowOff>
    </xdr:from>
    <xdr:to>
      <xdr:col>2</xdr:col>
      <xdr:colOff>523875</xdr:colOff>
      <xdr:row>1</xdr:row>
      <xdr:rowOff>342900</xdr:rowOff>
    </xdr:to>
    <xdr:sp macro="[0]!RunUpdateData" textlink="">
      <xdr:nvSpPr>
        <xdr:cNvPr id="2" name="Rounded Rectangle 1"/>
        <xdr:cNvSpPr/>
      </xdr:nvSpPr>
      <xdr:spPr>
        <a:xfrm>
          <a:off x="476249" y="114300"/>
          <a:ext cx="1485901" cy="39052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latin typeface="Century Gothic" panose="020B0502020202020204" pitchFamily="34" charset="0"/>
            </a:rPr>
            <a:t>Update Report</a:t>
          </a:r>
        </a:p>
      </xdr:txBody>
    </xdr:sp>
    <xdr:clientData fPrintsWithSheet="0"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0.29206</cdr:x>
      <cdr:y>0.04532</cdr:y>
    </cdr:from>
    <cdr:to>
      <cdr:x>0.70211</cdr:x>
      <cdr:y>0.10739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819524" y="438150"/>
          <a:ext cx="5362575" cy="6000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harad Chaudhary" refreshedDate="42373.618104050925" createdVersion="4" refreshedVersion="4" minRefreshableVersion="3" recordCount="1135">
  <cacheSource type="worksheet">
    <worksheetSource name="Table_Query_from_Cello_SQL_Server"/>
  </cacheSource>
  <cacheFields count="12">
    <cacheField name="AsOfDate" numFmtId="22">
      <sharedItems containsSemiMixedTypes="0" containsNonDate="0" containsDate="1" containsString="0" minDate="2011-06-16T00:00:00" maxDate="2016-01-01T00:00:00" count="1135">
        <d v="2011-06-16T00:00:00"/>
        <d v="2011-06-17T00:00:00"/>
        <d v="2011-06-21T00:00:00"/>
        <d v="2011-06-22T00:00:00"/>
        <d v="2011-06-23T00:00:00"/>
        <d v="2011-06-24T00:00:00"/>
        <d v="2011-06-27T00:00:00"/>
        <d v="2011-06-28T00:00:00"/>
        <d v="2011-06-29T00:00:00"/>
        <d v="2011-06-30T00:00:00"/>
        <d v="2011-07-01T00:00:00"/>
        <d v="2011-07-05T00:00:00"/>
        <d v="2011-07-06T00:00:00"/>
        <d v="2011-07-07T00:00:00"/>
        <d v="2011-07-08T00:00:00"/>
        <d v="2011-07-11T00:00:00"/>
        <d v="2011-07-12T00:00:00"/>
        <d v="2011-07-13T00:00:00"/>
        <d v="2011-07-14T00:00:00"/>
        <d v="2011-07-15T00:00:00"/>
        <d v="2011-07-18T00:00:00"/>
        <d v="2011-07-19T00:00:00"/>
        <d v="2011-07-20T00:00:00"/>
        <d v="2011-07-21T00:00:00"/>
        <d v="2011-07-22T00:00:00"/>
        <d v="2011-07-25T00:00:00"/>
        <d v="2011-07-26T00:00:00"/>
        <d v="2011-07-27T00:00:00"/>
        <d v="2011-07-28T00:00:00"/>
        <d v="2011-07-29T00:00:00"/>
        <d v="2011-08-01T00:00:00"/>
        <d v="2011-08-02T00:00:00"/>
        <d v="2011-08-03T00:00:00"/>
        <d v="2011-08-04T00:00:00"/>
        <d v="2011-08-05T00:00:00"/>
        <d v="2011-08-08T00:00:00"/>
        <d v="2011-08-09T00:00:00"/>
        <d v="2011-08-10T00:00:00"/>
        <d v="2011-08-11T00:00:00"/>
        <d v="2011-08-12T00:00:00"/>
        <d v="2011-08-15T00:00:00"/>
        <d v="2011-08-16T00:00:00"/>
        <d v="2011-08-17T00:00:00"/>
        <d v="2011-08-18T00:00:00"/>
        <d v="2011-08-19T00:00:00"/>
        <d v="2011-08-22T00:00:00"/>
        <d v="2011-08-23T00:00:00"/>
        <d v="2011-08-24T00:00:00"/>
        <d v="2011-08-25T00:00:00"/>
        <d v="2011-08-26T00:00:00"/>
        <d v="2011-08-29T00:00:00"/>
        <d v="2011-08-30T00:00:00"/>
        <d v="2011-08-31T00:00:00"/>
        <d v="2011-09-01T00:00:00"/>
        <d v="2011-09-02T00:00:00"/>
        <d v="2011-09-06T00:00:00"/>
        <d v="2011-09-07T00:00:00"/>
        <d v="2011-09-08T00:00:00"/>
        <d v="2011-09-09T00:00:00"/>
        <d v="2011-09-12T00:00:00"/>
        <d v="2011-09-13T00:00:00"/>
        <d v="2011-09-14T00:00:00"/>
        <d v="2011-09-15T00:00:00"/>
        <d v="2011-09-16T00:00:00"/>
        <d v="2011-09-19T00:00:00"/>
        <d v="2011-09-20T00:00:00"/>
        <d v="2011-09-21T00:00:00"/>
        <d v="2011-09-22T00:00:00"/>
        <d v="2011-09-23T00:00:00"/>
        <d v="2011-09-26T00:00:00"/>
        <d v="2011-09-27T00:00:00"/>
        <d v="2011-09-28T00:00:00"/>
        <d v="2011-09-29T00:00:00"/>
        <d v="2011-09-30T00:00:00"/>
        <d v="2011-10-03T00:00:00"/>
        <d v="2011-10-04T00:00:00"/>
        <d v="2011-10-05T00:00:00"/>
        <d v="2011-10-06T00:00:00"/>
        <d v="2011-10-07T00:00:00"/>
        <d v="2011-10-11T00:00:00"/>
        <d v="2011-10-12T00:00:00"/>
        <d v="2011-10-13T00:00:00"/>
        <d v="2011-10-14T00:00:00"/>
        <d v="2011-10-17T00:00:00"/>
        <d v="2011-10-18T00:00:00"/>
        <d v="2011-10-19T00:00:00"/>
        <d v="2011-10-20T00:00:00"/>
        <d v="2011-10-21T00:00:00"/>
        <d v="2011-10-24T00:00:00"/>
        <d v="2011-10-25T00:00:00"/>
        <d v="2011-10-26T00:00:00"/>
        <d v="2011-10-27T00:00:00"/>
        <d v="2011-10-28T00:00:00"/>
        <d v="2011-10-31T00:00:00"/>
        <d v="2011-11-01T00:00:00"/>
        <d v="2011-11-02T00:00:00"/>
        <d v="2011-11-03T00:00:00"/>
        <d v="2011-11-04T00:00:00"/>
        <d v="2011-11-07T00:00:00"/>
        <d v="2011-11-08T00:00:00"/>
        <d v="2011-11-09T00:00:00"/>
        <d v="2011-11-10T00:00:00"/>
        <d v="2011-11-14T00:00:00"/>
        <d v="2011-11-15T00:00:00"/>
        <d v="2011-11-16T00:00:00"/>
        <d v="2011-11-17T00:00:00"/>
        <d v="2011-11-18T00:00:00"/>
        <d v="2011-11-21T00:00:00"/>
        <d v="2011-11-22T00:00:00"/>
        <d v="2011-11-23T00:00:00"/>
        <d v="2011-11-25T00:00:00"/>
        <d v="2011-11-28T00:00:00"/>
        <d v="2011-11-29T00:00:00"/>
        <d v="2011-11-30T00:00:00"/>
        <d v="2011-12-01T00:00:00"/>
        <d v="2011-12-02T00:00:00"/>
        <d v="2011-12-05T00:00:00"/>
        <d v="2011-12-06T00:00:00"/>
        <d v="2011-12-07T00:00:00"/>
        <d v="2011-12-08T00:00:00"/>
        <d v="2011-12-09T00:00:00"/>
        <d v="2011-12-12T00:00:00"/>
        <d v="2011-12-13T00:00:00"/>
        <d v="2011-12-14T00:00:00"/>
        <d v="2011-12-15T00:00:00"/>
        <d v="2011-12-16T00:00:00"/>
        <d v="2011-12-19T00:00:00"/>
        <d v="2011-12-20T00:00:00"/>
        <d v="2011-12-21T00:00:00"/>
        <d v="2011-12-22T00:00:00"/>
        <d v="2011-12-23T00:00:00"/>
        <d v="2011-12-27T00:00:00"/>
        <d v="2011-12-28T00:00:00"/>
        <d v="2011-12-29T00:00:00"/>
        <d v="2011-12-30T00:00:00"/>
        <d v="2012-01-03T00:00:00"/>
        <d v="2012-01-04T00:00:00"/>
        <d v="2012-01-05T00:00:00"/>
        <d v="2012-01-06T00:00:00"/>
        <d v="2012-01-09T00:00:00"/>
        <d v="2012-01-10T00:00:00"/>
        <d v="2012-01-11T00:00:00"/>
        <d v="2012-01-12T00:00:00"/>
        <d v="2012-01-13T00:00:00"/>
        <d v="2012-01-17T00:00:00"/>
        <d v="2012-01-18T00:00:00"/>
        <d v="2012-01-19T00:00:00"/>
        <d v="2012-01-20T00:00:00"/>
        <d v="2012-01-24T00:00:00"/>
        <d v="2012-01-25T00:00:00"/>
        <d v="2012-01-26T00:00:00"/>
        <d v="2012-01-27T00:00:00"/>
        <d v="2012-01-30T00:00:00"/>
        <d v="2012-01-31T00:00:00"/>
        <d v="2012-02-01T00:00:00"/>
        <d v="2012-02-02T00:00:00"/>
        <d v="2012-02-03T00:00:00"/>
        <d v="2012-02-06T00:00:00"/>
        <d v="2012-02-07T00:00:00"/>
        <d v="2012-02-08T00:00:00"/>
        <d v="2012-02-09T00:00:00"/>
        <d v="2012-02-10T00:00:00"/>
        <d v="2012-02-13T00:00:00"/>
        <d v="2012-02-14T00:00:00"/>
        <d v="2012-02-15T00:00:00"/>
        <d v="2012-02-16T00:00:00"/>
        <d v="2012-02-17T00:00:00"/>
        <d v="2012-02-21T00:00:00"/>
        <d v="2012-02-22T00:00:00"/>
        <d v="2012-02-23T00:00:00"/>
        <d v="2012-02-24T00:00:00"/>
        <d v="2012-02-27T00:00:00"/>
        <d v="2012-02-28T00:00:00"/>
        <d v="2012-02-29T00:00:00"/>
        <d v="2012-03-01T00:00:00"/>
        <d v="2012-03-02T00:00:00"/>
        <d v="2012-03-05T00:00:00"/>
        <d v="2012-03-06T00:00:00"/>
        <d v="2012-03-07T00:00:00"/>
        <d v="2012-03-08T00:00:00"/>
        <d v="2012-03-09T00:00:00"/>
        <d v="2012-03-12T00:00:00"/>
        <d v="2012-03-13T00:00:00"/>
        <d v="2012-03-14T00:00:00"/>
        <d v="2012-03-15T00:00:00"/>
        <d v="2012-03-16T00:00:00"/>
        <d v="2012-03-19T00:00:00"/>
        <d v="2012-03-20T00:00:00"/>
        <d v="2012-03-21T00:00:00"/>
        <d v="2012-03-22T00:00:00"/>
        <d v="2012-03-23T00:00:00"/>
        <d v="2012-03-26T00:00:00"/>
        <d v="2012-03-27T00:00:00"/>
        <d v="2012-03-28T00:00:00"/>
        <d v="2012-03-29T00:00:00"/>
        <d v="2012-03-30T00:00:00"/>
        <d v="2012-04-02T00:00:00"/>
        <d v="2012-04-03T00:00:00"/>
        <d v="2012-04-04T00:00:00"/>
        <d v="2012-04-05T00:00:00"/>
        <d v="2012-04-06T00:00:00"/>
        <d v="2012-04-09T00:00:00"/>
        <d v="2012-04-10T00:00:00"/>
        <d v="2012-04-11T00:00:00"/>
        <d v="2012-04-12T00:00:00"/>
        <d v="2012-04-13T00:00:00"/>
        <d v="2012-04-16T00:00:00"/>
        <d v="2012-04-17T00:00:00"/>
        <d v="2012-04-18T00:00:00"/>
        <d v="2012-04-19T00:00:00"/>
        <d v="2012-04-20T00:00:00"/>
        <d v="2012-04-23T00:00:00"/>
        <d v="2012-04-24T00:00:00"/>
        <d v="2012-04-25T00:00:00"/>
        <d v="2012-04-26T00:00:00"/>
        <d v="2012-04-27T00:00:00"/>
        <d v="2012-04-30T00:00:00"/>
        <d v="2012-05-01T00:00:00"/>
        <d v="2012-05-02T00:00:00"/>
        <d v="2012-05-03T00:00:00"/>
        <d v="2012-05-04T00:00:00"/>
        <d v="2012-05-07T00:00:00"/>
        <d v="2012-05-08T00:00:00"/>
        <d v="2012-05-09T00:00:00"/>
        <d v="2012-05-10T00:00:00"/>
        <d v="2012-05-11T00:00:00"/>
        <d v="2012-05-14T00:00:00"/>
        <d v="2012-05-15T00:00:00"/>
        <d v="2012-05-16T00:00:00"/>
        <d v="2012-05-17T00:00:00"/>
        <d v="2012-05-18T00:00:00"/>
        <d v="2012-05-21T00:00:00"/>
        <d v="2012-05-22T00:00:00"/>
        <d v="2012-05-23T00:00:00"/>
        <d v="2012-05-24T00:00:00"/>
        <d v="2012-05-25T00:00:00"/>
        <d v="2012-05-29T00:00:00"/>
        <d v="2012-05-30T00:00:00"/>
        <d v="2012-05-31T00:00:00"/>
        <d v="2012-06-01T00:00:00"/>
        <d v="2012-06-04T00:00:00"/>
        <d v="2012-06-05T00:00:00"/>
        <d v="2012-06-06T00:00:00"/>
        <d v="2012-06-07T00:00:00"/>
        <d v="2012-06-08T00:00:00"/>
        <d v="2012-06-11T00:00:00"/>
        <d v="2012-06-12T00:00:00"/>
        <d v="2012-06-13T00:00:00"/>
        <d v="2012-06-14T00:00:00"/>
        <d v="2012-06-15T00:00:00"/>
        <d v="2012-06-18T00:00:00"/>
        <d v="2012-06-19T00:00:00"/>
        <d v="2012-06-20T00:00:00"/>
        <d v="2012-06-21T00:00:00"/>
        <d v="2012-06-22T00:00:00"/>
        <d v="2012-06-25T00:00:00"/>
        <d v="2012-06-26T00:00:00"/>
        <d v="2012-06-27T00:00:00"/>
        <d v="2012-06-28T00:00:00"/>
        <d v="2012-06-29T00:00:00"/>
        <d v="2012-07-02T00:00:00"/>
        <d v="2012-07-03T00:00:00"/>
        <d v="2012-07-05T00:00:00"/>
        <d v="2012-07-06T00:00:00"/>
        <d v="2012-07-09T00:00:00"/>
        <d v="2012-07-10T00:00:00"/>
        <d v="2012-07-11T00:00:00"/>
        <d v="2012-07-12T00:00:00"/>
        <d v="2012-07-13T00:00:00"/>
        <d v="2012-07-16T00:00:00"/>
        <d v="2012-07-17T00:00:00"/>
        <d v="2012-07-18T00:00:00"/>
        <d v="2012-07-19T00:00:00"/>
        <d v="2012-07-20T00:00:00"/>
        <d v="2012-07-23T00:00:00"/>
        <d v="2012-07-24T00:00:00"/>
        <d v="2012-07-25T00:00:00"/>
        <d v="2012-07-26T00:00:00"/>
        <d v="2012-07-27T00:00:00"/>
        <d v="2012-07-30T00:00:00"/>
        <d v="2012-07-31T00:00:00"/>
        <d v="2012-08-01T00:00:00"/>
        <d v="2012-08-02T00:00:00"/>
        <d v="2012-08-03T00:00:00"/>
        <d v="2012-08-06T00:00:00"/>
        <d v="2012-08-07T00:00:00"/>
        <d v="2012-08-08T00:00:00"/>
        <d v="2012-08-09T00:00:00"/>
        <d v="2012-08-10T00:00:00"/>
        <d v="2012-08-13T00:00:00"/>
        <d v="2012-08-14T00:00:00"/>
        <d v="2012-08-15T00:00:00"/>
        <d v="2012-08-16T00:00:00"/>
        <d v="2012-08-17T00:00:00"/>
        <d v="2012-08-20T00:00:00"/>
        <d v="2012-08-21T00:00:00"/>
        <d v="2012-08-22T00:00:00"/>
        <d v="2012-08-23T00:00:00"/>
        <d v="2012-08-24T00:00:00"/>
        <d v="2012-08-27T00:00:00"/>
        <d v="2012-08-28T00:00:00"/>
        <d v="2012-08-29T00:00:00"/>
        <d v="2012-08-30T00:00:00"/>
        <d v="2012-08-31T00:00:00"/>
        <d v="2012-09-04T00:00:00"/>
        <d v="2012-09-05T00:00:00"/>
        <d v="2012-09-06T00:00:00"/>
        <d v="2012-09-07T00:00:00"/>
        <d v="2012-09-10T00:00:00"/>
        <d v="2012-09-11T00:00:00"/>
        <d v="2012-09-12T00:00:00"/>
        <d v="2012-09-13T00:00:00"/>
        <d v="2012-09-14T00:00:00"/>
        <d v="2012-09-17T00:00:00"/>
        <d v="2012-09-18T00:00:00"/>
        <d v="2012-09-19T00:00:00"/>
        <d v="2012-09-20T00:00:00"/>
        <d v="2012-09-21T00:00:00"/>
        <d v="2012-09-24T00:00:00"/>
        <d v="2012-09-25T00:00:00"/>
        <d v="2012-09-26T00:00:00"/>
        <d v="2012-09-27T00:00:00"/>
        <d v="2012-09-28T00:00:00"/>
        <d v="2012-10-01T00:00:00"/>
        <d v="2012-10-02T00:00:00"/>
        <d v="2012-10-03T00:00:00"/>
        <d v="2012-10-04T00:00:00"/>
        <d v="2012-10-05T00:00:00"/>
        <d v="2012-10-09T00:00:00"/>
        <d v="2012-10-10T00:00:00"/>
        <d v="2012-10-11T00:00:00"/>
        <d v="2012-10-12T00:00:00"/>
        <d v="2012-10-15T00:00:00"/>
        <d v="2012-10-16T00:00:00"/>
        <d v="2012-10-17T00:00:00"/>
        <d v="2012-10-18T00:00:00"/>
        <d v="2012-10-19T00:00:00"/>
        <d v="2012-10-22T00:00:00"/>
        <d v="2012-10-23T00:00:00"/>
        <d v="2012-10-24T00:00:00"/>
        <d v="2012-10-25T00:00:00"/>
        <d v="2012-10-26T00:00:00"/>
        <d v="2012-10-29T00:00:00"/>
        <d v="2012-10-31T00:00:00"/>
        <d v="2012-11-01T00:00:00"/>
        <d v="2012-11-02T00:00:00"/>
        <d v="2012-11-05T00:00:00"/>
        <d v="2012-11-06T00:00:00"/>
        <d v="2012-11-07T00:00:00"/>
        <d v="2012-11-08T00:00:00"/>
        <d v="2012-11-09T00:00:00"/>
        <d v="2012-11-13T00:00:00"/>
        <d v="2012-11-14T00:00:00"/>
        <d v="2012-11-15T00:00:00"/>
        <d v="2012-11-16T00:00:00"/>
        <d v="2012-11-19T00:00:00"/>
        <d v="2012-11-20T00:00:00"/>
        <d v="2012-11-21T00:00:00"/>
        <d v="2012-11-23T00:00:00"/>
        <d v="2012-11-26T00:00:00"/>
        <d v="2012-11-27T00:00:00"/>
        <d v="2012-11-28T00:00:00"/>
        <d v="2012-11-29T00:00:00"/>
        <d v="2012-11-30T00:00:00"/>
        <d v="2012-12-03T00:00:00"/>
        <d v="2012-12-04T00:00:00"/>
        <d v="2012-12-05T00:00:00"/>
        <d v="2012-12-06T00:00:00"/>
        <d v="2012-12-07T00:00:00"/>
        <d v="2012-12-10T00:00:00"/>
        <d v="2012-12-11T00:00:00"/>
        <d v="2012-12-12T00:00:00"/>
        <d v="2012-12-13T00:00:00"/>
        <d v="2012-12-14T00:00:00"/>
        <d v="2012-12-17T00:00:00"/>
        <d v="2012-12-18T00:00:00"/>
        <d v="2012-12-19T00:00:00"/>
        <d v="2012-12-20T00:00:00"/>
        <d v="2012-12-21T00:00:00"/>
        <d v="2012-12-24T00:00:00"/>
        <d v="2012-12-26T00:00:00"/>
        <d v="2012-12-27T00:00:00"/>
        <d v="2012-12-28T00:00:00"/>
        <d v="2012-12-31T00:00:00"/>
        <d v="2013-01-02T00:00:00"/>
        <d v="2013-01-03T00:00:00"/>
        <d v="2013-01-04T00:00:00"/>
        <d v="2013-01-07T00:00:00"/>
        <d v="2013-01-08T00:00:00"/>
        <d v="2013-01-09T00:00:00"/>
        <d v="2013-01-10T00:00:00"/>
        <d v="2013-01-11T00:00:00"/>
        <d v="2013-01-14T00:00:00"/>
        <d v="2013-01-15T00:00:00"/>
        <d v="2013-01-16T00:00:00"/>
        <d v="2013-01-17T00:00:00"/>
        <d v="2013-01-18T00:00:00"/>
        <d v="2013-01-22T00:00:00"/>
        <d v="2013-01-23T00:00:00"/>
        <d v="2013-01-24T00:00:00"/>
        <d v="2013-01-25T00:00:00"/>
        <d v="2013-01-28T00:00:00"/>
        <d v="2013-01-29T00:00:00"/>
        <d v="2013-01-30T00:00:00"/>
        <d v="2013-01-31T00:00:00"/>
        <d v="2013-02-01T00:00:00"/>
        <d v="2013-02-04T00:00:00"/>
        <d v="2013-02-05T00:00:00"/>
        <d v="2013-02-06T00:00:00"/>
        <d v="2013-02-07T00:00:00"/>
        <d v="2013-02-08T00:00:00"/>
        <d v="2013-02-11T00:00:00"/>
        <d v="2013-02-12T00:00:00"/>
        <d v="2013-02-13T00:00:00"/>
        <d v="2013-02-14T00:00:00"/>
        <d v="2013-02-15T00:00:00"/>
        <d v="2013-02-19T00:00:00"/>
        <d v="2013-02-20T00:00:00"/>
        <d v="2013-02-21T00:00:00"/>
        <d v="2013-02-22T00:00:00"/>
        <d v="2013-02-25T00:00:00"/>
        <d v="2013-02-26T00:00:00"/>
        <d v="2013-02-27T00:00:00"/>
        <d v="2013-02-28T00:00:00"/>
        <d v="2013-03-01T00:00:00"/>
        <d v="2013-03-04T00:00:00"/>
        <d v="2013-03-05T00:00:00"/>
        <d v="2013-03-06T00:00:00"/>
        <d v="2013-03-07T00:00:00"/>
        <d v="2013-03-08T00:00:00"/>
        <d v="2013-03-11T00:00:00"/>
        <d v="2013-03-12T00:00:00"/>
        <d v="2013-03-13T00:00:00"/>
        <d v="2013-03-14T00:00:00"/>
        <d v="2013-03-15T00:00:00"/>
        <d v="2013-03-18T00:00:00"/>
        <d v="2013-03-19T00:00:00"/>
        <d v="2013-03-20T00:00:00"/>
        <d v="2013-03-21T00:00:00"/>
        <d v="2013-03-22T00:00:00"/>
        <d v="2013-03-25T00:00:00"/>
        <d v="2013-03-26T00:00:00"/>
        <d v="2013-03-27T00:00:00"/>
        <d v="2013-03-28T00:00:00"/>
        <d v="2013-04-01T00:00:00"/>
        <d v="2013-04-02T00:00:00"/>
        <d v="2013-04-03T00:00:00"/>
        <d v="2013-04-04T00:00:00"/>
        <d v="2013-04-05T00:00:00"/>
        <d v="2013-04-08T00:00:00"/>
        <d v="2013-04-09T00:00:00"/>
        <d v="2013-04-10T00:00:00"/>
        <d v="2013-04-11T00:00:00"/>
        <d v="2013-04-12T00:00:00"/>
        <d v="2013-04-15T00:00:00"/>
        <d v="2013-04-16T00:00:00"/>
        <d v="2013-04-17T00:00:00"/>
        <d v="2013-04-18T00:00:00"/>
        <d v="2013-04-19T00:00:00"/>
        <d v="2013-04-22T00:00:00"/>
        <d v="2013-04-23T00:00:00"/>
        <d v="2013-04-24T00:00:00"/>
        <d v="2013-04-25T00:00:00"/>
        <d v="2013-04-26T00:00:00"/>
        <d v="2013-04-29T00:00:00"/>
        <d v="2013-04-30T00:00:00"/>
        <d v="2013-05-01T00:00:00"/>
        <d v="2013-05-02T00:00:00"/>
        <d v="2013-05-03T00:00:00"/>
        <d v="2013-05-06T00:00:00"/>
        <d v="2013-05-07T00:00:00"/>
        <d v="2013-05-08T00:00:00"/>
        <d v="2013-05-09T00:00:00"/>
        <d v="2013-05-10T00:00:00"/>
        <d v="2013-05-13T00:00:00"/>
        <d v="2013-05-14T00:00:00"/>
        <d v="2013-05-15T00:00:00"/>
        <d v="2013-05-16T00:00:00"/>
        <d v="2013-05-17T00:00:00"/>
        <d v="2013-05-20T00:00:00"/>
        <d v="2013-05-21T00:00:00"/>
        <d v="2013-05-22T00:00:00"/>
        <d v="2013-05-23T00:00:00"/>
        <d v="2013-05-24T00:00:00"/>
        <d v="2013-05-28T00:00:00"/>
        <d v="2013-05-29T00:00:00"/>
        <d v="2013-05-30T00:00:00"/>
        <d v="2013-05-31T00:00:00"/>
        <d v="2013-06-03T00:00:00"/>
        <d v="2013-06-04T00:00:00"/>
        <d v="2013-06-05T00:00:00"/>
        <d v="2013-06-06T00:00:00"/>
        <d v="2013-06-07T00:00:00"/>
        <d v="2013-06-10T00:00:00"/>
        <d v="2013-06-11T00:00:00"/>
        <d v="2013-06-12T00:00:00"/>
        <d v="2013-06-13T00:00:00"/>
        <d v="2013-06-14T00:00:00"/>
        <d v="2013-06-17T00:00:00"/>
        <d v="2013-06-18T00:00:00"/>
        <d v="2013-06-19T00:00:00"/>
        <d v="2013-06-20T00:00:00"/>
        <d v="2013-06-21T00:00:00"/>
        <d v="2013-06-24T00:00:00"/>
        <d v="2013-06-25T00:00:00"/>
        <d v="2013-06-26T00:00:00"/>
        <d v="2013-06-27T00:00:00"/>
        <d v="2013-06-28T00:00:00"/>
        <d v="2013-07-01T00:00:00"/>
        <d v="2013-07-02T00:00:00"/>
        <d v="2013-07-03T00:00:00"/>
        <d v="2013-07-05T00:00:00"/>
        <d v="2013-07-08T00:00:00"/>
        <d v="2013-07-09T00:00:00"/>
        <d v="2013-07-10T00:00:00"/>
        <d v="2013-07-11T00:00:00"/>
        <d v="2013-07-12T00:00:00"/>
        <d v="2013-07-15T00:00:00"/>
        <d v="2013-07-16T00:00:00"/>
        <d v="2013-07-17T00:00:00"/>
        <d v="2013-07-18T00:00:00"/>
        <d v="2013-07-19T00:00:00"/>
        <d v="2013-07-22T00:00:00"/>
        <d v="2013-07-23T00:00:00"/>
        <d v="2013-07-24T00:00:00"/>
        <d v="2013-07-25T00:00:00"/>
        <d v="2013-07-26T00:00:00"/>
        <d v="2013-07-29T00:00:00"/>
        <d v="2013-07-30T00:00:00"/>
        <d v="2013-07-31T00:00:00"/>
        <d v="2013-08-01T00:00:00"/>
        <d v="2013-08-02T00:00:00"/>
        <d v="2013-08-05T00:00:00"/>
        <d v="2013-08-06T00:00:00"/>
        <d v="2013-08-07T00:00:00"/>
        <d v="2013-08-08T00:00:00"/>
        <d v="2013-08-09T00:00:00"/>
        <d v="2013-08-12T00:00:00"/>
        <d v="2013-08-13T00:00:00"/>
        <d v="2013-08-14T00:00:00"/>
        <d v="2013-08-15T00:00:00"/>
        <d v="2013-08-16T00:00:00"/>
        <d v="2013-08-19T00:00:00"/>
        <d v="2013-08-20T00:00:00"/>
        <d v="2013-08-21T00:00:00"/>
        <d v="2013-08-22T00:00:00"/>
        <d v="2013-08-23T00:00:00"/>
        <d v="2013-08-26T00:00:00"/>
        <d v="2013-08-27T00:00:00"/>
        <d v="2013-08-28T00:00:00"/>
        <d v="2013-08-29T00:00:00"/>
        <d v="2013-08-30T00:00:00"/>
        <d v="2013-09-03T00:00:00"/>
        <d v="2013-09-04T00:00:00"/>
        <d v="2013-09-05T00:00:00"/>
        <d v="2013-09-06T00:00:00"/>
        <d v="2013-09-09T00:00:00"/>
        <d v="2013-09-10T00:00:00"/>
        <d v="2013-09-11T00:00:00"/>
        <d v="2013-09-12T00:00:00"/>
        <d v="2013-09-13T00:00:00"/>
        <d v="2013-09-16T00:00:00"/>
        <d v="2013-09-17T00:00:00"/>
        <d v="2013-09-18T00:00:00"/>
        <d v="2013-09-19T00:00:00"/>
        <d v="2013-09-20T00:00:00"/>
        <d v="2013-09-23T00:00:00"/>
        <d v="2013-09-24T00:00:00"/>
        <d v="2013-09-25T00:00:00"/>
        <d v="2013-09-26T00:00:00"/>
        <d v="2013-09-27T00:00:00"/>
        <d v="2013-09-30T00:00:00"/>
        <d v="2013-10-01T00:00:00"/>
        <d v="2013-10-02T00:00:00"/>
        <d v="2013-10-03T00:00:00"/>
        <d v="2013-10-04T00:00:00"/>
        <d v="2013-10-07T00:00:00"/>
        <d v="2013-10-08T00:00:00"/>
        <d v="2013-10-09T00:00:00"/>
        <d v="2013-10-10T00:00:00"/>
        <d v="2013-10-11T00:00:00"/>
        <d v="2013-10-15T00:00:00"/>
        <d v="2013-10-16T00:00:00"/>
        <d v="2013-10-17T00:00:00"/>
        <d v="2013-10-18T00:00:00"/>
        <d v="2013-10-21T00:00:00"/>
        <d v="2013-10-22T00:00:00"/>
        <d v="2013-10-23T00:00:00"/>
        <d v="2013-10-24T00:00:00"/>
        <d v="2013-10-25T00:00:00"/>
        <d v="2013-10-28T00:00:00"/>
        <d v="2013-10-29T00:00:00"/>
        <d v="2013-10-30T00:00:00"/>
        <d v="2013-10-31T00:00:00"/>
        <d v="2013-11-01T00:00:00"/>
        <d v="2013-11-04T00:00:00"/>
        <d v="2013-11-05T00:00:00"/>
        <d v="2013-11-06T00:00:00"/>
        <d v="2013-11-07T00:00:00"/>
        <d v="2013-11-08T00:00:00"/>
        <d v="2013-11-12T00:00:00"/>
        <d v="2013-11-13T00:00:00"/>
        <d v="2013-11-14T00:00:00"/>
        <d v="2013-11-15T00:00:00"/>
        <d v="2013-11-18T00:00:00"/>
        <d v="2013-11-19T00:00:00"/>
        <d v="2013-11-20T00:00:00"/>
        <d v="2013-11-21T00:00:00"/>
        <d v="2013-11-22T00:00:00"/>
        <d v="2013-11-25T00:00:00"/>
        <d v="2013-11-26T00:00:00"/>
        <d v="2013-11-27T00:00:00"/>
        <d v="2013-11-29T00:00:00"/>
        <d v="2013-12-02T00:00:00"/>
        <d v="2013-12-03T00:00:00"/>
        <d v="2013-12-04T00:00:00"/>
        <d v="2013-12-05T00:00:00"/>
        <d v="2013-12-06T00:00:00"/>
        <d v="2013-12-09T00:00:00"/>
        <d v="2013-12-10T00:00:00"/>
        <d v="2013-12-11T00:00:00"/>
        <d v="2013-12-12T00:00:00"/>
        <d v="2013-12-13T00:00:00"/>
        <d v="2013-12-16T00:00:00"/>
        <d v="2013-12-17T00:00:00"/>
        <d v="2013-12-18T00:00:00"/>
        <d v="2013-12-19T00:00:00"/>
        <d v="2013-12-20T00:00:00"/>
        <d v="2013-12-23T00:00:00"/>
        <d v="2013-12-24T00:00:00"/>
        <d v="2013-12-26T00:00:00"/>
        <d v="2013-12-27T00:00:00"/>
        <d v="2013-12-30T00:00:00"/>
        <d v="2013-12-31T00:00:00"/>
        <d v="2014-01-02T00:00:00"/>
        <d v="2014-01-03T00:00:00"/>
        <d v="2014-01-06T00:00:00"/>
        <d v="2014-01-07T00:00:00"/>
        <d v="2014-01-08T00:00:00"/>
        <d v="2014-01-09T00:00:00"/>
        <d v="2014-01-10T00:00:00"/>
        <d v="2014-01-13T00:00:00"/>
        <d v="2014-01-14T00:00:00"/>
        <d v="2014-01-15T00:00:00"/>
        <d v="2014-01-16T00:00:00"/>
        <d v="2014-01-17T00:00:00"/>
        <d v="2014-01-21T00:00:00"/>
        <d v="2014-01-22T00:00:00"/>
        <d v="2014-01-23T00:00:00"/>
        <d v="2014-01-24T00:00:00"/>
        <d v="2014-01-27T00:00:00"/>
        <d v="2014-01-28T00:00:00"/>
        <d v="2014-01-29T00:00:00"/>
        <d v="2014-01-30T00:00:00"/>
        <d v="2014-01-31T00:00:00"/>
        <d v="2014-02-03T00:00:00"/>
        <d v="2014-02-04T00:00:00"/>
        <d v="2014-02-05T00:00:00"/>
        <d v="2014-02-06T00:00:00"/>
        <d v="2014-02-07T00:00:00"/>
        <d v="2014-02-10T00:00:00"/>
        <d v="2014-02-11T00:00:00"/>
        <d v="2014-02-12T00:00:00"/>
        <d v="2014-02-13T00:00:00"/>
        <d v="2014-02-14T00:00:00"/>
        <d v="2014-02-18T00:00:00"/>
        <d v="2014-02-19T00:00:00"/>
        <d v="2014-02-20T00:00:00"/>
        <d v="2014-02-21T00:00:00"/>
        <d v="2014-02-24T00:00:00"/>
        <d v="2014-02-25T00:00:00"/>
        <d v="2014-02-26T00:00:00"/>
        <d v="2014-02-27T00:00:00"/>
        <d v="2014-02-28T00:00:00"/>
        <d v="2014-03-03T00:00:00"/>
        <d v="2014-03-04T00:00:00"/>
        <d v="2014-03-05T00:00:00"/>
        <d v="2014-03-06T00:00:00"/>
        <d v="2014-03-07T00:00:00"/>
        <d v="2014-03-10T00:00:00"/>
        <d v="2014-03-11T00:00:00"/>
        <d v="2014-03-12T00:00:00"/>
        <d v="2014-03-13T00:00:00"/>
        <d v="2014-03-14T00:00:00"/>
        <d v="2014-03-17T00:00:00"/>
        <d v="2014-03-18T00:00:00"/>
        <d v="2014-03-19T00:00:00"/>
        <d v="2014-03-20T00:00:00"/>
        <d v="2014-03-21T00:00:00"/>
        <d v="2014-03-24T00:00:00"/>
        <d v="2014-03-25T00:00:00"/>
        <d v="2014-03-26T00:00:00"/>
        <d v="2014-03-27T00:00:00"/>
        <d v="2014-03-28T00:00:00"/>
        <d v="2014-03-31T00:00:00"/>
        <d v="2014-04-01T00:00:00"/>
        <d v="2014-04-02T00:00:00"/>
        <d v="2014-04-03T00:00:00"/>
        <d v="2014-04-04T00:00:00"/>
        <d v="2014-04-07T00:00:00"/>
        <d v="2014-04-08T00:00:00"/>
        <d v="2014-04-09T00:00:00"/>
        <d v="2014-04-10T00:00:00"/>
        <d v="2014-04-11T00:00:00"/>
        <d v="2014-04-14T00:00:00"/>
        <d v="2014-04-15T00:00:00"/>
        <d v="2014-04-16T00:00:00"/>
        <d v="2014-04-17T00:00:00"/>
        <d v="2014-04-21T00:00:00"/>
        <d v="2014-04-22T00:00:00"/>
        <d v="2014-04-23T00:00:00"/>
        <d v="2014-04-24T00:00:00"/>
        <d v="2014-04-25T00:00:00"/>
        <d v="2014-04-28T00:00:00"/>
        <d v="2014-04-29T00:00:00"/>
        <d v="2014-04-30T00:00:00"/>
        <d v="2014-05-01T00:00:00"/>
        <d v="2014-05-02T00:00:00"/>
        <d v="2014-05-05T00:00:00"/>
        <d v="2014-05-06T00:00:00"/>
        <d v="2014-05-07T00:00:00"/>
        <d v="2014-05-08T00:00:00"/>
        <d v="2014-05-09T00:00:00"/>
        <d v="2014-05-12T00:00:00"/>
        <d v="2014-05-13T00:00:00"/>
        <d v="2014-05-14T00:00:00"/>
        <d v="2014-05-15T00:00:00"/>
        <d v="2014-05-16T00:00:00"/>
        <d v="2014-05-19T00:00:00"/>
        <d v="2014-05-20T00:00:00"/>
        <d v="2014-05-21T00:00:00"/>
        <d v="2014-05-22T00:00:00"/>
        <d v="2014-05-23T00:00:00"/>
        <d v="2014-05-27T00:00:00"/>
        <d v="2014-05-28T00:00:00"/>
        <d v="2014-05-29T00:00:00"/>
        <d v="2014-05-30T00:00:00"/>
        <d v="2014-06-02T00:00:00"/>
        <d v="2014-06-03T00:00:00"/>
        <d v="2014-06-04T00:00:00"/>
        <d v="2014-06-05T00:00:00"/>
        <d v="2014-06-06T00:00:00"/>
        <d v="2014-06-09T00:00:00"/>
        <d v="2014-06-10T00:00:00"/>
        <d v="2014-06-11T00:00:00"/>
        <d v="2014-06-12T00:00:00"/>
        <d v="2014-06-13T00:00:00"/>
        <d v="2014-06-16T00:00:00"/>
        <d v="2014-06-17T00:00:00"/>
        <d v="2014-06-18T00:00:00"/>
        <d v="2014-06-19T00:00:00"/>
        <d v="2014-06-20T00:00:00"/>
        <d v="2014-06-23T00:00:00"/>
        <d v="2014-06-24T00:00:00"/>
        <d v="2014-06-25T00:00:00"/>
        <d v="2014-06-26T00:00:00"/>
        <d v="2014-06-27T00:00:00"/>
        <d v="2014-06-30T00:00:00"/>
        <d v="2014-07-01T00:00:00"/>
        <d v="2014-07-02T00:00:00"/>
        <d v="2014-07-03T00:00:00"/>
        <d v="2014-07-07T00:00:00"/>
        <d v="2014-07-08T00:00:00"/>
        <d v="2014-07-09T00:00:00"/>
        <d v="2014-07-10T00:00:00"/>
        <d v="2014-07-11T00:00:00"/>
        <d v="2014-07-14T00:00:00"/>
        <d v="2014-07-15T00:00:00"/>
        <d v="2014-07-16T00:00:00"/>
        <d v="2014-07-17T00:00:00"/>
        <d v="2014-07-18T00:00:00"/>
        <d v="2014-07-21T00:00:00"/>
        <d v="2014-07-22T00:00:00"/>
        <d v="2014-07-23T00:00:00"/>
        <d v="2014-07-24T00:00:00"/>
        <d v="2014-07-25T00:00:00"/>
        <d v="2014-07-28T00:00:00"/>
        <d v="2014-07-29T00:00:00"/>
        <d v="2014-07-30T00:00:00"/>
        <d v="2014-07-31T00:00:00"/>
        <d v="2014-08-01T00:00:00"/>
        <d v="2014-08-04T00:00:00"/>
        <d v="2014-08-05T00:00:00"/>
        <d v="2014-08-06T00:00:00"/>
        <d v="2014-08-07T00:00:00"/>
        <d v="2014-08-08T00:00:00"/>
        <d v="2014-08-11T00:00:00"/>
        <d v="2014-08-12T00:00:00"/>
        <d v="2014-08-13T00:00:00"/>
        <d v="2014-08-14T00:00:00"/>
        <d v="2014-08-15T00:00:00"/>
        <d v="2014-08-18T00:00:00"/>
        <d v="2014-08-19T00:00:00"/>
        <d v="2014-08-20T00:00:00"/>
        <d v="2014-08-21T00:00:00"/>
        <d v="2014-08-22T00:00:00"/>
        <d v="2014-08-25T00:00:00"/>
        <d v="2014-08-26T00:00:00"/>
        <d v="2014-08-27T00:00:00"/>
        <d v="2014-08-28T00:00:00"/>
        <d v="2014-08-29T00:00:00"/>
        <d v="2014-09-02T00:00:00"/>
        <d v="2014-09-03T00:00:00"/>
        <d v="2014-09-04T00:00:00"/>
        <d v="2014-09-05T00:00:00"/>
        <d v="2014-09-08T00:00:00"/>
        <d v="2014-09-09T00:00:00"/>
        <d v="2014-09-10T00:00:00"/>
        <d v="2014-09-11T00:00:00"/>
        <d v="2014-09-12T00:00:00"/>
        <d v="2014-09-15T00:00:00"/>
        <d v="2014-09-16T00:00:00"/>
        <d v="2014-09-17T00:00:00"/>
        <d v="2014-09-18T00:00:00"/>
        <d v="2014-09-19T00:00:00"/>
        <d v="2014-09-22T00:00:00"/>
        <d v="2014-09-23T00:00:00"/>
        <d v="2014-09-24T00:00:00"/>
        <d v="2014-09-25T00:00:00"/>
        <d v="2014-09-26T00:00:00"/>
        <d v="2014-09-29T00:00:00"/>
        <d v="2014-09-30T00:00:00"/>
        <d v="2014-10-01T00:00:00"/>
        <d v="2014-10-02T00:00:00"/>
        <d v="2014-10-03T00:00:00"/>
        <d v="2014-10-06T00:00:00"/>
        <d v="2014-10-07T00:00:00"/>
        <d v="2014-10-08T00:00:00"/>
        <d v="2014-10-09T00:00:00"/>
        <d v="2014-10-10T00:00:00"/>
        <d v="2014-10-14T00:00:00"/>
        <d v="2014-10-15T00:00:00"/>
        <d v="2014-10-16T00:00:00"/>
        <d v="2014-10-17T00:00:00"/>
        <d v="2014-10-20T00:00:00"/>
        <d v="2014-10-21T00:00:00"/>
        <d v="2014-10-22T00:00:00"/>
        <d v="2014-10-23T00:00:00"/>
        <d v="2014-10-24T00:00:00"/>
        <d v="2014-10-27T00:00:00"/>
        <d v="2014-10-28T00:00:00"/>
        <d v="2014-10-29T00:00:00"/>
        <d v="2014-10-30T00:00:00"/>
        <d v="2014-10-31T00:00:00"/>
        <d v="2014-11-03T00:00:00"/>
        <d v="2014-11-04T00:00:00"/>
        <d v="2014-11-05T00:00:00"/>
        <d v="2014-11-06T00:00:00"/>
        <d v="2014-11-07T00:00:00"/>
        <d v="2014-11-10T00:00:00"/>
        <d v="2014-11-12T00:00:00"/>
        <d v="2014-11-13T00:00:00"/>
        <d v="2014-11-14T00:00:00"/>
        <d v="2014-11-17T00:00:00"/>
        <d v="2014-11-18T00:00:00"/>
        <d v="2014-11-19T00:00:00"/>
        <d v="2014-11-20T00:00:00"/>
        <d v="2014-11-21T00:00:00"/>
        <d v="2014-11-24T00:00:00"/>
        <d v="2014-11-25T00:00:00"/>
        <d v="2014-11-26T00:00:00"/>
        <d v="2014-11-28T00:00:00"/>
        <d v="2014-12-01T00:00:00"/>
        <d v="2014-12-02T00:00:00"/>
        <d v="2014-12-03T00:00:00"/>
        <d v="2014-12-04T00:00:00"/>
        <d v="2014-12-05T00:00:00"/>
        <d v="2014-12-08T00:00:00"/>
        <d v="2014-12-09T00:00:00"/>
        <d v="2014-12-10T00:00:00"/>
        <d v="2014-12-11T00:00:00"/>
        <d v="2014-12-12T00:00:00"/>
        <d v="2014-12-15T00:00:00"/>
        <d v="2014-12-16T00:00:00"/>
        <d v="2014-12-17T00:00:00"/>
        <d v="2014-12-18T00:00:00"/>
        <d v="2014-12-19T00:00:00"/>
        <d v="2014-12-22T00:00:00"/>
        <d v="2014-12-23T00:00:00"/>
        <d v="2014-12-24T00:00:00"/>
        <d v="2014-12-26T00:00:00"/>
        <d v="2014-12-29T00:00:00"/>
        <d v="2014-12-30T00:00:00"/>
        <d v="2014-12-31T00:00:00"/>
        <d v="2015-01-02T00:00:00"/>
        <d v="2015-01-05T00:00:00"/>
        <d v="2015-01-06T00:00:00"/>
        <d v="2015-01-07T00:00:00"/>
        <d v="2015-01-08T00:00:00"/>
        <d v="2015-01-09T00:00:00"/>
        <d v="2015-01-12T00:00:00"/>
        <d v="2015-01-13T00:00:00"/>
        <d v="2015-01-14T00:00:00"/>
        <d v="2015-01-15T00:00:00"/>
        <d v="2015-01-16T00:00:00"/>
        <d v="2015-01-20T00:00:00"/>
        <d v="2015-01-21T00:00:00"/>
        <d v="2015-01-22T00:00:00"/>
        <d v="2015-01-23T00:00:00"/>
        <d v="2015-01-26T00:00:00"/>
        <d v="2015-01-27T00:00:00"/>
        <d v="2015-01-28T00:00:00"/>
        <d v="2015-01-29T00:00:00"/>
        <d v="2015-01-30T00:00:00"/>
        <d v="2015-02-02T00:00:00"/>
        <d v="2015-02-03T00:00:00"/>
        <d v="2015-02-04T00:00:00"/>
        <d v="2015-02-05T00:00:00"/>
        <d v="2015-02-06T00:00:00"/>
        <d v="2015-02-09T00:00:00"/>
        <d v="2015-02-10T00:00:00"/>
        <d v="2015-02-11T00:00:00"/>
        <d v="2015-02-12T00:00:00"/>
        <d v="2015-02-13T00:00:00"/>
        <d v="2015-02-17T00:00:00"/>
        <d v="2015-02-18T00:00:00"/>
        <d v="2015-02-19T00:00:00"/>
        <d v="2015-02-20T00:00:00"/>
        <d v="2015-02-23T00:00:00"/>
        <d v="2015-02-24T00:00:00"/>
        <d v="2015-02-25T00:00:00"/>
        <d v="2015-02-26T00:00:00"/>
        <d v="2015-02-27T00:00:00"/>
        <d v="2015-03-02T00:00:00"/>
        <d v="2015-03-03T00:00:00"/>
        <d v="2015-03-04T00:00:00"/>
        <d v="2015-03-05T00:00:00"/>
        <d v="2015-03-06T00:00:00"/>
        <d v="2015-03-09T00:00:00"/>
        <d v="2015-03-10T00:00:00"/>
        <d v="2015-03-11T00:00:00"/>
        <d v="2015-03-12T00:00:00"/>
        <d v="2015-03-13T00:00:00"/>
        <d v="2015-03-16T00:00:00"/>
        <d v="2015-03-17T00:00:00"/>
        <d v="2015-03-18T00:00:00"/>
        <d v="2015-03-19T00:00:00"/>
        <d v="2015-03-20T00:00:00"/>
        <d v="2015-03-23T00:00:00"/>
        <d v="2015-03-24T00:00:00"/>
        <d v="2015-03-25T00:00:00"/>
        <d v="2015-03-26T00:00:00"/>
        <d v="2015-03-27T00:00:00"/>
        <d v="2015-03-30T00:00:00"/>
        <d v="2015-03-31T00:00:00"/>
        <d v="2015-04-01T00:00:00"/>
        <d v="2015-04-02T00:00:00"/>
        <d v="2015-04-03T00:00:00"/>
        <d v="2015-04-06T00:00:00"/>
        <d v="2015-04-07T00:00:00"/>
        <d v="2015-04-08T00:00:00"/>
        <d v="2015-04-09T00:00:00"/>
        <d v="2015-04-10T00:00:00"/>
        <d v="2015-04-13T00:00:00"/>
        <d v="2015-04-14T00:00:00"/>
        <d v="2015-04-15T00:00:00"/>
        <d v="2015-04-16T00:00:00"/>
        <d v="2015-04-17T00:00:00"/>
        <d v="2015-04-20T00:00:00"/>
        <d v="2015-04-21T00:00:00"/>
        <d v="2015-04-22T00:00:00"/>
        <d v="2015-04-23T00:00:00"/>
        <d v="2015-04-24T00:00:00"/>
        <d v="2015-04-27T00:00:00"/>
        <d v="2015-04-28T00:00:00"/>
        <d v="2015-04-29T00:00:00"/>
        <d v="2015-04-30T00:00:00"/>
        <d v="2015-05-01T00:00:00"/>
        <d v="2015-05-04T00:00:00"/>
        <d v="2015-05-05T00:00:00"/>
        <d v="2015-05-06T00:00:00"/>
        <d v="2015-05-07T00:00:00"/>
        <d v="2015-05-08T00:00:00"/>
        <d v="2015-05-11T00:00:00"/>
        <d v="2015-05-12T00:00:00"/>
        <d v="2015-05-13T00:00:00"/>
        <d v="2015-05-14T00:00:00"/>
        <d v="2015-05-15T00:00:00"/>
        <d v="2015-05-18T00:00:00"/>
        <d v="2015-05-19T00:00:00"/>
        <d v="2015-05-20T00:00:00"/>
        <d v="2015-05-21T00:00:00"/>
        <d v="2015-05-22T00:00:00"/>
        <d v="2015-05-26T00:00:00"/>
        <d v="2015-05-27T00:00:00"/>
        <d v="2015-05-28T00:00:00"/>
        <d v="2015-05-29T00:00:00"/>
        <d v="2015-06-01T00:00:00"/>
        <d v="2015-06-02T00:00:00"/>
        <d v="2015-06-03T00:00:00"/>
        <d v="2015-06-04T00:00:00"/>
        <d v="2015-06-05T00:00:00"/>
        <d v="2015-06-08T00:00:00"/>
        <d v="2015-06-09T00:00:00"/>
        <d v="2015-06-10T00:00:00"/>
        <d v="2015-06-11T00:00:00"/>
        <d v="2015-06-12T00:00:00"/>
        <d v="2015-06-15T00:00:00"/>
        <d v="2015-06-16T00:00:00"/>
        <d v="2015-06-17T00:00:00"/>
        <d v="2015-06-18T00:00:00"/>
        <d v="2015-06-19T00:00:00"/>
        <d v="2015-06-22T00:00:00"/>
        <d v="2015-06-23T00:00:00"/>
        <d v="2015-06-24T00:00:00"/>
        <d v="2015-06-25T00:00:00"/>
        <d v="2015-06-26T00:00:00"/>
        <d v="2015-06-29T00:00:00"/>
        <d v="2015-06-30T00:00:00"/>
        <d v="2015-07-01T00:00:00"/>
        <d v="2015-07-02T00:00:00"/>
        <d v="2015-07-06T00:00:00"/>
        <d v="2015-07-07T00:00:00"/>
        <d v="2015-07-08T00:00:00"/>
        <d v="2015-07-09T00:00:00"/>
        <d v="2015-07-10T00:00:00"/>
        <d v="2015-07-13T00:00:00"/>
        <d v="2015-07-14T00:00:00"/>
        <d v="2015-07-15T00:00:00"/>
        <d v="2015-07-16T00:00:00"/>
        <d v="2015-07-17T00:00:00"/>
        <d v="2015-07-20T00:00:00"/>
        <d v="2015-07-21T00:00:00"/>
        <d v="2015-07-22T00:00:00"/>
        <d v="2015-07-23T00:00:00"/>
        <d v="2015-07-24T00:00:00"/>
        <d v="2015-07-27T00:00:00"/>
        <d v="2015-07-28T00:00:00"/>
        <d v="2015-07-29T00:00:00"/>
        <d v="2015-07-30T00:00:00"/>
        <d v="2015-07-31T00:00:00"/>
        <d v="2015-08-03T00:00:00"/>
        <d v="2015-08-04T00:00:00"/>
        <d v="2015-08-05T00:00:00"/>
        <d v="2015-08-06T00:00:00"/>
        <d v="2015-08-07T00:00:00"/>
        <d v="2015-08-10T00:00:00"/>
        <d v="2015-08-11T00:00:00"/>
        <d v="2015-08-12T00:00:00"/>
        <d v="2015-08-13T00:00:00"/>
        <d v="2015-08-14T00:00:00"/>
        <d v="2015-08-17T00:00:00"/>
        <d v="2015-08-18T00:00:00"/>
        <d v="2015-08-19T00:00:00"/>
        <d v="2015-08-20T00:00:00"/>
        <d v="2015-08-21T00:00:00"/>
        <d v="2015-08-24T00:00:00"/>
        <d v="2015-08-25T00:00:00"/>
        <d v="2015-08-26T00:00:00"/>
        <d v="2015-08-27T00:00:00"/>
        <d v="2015-08-28T00:00:00"/>
        <d v="2015-08-31T00:00:00"/>
        <d v="2015-09-01T00:00:00"/>
        <d v="2015-09-02T00:00:00"/>
        <d v="2015-09-03T00:00:00"/>
        <d v="2015-09-04T00:00:00"/>
        <d v="2015-09-08T00:00:00"/>
        <d v="2015-09-09T00:00:00"/>
        <d v="2015-09-10T00:00:00"/>
        <d v="2015-09-11T00:00:00"/>
        <d v="2015-09-14T00:00:00"/>
        <d v="2015-09-15T00:00:00"/>
        <d v="2015-09-16T00:00:00"/>
        <d v="2015-09-17T00:00:00"/>
        <d v="2015-09-18T00:00:00"/>
        <d v="2015-09-21T00:00:00"/>
        <d v="2015-09-22T00:00:00"/>
        <d v="2015-09-23T00:00:00"/>
        <d v="2015-09-24T00:00:00"/>
        <d v="2015-09-25T00:00:00"/>
        <d v="2015-09-28T00:00:00"/>
        <d v="2015-09-29T00:00:00"/>
        <d v="2015-09-30T00:00:00"/>
        <d v="2015-10-01T00:00:00"/>
        <d v="2015-10-02T00:00:00"/>
        <d v="2015-10-05T00:00:00"/>
        <d v="2015-10-06T00:00:00"/>
        <d v="2015-10-07T00:00:00"/>
        <d v="2015-10-08T00:00:00"/>
        <d v="2015-10-09T00:00:00"/>
        <d v="2015-10-13T00:00:00"/>
        <d v="2015-10-14T00:00:00"/>
        <d v="2015-10-15T00:00:00"/>
        <d v="2015-10-16T00:00:00"/>
        <d v="2015-10-19T00:00:00"/>
        <d v="2015-10-20T00:00:00"/>
        <d v="2015-10-21T00:00:00"/>
        <d v="2015-10-22T00:00:00"/>
        <d v="2015-10-23T00:00:00"/>
        <d v="2015-10-26T00:00:00"/>
        <d v="2015-10-27T00:00:00"/>
        <d v="2015-10-28T00:00:00"/>
        <d v="2015-10-29T00:00:00"/>
        <d v="2015-10-30T00:00:00"/>
        <d v="2015-11-02T00:00:00"/>
        <d v="2015-11-03T00:00:00"/>
        <d v="2015-11-04T00:00:00"/>
        <d v="2015-11-05T00:00:00"/>
        <d v="2015-11-06T00:00:00"/>
        <d v="2015-11-09T00:00:00"/>
        <d v="2015-11-10T00:00:00"/>
        <d v="2015-11-12T00:00:00"/>
        <d v="2015-11-13T00:00:00"/>
        <d v="2015-11-16T00:00:00"/>
        <d v="2015-11-17T00:00:00"/>
        <d v="2015-11-18T00:00:00"/>
        <d v="2015-11-19T00:00:00"/>
        <d v="2015-11-20T00:00:00"/>
        <d v="2015-11-23T00:00:00"/>
        <d v="2015-11-24T00:00:00"/>
        <d v="2015-11-25T00:00:00"/>
        <d v="2015-11-27T00:00:00"/>
        <d v="2015-11-30T00:00:00"/>
        <d v="2015-12-01T00:00:00"/>
        <d v="2015-12-02T00:00:00"/>
        <d v="2015-12-03T00:00:00"/>
        <d v="2015-12-04T00:00:00"/>
        <d v="2015-12-07T00:00:00"/>
        <d v="2015-12-08T00:00:00"/>
        <d v="2015-12-09T00:00:00"/>
        <d v="2015-12-10T00:00:00"/>
        <d v="2015-12-11T00:00:00"/>
        <d v="2015-12-14T00:00:00"/>
        <d v="2015-12-15T00:00:00"/>
        <d v="2015-12-16T00:00:00"/>
        <d v="2015-12-17T00:00:00"/>
        <d v="2015-12-18T00:00:00"/>
        <d v="2015-12-21T00:00:00"/>
        <d v="2015-12-22T00:00:00"/>
        <d v="2015-12-23T00:00:00"/>
        <d v="2015-12-24T00:00:00"/>
        <d v="2015-12-28T00:00:00"/>
        <d v="2015-12-29T00:00:00"/>
        <d v="2015-12-30T00:00:00"/>
        <d v="2015-12-31T00:00:00"/>
      </sharedItems>
    </cacheField>
    <cacheField name="NetIOPar" numFmtId="0">
      <sharedItems containsSemiMixedTypes="0" containsString="0" containsNumber="1" minValue="54.3521" maxValue="1437.3341"/>
    </cacheField>
    <cacheField name="NetIOMarketValue" numFmtId="0">
      <sharedItems containsSemiMixedTypes="0" containsString="0" containsNumber="1" minValue="14.1401" maxValue="285.08769999999998"/>
    </cacheField>
    <cacheField name="NetTBAPar" numFmtId="0">
      <sharedItems containsSemiMixedTypes="0" containsString="0" containsNumber="1" minValue="-214.6422" maxValue="885.58370000000002"/>
    </cacheField>
    <cacheField name="NetTBAMarketValue" numFmtId="0">
      <sharedItems containsNonDate="0" containsString="0" containsBlank="1"/>
    </cacheField>
    <cacheField name="NAV" numFmtId="0">
      <sharedItems containsSemiMixedTypes="0" containsString="0" containsNumber="1" minValue="73742685.564999998" maxValue="434403040.80489999"/>
    </cacheField>
    <cacheField name="NetIOPar_over_Nav" numFmtId="0">
      <sharedItems containsSemiMixedTypes="0" containsString="0" containsNumber="1" minValue="66.019954999999996" maxValue="415.41407600000002"/>
    </cacheField>
    <cacheField name="NetIOMarketValue_over_Nav" numFmtId="0">
      <sharedItems containsSemiMixedTypes="0" containsString="0" containsNumber="1" minValue="12.328512999999999" maxValue="74.328433000000004"/>
    </cacheField>
    <cacheField name="NetTBAPar_over_Nav" numFmtId="0">
      <sharedItems containsSemiMixedTypes="0" containsString="0" containsNumber="1" minValue="-55.228411999999999" maxValue="328.613046"/>
    </cacheField>
    <cacheField name="NetTBAMarketValue_over_Nav" numFmtId="0">
      <sharedItems containsNonDate="0" containsString="0" containsBlank="1"/>
    </cacheField>
    <cacheField name="CMO MV" numFmtId="43">
      <sharedItems containsMixedTypes="1" containsNumber="1" minValue="28880835.576292999" maxValue="394999984.688016"/>
    </cacheField>
    <cacheField name="% NAV CMO" numFmtId="2">
      <sharedItems containsMixedTypes="1" containsNumber="1" minValue="35.774287465618656" maxValue="151.4952889490606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35">
  <r>
    <x v="0"/>
    <n v="74.255799999999994"/>
    <n v="19.490100000000002"/>
    <n v="6.1276000000000002"/>
    <m/>
    <n v="73803047.717199996"/>
    <n v="100.61346"/>
    <n v="26.408259000000001"/>
    <n v="8.302638"/>
    <m/>
    <e v="#N/A"/>
    <e v="#N/A"/>
  </r>
  <r>
    <x v="1"/>
    <n v="73.775300000000001"/>
    <n v="19.514800000000001"/>
    <n v="6.1064999999999996"/>
    <m/>
    <n v="73742685.564999998"/>
    <n v="100.04422700000001"/>
    <n v="26.463370000000001"/>
    <n v="8.2808209999999995"/>
    <m/>
    <e v="#N/A"/>
    <e v="#N/A"/>
  </r>
  <r>
    <x v="2"/>
    <n v="57.271599999999999"/>
    <n v="15.0806"/>
    <n v="4.7408999999999999"/>
    <m/>
    <n v="74175798.8398"/>
    <n v="77.210628"/>
    <n v="20.33089"/>
    <n v="6.391438"/>
    <m/>
    <n v="29293150"/>
    <n v="39.491519414931297"/>
  </r>
  <r>
    <x v="3"/>
    <n v="55.561500000000002"/>
    <n v="14.665900000000001"/>
    <n v="4.7164999999999999"/>
    <m/>
    <n v="74108557.650700003"/>
    <n v="74.973123000000001"/>
    <n v="19.789752"/>
    <n v="6.364312"/>
    <m/>
    <e v="#N/A"/>
    <e v="#N/A"/>
  </r>
  <r>
    <x v="4"/>
    <n v="55.846499999999999"/>
    <n v="14.4695"/>
    <n v="4.8308"/>
    <m/>
    <n v="74307142.841499999"/>
    <n v="75.156300999999999"/>
    <n v="19.472556000000001"/>
    <n v="6.501125"/>
    <m/>
    <e v="#N/A"/>
    <e v="#N/A"/>
  </r>
  <r>
    <x v="5"/>
    <n v="56.717799999999997"/>
    <n v="14.6051"/>
    <n v="4.9191000000000003"/>
    <m/>
    <n v="74489933.986900002"/>
    <n v="76.141563000000005"/>
    <n v="19.606809999999999"/>
    <n v="6.6037109999999997"/>
    <m/>
    <n v="29940741.117991"/>
    <n v="40.194345081922691"/>
  </r>
  <r>
    <x v="6"/>
    <n v="57.035699999999999"/>
    <n v="14.8001"/>
    <n v="4.8063000000000002"/>
    <m/>
    <n v="74382880.218999997"/>
    <n v="76.678531000000007"/>
    <n v="19.897186000000001"/>
    <n v="6.4615669999999996"/>
    <m/>
    <n v="29510723.349114001"/>
    <n v="39.67407992568689"/>
  </r>
  <r>
    <x v="7"/>
    <n v="56.947200000000002"/>
    <n v="14.9732"/>
    <n v="4.5385999999999997"/>
    <m/>
    <n v="74172420.869000003"/>
    <n v="76.776785000000004"/>
    <n v="20.187017999999998"/>
    <n v="6.1189859999999996"/>
    <m/>
    <n v="29082142.039811"/>
    <n v="39.208834899934807"/>
  </r>
  <r>
    <x v="8"/>
    <n v="55.512799999999999"/>
    <n v="14.8043"/>
    <n v="4.4034000000000004"/>
    <m/>
    <n v="73943695.364800006"/>
    <n v="75.074419000000006"/>
    <n v="20.021044"/>
    <n v="5.9550720000000004"/>
    <m/>
    <n v="28880835.576292999"/>
    <n v="39.057874283682835"/>
  </r>
  <r>
    <x v="9"/>
    <n v="54.3521"/>
    <n v="14.6435"/>
    <n v="4.3093000000000004"/>
    <m/>
    <n v="74083601.823899999"/>
    <n v="73.365898000000001"/>
    <n v="19.766183000000002"/>
    <n v="5.8168069999999998"/>
    <m/>
    <n v="28992617.973283999"/>
    <n v="39.13500053925663"/>
  </r>
  <r>
    <x v="10"/>
    <n v="68.3172"/>
    <n v="18.704899999999999"/>
    <n v="4.4027000000000003"/>
    <m/>
    <n v="83807395.944299996"/>
    <n v="81.516910999999993"/>
    <n v="22.318912999999998"/>
    <n v="5.253355"/>
    <m/>
    <n v="31346013.419355001"/>
    <n v="37.402442906337484"/>
  </r>
  <r>
    <x v="11"/>
    <n v="82.787300000000002"/>
    <n v="22.504100000000001"/>
    <n v="6.7"/>
    <m/>
    <n v="83905108.2271"/>
    <n v="98.667771000000002"/>
    <n v="26.820893999999999"/>
    <n v="7.9852109999999996"/>
    <m/>
    <n v="42473475.248838998"/>
    <n v="50.620845555528106"/>
  </r>
  <r>
    <x v="12"/>
    <n v="94.043800000000005"/>
    <n v="25.474"/>
    <n v="6.8003"/>
    <m/>
    <n v="84044606.523900002"/>
    <n v="111.89748400000001"/>
    <n v="30.310095"/>
    <n v="8.0912989999999994"/>
    <m/>
    <n v="44505054.906465001"/>
    <n v="52.954088010167524"/>
  </r>
  <r>
    <x v="13"/>
    <n v="111.8976"/>
    <n v="30.557300000000001"/>
    <n v="5.4657"/>
    <m/>
    <n v="83996787.593999997"/>
    <n v="133.216523"/>
    <n v="36.379128999999999"/>
    <n v="6.5070350000000001"/>
    <m/>
    <n v="52015388.093102999"/>
    <n v="61.925449273751184"/>
  </r>
  <r>
    <x v="14"/>
    <n v="119.6644"/>
    <n v="32.012799999999999"/>
    <n v="5.7366999999999999"/>
    <m/>
    <n v="84460690.330899999"/>
    <n v="141.68058500000001"/>
    <n v="37.902602999999999"/>
    <n v="6.792154"/>
    <m/>
    <n v="53353771.865979001"/>
    <n v="63.169945280993623"/>
  </r>
  <r>
    <x v="15"/>
    <n v="150.52180000000001"/>
    <n v="35.779299999999999"/>
    <n v="6.3118999999999996"/>
    <m/>
    <n v="84859618.5845"/>
    <n v="177.37741800000001"/>
    <n v="42.162928000000001"/>
    <n v="7.4380490000000004"/>
    <m/>
    <n v="53624863.617063999"/>
    <n v="63.192440069320355"/>
  </r>
  <r>
    <x v="16"/>
    <n v="133.09129999999999"/>
    <n v="34.921700000000001"/>
    <n v="6.5959000000000003"/>
    <m/>
    <n v="84868927.489299998"/>
    <n v="156.81982099999999"/>
    <n v="41.147804000000001"/>
    <n v="7.7718670000000003"/>
    <m/>
    <n v="63164287.611651003"/>
    <n v="74.425693219246298"/>
  </r>
  <r>
    <x v="17"/>
    <n v="146.31139999999999"/>
    <n v="38.103900000000003"/>
    <n v="7.4212999999999996"/>
    <m/>
    <n v="84852628.411300004"/>
    <n v="172.430015"/>
    <n v="44.905974999999998"/>
    <n v="8.746105"/>
    <m/>
    <n v="66333973.543240003"/>
    <n v="78.175508272653786"/>
  </r>
  <r>
    <x v="18"/>
    <n v="117.84310000000001"/>
    <n v="30.8842"/>
    <n v="4.6749000000000001"/>
    <m/>
    <n v="85184055.610300004"/>
    <n v="138.33938699999999"/>
    <n v="36.255845999999998"/>
    <n v="5.4879990000000003"/>
    <m/>
    <n v="53457293.265657"/>
    <n v="62.755045979746967"/>
  </r>
  <r>
    <x v="19"/>
    <n v="117.5715"/>
    <n v="30.695799999999998"/>
    <n v="4.8346999999999998"/>
    <m/>
    <n v="85360970.216999993"/>
    <n v="137.73449400000001"/>
    <n v="35.959994000000002"/>
    <n v="5.6638299999999999"/>
    <m/>
    <n v="53052536.336402997"/>
    <n v="62.150812252409672"/>
  </r>
  <r>
    <x v="20"/>
    <n v="122.4622"/>
    <n v="32.078800000000001"/>
    <n v="5.0609999999999999"/>
    <m/>
    <n v="85615747.9419"/>
    <n v="143.037003"/>
    <n v="37.468341000000002"/>
    <n v="5.9112960000000001"/>
    <m/>
    <n v="54682433.380038001"/>
    <n v="63.869597234782361"/>
  </r>
  <r>
    <x v="21"/>
    <n v="107.806"/>
    <n v="28.166599999999999"/>
    <n v="4.5925000000000002"/>
    <m/>
    <n v="86010726.443100005"/>
    <n v="125.340181"/>
    <n v="32.747776000000002"/>
    <n v="5.3394500000000003"/>
    <m/>
    <n v="49994458.354813002"/>
    <n v="58.125841301766712"/>
  </r>
  <r>
    <x v="22"/>
    <n v="108.64100000000001"/>
    <n v="28.4206"/>
    <n v="4.5388000000000002"/>
    <m/>
    <n v="85856309.639200002"/>
    <n v="126.538166"/>
    <n v="33.102518000000003"/>
    <n v="5.2865070000000003"/>
    <m/>
    <n v="49682479.114413001"/>
    <n v="57.867009801838876"/>
  </r>
  <r>
    <x v="23"/>
    <n v="101.3124"/>
    <n v="26.720400000000001"/>
    <n v="3.6046"/>
    <m/>
    <n v="85959184.410899997"/>
    <n v="117.861053"/>
    <n v="31.084985"/>
    <n v="4.1933860000000003"/>
    <m/>
    <n v="45120022.790591002"/>
    <n v="52.490054552995026"/>
  </r>
  <r>
    <x v="24"/>
    <n v="100.9228"/>
    <n v="26.517299999999999"/>
    <n v="3.9561999999999999"/>
    <m/>
    <n v="85974603.941"/>
    <n v="117.386758"/>
    <n v="30.843178000000002"/>
    <n v="4.601591"/>
    <m/>
    <n v="45518890.781763002"/>
    <n v="52.944577462665954"/>
  </r>
  <r>
    <x v="25"/>
    <n v="102.18380000000001"/>
    <n v="27.004799999999999"/>
    <n v="3.7160000000000002"/>
    <m/>
    <n v="86059393.542099997"/>
    <n v="118.73636999999999"/>
    <n v="31.379259000000001"/>
    <n v="4.3179480000000003"/>
    <m/>
    <n v="45416634.243842997"/>
    <n v="52.773593183207034"/>
  </r>
  <r>
    <x v="26"/>
    <n v="101.28830000000001"/>
    <n v="26.668700000000001"/>
    <n v="3.9885999999999999"/>
    <m/>
    <n v="86080857.4287"/>
    <n v="117.66646299999999"/>
    <n v="30.980988"/>
    <n v="4.6335509999999998"/>
    <m/>
    <n v="45657601.787102997"/>
    <n v="53.040365943056244"/>
  </r>
  <r>
    <x v="27"/>
    <n v="101.5133"/>
    <n v="27.034800000000001"/>
    <n v="3.6737000000000002"/>
    <m/>
    <n v="86174631.529699996"/>
    <n v="117.79951699999999"/>
    <n v="31.372109999999999"/>
    <n v="4.2630879999999998"/>
    <m/>
    <n v="45556146.044761002"/>
    <n v="52.864915388770903"/>
  </r>
  <r>
    <x v="28"/>
    <n v="100.51730000000001"/>
    <n v="26.5931"/>
    <n v="3.9022999999999999"/>
    <m/>
    <n v="86018809.143900007"/>
    <n v="116.855024"/>
    <n v="30.915448000000001"/>
    <n v="4.5365659999999997"/>
    <m/>
    <n v="45559689.815745004"/>
    <n v="52.964799523704933"/>
  </r>
  <r>
    <x v="29"/>
    <n v="98.858599999999996"/>
    <n v="25.454499999999999"/>
    <n v="4.4587000000000003"/>
    <m/>
    <n v="85582587.670499995"/>
    <n v="115.51251600000001"/>
    <n v="29.742616000000002"/>
    <n v="5.2098209999999998"/>
    <m/>
    <n v="45960783.841651998"/>
    <n v="53.703428574285226"/>
  </r>
  <r>
    <x v="30"/>
    <n v="98.400300000000001"/>
    <n v="25.146999999999998"/>
    <n v="4.8506999999999998"/>
    <m/>
    <n v="93190607.461799994"/>
    <n v="105.590362"/>
    <n v="26.984479"/>
    <n v="5.2051379999999998"/>
    <m/>
    <e v="#N/A"/>
    <e v="#N/A"/>
  </r>
  <r>
    <x v="31"/>
    <n v="96.988900000000001"/>
    <n v="24.131699999999999"/>
    <n v="5.1706000000000003"/>
    <m/>
    <n v="93295738.324499995"/>
    <n v="103.95855299999999"/>
    <n v="25.865811999999998"/>
    <n v="5.5421610000000001"/>
    <m/>
    <n v="45993054.03215"/>
    <n v="49.298129644654907"/>
  </r>
  <r>
    <x v="32"/>
    <n v="94.603099999999998"/>
    <n v="23.258600000000001"/>
    <n v="5.194"/>
    <m/>
    <n v="93137928.529699996"/>
    <n v="101.57312"/>
    <n v="24.972211000000001"/>
    <n v="5.5766749999999998"/>
    <m/>
    <n v="45907146.394073002"/>
    <n v="49.289421741255545"/>
  </r>
  <r>
    <x v="33"/>
    <n v="67.503600000000006"/>
    <n v="15.917999999999999"/>
    <n v="7.0404"/>
    <m/>
    <n v="93342028.453999996"/>
    <n v="72.318548000000007"/>
    <n v="17.053411000000001"/>
    <n v="7.5425829999999996"/>
    <m/>
    <n v="37884544.215414003"/>
    <n v="40.586801940011334"/>
  </r>
  <r>
    <x v="34"/>
    <n v="71.708299999999994"/>
    <n v="17.4666"/>
    <n v="6.1551999999999998"/>
    <m/>
    <n v="93050372.4278"/>
    <n v="77.063958"/>
    <n v="18.771122999999999"/>
    <n v="6.6149120000000003"/>
    <m/>
    <n v="37746537.455539003"/>
    <n v="40.565702716372726"/>
  </r>
  <r>
    <x v="35"/>
    <n v="70.259900000000002"/>
    <n v="16.445799999999998"/>
    <n v="6.6897000000000002"/>
    <m/>
    <n v="93838427.3301"/>
    <n v="74.873271000000003"/>
    <n v="17.525656000000001"/>
    <n v="7.1289559999999996"/>
    <m/>
    <n v="37894172.874862999"/>
    <n v="40.38236141955025"/>
  </r>
  <r>
    <x v="36"/>
    <n v="65.173900000000003"/>
    <n v="14.4107"/>
    <n v="7.9964000000000004"/>
    <m/>
    <n v="94124063.191499993"/>
    <n v="69.242547999999999"/>
    <n v="15.310325000000001"/>
    <n v="8.4955960000000008"/>
    <m/>
    <n v="38483848.482095003"/>
    <n v="40.886301735399734"/>
  </r>
  <r>
    <x v="37"/>
    <n v="69.881799999999998"/>
    <n v="14.1401"/>
    <n v="9.0130999999999997"/>
    <m/>
    <n v="93984173.947099999"/>
    <n v="74.354859000000005"/>
    <n v="15.045192999999999"/>
    <n v="9.5900189999999998"/>
    <m/>
    <n v="37941067.898501001"/>
    <n v="40.369634913061574"/>
  </r>
  <r>
    <x v="38"/>
    <n v="97.724299999999999"/>
    <n v="20.7942"/>
    <n v="8.4663000000000004"/>
    <m/>
    <n v="94075188.761899993"/>
    <n v="103.87893099999999"/>
    <n v="22.103808999999998"/>
    <n v="8.9995039999999999"/>
    <m/>
    <n v="45868601.966596"/>
    <n v="48.75738499200606"/>
  </r>
  <r>
    <x v="39"/>
    <n v="106.2817"/>
    <n v="21.946400000000001"/>
    <n v="10.088699999999999"/>
    <m/>
    <n v="94037485.090900004"/>
    <n v="113.020568"/>
    <n v="23.337927000000001"/>
    <n v="10.728381000000001"/>
    <m/>
    <n v="50465447.898914002"/>
    <n v="53.66524620488552"/>
  </r>
  <r>
    <x v="40"/>
    <n v="105.2962"/>
    <n v="22.199100000000001"/>
    <n v="10.1168"/>
    <m/>
    <n v="94026096.292899996"/>
    <n v="111.986144"/>
    <n v="23.609508999999999"/>
    <n v="10.759566"/>
    <m/>
    <n v="49890260.768932"/>
    <n v="53.060014970226156"/>
  </r>
  <r>
    <x v="41"/>
    <n v="101.43049999999999"/>
    <n v="21.144300000000001"/>
    <n v="10.273199999999999"/>
    <m/>
    <n v="94130477.779899999"/>
    <n v="107.755216"/>
    <n v="22.462755999999999"/>
    <n v="10.913786999999999"/>
    <m/>
    <n v="49724629.717271999"/>
    <n v="52.82521760225238"/>
  </r>
  <r>
    <x v="42"/>
    <n v="100.01779999999999"/>
    <n v="20.598299999999998"/>
    <n v="10.415100000000001"/>
    <m/>
    <n v="94145400.434100002"/>
    <n v="106.237585"/>
    <n v="21.879242000000001"/>
    <n v="11.062782"/>
    <m/>
    <n v="49713124.947379999"/>
    <n v="52.804624249464261"/>
  </r>
  <r>
    <x v="43"/>
    <n v="110.5153"/>
    <n v="22.3246"/>
    <n v="10.453799999999999"/>
    <m/>
    <n v="94339696.522300005"/>
    <n v="117.146126"/>
    <n v="23.664057"/>
    <n v="11.081019"/>
    <m/>
    <n v="51415067.191618003"/>
    <n v="54.499928542238329"/>
  </r>
  <r>
    <x v="44"/>
    <n v="114.77549999999999"/>
    <n v="23.09"/>
    <n v="10.3447"/>
    <m/>
    <n v="94333463.701499999"/>
    <n v="121.669973"/>
    <n v="24.476997999999998"/>
    <n v="10.966098000000001"/>
    <m/>
    <n v="51326810.196699001"/>
    <n v="54.409970950619133"/>
  </r>
  <r>
    <x v="45"/>
    <n v="117.7105"/>
    <n v="23.490400000000001"/>
    <n v="10.2112"/>
    <m/>
    <n v="94107107.899200007"/>
    <n v="125.081413"/>
    <n v="24.961345000000001"/>
    <n v="10.850614999999999"/>
    <m/>
    <n v="50989712.872454002"/>
    <n v="54.18263722127142"/>
  </r>
  <r>
    <x v="46"/>
    <n v="121.76479999999999"/>
    <n v="24.521599999999999"/>
    <n v="9.9718"/>
    <m/>
    <n v="94247006.097299993"/>
    <n v="129.19752600000001"/>
    <n v="26.018439000000001"/>
    <n v="10.580495000000001"/>
    <m/>
    <n v="50991724.146489002"/>
    <n v="54.104343743126947"/>
  </r>
  <r>
    <x v="47"/>
    <n v="136.8451"/>
    <n v="28.802299999999999"/>
    <n v="7.6163999999999996"/>
    <m/>
    <n v="94335013.825200006"/>
    <n v="145.062893"/>
    <n v="30.531929999999999"/>
    <n v="8.0737780000000008"/>
    <m/>
    <n v="48931342.828294002"/>
    <n v="51.869757414741393"/>
  </r>
  <r>
    <x v="48"/>
    <n v="143.4742"/>
    <n v="29.047999999999998"/>
    <n v="4.9732000000000003"/>
    <m/>
    <n v="94196688.782399997"/>
    <n v="152.313422"/>
    <n v="30.837602"/>
    <n v="5.2795909999999999"/>
    <m/>
    <n v="41536747.848909996"/>
    <n v="44.095762160878479"/>
  </r>
  <r>
    <x v="49"/>
    <n v="140.0847"/>
    <n v="28.3992"/>
    <n v="4.923"/>
    <m/>
    <n v="94141633.503600001"/>
    <n v="148.80207100000001"/>
    <n v="30.166461999999999"/>
    <n v="5.229355"/>
    <m/>
    <n v="41552021.734495997"/>
    <n v="44.137774317360915"/>
  </r>
  <r>
    <x v="50"/>
    <n v="137.90860000000001"/>
    <n v="29.0153"/>
    <n v="5.0105000000000004"/>
    <m/>
    <n v="94144258.746700004"/>
    <n v="146.486469"/>
    <n v="30.820042000000001"/>
    <n v="5.3221509999999999"/>
    <m/>
    <n v="41651274.140623003"/>
    <n v="44.241969393681146"/>
  </r>
  <r>
    <x v="51"/>
    <n v="136.964"/>
    <n v="28.1677"/>
    <n v="4.7461000000000002"/>
    <m/>
    <n v="94244599.257300004"/>
    <n v="145.32822200000001"/>
    <n v="29.887865999999999"/>
    <n v="5.0359379999999998"/>
    <m/>
    <n v="41644052.342364997"/>
    <n v="44.187202949074376"/>
  </r>
  <r>
    <x v="52"/>
    <n v="130.8356"/>
    <n v="27.904399999999999"/>
    <n v="4.8074000000000003"/>
    <m/>
    <n v="93984689.740500003"/>
    <n v="139.20948200000001"/>
    <n v="29.690367999999999"/>
    <n v="5.1150880000000001"/>
    <m/>
    <n v="41934003.672518"/>
    <n v="44.617909351301236"/>
  </r>
  <r>
    <x v="53"/>
    <n v="134.11940000000001"/>
    <n v="27.972200000000001"/>
    <n v="4.7721999999999998"/>
    <m/>
    <n v="105019654.9912"/>
    <n v="127.708856"/>
    <n v="26.635204999999999"/>
    <n v="4.5441019999999996"/>
    <m/>
    <n v="41961353.648988999"/>
    <n v="39.955714625519484"/>
  </r>
  <r>
    <x v="54"/>
    <n v="134.41499999999999"/>
    <n v="26.9404"/>
    <n v="4.7839"/>
    <m/>
    <n v="105049638.4773"/>
    <n v="127.953796"/>
    <n v="25.645399999999999"/>
    <n v="4.5539420000000002"/>
    <m/>
    <n v="41770409.063474"/>
    <n v="39.762544325652385"/>
  </r>
  <r>
    <x v="55"/>
    <n v="138.15010000000001"/>
    <n v="27.222999999999999"/>
    <n v="4.7679"/>
    <m/>
    <n v="104934556.92020001"/>
    <n v="131.65357900000001"/>
    <n v="25.942836"/>
    <n v="4.5436889999999996"/>
    <m/>
    <n v="41682488.137169003"/>
    <n v="39.722365406152569"/>
  </r>
  <r>
    <x v="56"/>
    <n v="149.63120000000001"/>
    <n v="30.117899999999999"/>
    <n v="5.6193"/>
    <m/>
    <n v="105072483.06559999"/>
    <n v="142.407599"/>
    <n v="28.663927000000001"/>
    <n v="5.3480220000000003"/>
    <m/>
    <n v="48438165.543866001"/>
    <n v="46.099762878568846"/>
  </r>
  <r>
    <x v="57"/>
    <n v="156.0061"/>
    <n v="30.741"/>
    <n v="6.4432"/>
    <m/>
    <n v="105156248.21950001"/>
    <n v="148.356472"/>
    <n v="29.233640999999999"/>
    <n v="6.1272630000000001"/>
    <m/>
    <n v="54213749.521674"/>
    <n v="51.555423895030792"/>
  </r>
  <r>
    <x v="58"/>
    <n v="147.191"/>
    <n v="28.849499999999999"/>
    <n v="5.6936999999999998"/>
    <m/>
    <n v="105134912.2809"/>
    <n v="140.00201899999999"/>
    <n v="27.440456999999999"/>
    <n v="5.4156129999999996"/>
    <m/>
    <n v="53577510.567557998"/>
    <n v="50.960722185613591"/>
  </r>
  <r>
    <x v="59"/>
    <n v="145.0394"/>
    <n v="29.101500000000001"/>
    <n v="6.1547999999999998"/>
    <m/>
    <n v="105179567.2958"/>
    <n v="137.89693500000001"/>
    <n v="27.668396999999999"/>
    <n v="5.8517070000000002"/>
    <m/>
    <n v="53669138.064260997"/>
    <n v="51.026201613213992"/>
  </r>
  <r>
    <x v="60"/>
    <n v="151.6079"/>
    <n v="30.5307"/>
    <n v="5.8864999999999998"/>
    <m/>
    <n v="105131350.903"/>
    <n v="144.208078"/>
    <n v="29.040528999999999"/>
    <n v="5.5991860000000004"/>
    <m/>
    <n v="55463736.388342001"/>
    <n v="52.756609624008263"/>
  </r>
  <r>
    <x v="61"/>
    <n v="198.09800000000001"/>
    <n v="39.710999999999999"/>
    <n v="4.0205000000000002"/>
    <m/>
    <n v="105083218.7289"/>
    <n v="188.51535200000001"/>
    <n v="37.790049000000003"/>
    <n v="3.8260149999999999"/>
    <m/>
    <n v="66241951.472445004"/>
    <n v="63.037611783989952"/>
  </r>
  <r>
    <x v="62"/>
    <n v="194.11959999999999"/>
    <n v="39.753799999999998"/>
    <n v="4.5216000000000003"/>
    <m/>
    <n v="105289794.96070001"/>
    <n v="184.36696599999999"/>
    <n v="37.756556000000003"/>
    <n v="4.2944329999999997"/>
    <m/>
    <n v="66339266.992219001"/>
    <n v="63.006359749281017"/>
  </r>
  <r>
    <x v="63"/>
    <n v="191.3604"/>
    <n v="39.421500000000002"/>
    <n v="4.3574000000000002"/>
    <m/>
    <n v="105156535.3496"/>
    <n v="181.976707"/>
    <n v="37.488397999999997"/>
    <n v="4.1437270000000002"/>
    <m/>
    <n v="66118196.485643998"/>
    <n v="62.875974627567935"/>
  </r>
  <r>
    <x v="64"/>
    <n v="178.51679999999999"/>
    <n v="34.9255"/>
    <n v="5.8928000000000003"/>
    <m/>
    <n v="105309678.9445"/>
    <n v="169.516042"/>
    <n v="33.164568000000003"/>
    <n v="5.5956869999999999"/>
    <m/>
    <n v="61751889.821085997"/>
    <n v="58.638380099544598"/>
  </r>
  <r>
    <x v="65"/>
    <n v="175.38319999999999"/>
    <n v="34.305500000000002"/>
    <n v="5.9747000000000003"/>
    <m/>
    <n v="105406221.0387"/>
    <n v="166.387902"/>
    <n v="32.545991999999998"/>
    <n v="5.6682610000000002"/>
    <m/>
    <n v="61389188.394851997"/>
    <n v="58.240574218397313"/>
  </r>
  <r>
    <x v="66"/>
    <n v="174.20009999999999"/>
    <n v="31.0014"/>
    <n v="5.0868000000000002"/>
    <m/>
    <n v="104198838.06820001"/>
    <n v="167.180463"/>
    <n v="29.752154999999998"/>
    <n v="4.8818200000000003"/>
    <m/>
    <n v="60070576.341495998"/>
    <n v="57.649948363319304"/>
  </r>
  <r>
    <x v="67"/>
    <n v="203.43049999999999"/>
    <n v="31.523499999999999"/>
    <n v="4.0426000000000002"/>
    <m/>
    <n v="103480751.3504"/>
    <n v="196.58776900000001"/>
    <n v="30.463152999999998"/>
    <n v="3.9066200000000002"/>
    <m/>
    <n v="59129400.411362998"/>
    <n v="57.140482302010689"/>
  </r>
  <r>
    <x v="68"/>
    <n v="193.4606"/>
    <n v="32.6873"/>
    <n v="5.3113999999999999"/>
    <m/>
    <n v="104094385.8594"/>
    <n v="185.85113699999999"/>
    <n v="31.401596999999999"/>
    <n v="5.1024849999999997"/>
    <m/>
    <n v="59881304.990694001"/>
    <n v="57.525969817023096"/>
  </r>
  <r>
    <x v="69"/>
    <n v="197.02860000000001"/>
    <n v="33.776400000000002"/>
    <n v="4.9969000000000001"/>
    <m/>
    <n v="104122968.41949999"/>
    <n v="189.22683699999999"/>
    <n v="32.438952"/>
    <n v="4.7990370000000002"/>
    <m/>
    <n v="59944269.177933"/>
    <n v="57.570649480933092"/>
  </r>
  <r>
    <x v="70"/>
    <n v="196.62100000000001"/>
    <n v="35.140099999999997"/>
    <n v="5.3444000000000003"/>
    <m/>
    <n v="104380155.45649999"/>
    <n v="188.37009699999999"/>
    <n v="33.665498999999997"/>
    <n v="5.1201299999999996"/>
    <m/>
    <e v="#N/A"/>
    <e v="#N/A"/>
  </r>
  <r>
    <x v="71"/>
    <n v="190.11609999999999"/>
    <n v="34.186900000000001"/>
    <n v="5.0987"/>
    <m/>
    <n v="104183352.3127"/>
    <n v="182.482226"/>
    <n v="32.814168000000002"/>
    <n v="4.8939680000000001"/>
    <m/>
    <n v="59835961.002443999"/>
    <n v="57.433322766241957"/>
  </r>
  <r>
    <x v="72"/>
    <n v="193.79820000000001"/>
    <n v="33.481000000000002"/>
    <n v="4.9146999999999998"/>
    <m/>
    <n v="103687645.41689999"/>
    <n v="186.905778"/>
    <n v="32.29025"/>
    <n v="4.7399089999999999"/>
    <m/>
    <e v="#N/A"/>
    <e v="#N/A"/>
  </r>
  <r>
    <x v="73"/>
    <n v="166.48140000000001"/>
    <n v="28.1999"/>
    <n v="4.5110000000000001"/>
    <m/>
    <n v="102993091.08"/>
    <n v="161.64327"/>
    <n v="27.380379999999999"/>
    <n v="4.3799049999999999"/>
    <m/>
    <n v="52429524.344803996"/>
    <n v="50.905865427496785"/>
  </r>
  <r>
    <x v="74"/>
    <n v="172.85210000000001"/>
    <n v="27.900500000000001"/>
    <n v="5.1710000000000003"/>
    <m/>
    <n v="103887489.97050001"/>
    <n v="166.38394099999999"/>
    <n v="26.856458"/>
    <n v="4.9775"/>
    <m/>
    <n v="52767754.421351999"/>
    <n v="50.793174843608199"/>
  </r>
  <r>
    <x v="75"/>
    <n v="168.3203"/>
    <n v="28.2927"/>
    <n v="5.3215000000000003"/>
    <m/>
    <n v="104176851.0979"/>
    <n v="161.57169099999999"/>
    <n v="27.158337"/>
    <n v="5.1081409999999998"/>
    <m/>
    <n v="52916247.950714"/>
    <n v="50.794631814112002"/>
  </r>
  <r>
    <x v="76"/>
    <n v="162.67400000000001"/>
    <n v="28.482199999999999"/>
    <n v="5.4131"/>
    <m/>
    <n v="103983039.77060001"/>
    <n v="156.44282000000001"/>
    <n v="27.391197999999999"/>
    <n v="5.2057529999999996"/>
    <m/>
    <n v="53013108.252843"/>
    <n v="50.982456725439796"/>
  </r>
  <r>
    <x v="77"/>
    <n v="180.9091"/>
    <n v="30.617999999999999"/>
    <n v="5.5758999999999999"/>
    <m/>
    <n v="104068985.87630001"/>
    <n v="173.835748"/>
    <n v="29.420869"/>
    <n v="5.357888"/>
    <m/>
    <n v="53364457.375423998"/>
    <n v="51.277964252342031"/>
  </r>
  <r>
    <x v="78"/>
    <n v="211.89750000000001"/>
    <n v="33.817300000000003"/>
    <n v="6.3893000000000004"/>
    <m/>
    <n v="104096417.3486"/>
    <n v="203.55887899999999"/>
    <n v="32.486516999999999"/>
    <n v="6.137867"/>
    <m/>
    <n v="53140695.646173"/>
    <n v="51.049495265734713"/>
  </r>
  <r>
    <x v="79"/>
    <n v="197.7518"/>
    <n v="32.559199999999997"/>
    <n v="5.9352"/>
    <m/>
    <n v="104038293.97220001"/>
    <n v="190.075973"/>
    <n v="31.295400000000001"/>
    <n v="5.7048230000000002"/>
    <m/>
    <e v="#N/A"/>
    <e v="#N/A"/>
  </r>
  <r>
    <x v="80"/>
    <n v="186.7268"/>
    <n v="31.7882"/>
    <n v="5.8440000000000003"/>
    <m/>
    <n v="104222933.08930001"/>
    <n v="179.16095300000001"/>
    <n v="30.500197"/>
    <n v="5.6072110000000004"/>
    <m/>
    <n v="52699739.094648004"/>
    <n v="50.564436763158405"/>
  </r>
  <r>
    <x v="81"/>
    <n v="200.65639999999999"/>
    <n v="32.582799999999999"/>
    <n v="6.1554000000000002"/>
    <m/>
    <n v="104341639.5464"/>
    <n v="192.307118"/>
    <n v="31.227035000000001"/>
    <n v="5.8992750000000003"/>
    <m/>
    <n v="52829087.883658998"/>
    <n v="50.63087767579718"/>
  </r>
  <r>
    <x v="82"/>
    <n v="195.5985"/>
    <n v="32.546799999999998"/>
    <n v="5.9993999999999996"/>
    <m/>
    <n v="104334396.3706"/>
    <n v="187.472691"/>
    <n v="31.194697999999999"/>
    <n v="5.750165"/>
    <m/>
    <n v="52718537.284190997"/>
    <n v="50.528434646741637"/>
  </r>
  <r>
    <x v="83"/>
    <n v="196.23990000000001"/>
    <n v="31.941700000000001"/>
    <n v="6.0063000000000004"/>
    <m/>
    <n v="104254211.7562"/>
    <n v="188.23210800000001"/>
    <n v="30.638283000000001"/>
    <n v="5.7612059999999996"/>
    <m/>
    <n v="52509837.304903001"/>
    <n v="50.36711363536854"/>
  </r>
  <r>
    <x v="84"/>
    <n v="193.62039999999999"/>
    <n v="31.4453"/>
    <n v="5.94"/>
    <m/>
    <n v="104096074.64390001"/>
    <n v="186.001634"/>
    <n v="30.207958999999999"/>
    <n v="5.7062670000000004"/>
    <m/>
    <n v="52268970.537687004"/>
    <n v="50.212239718445474"/>
  </r>
  <r>
    <x v="85"/>
    <n v="190.6439"/>
    <n v="31.290099999999999"/>
    <n v="5.9124999999999996"/>
    <m/>
    <n v="104182129.6399"/>
    <n v="182.99098000000001"/>
    <n v="30.034037999999999"/>
    <n v="5.6751579999999997"/>
    <m/>
    <n v="51761763.571117997"/>
    <n v="49.68391772181063"/>
  </r>
  <r>
    <x v="86"/>
    <n v="188.93350000000001"/>
    <n v="31.415299999999998"/>
    <n v="5.9298000000000002"/>
    <m/>
    <n v="104228589.1283"/>
    <n v="181.268404"/>
    <n v="30.140771000000001"/>
    <n v="5.6892259999999997"/>
    <m/>
    <n v="51863691.735422"/>
    <n v="49.759564212828863"/>
  </r>
  <r>
    <x v="87"/>
    <n v="187.43279999999999"/>
    <n v="31.305"/>
    <n v="5.8986000000000001"/>
    <m/>
    <n v="104132695.9897"/>
    <n v="179.99418700000001"/>
    <n v="30.062604"/>
    <n v="5.6645029999999998"/>
    <m/>
    <n v="51783317.531493001"/>
    <n v="49.728202116859634"/>
  </r>
  <r>
    <x v="88"/>
    <n v="176.12739999999999"/>
    <n v="30.069099999999999"/>
    <n v="6.0659000000000001"/>
    <m/>
    <n v="103314281.6441"/>
    <n v="170.47730200000001"/>
    <n v="29.104495"/>
    <n v="5.871308"/>
    <m/>
    <n v="51089187.765405998"/>
    <n v="49.450266654710425"/>
  </r>
  <r>
    <x v="89"/>
    <n v="179.89099999999999"/>
    <n v="29.552199999999999"/>
    <n v="6.0366"/>
    <m/>
    <n v="103345541.1584"/>
    <n v="174.0675"/>
    <n v="28.595524999999999"/>
    <n v="5.8411809999999997"/>
    <m/>
    <n v="51202683.019643001"/>
    <n v="49.545130293684871"/>
  </r>
  <r>
    <x v="90"/>
    <n v="175.999"/>
    <n v="29.741099999999999"/>
    <n v="6.0458999999999996"/>
    <m/>
    <n v="103209353.6657"/>
    <n v="170.52621099999999"/>
    <n v="28.816284"/>
    <n v="5.8578989999999997"/>
    <m/>
    <n v="51008408.513728999"/>
    <n v="49.422272984043339"/>
  </r>
  <r>
    <x v="91"/>
    <n v="139.14670000000001"/>
    <n v="25.536000000000001"/>
    <n v="6.0877999999999997"/>
    <m/>
    <n v="103630223.12909999"/>
    <n v="134.27231499999999"/>
    <n v="24.641459999999999"/>
    <n v="5.8745409999999998"/>
    <m/>
    <n v="46631568.354817003"/>
    <n v="44.998039130654519"/>
  </r>
  <r>
    <x v="92"/>
    <n v="142.8682"/>
    <n v="25.386700000000001"/>
    <n v="6.2388000000000003"/>
    <m/>
    <n v="103782330.0924"/>
    <n v="137.66139200000001"/>
    <n v="24.461486000000001"/>
    <n v="6.0114280000000004"/>
    <m/>
    <n v="46896791.378288999"/>
    <n v="45.187645465789423"/>
  </r>
  <r>
    <x v="93"/>
    <n v="153.9864"/>
    <n v="25.7425"/>
    <n v="6.0697000000000001"/>
    <m/>
    <n v="104103553.0147"/>
    <n v="147.91656499999999"/>
    <n v="24.727782000000001"/>
    <n v="5.8304450000000001"/>
    <m/>
    <n v="46932219.740194"/>
    <n v="45.082245880279331"/>
  </r>
  <r>
    <x v="94"/>
    <n v="162.85390000000001"/>
    <n v="25.4101"/>
    <n v="5.5938999999999997"/>
    <m/>
    <n v="105321937.35349999"/>
    <n v="154.62486200000001"/>
    <n v="24.126123"/>
    <n v="5.3112389999999996"/>
    <m/>
    <n v="46556355.319439001"/>
    <n v="44.203853906692189"/>
  </r>
  <r>
    <x v="95"/>
    <n v="160.20609999999999"/>
    <n v="25.250399999999999"/>
    <n v="6.0126999999999997"/>
    <m/>
    <n v="105422457.6488"/>
    <n v="151.96581800000001"/>
    <n v="23.951633000000001"/>
    <n v="5.7034339999999997"/>
    <m/>
    <n v="46846978.336061999"/>
    <n v="44.437380213735942"/>
  </r>
  <r>
    <x v="96"/>
    <n v="168.60550000000001"/>
    <n v="27.674499999999998"/>
    <n v="16.2239"/>
    <m/>
    <n v="105424611.3976"/>
    <n v="159.929923"/>
    <n v="26.250512000000001"/>
    <n v="15.389101"/>
    <m/>
    <n v="49613010.246946"/>
    <n v="47.060178443375747"/>
  </r>
  <r>
    <x v="97"/>
    <n v="178.2039"/>
    <n v="28.629899999999999"/>
    <n v="16.782900000000001"/>
    <m/>
    <n v="105288019.442"/>
    <n v="169.25372999999999"/>
    <n v="27.191983"/>
    <n v="15.93999"/>
    <m/>
    <n v="51705613.813221999"/>
    <n v="49.108734390910506"/>
  </r>
  <r>
    <x v="98"/>
    <n v="194.3888"/>
    <n v="30.249700000000001"/>
    <n v="16.946300000000001"/>
    <m/>
    <n v="105325031.43350001"/>
    <n v="184.56087500000001"/>
    <n v="28.720333"/>
    <n v="16.089528000000001"/>
    <m/>
    <n v="51611289.236042"/>
    <n v="49.001921512483264"/>
  </r>
  <r>
    <x v="99"/>
    <n v="200.3954"/>
    <n v="31.184799999999999"/>
    <n v="17.9849"/>
    <m/>
    <n v="105287173.9826"/>
    <n v="190.33220499999999"/>
    <n v="29.618801999999999"/>
    <n v="17.081758000000001"/>
    <m/>
    <n v="51317962.611910999"/>
    <n v="48.740944096753822"/>
  </r>
  <r>
    <x v="100"/>
    <n v="203.2269"/>
    <n v="30.7499"/>
    <n v="17.593399999999999"/>
    <m/>
    <n v="105440688.5801"/>
    <n v="192.74048999999999"/>
    <n v="29.163219999999999"/>
    <n v="16.685589"/>
    <m/>
    <n v="50841011.456905"/>
    <n v="48.217639832921492"/>
  </r>
  <r>
    <x v="101"/>
    <n v="210.08750000000001"/>
    <n v="32.7879"/>
    <n v="16.5852"/>
    <m/>
    <n v="105151842.4218"/>
    <n v="199.79440700000001"/>
    <n v="31.181479"/>
    <n v="15.77262"/>
    <m/>
    <n v="54821004.328351997"/>
    <n v="52.135086809459985"/>
  </r>
  <r>
    <x v="102"/>
    <n v="206.69489999999999"/>
    <n v="32.314999999999998"/>
    <n v="16.631699999999999"/>
    <m/>
    <n v="105092038.3714"/>
    <n v="196.67988500000001"/>
    <n v="30.749237000000001"/>
    <n v="15.825842"/>
    <m/>
    <n v="54628377.888452001"/>
    <n v="51.981461902368721"/>
  </r>
  <r>
    <x v="103"/>
    <n v="263.17059999999998"/>
    <n v="41.335799999999999"/>
    <n v="11.613300000000001"/>
    <m/>
    <n v="105125013.1751"/>
    <n v="250.340611"/>
    <n v="39.320613000000002"/>
    <n v="11.047133000000001"/>
    <m/>
    <n v="61830275.644139998"/>
    <n v="58.815950435272022"/>
  </r>
  <r>
    <x v="104"/>
    <n v="249.8305"/>
    <n v="39.167499999999997"/>
    <n v="9.7022999999999993"/>
    <m/>
    <n v="105117725.55050001"/>
    <n v="237.667338"/>
    <n v="37.260604999999998"/>
    <n v="9.2299369999999996"/>
    <m/>
    <n v="55479064.383339003"/>
    <n v="52.778029673678674"/>
  </r>
  <r>
    <x v="105"/>
    <n v="287.86810000000003"/>
    <n v="44.266599999999997"/>
    <n v="19.4285"/>
    <m/>
    <n v="105186770.1006"/>
    <n v="273.673295"/>
    <n v="42.08381"/>
    <n v="18.470479000000001"/>
    <m/>
    <n v="60763345.064906001"/>
    <n v="57.767098473308288"/>
  </r>
  <r>
    <x v="106"/>
    <n v="281.12169999999998"/>
    <n v="44.533099999999997"/>
    <n v="19.6982"/>
    <m/>
    <n v="105003192.90979999"/>
    <n v="267.726811"/>
    <n v="42.411186999999998"/>
    <n v="18.759620000000002"/>
    <m/>
    <n v="60955349.302711003"/>
    <n v="58.050948369801446"/>
  </r>
  <r>
    <x v="107"/>
    <n v="346.59730000000002"/>
    <n v="54.059699999999999"/>
    <n v="13.1943"/>
    <m/>
    <n v="105120768.0966"/>
    <n v="329.71343899999999"/>
    <n v="51.426279000000001"/>
    <n v="12.551564000000001"/>
    <m/>
    <n v="68791453.113769993"/>
    <n v="65.440401891426987"/>
  </r>
  <r>
    <x v="108"/>
    <n v="341.5181"/>
    <n v="52.847999999999999"/>
    <n v="13.215199999999999"/>
    <m/>
    <n v="105087689.1849"/>
    <n v="324.98392799999999"/>
    <n v="50.289430000000003"/>
    <n v="12.575403"/>
    <m/>
    <n v="68561938.791693002"/>
    <n v="65.242598180134536"/>
  </r>
  <r>
    <x v="109"/>
    <n v="333.55009999999999"/>
    <n v="51.966299999999997"/>
    <n v="13.4565"/>
    <m/>
    <n v="106100483.1662"/>
    <n v="314.37189499999999"/>
    <n v="48.978382000000003"/>
    <n v="12.682789"/>
    <m/>
    <n v="68379303.112655997"/>
    <n v="64.447683056771709"/>
  </r>
  <r>
    <x v="110"/>
    <n v="332.637"/>
    <n v="53.731400000000001"/>
    <n v="13.6319"/>
    <m/>
    <n v="105574521.52240001"/>
    <n v="315.07317799999998"/>
    <n v="50.894286999999998"/>
    <n v="12.912112"/>
    <m/>
    <n v="68620425.373119995"/>
    <n v="64.997145507839818"/>
  </r>
  <r>
    <x v="111"/>
    <n v="327.88929999999999"/>
    <n v="52.641800000000003"/>
    <n v="13.2296"/>
    <m/>
    <n v="105234282.1234"/>
    <n v="311.580308"/>
    <n v="50.023432"/>
    <n v="12.571569"/>
    <m/>
    <n v="68176250.758807003"/>
    <n v="64.785210088535649"/>
  </r>
  <r>
    <x v="112"/>
    <n v="327.28179999999998"/>
    <n v="52.629199999999997"/>
    <n v="12.808299999999999"/>
    <m/>
    <n v="104609781.4552"/>
    <n v="312.85965399999998"/>
    <n v="50.310017999999999"/>
    <n v="12.243884"/>
    <m/>
    <n v="68287613.027890995"/>
    <n v="65.278420505195029"/>
  </r>
  <r>
    <x v="113"/>
    <n v="327.18490000000003"/>
    <n v="53.233800000000002"/>
    <n v="12.580399999999999"/>
    <m/>
    <n v="104310218.3889"/>
    <n v="313.66524299999998"/>
    <n v="51.034117999999999"/>
    <n v="12.060563"/>
    <m/>
    <n v="69779757.096002996"/>
    <n v="66.896377146717285"/>
  </r>
  <r>
    <x v="114"/>
    <n v="326.13920000000002"/>
    <n v="53.815399999999997"/>
    <n v="62.279699999999998"/>
    <m/>
    <n v="103401884.6637"/>
    <n v="315.40933799999999"/>
    <n v="52.044893000000002"/>
    <n v="60.230719999999998"/>
    <m/>
    <n v="69631844.449880004"/>
    <n v="67.340981913770463"/>
  </r>
  <r>
    <x v="115"/>
    <n v="322.1694"/>
    <n v="51.986699999999999"/>
    <n v="73.8005"/>
    <m/>
    <n v="103342966.69760001"/>
    <n v="311.74777599999999"/>
    <n v="50.305019999999999"/>
    <n v="71.413180999999994"/>
    <m/>
    <n v="68739643.468081996"/>
    <n v="66.516034583394998"/>
  </r>
  <r>
    <x v="116"/>
    <n v="323.52730000000003"/>
    <n v="52.195"/>
    <n v="149.03749999999999"/>
    <m/>
    <n v="103461377.29719999"/>
    <n v="312.70345400000002"/>
    <n v="50.448777"/>
    <n v="144.05134000000001"/>
    <m/>
    <n v="69091278.344569996"/>
    <n v="66.779778260732499"/>
  </r>
  <r>
    <x v="117"/>
    <n v="324.39690000000002"/>
    <n v="52.675199999999997"/>
    <n v="149.87549999999999"/>
    <m/>
    <n v="103642098.0289"/>
    <n v="312.99723399999999"/>
    <n v="50.824134999999998"/>
    <n v="144.608709"/>
    <m/>
    <n v="69430553.514320001"/>
    <n v="66.990687022718987"/>
  </r>
  <r>
    <x v="118"/>
    <n v="383.94110000000001"/>
    <n v="59.497500000000002"/>
    <n v="147.37860000000001"/>
    <m/>
    <n v="103531687.55599999"/>
    <n v="370.84404699999999"/>
    <n v="57.467913000000003"/>
    <n v="142.35120000000001"/>
    <m/>
    <n v="77535706.132863998"/>
    <n v="74.890797168668925"/>
  </r>
  <r>
    <x v="119"/>
    <n v="368.22140000000002"/>
    <n v="57.155799999999999"/>
    <n v="177.59119999999999"/>
    <m/>
    <n v="104117726.9692"/>
    <n v="353.65870000000001"/>
    <n v="54.895358999999999"/>
    <n v="170.567688"/>
    <m/>
    <n v="77575619.793482006"/>
    <n v="74.507600244125911"/>
  </r>
  <r>
    <x v="120"/>
    <n v="340.8913"/>
    <n v="56.534599999999998"/>
    <n v="173.93969999999999"/>
    <m/>
    <n v="104016898.75470001"/>
    <n v="327.72684400000003"/>
    <n v="54.351360999999997"/>
    <n v="167.22254000000001"/>
    <m/>
    <n v="77980783.465014994"/>
    <n v="74.969340942297052"/>
  </r>
  <r>
    <x v="121"/>
    <n v="340.99880000000002"/>
    <n v="56.006999999999998"/>
    <n v="174.19239999999999"/>
    <m/>
    <n v="104244126.57430001"/>
    <n v="327.11559999999997"/>
    <n v="53.726768"/>
    <n v="167.10044600000001"/>
    <m/>
    <n v="77615129.109623"/>
    <n v="74.455157964514015"/>
  </r>
  <r>
    <x v="122"/>
    <n v="351.47989999999999"/>
    <n v="56.723599999999998"/>
    <n v="183.3869"/>
    <m/>
    <n v="104275125.60439999"/>
    <n v="337.06974500000001"/>
    <n v="54.398015999999998"/>
    <n v="175.86830900000001"/>
    <m/>
    <n v="77002336.359559998"/>
    <n v="73.845354693402371"/>
  </r>
  <r>
    <x v="123"/>
    <n v="346.52710000000002"/>
    <n v="54.249899999999997"/>
    <n v="180.32380000000001"/>
    <m/>
    <n v="104008641.5948"/>
    <n v="333.17145099999999"/>
    <n v="52.159030999999999"/>
    <n v="173.373863"/>
    <m/>
    <n v="75556900.238931"/>
    <n v="72.644829391472925"/>
  </r>
  <r>
    <x v="124"/>
    <n v="346.71730000000002"/>
    <n v="55.243299999999998"/>
    <n v="193.99959999999999"/>
    <m/>
    <n v="104279666.002"/>
    <n v="332.48792700000001"/>
    <n v="52.976100000000002"/>
    <n v="186.037803"/>
    <m/>
    <n v="76342061.006984994"/>
    <n v="73.208961951911903"/>
  </r>
  <r>
    <x v="125"/>
    <n v="343.8897"/>
    <n v="53.6449"/>
    <n v="191.0444"/>
    <m/>
    <n v="104313780.8417"/>
    <n v="329.668522"/>
    <n v="51.426475000000003"/>
    <n v="183.14397"/>
    <m/>
    <n v="75547902.437399"/>
    <n v="72.423702628558459"/>
  </r>
  <r>
    <x v="126"/>
    <n v="328.98230000000001"/>
    <n v="50.123199999999997"/>
    <n v="194.3134"/>
    <m/>
    <n v="104644485.77410001"/>
    <n v="314.380923"/>
    <n v="47.898558000000001"/>
    <n v="185.68909600000001"/>
    <m/>
    <n v="71890734.017162994"/>
    <n v="68.699973520206527"/>
  </r>
  <r>
    <x v="127"/>
    <n v="345.2097"/>
    <n v="54.954900000000002"/>
    <n v="239.6652"/>
    <m/>
    <n v="104219218.4126"/>
    <n v="331.23420499999997"/>
    <n v="52.730102000000002"/>
    <n v="229.96257700000001"/>
    <m/>
    <n v="72978928.386866003"/>
    <n v="70.024444146131614"/>
  </r>
  <r>
    <x v="128"/>
    <n v="345.79059999999998"/>
    <n v="55.954599999999999"/>
    <n v="241.30699999999999"/>
    <m/>
    <n v="104155892.1585"/>
    <n v="331.99331599999999"/>
    <n v="53.721972999999998"/>
    <n v="231.678684"/>
    <m/>
    <n v="73496565.086942002"/>
    <n v="70.564001290582837"/>
  </r>
  <r>
    <x v="129"/>
    <n v="333.27339999999998"/>
    <n v="54.592399999999998"/>
    <n v="240.0753"/>
    <m/>
    <n v="104278673.41760001"/>
    <n v="319.59881100000001"/>
    <n v="52.352410999999996"/>
    <n v="230.22473500000001"/>
    <m/>
    <n v="73382892.283014998"/>
    <n v="70.371908155315623"/>
  </r>
  <r>
    <x v="130"/>
    <n v="333.49990000000003"/>
    <n v="56.387300000000003"/>
    <n v="241.8929"/>
    <m/>
    <n v="104016511.7406"/>
    <n v="320.62207699999999"/>
    <n v="54.209950999999997"/>
    <n v="232.55240499999999"/>
    <m/>
    <n v="74139180.888889"/>
    <n v="71.276357616932856"/>
  </r>
  <r>
    <x v="131"/>
    <n v="333.81799999999998"/>
    <n v="56.0077"/>
    <n v="238.48310000000001"/>
    <m/>
    <n v="104159260.62909999"/>
    <n v="320.488066"/>
    <n v="53.771214999999998"/>
    <n v="228.96005500000001"/>
    <m/>
    <n v="73246491.724876001"/>
    <n v="70.32163178048944"/>
  </r>
  <r>
    <x v="132"/>
    <n v="329.52460000000002"/>
    <n v="53.026699999999998"/>
    <n v="233.26169999999999"/>
    <m/>
    <n v="104277631.9795"/>
    <n v="316.00698399999999"/>
    <n v="50.851461999999998"/>
    <n v="223.692939"/>
    <m/>
    <n v="71848738.706676006"/>
    <n v="68.901390780336087"/>
  </r>
  <r>
    <x v="133"/>
    <n v="332.1626"/>
    <n v="52.971200000000003"/>
    <n v="233.21289999999999"/>
    <m/>
    <n v="104432134.7904"/>
    <n v="318.06550800000002"/>
    <n v="50.723084999999998"/>
    <n v="223.31526600000001"/>
    <m/>
    <n v="71734780.285759002"/>
    <n v="68.690332175755998"/>
  </r>
  <r>
    <x v="134"/>
    <n v="348.1139"/>
    <n v="55.227600000000002"/>
    <n v="231.90010000000001"/>
    <m/>
    <n v="106126574.38609999"/>
    <n v="328.01765399999999"/>
    <n v="52.039369000000001"/>
    <n v="218.512754"/>
    <m/>
    <n v="77697732.752280995"/>
    <n v="73.212325189738266"/>
  </r>
  <r>
    <x v="135"/>
    <n v="320.84050000000002"/>
    <n v="52.190600000000003"/>
    <n v="225.5626"/>
    <m/>
    <n v="108215691.0231"/>
    <n v="296.48241999999999"/>
    <n v="48.228310999999998"/>
    <n v="208.43798000000001"/>
    <m/>
    <n v="163941673.80366799"/>
    <n v="151.49528894906061"/>
  </r>
  <r>
    <x v="136"/>
    <n v="325.36590000000001"/>
    <n v="54.2089"/>
    <n v="222.505"/>
    <m/>
    <n v="108049460.8307"/>
    <n v="301.12681500000002"/>
    <n v="50.170448999999998"/>
    <n v="205.92883900000001"/>
    <m/>
    <n v="78056208.232034996"/>
    <n v="72.241182539854904"/>
  </r>
  <r>
    <x v="137"/>
    <n v="301.1182"/>
    <n v="48.648299999999999"/>
    <n v="214.7037"/>
    <m/>
    <n v="106699937.4712"/>
    <n v="282.21028699999999"/>
    <n v="45.593559999999997"/>
    <n v="201.22195500000001"/>
    <m/>
    <n v="76494943.254437"/>
    <n v="71.69164768731396"/>
  </r>
  <r>
    <x v="138"/>
    <n v="311.80099999999999"/>
    <n v="49.5244"/>
    <n v="211.75540000000001"/>
    <m/>
    <n v="107020359.9131"/>
    <n v="291.34736600000002"/>
    <n v="46.275680999999999"/>
    <n v="197.86459300000001"/>
    <m/>
    <n v="75811196.017830998"/>
    <n v="70.838106019629649"/>
  </r>
  <r>
    <x v="139"/>
    <n v="329.7405"/>
    <n v="52.030500000000004"/>
    <n v="218.12110000000001"/>
    <m/>
    <n v="108332550.4576"/>
    <n v="304.37804599999998"/>
    <n v="48.028500999999999"/>
    <n v="201.344009"/>
    <m/>
    <n v="77295525.347170994"/>
    <n v="71.350231320754787"/>
  </r>
  <r>
    <x v="140"/>
    <n v="342.7595"/>
    <n v="55.439599999999999"/>
    <n v="214.24350000000001"/>
    <m/>
    <n v="108416120.5485"/>
    <n v="316.15178500000002"/>
    <n v="51.135938000000003"/>
    <n v="197.61221800000001"/>
    <m/>
    <n v="79414692.914096996"/>
    <n v="73.249893569629066"/>
  </r>
  <r>
    <x v="141"/>
    <n v="323.37079999999997"/>
    <n v="52.2667"/>
    <n v="207.6679"/>
    <m/>
    <n v="108997327.6469"/>
    <n v="296.67773199999999"/>
    <n v="47.952277000000002"/>
    <n v="190.52567999999999"/>
    <m/>
    <n v="78884597.551269993"/>
    <n v="72.372964782053131"/>
  </r>
  <r>
    <x v="142"/>
    <n v="317.80110000000002"/>
    <n v="51.254100000000001"/>
    <n v="203.82060000000001"/>
    <m/>
    <n v="108201792.11589999"/>
    <n v="293.71149400000002"/>
    <n v="47.368994000000001"/>
    <n v="188.37081699999999"/>
    <m/>
    <n v="78545896.246104002"/>
    <n v="72.592047423733817"/>
  </r>
  <r>
    <x v="143"/>
    <n v="316.53969999999998"/>
    <n v="49.061399999999999"/>
    <n v="187.352"/>
    <m/>
    <n v="109673800.93700001"/>
    <n v="288.61924800000003"/>
    <n v="44.733929000000003"/>
    <n v="170.82657699999999"/>
    <m/>
    <e v="#N/A"/>
    <e v="#N/A"/>
  </r>
  <r>
    <x v="144"/>
    <n v="318.17970000000003"/>
    <n v="49.849899999999998"/>
    <n v="189.71770000000001"/>
    <m/>
    <n v="110533542.9518"/>
    <n v="287.85804899999999"/>
    <n v="45.099341000000003"/>
    <n v="171.638124"/>
    <m/>
    <n v="76296108.587053999"/>
    <n v="69.025299062678371"/>
  </r>
  <r>
    <x v="145"/>
    <n v="308.72239999999999"/>
    <n v="49.478099999999998"/>
    <n v="190.1146"/>
    <m/>
    <n v="110228834.7973"/>
    <n v="280.07408500000003"/>
    <n v="44.886712000000003"/>
    <n v="172.472657"/>
    <m/>
    <n v="71151619.014136001"/>
    <n v="64.549007657548813"/>
  </r>
  <r>
    <x v="146"/>
    <n v="305.9119"/>
    <n v="50.977600000000002"/>
    <n v="301.53710000000001"/>
    <m/>
    <n v="109858445.16159999"/>
    <n v="278.46006699999998"/>
    <n v="46.402987000000003"/>
    <n v="274.47785199999998"/>
    <m/>
    <n v="71377830.395080999"/>
    <n v="64.972547436007645"/>
  </r>
  <r>
    <x v="147"/>
    <n v="302.6259"/>
    <n v="51.080300000000001"/>
    <n v="300.82069999999999"/>
    <m/>
    <n v="108939939.345"/>
    <n v="277.79150800000002"/>
    <n v="46.888497000000001"/>
    <n v="276.13444800000002"/>
    <m/>
    <n v="71436082.893693"/>
    <n v="65.573822900215973"/>
  </r>
  <r>
    <x v="148"/>
    <n v="429.27839999999998"/>
    <n v="76.820999999999998"/>
    <n v="317.98410000000001"/>
    <m/>
    <n v="108272615.1605"/>
    <n v="396.47920099999999"/>
    <n v="70.951459"/>
    <n v="293.68839000000003"/>
    <m/>
    <n v="71131197.715121001"/>
    <n v="65.696388333909084"/>
  </r>
  <r>
    <x v="149"/>
    <n v="441.02109999999999"/>
    <n v="76.635400000000004"/>
    <n v="320.32929999999999"/>
    <m/>
    <n v="108621648.8345"/>
    <n v="406.01584000000003"/>
    <n v="70.552601999999993"/>
    <n v="294.90373599999998"/>
    <m/>
    <n v="70611034.298065007"/>
    <n v="65.006409915256043"/>
  </r>
  <r>
    <x v="150"/>
    <n v="452.91039999999998"/>
    <n v="75.845299999999995"/>
    <n v="321.45440000000002"/>
    <m/>
    <n v="109026252.7061"/>
    <n v="415.41407600000002"/>
    <n v="69.566089000000005"/>
    <n v="294.84128099999998"/>
    <m/>
    <n v="68775011.878686994"/>
    <n v="63.081148046133883"/>
  </r>
  <r>
    <x v="151"/>
    <n v="447.24720000000002"/>
    <n v="73.573999999999998"/>
    <n v="316.89640000000003"/>
    <m/>
    <n v="108647006.41670001"/>
    <n v="411.65165500000001"/>
    <n v="67.718387000000007"/>
    <n v="291.67522500000001"/>
    <m/>
    <n v="67502833.960924"/>
    <n v="62.130413149191213"/>
  </r>
  <r>
    <x v="152"/>
    <n v="421.4248"/>
    <n v="68.444400000000002"/>
    <n v="318.25700000000001"/>
    <m/>
    <n v="110009784.3987"/>
    <n v="383.07938000000001"/>
    <n v="62.216647999999999"/>
    <n v="289.298813"/>
    <m/>
    <n v="59009755.659854002"/>
    <n v="53.640461148427931"/>
  </r>
  <r>
    <x v="153"/>
    <n v="425.21940000000001"/>
    <n v="68.370400000000004"/>
    <n v="314.46940000000001"/>
    <m/>
    <n v="110605747.04269999"/>
    <n v="384.44602700000002"/>
    <n v="61.814509000000001"/>
    <n v="284.315606"/>
    <m/>
    <n v="58521260.627534002"/>
    <n v="52.909782893054846"/>
  </r>
  <r>
    <x v="154"/>
    <n v="419.8605"/>
    <n v="67.562100000000001"/>
    <n v="316.42090000000002"/>
    <m/>
    <n v="146480475.5598"/>
    <n v="286.63239800000002"/>
    <n v="46.123621"/>
    <n v="216.01575099999999"/>
    <m/>
    <n v="58696796.919198997"/>
    <n v="40.071413405014709"/>
  </r>
  <r>
    <x v="155"/>
    <n v="478.38749999999999"/>
    <n v="75.832800000000006"/>
    <n v="303.30829999999997"/>
    <m/>
    <n v="145326704.2484"/>
    <n v="329.18072599999999"/>
    <n v="52.180911999999999"/>
    <n v="208.70789099999999"/>
    <m/>
    <n v="65476338.697346002"/>
    <n v="45.054581699885262"/>
  </r>
  <r>
    <x v="156"/>
    <n v="514.26509999999996"/>
    <n v="85.992999999999995"/>
    <n v="418.68720000000002"/>
    <m/>
    <n v="146950900.0244"/>
    <n v="349.95709399999998"/>
    <n v="58.518185000000003"/>
    <n v="284.91638999999998"/>
    <m/>
    <n v="73671289.685464993"/>
    <n v="50.133268781091154"/>
  </r>
  <r>
    <x v="157"/>
    <n v="509.27170000000001"/>
    <n v="83.824700000000007"/>
    <n v="410.80770000000001"/>
    <m/>
    <n v="146858286.5941"/>
    <n v="346.77764000000002"/>
    <n v="57.078631000000001"/>
    <n v="279.73069099999998"/>
    <m/>
    <n v="72949130.932538003"/>
    <n v="49.673145877128"/>
  </r>
  <r>
    <x v="158"/>
    <n v="501.57380000000001"/>
    <n v="84.831000000000003"/>
    <n v="465.83710000000002"/>
    <m/>
    <n v="147493388.48210001"/>
    <n v="340.06527699999998"/>
    <n v="57.515120000000003"/>
    <n v="315.83591999999999"/>
    <m/>
    <n v="74311374.355609998"/>
    <n v="50.382851136834873"/>
  </r>
  <r>
    <x v="159"/>
    <n v="483.23349999999999"/>
    <n v="80.938500000000005"/>
    <n v="455.58350000000002"/>
    <m/>
    <n v="146556381.1038"/>
    <n v="329.72532200000001"/>
    <n v="55.226869000000001"/>
    <n v="310.85886299999999"/>
    <m/>
    <n v="72755873.194240004"/>
    <n v="49.643606539868053"/>
  </r>
  <r>
    <x v="160"/>
    <n v="504.899"/>
    <n v="87.033100000000005"/>
    <n v="470.74009999999998"/>
    <m/>
    <n v="148533211.17480001"/>
    <n v="339.92330500000003"/>
    <n v="58.595044000000001"/>
    <n v="316.92582199999998"/>
    <m/>
    <n v="75361373.561247006"/>
    <n v="50.737052653199989"/>
  </r>
  <r>
    <x v="161"/>
    <n v="483.54579999999999"/>
    <n v="82.310500000000005"/>
    <n v="461.05259999999998"/>
    <m/>
    <n v="148761214.2166"/>
    <n v="325.04830099999998"/>
    <n v="55.330618999999999"/>
    <n v="309.92796199999998"/>
    <m/>
    <n v="74103285.348822996"/>
    <n v="49.813579257915158"/>
  </r>
  <r>
    <x v="162"/>
    <n v="475.73039999999997"/>
    <n v="82.247200000000007"/>
    <n v="351.31810000000002"/>
    <m/>
    <n v="149215725.89129999"/>
    <n v="318.82055100000002"/>
    <n v="55.119658999999999"/>
    <n v="235.44307900000001"/>
    <m/>
    <n v="74463913.041346997"/>
    <n v="49.903528999076237"/>
  </r>
  <r>
    <x v="163"/>
    <n v="494.7491"/>
    <n v="83.727900000000005"/>
    <n v="198.09989999999999"/>
    <m/>
    <n v="149089897.4341"/>
    <n v="331.84616"/>
    <n v="56.159337999999998"/>
    <n v="132.87278599999999"/>
    <m/>
    <n v="76634190.063038006"/>
    <n v="51.40132992372034"/>
  </r>
  <r>
    <x v="164"/>
    <n v="508.80790000000002"/>
    <n v="86.061700000000002"/>
    <n v="417.97300000000001"/>
    <m/>
    <n v="149578024.82699999"/>
    <n v="340.16219999999998"/>
    <n v="57.536326000000003"/>
    <n v="279.43476399999997"/>
    <m/>
    <n v="77170254.986230001"/>
    <n v="51.591973537211842"/>
  </r>
  <r>
    <x v="165"/>
    <n v="504.74160000000001"/>
    <n v="88.105900000000005"/>
    <n v="420.0607"/>
    <m/>
    <n v="149025769.76879999"/>
    <n v="338.69417399999998"/>
    <n v="59.121251000000001"/>
    <n v="281.87118299999997"/>
    <m/>
    <n v="78648135.030928999"/>
    <n v="52.774855753434103"/>
  </r>
  <r>
    <x v="166"/>
    <n v="516.24969999999996"/>
    <n v="90.976500000000001"/>
    <n v="425.65140000000002"/>
    <m/>
    <n v="149644136.36300001"/>
    <n v="344.984917"/>
    <n v="60.795231999999999"/>
    <n v="284.44241799999998"/>
    <m/>
    <n v="79815959.068477005"/>
    <n v="53.337177792829152"/>
  </r>
  <r>
    <x v="167"/>
    <n v="514.28139999999996"/>
    <n v="92.365899999999996"/>
    <n v="490.6671"/>
    <m/>
    <n v="149314552.57609999"/>
    <n v="344.42818299999999"/>
    <n v="61.859945000000003"/>
    <n v="328.613046"/>
    <m/>
    <n v="81432913.190897003"/>
    <n v="54.537827549926"/>
  </r>
  <r>
    <x v="168"/>
    <n v="511.66579999999999"/>
    <n v="90.090500000000006"/>
    <n v="485.3252"/>
    <m/>
    <n v="149583062.4885"/>
    <n v="342.06132100000002"/>
    <n v="60.227741000000002"/>
    <n v="324.451975"/>
    <m/>
    <n v="79078792.786647007"/>
    <n v="52.866141039682624"/>
  </r>
  <r>
    <x v="169"/>
    <n v="495.58710000000002"/>
    <n v="86.644099999999995"/>
    <n v="422.15910000000002"/>
    <m/>
    <n v="148971042.831"/>
    <n v="332.67344500000002"/>
    <n v="58.161706000000002"/>
    <n v="283.383329"/>
    <m/>
    <n v="77811447.378134996"/>
    <n v="52.232598966503907"/>
  </r>
  <r>
    <x v="170"/>
    <n v="484.81130000000002"/>
    <n v="85.413899999999998"/>
    <n v="314.82510000000002"/>
    <m/>
    <n v="148751331.32120001"/>
    <n v="325.92064599999998"/>
    <n v="57.420594999999999"/>
    <n v="211.64523199999999"/>
    <m/>
    <n v="76693933.777998999"/>
    <n v="51.558485626184506"/>
  </r>
  <r>
    <x v="171"/>
    <n v="481.12299999999999"/>
    <n v="84.029700000000005"/>
    <n v="312.29939999999999"/>
    <m/>
    <n v="149049902.37450001"/>
    <n v="322.79323399999998"/>
    <n v="56.376890000000003"/>
    <n v="209.52673899999999"/>
    <m/>
    <n v="76259576.523812994"/>
    <n v="51.163788307760584"/>
  </r>
  <r>
    <x v="172"/>
    <n v="471.8562"/>
    <n v="82.4572"/>
    <n v="311.67439999999999"/>
    <m/>
    <n v="148171512.7773"/>
    <n v="318.45271100000002"/>
    <n v="55.649833000000001"/>
    <n v="210.34704600000001"/>
    <m/>
    <n v="75571939.676747993"/>
    <n v="51.003015532635956"/>
  </r>
  <r>
    <x v="173"/>
    <n v="470.86439999999999"/>
    <n v="84.479799999999997"/>
    <n v="315.95690000000002"/>
    <m/>
    <n v="148816872.09940001"/>
    <n v="316.40525300000002"/>
    <n v="56.767622000000003"/>
    <n v="212.31255300000001"/>
    <m/>
    <n v="76968587.813905999"/>
    <n v="51.720337034429789"/>
  </r>
  <r>
    <x v="174"/>
    <n v="565.99379999999996"/>
    <n v="103.1961"/>
    <n v="226.72569999999999"/>
    <m/>
    <n v="170143000.45879999"/>
    <n v="332.65770500000002"/>
    <n v="60.652569"/>
    <n v="133.255967"/>
    <m/>
    <n v="90168328.392536998"/>
    <n v="52.9956143652064"/>
  </r>
  <r>
    <x v="175"/>
    <n v="566.1069"/>
    <n v="101.9478"/>
    <n v="225.721"/>
    <m/>
    <n v="170013326.9833"/>
    <n v="332.97795500000001"/>
    <n v="59.964593000000001"/>
    <n v="132.766651"/>
    <m/>
    <n v="89547934.229680002"/>
    <n v="52.671126327923737"/>
  </r>
  <r>
    <x v="176"/>
    <n v="570.23779999999999"/>
    <n v="103.1919"/>
    <n v="224.9288"/>
    <m/>
    <n v="170025295.204"/>
    <n v="335.384096"/>
    <n v="60.692087000000001"/>
    <n v="132.29137399999999"/>
    <m/>
    <n v="91517899.258293003"/>
    <n v="53.826049323124458"/>
  </r>
  <r>
    <x v="177"/>
    <n v="580.63499999999999"/>
    <n v="102.32899999999999"/>
    <n v="195.69470000000001"/>
    <m/>
    <n v="170087366.68610001"/>
    <n v="341.37455999999997"/>
    <n v="60.162610999999998"/>
    <n v="115.05540000000001"/>
    <m/>
    <n v="90544763.495988995"/>
    <n v="53.234267341613538"/>
  </r>
  <r>
    <x v="178"/>
    <n v="604.48199999999997"/>
    <n v="106.8133"/>
    <n v="199.97839999999999"/>
    <m/>
    <n v="170830453.17930001"/>
    <n v="353.84908799999999"/>
    <n v="62.525913000000003"/>
    <n v="117.0625"/>
    <m/>
    <n v="91993700.054475993"/>
    <n v="53.85087865915883"/>
  </r>
  <r>
    <x v="179"/>
    <n v="620.26030000000003"/>
    <n v="110.3295"/>
    <n v="203.49619999999999"/>
    <m/>
    <n v="171484244.26429999"/>
    <n v="361.70104300000003"/>
    <n v="64.337980999999999"/>
    <n v="118.66757800000001"/>
    <m/>
    <n v="93113861.714732006"/>
    <n v="54.298785357341828"/>
  </r>
  <r>
    <x v="180"/>
    <n v="583.08630000000005"/>
    <n v="105.3409"/>
    <n v="201.7894"/>
    <m/>
    <n v="171117809.4777"/>
    <n v="340.75138199999998"/>
    <n v="61.560454"/>
    <n v="117.924254"/>
    <m/>
    <n v="91944950.100775003"/>
    <n v="53.731958339939609"/>
  </r>
  <r>
    <x v="181"/>
    <n v="614.37720000000002"/>
    <n v="110.4765"/>
    <n v="203.69810000000001"/>
    <m/>
    <n v="171385945.0855"/>
    <n v="358.47583600000002"/>
    <n v="64.460652999999994"/>
    <n v="118.85344499999999"/>
    <m/>
    <n v="95526798.743256003"/>
    <n v="55.737825348280545"/>
  </r>
  <r>
    <x v="182"/>
    <n v="616.06920000000002"/>
    <n v="113.7291"/>
    <n v="205.6242"/>
    <m/>
    <n v="172028819.95320001"/>
    <n v="358.11976199999998"/>
    <n v="66.110491999999994"/>
    <n v="119.528925"/>
    <m/>
    <n v="97161222.068205997"/>
    <n v="56.479618993281733"/>
  </r>
  <r>
    <x v="183"/>
    <n v="610.75620000000004"/>
    <n v="117.8801"/>
    <n v="205.46260000000001"/>
    <m/>
    <n v="172012481.95159999"/>
    <n v="355.06504699999999"/>
    <n v="68.529968999999994"/>
    <n v="119.446332"/>
    <m/>
    <n v="100029275.71738601"/>
    <n v="58.152335564538703"/>
  </r>
  <r>
    <x v="184"/>
    <n v="623.34310000000005"/>
    <n v="120.08799999999999"/>
    <n v="208.38839999999999"/>
    <m/>
    <n v="172185456.0914"/>
    <n v="362.018439"/>
    <n v="69.743404999999996"/>
    <n v="121.025553"/>
    <m/>
    <n v="100415206.96423"/>
    <n v="58.31805382617641"/>
  </r>
  <r>
    <x v="185"/>
    <n v="615.14620000000002"/>
    <n v="118.6627"/>
    <n v="207.52789999999999"/>
    <m/>
    <n v="172107442.22139999"/>
    <n v="357.419872"/>
    <n v="68.946872999999997"/>
    <n v="120.580434"/>
    <m/>
    <n v="99981921.626603007"/>
    <n v="58.092735756299078"/>
  </r>
  <r>
    <x v="186"/>
    <n v="586.95309999999995"/>
    <n v="117.0427"/>
    <n v="204.22800000000001"/>
    <m/>
    <n v="172220452.84290001"/>
    <n v="340.81497899999999"/>
    <n v="67.960976000000002"/>
    <n v="118.585218"/>
    <m/>
    <n v="100951438.722077"/>
    <n v="58.617566645330555"/>
  </r>
  <r>
    <x v="187"/>
    <n v="576.33309999999994"/>
    <n v="115.2518"/>
    <n v="146.8185"/>
    <m/>
    <n v="172049730.46079999"/>
    <n v="334.98053099999998"/>
    <n v="66.987492000000003"/>
    <n v="85.334919999999997"/>
    <m/>
    <n v="99545966.082737997"/>
    <n v="57.85883291774099"/>
  </r>
  <r>
    <x v="188"/>
    <n v="583.37900000000002"/>
    <n v="115.0001"/>
    <n v="182.2422"/>
    <m/>
    <n v="171319835.66370001"/>
    <n v="340.52040599999998"/>
    <n v="67.125968999999998"/>
    <n v="106.375423"/>
    <m/>
    <n v="98767320.719181001"/>
    <n v="57.650837882579317"/>
  </r>
  <r>
    <x v="189"/>
    <n v="601.74969999999996"/>
    <n v="118.6832"/>
    <n v="183.0307"/>
    <m/>
    <n v="171310380.3107"/>
    <n v="351.26283599999999"/>
    <n v="69.279630999999995"/>
    <n v="106.84157"/>
    <m/>
    <n v="105062784.436915"/>
    <n v="61.328907358892138"/>
  </r>
  <r>
    <x v="190"/>
    <n v="598.28420000000006"/>
    <n v="117.497"/>
    <n v="165.2732"/>
    <m/>
    <n v="171157311.41339999"/>
    <n v="349.55223100000001"/>
    <n v="68.648543000000004"/>
    <n v="96.562162000000001"/>
    <m/>
    <n v="104805084.986145"/>
    <n v="61.233191921908023"/>
  </r>
  <r>
    <x v="191"/>
    <n v="594.82309999999995"/>
    <n v="116.7872"/>
    <n v="162.54730000000001"/>
    <m/>
    <n v="170960814.5598"/>
    <n v="347.92949599999997"/>
    <n v="68.312262000000004"/>
    <n v="95.078688"/>
    <m/>
    <n v="104636950.232749"/>
    <n v="61.205224426529782"/>
  </r>
  <r>
    <x v="192"/>
    <n v="605.53060000000005"/>
    <n v="116.58069999999999"/>
    <n v="162.5532"/>
    <m/>
    <n v="170832711.33520001"/>
    <n v="354.45822700000002"/>
    <n v="68.242609000000002"/>
    <n v="95.153439000000006"/>
    <m/>
    <n v="103223881.286476"/>
    <n v="60.423955388693031"/>
  </r>
  <r>
    <x v="193"/>
    <n v="602.02980000000002"/>
    <n v="116.77079999999999"/>
    <n v="190.3535"/>
    <m/>
    <n v="170782198.81020001"/>
    <n v="352.51320299999998"/>
    <n v="68.374105"/>
    <n v="111.459802"/>
    <m/>
    <n v="103499340.915711"/>
    <n v="60.60312001881163"/>
  </r>
  <r>
    <x v="194"/>
    <n v="602.99480000000005"/>
    <n v="115.98269999999999"/>
    <n v="190.18899999999999"/>
    <m/>
    <n v="170847569.0429"/>
    <n v="352.94315499999999"/>
    <n v="67.886655000000005"/>
    <n v="111.32087"/>
    <m/>
    <n v="103046686.447501"/>
    <n v="60.314985472006263"/>
  </r>
  <r>
    <x v="195"/>
    <n v="587.70320000000004"/>
    <n v="115.67489999999999"/>
    <n v="189.12870000000001"/>
    <m/>
    <n v="171751607.8994"/>
    <n v="342.18206600000002"/>
    <n v="67.350111999999996"/>
    <n v="110.117572"/>
    <m/>
    <n v="103824256.14947499"/>
    <n v="60.450238236074007"/>
  </r>
  <r>
    <x v="196"/>
    <n v="624.48199999999997"/>
    <n v="122.19410000000001"/>
    <n v="190.3426"/>
    <m/>
    <n v="196509671.19319999"/>
    <n v="317.78690399999999"/>
    <n v="62.182231999999999"/>
    <n v="96.861695999999995"/>
    <m/>
    <n v="109934087.254335"/>
    <n v="55.943347005172306"/>
  </r>
  <r>
    <x v="197"/>
    <n v="552.56740000000002"/>
    <n v="111.9545"/>
    <n v="191.32560000000001"/>
    <m/>
    <n v="197580940.91999999"/>
    <n v="279.66634699999997"/>
    <n v="56.662601000000002"/>
    <n v="96.834035999999998"/>
    <m/>
    <n v="105441711.22273301"/>
    <n v="53.366337224513003"/>
  </r>
  <r>
    <x v="198"/>
    <n v="550.88220000000001"/>
    <n v="110.1756"/>
    <n v="189.4573"/>
    <m/>
    <n v="197142564.32499999"/>
    <n v="279.43341500000002"/>
    <n v="55.886257000000001"/>
    <n v="96.101671999999994"/>
    <m/>
    <n v="104394948.45191599"/>
    <n v="52.954038012722293"/>
  </r>
  <r>
    <x v="199"/>
    <n v="615.79600000000005"/>
    <n v="120.7929"/>
    <n v="185.06489999999999"/>
    <m/>
    <n v="196972799.11809999"/>
    <n v="312.62996900000002"/>
    <n v="61.324660000000002"/>
    <n v="93.954545999999993"/>
    <m/>
    <n v="103204372.54161701"/>
    <n v="52.395240867617574"/>
  </r>
  <r>
    <x v="200"/>
    <n v="607.99109999999996"/>
    <n v="115.89919999999999"/>
    <n v="208.11099999999999"/>
    <m/>
    <n v="196207829.75209999"/>
    <n v="309.87096700000001"/>
    <n v="59.069609999999997"/>
    <n v="106.066613"/>
    <m/>
    <n v="109981707.786222"/>
    <n v="56.053679369054265"/>
  </r>
  <r>
    <x v="201"/>
    <n v="634.16510000000005"/>
    <n v="117.7214"/>
    <n v="265.64870000000002"/>
    <m/>
    <n v="196053408.72549999"/>
    <n v="323.46548000000001"/>
    <n v="60.045577000000002"/>
    <n v="135.49812900000001"/>
    <m/>
    <n v="109455975.201728"/>
    <n v="55.829672084396378"/>
  </r>
  <r>
    <x v="202"/>
    <n v="675.35850000000005"/>
    <n v="123.36109999999999"/>
    <n v="283.68740000000003"/>
    <m/>
    <n v="197566520.8664"/>
    <n v="341.83853499999998"/>
    <n v="62.440286"/>
    <n v="143.59082599999999"/>
    <m/>
    <n v="110530341.740344"/>
    <n v="55.945886608535112"/>
  </r>
  <r>
    <x v="203"/>
    <n v="664.51949999999999"/>
    <n v="124.7418"/>
    <n v="308.72000000000003"/>
    <m/>
    <n v="198067548.42449999"/>
    <n v="335.50145199999997"/>
    <n v="62.979422999999997"/>
    <n v="155.866018"/>
    <m/>
    <n v="116024175.192808"/>
    <n v="58.578084151445168"/>
  </r>
  <r>
    <x v="204"/>
    <n v="681.56169999999997"/>
    <n v="128.76130000000001"/>
    <n v="319.10469999999998"/>
    <m/>
    <n v="198421234.11579999"/>
    <n v="343.49232000000001"/>
    <n v="64.892904000000001"/>
    <n v="160.82185000000001"/>
    <m/>
    <n v="119132694.289004"/>
    <n v="60.040294991551832"/>
  </r>
  <r>
    <x v="205"/>
    <n v="703.71879999999999"/>
    <n v="130.59639999999999"/>
    <n v="321.08960000000002"/>
    <m/>
    <n v="198700856.69580001"/>
    <n v="354.15992199999999"/>
    <n v="65.725132000000002"/>
    <n v="161.594472"/>
    <m/>
    <n v="122603139.821419"/>
    <n v="61.70237102153898"/>
  </r>
  <r>
    <x v="206"/>
    <n v="705.56719999999996"/>
    <n v="129.57499999999999"/>
    <n v="265.41140000000001"/>
    <m/>
    <n v="198709690.42820001"/>
    <n v="355.07437900000002"/>
    <n v="65.208194000000006"/>
    <n v="133.56741700000001"/>
    <m/>
    <n v="121723031.03613199"/>
    <n v="61.256716154018818"/>
  </r>
  <r>
    <x v="207"/>
    <n v="776.1354"/>
    <n v="143.8203"/>
    <n v="333.22489999999999"/>
    <m/>
    <n v="199250044.05219999"/>
    <n v="389.528346"/>
    <n v="72.180812000000003"/>
    <n v="167.23956200000001"/>
    <m/>
    <n v="133409244.45327"/>
    <n v="66.955691321362593"/>
  </r>
  <r>
    <x v="208"/>
    <n v="779.68219999999997"/>
    <n v="142.5104"/>
    <n v="332.15649999999999"/>
    <m/>
    <n v="199105711.2256"/>
    <n v="391.592082"/>
    <n v="71.575244999999995"/>
    <n v="166.824195"/>
    <m/>
    <n v="132369318.447423"/>
    <n v="66.481929439703393"/>
  </r>
  <r>
    <x v="209"/>
    <n v="770.66470000000004"/>
    <n v="139.2534"/>
    <n v="328.94279999999998"/>
    <m/>
    <n v="198635750.9305"/>
    <n v="387.97884900000003"/>
    <n v="70.104902999999993"/>
    <n v="165.60100499999999"/>
    <m/>
    <n v="129071198.304906"/>
    <n v="64.978835733385324"/>
  </r>
  <r>
    <x v="210"/>
    <n v="726.85440000000006"/>
    <n v="133.06870000000001"/>
    <n v="325.46499999999997"/>
    <m/>
    <n v="198655982.34630001"/>
    <n v="365.885986"/>
    <n v="66.984492000000003"/>
    <n v="163.83347499999999"/>
    <m/>
    <n v="129592311.845024"/>
    <n v="65.234537774511509"/>
  </r>
  <r>
    <x v="211"/>
    <n v="724.21199999999999"/>
    <n v="130.892"/>
    <n v="322.69310000000002"/>
    <m/>
    <n v="198779222.7114"/>
    <n v="364.32982800000002"/>
    <n v="65.847927999999996"/>
    <n v="162.33743899999999"/>
    <m/>
    <n v="128400354.911164"/>
    <n v="64.594454671745851"/>
  </r>
  <r>
    <x v="212"/>
    <n v="695.38070000000005"/>
    <n v="127.2646"/>
    <n v="273.24590000000001"/>
    <m/>
    <n v="200188749.57710001"/>
    <n v="347.362527"/>
    <n v="63.572304000000003"/>
    <n v="136.494134"/>
    <m/>
    <n v="125008693.53763901"/>
    <n v="62.445414041358795"/>
  </r>
  <r>
    <x v="213"/>
    <n v="708.46839999999997"/>
    <n v="131.5273"/>
    <n v="328.63319999999999"/>
    <m/>
    <n v="200686029.8326"/>
    <n v="353.023278"/>
    <n v="65.538842000000002"/>
    <n v="163.754896"/>
    <m/>
    <n v="127972928.219466"/>
    <n v="63.767731279657667"/>
  </r>
  <r>
    <x v="214"/>
    <n v="727.72289999999998"/>
    <n v="133.9246"/>
    <n v="328.24119999999999"/>
    <m/>
    <n v="200700457.77649999"/>
    <n v="362.59154999999998"/>
    <n v="66.728596999999993"/>
    <n v="163.547808"/>
    <m/>
    <n v="135703080.17941299"/>
    <n v="67.61473375936788"/>
  </r>
  <r>
    <x v="215"/>
    <n v="704.65250000000003"/>
    <n v="128.75450000000001"/>
    <n v="326.51069999999999"/>
    <m/>
    <n v="201010119.75420001"/>
    <n v="350.55573399999997"/>
    <n v="64.053740000000005"/>
    <n v="162.434956"/>
    <m/>
    <n v="131482245.976068"/>
    <n v="65.410759486561005"/>
  </r>
  <r>
    <x v="216"/>
    <n v="686.29719999999998"/>
    <n v="125.7897"/>
    <n v="216.88329999999999"/>
    <m/>
    <n v="202384914.6029"/>
    <n v="339.104919"/>
    <n v="62.153694000000002"/>
    <n v="107.163768"/>
    <m/>
    <n v="128721789.19695599"/>
    <n v="63.602462391785167"/>
  </r>
  <r>
    <x v="217"/>
    <n v="711.1798"/>
    <n v="132.75290000000001"/>
    <n v="323.7647"/>
    <m/>
    <n v="233406501.36750001"/>
    <n v="304.69579700000003"/>
    <n v="56.876264999999997"/>
    <n v="138.71280300000001"/>
    <m/>
    <n v="137619474.77511099"/>
    <n v="58.961285983387526"/>
  </r>
  <r>
    <x v="218"/>
    <n v="711.66880000000003"/>
    <n v="131.93680000000001"/>
    <n v="269.97980000000001"/>
    <m/>
    <n v="234118343.47049999"/>
    <n v="303.97823099999999"/>
    <n v="56.354747000000003"/>
    <n v="115.317662"/>
    <m/>
    <n v="137068353.00955001"/>
    <n v="58.546609794726002"/>
  </r>
  <r>
    <x v="219"/>
    <n v="710.48220000000003"/>
    <n v="132.34370000000001"/>
    <n v="323.3116"/>
    <m/>
    <n v="234856201.7137"/>
    <n v="302.51796400000001"/>
    <n v="56.350949999999997"/>
    <n v="137.66364200000001"/>
    <m/>
    <n v="137667257.248337"/>
    <n v="58.617680199120059"/>
  </r>
  <r>
    <x v="220"/>
    <n v="720.54989999999998"/>
    <n v="133.23439999999999"/>
    <n v="318.55720000000002"/>
    <m/>
    <n v="235288756.73089999"/>
    <n v="306.24068499999998"/>
    <n v="56.625909999999998"/>
    <n v="135.389895"/>
    <m/>
    <n v="136884091.04695699"/>
    <n v="58.177064195001662"/>
  </r>
  <r>
    <x v="221"/>
    <n v="683.94899999999996"/>
    <n v="128.39019999999999"/>
    <n v="317.22120000000001"/>
    <m/>
    <n v="235865146.92820001"/>
    <n v="289.97459300000003"/>
    <n v="54.433731000000002"/>
    <n v="134.49261300000001"/>
    <m/>
    <n v="137175288.755889"/>
    <n v="58.158354696485404"/>
  </r>
  <r>
    <x v="222"/>
    <n v="664.27599999999995"/>
    <n v="125.07389999999999"/>
    <n v="310.97980000000001"/>
    <m/>
    <n v="236457207.9894"/>
    <n v="280.92863199999999"/>
    <n v="52.894941000000003"/>
    <n v="131.516312"/>
    <m/>
    <n v="136485617.141193"/>
    <n v="57.721064331991698"/>
  </r>
  <r>
    <x v="223"/>
    <n v="677.37009999999998"/>
    <n v="126.2478"/>
    <n v="311.43459999999999"/>
    <m/>
    <n v="235399932.4068"/>
    <n v="287.75288599999999"/>
    <n v="53.631196000000003"/>
    <n v="132.300208"/>
    <m/>
    <n v="134059250.92117099"/>
    <n v="56.949570694650895"/>
  </r>
  <r>
    <x v="224"/>
    <n v="714.69410000000005"/>
    <n v="132.94399999999999"/>
    <n v="313.29239999999999"/>
    <m/>
    <n v="235077513.89590001"/>
    <n v="304.02486699999997"/>
    <n v="56.553260999999999"/>
    <n v="133.27195599999999"/>
    <m/>
    <n v="143187818.31066999"/>
    <n v="60.910895277750058"/>
  </r>
  <r>
    <x v="225"/>
    <n v="702.98320000000001"/>
    <n v="129.33240000000001"/>
    <n v="329.83609999999999"/>
    <m/>
    <n v="235796669.36449999"/>
    <n v="298.13109800000001"/>
    <n v="54.849120999999997"/>
    <n v="139.88157699999999"/>
    <m/>
    <n v="143082564.503757"/>
    <n v="60.680485814062394"/>
  </r>
  <r>
    <x v="226"/>
    <n v="710.56110000000001"/>
    <n v="127.3561"/>
    <n v="328.46409999999997"/>
    <m/>
    <n v="236434971.38159999"/>
    <n v="300.53130299999998"/>
    <n v="53.865169999999999"/>
    <n v="138.923653"/>
    <m/>
    <n v="141059956.36781299"/>
    <n v="59.661206438088989"/>
  </r>
  <r>
    <x v="227"/>
    <n v="714.51549999999997"/>
    <n v="127.57769999999999"/>
    <n v="316.83530000000002"/>
    <m/>
    <n v="236731671.01719999"/>
    <n v="301.82505700000002"/>
    <n v="53.891267999999997"/>
    <n v="133.83731"/>
    <m/>
    <n v="140100547.60620299"/>
    <n v="59.181159413192262"/>
  </r>
  <r>
    <x v="228"/>
    <n v="714.06370000000004"/>
    <n v="123.9102"/>
    <n v="317.24630000000002"/>
    <m/>
    <n v="236857319.34830001"/>
    <n v="301.47419600000001"/>
    <n v="52.314278999999999"/>
    <n v="133.93983399999999"/>
    <m/>
    <n v="134657822.698908"/>
    <n v="56.851873131643835"/>
  </r>
  <r>
    <x v="229"/>
    <n v="685.09339999999997"/>
    <n v="113.4932"/>
    <n v="310.49669999999998"/>
    <m/>
    <n v="236046463.29499999"/>
    <n v="290.236672"/>
    <n v="48.080872999999997"/>
    <n v="131.54050100000001"/>
    <m/>
    <n v="126406197.639731"/>
    <n v="53.551405039165687"/>
  </r>
  <r>
    <x v="230"/>
    <n v="687.20150000000001"/>
    <n v="114.01130000000001"/>
    <n v="411.63929999999999"/>
    <m/>
    <n v="236335755.0772"/>
    <n v="290.77339599999999"/>
    <n v="48.241241000000002"/>
    <n v="174.175634"/>
    <m/>
    <n v="126959674.200827"/>
    <n v="53.720045094046441"/>
  </r>
  <r>
    <x v="231"/>
    <n v="730.3981"/>
    <n v="121.48350000000001"/>
    <n v="461.95179999999999"/>
    <m/>
    <n v="237906749.8603"/>
    <n v="307.01024699999999"/>
    <n v="51.063493999999999"/>
    <n v="194.173474"/>
    <m/>
    <n v="130001046.83808"/>
    <n v="54.643698387884008"/>
  </r>
  <r>
    <x v="232"/>
    <n v="734.07299999999998"/>
    <n v="124.9183"/>
    <n v="413.67739999999998"/>
    <m/>
    <n v="237123802.18309999"/>
    <n v="309.57373000000001"/>
    <n v="52.680624999999999"/>
    <n v="174.45629500000001"/>
    <m/>
    <n v="130582686.092421"/>
    <n v="55.069413061953568"/>
  </r>
  <r>
    <x v="233"/>
    <n v="709.29859999999996"/>
    <n v="119.0857"/>
    <n v="437.6309"/>
    <m/>
    <n v="238158594.62869999"/>
    <n v="297.82616100000001"/>
    <n v="50.002687999999999"/>
    <n v="183.75608099999999"/>
    <m/>
    <n v="128698384.987352"/>
    <n v="54.038942070513386"/>
  </r>
  <r>
    <x v="234"/>
    <n v="705.10640000000001"/>
    <n v="119.22450000000001"/>
    <n v="444.92329999999998"/>
    <m/>
    <n v="238155268.68920001"/>
    <n v="296.07004000000001"/>
    <n v="50.061667999999997"/>
    <n v="186.820683"/>
    <m/>
    <n v="130077577.73599701"/>
    <n v="54.618811690348224"/>
  </r>
  <r>
    <x v="235"/>
    <n v="709.63440000000003"/>
    <n v="119.839"/>
    <n v="447.48430000000002"/>
    <m/>
    <n v="238927045.99439999"/>
    <n v="297.00882000000001"/>
    <n v="50.157150999999999"/>
    <n v="187.28909400000001"/>
    <m/>
    <n v="129435031.993247"/>
    <n v="54.17345342991463"/>
  </r>
  <r>
    <x v="236"/>
    <n v="697.68089999999995"/>
    <n v="117.7157"/>
    <n v="448.61660000000001"/>
    <m/>
    <n v="239427140.50009999"/>
    <n v="291.39591200000001"/>
    <n v="49.165562000000001"/>
    <n v="187.37082100000001"/>
    <m/>
    <n v="126926175.954521"/>
    <n v="53.012442820561525"/>
  </r>
  <r>
    <x v="237"/>
    <n v="697.17070000000001"/>
    <n v="111.07510000000001"/>
    <n v="444.53910000000002"/>
    <m/>
    <n v="239948382.4149"/>
    <n v="290.55028099999998"/>
    <n v="46.291248000000003"/>
    <n v="185.26446999999999"/>
    <m/>
    <n v="130638485.62880599"/>
    <n v="54.444411883100805"/>
  </r>
  <r>
    <x v="238"/>
    <n v="760.92700000000002"/>
    <n v="117.62009999999999"/>
    <n v="391.73689999999999"/>
    <m/>
    <n v="242139325.49959999"/>
    <n v="314.25172199999997"/>
    <n v="48.575381"/>
    <n v="161.78161"/>
    <m/>
    <n v="130577492.65129399"/>
    <n v="53.926594691662224"/>
  </r>
  <r>
    <x v="239"/>
    <n v="691.91700000000003"/>
    <n v="101.1885"/>
    <n v="377.9436"/>
    <m/>
    <n v="241584428.6094"/>
    <n v="286.40794599999998"/>
    <n v="41.885356999999999"/>
    <n v="156.443692"/>
    <m/>
    <n v="123310594.01515"/>
    <n v="51.042442894579843"/>
  </r>
  <r>
    <x v="240"/>
    <n v="599.31769999999995"/>
    <n v="92.102400000000003"/>
    <n v="455.70260000000002"/>
    <m/>
    <n v="243399422.05090001"/>
    <n v="246.22807"/>
    <n v="37.840024"/>
    <n v="187.22419099999999"/>
    <m/>
    <n v="127611402.113684"/>
    <n v="52.428802434460067"/>
  </r>
  <r>
    <x v="241"/>
    <n v="720.26620000000003"/>
    <n v="112.8978"/>
    <n v="512.15409999999997"/>
    <m/>
    <n v="243478649.49079999"/>
    <n v="295.82314600000001"/>
    <n v="46.368665"/>
    <n v="210.34867"/>
    <m/>
    <n v="134456828.600283"/>
    <n v="55.223252174874396"/>
  </r>
  <r>
    <x v="242"/>
    <n v="725.45280000000002"/>
    <n v="116.8644"/>
    <n v="402.08179999999999"/>
    <m/>
    <n v="241644410.66"/>
    <n v="300.215013"/>
    <n v="48.362136999999997"/>
    <n v="166.39400000000001"/>
    <m/>
    <n v="138612349.08282799"/>
    <n v="57.362116799738104"/>
  </r>
  <r>
    <x v="243"/>
    <n v="758.46410000000003"/>
    <n v="120.6575"/>
    <n v="406.24509999999998"/>
    <m/>
    <n v="243737394.26789999"/>
    <n v="311.18085200000002"/>
    <n v="49.503073000000001"/>
    <n v="166.67327599999999"/>
    <m/>
    <n v="138418713.85752901"/>
    <n v="56.7901016063987"/>
  </r>
  <r>
    <x v="244"/>
    <n v="727.17460000000005"/>
    <n v="116.0873"/>
    <n v="411.4853"/>
    <m/>
    <n v="244454311.3617"/>
    <n v="297.46851099999998"/>
    <n v="47.488342000000003"/>
    <n v="168.328101"/>
    <m/>
    <n v="135805818.571233"/>
    <n v="55.554683333153285"/>
  </r>
  <r>
    <x v="245"/>
    <n v="697.85879999999997"/>
    <n v="109.2865"/>
    <n v="404.19869999999997"/>
    <m/>
    <n v="244078747.03870001"/>
    <n v="285.91543000000001"/>
    <n v="44.775098999999997"/>
    <n v="165.60176000000001"/>
    <m/>
    <n v="132671760.352781"/>
    <n v="54.35612971732651"/>
  </r>
  <r>
    <x v="246"/>
    <n v="695.54010000000005"/>
    <n v="112.0301"/>
    <n v="433.89409999999998"/>
    <m/>
    <n v="243828914.37599999"/>
    <n v="285.25743199999999"/>
    <n v="45.946192000000003"/>
    <n v="177.95022399999999"/>
    <m/>
    <n v="135377219.479173"/>
    <n v="55.521396970341485"/>
  </r>
  <r>
    <x v="247"/>
    <n v="723.66570000000002"/>
    <n v="114.28019999999999"/>
    <n v="433.34429999999998"/>
    <m/>
    <n v="233469243.4215"/>
    <n v="309.96189900000002"/>
    <n v="48.948717000000002"/>
    <n v="185.610873"/>
    <m/>
    <n v="144809416.587892"/>
    <n v="62.025050694346241"/>
  </r>
  <r>
    <x v="248"/>
    <n v="776.41049999999996"/>
    <n v="122.3301"/>
    <n v="430.39609999999999"/>
    <m/>
    <n v="243534745.70159999"/>
    <n v="318.80892299999999"/>
    <n v="50.231065999999998"/>
    <n v="176.728827"/>
    <m/>
    <n v="160214042.24346399"/>
    <n v="65.786933926780293"/>
  </r>
  <r>
    <x v="249"/>
    <n v="792.49540000000002"/>
    <n v="123.20569999999999"/>
    <n v="408.12470000000002"/>
    <m/>
    <n v="244106585.64840001"/>
    <n v="324.65138000000002"/>
    <n v="50.472092000000004"/>
    <n v="167.19118800000001"/>
    <m/>
    <n v="160934536.73628101"/>
    <n v="65.927978267691543"/>
  </r>
  <r>
    <x v="250"/>
    <n v="747.57830000000001"/>
    <n v="115.24169999999999"/>
    <n v="388.15769999999998"/>
    <m/>
    <n v="215850339.3567"/>
    <n v="346.34103499999998"/>
    <n v="53.389631000000001"/>
    <n v="179.827236"/>
    <m/>
    <n v="155992207.52922699"/>
    <n v="72.268687644472308"/>
  </r>
  <r>
    <x v="251"/>
    <n v="755.7867"/>
    <n v="116.5808"/>
    <n v="391.57339999999999"/>
    <m/>
    <n v="244233878.97009999"/>
    <n v="309.45203099999998"/>
    <n v="47.733263000000001"/>
    <n v="160.327225"/>
    <m/>
    <n v="155818570.47053"/>
    <n v="63.798917303199318"/>
  </r>
  <r>
    <x v="252"/>
    <n v="724.67129999999997"/>
    <n v="116.06789999999999"/>
    <n v="452.81450000000001"/>
    <m/>
    <n v="244763754.96250001"/>
    <n v="296.06969400000003"/>
    <n v="47.420378999999997"/>
    <n v="185.00063499999999"/>
    <m/>
    <n v="157379600.15679201"/>
    <n v="64.298572384993832"/>
  </r>
  <r>
    <x v="253"/>
    <n v="719.35180000000003"/>
    <n v="113.4907"/>
    <n v="453.42669999999998"/>
    <m/>
    <n v="245061764.24070001"/>
    <n v="293.53897899999998"/>
    <n v="46.311059999999998"/>
    <n v="185.02547799999999"/>
    <m/>
    <n v="156060952.15062499"/>
    <n v="63.682293577769933"/>
  </r>
  <r>
    <x v="254"/>
    <n v="745.06259999999997"/>
    <n v="118.89400000000001"/>
    <n v="458.4864"/>
    <m/>
    <n v="244978298.99419999"/>
    <n v="304.13412299999999"/>
    <n v="48.532462000000002"/>
    <n v="187.15388300000001"/>
    <m/>
    <n v="157993018.86230701"/>
    <n v="64.492658946108364"/>
  </r>
  <r>
    <x v="255"/>
    <n v="738.15030000000002"/>
    <n v="114.40860000000001"/>
    <n v="450.2799"/>
    <m/>
    <n v="216143055.12329999"/>
    <n v="341.51007099999998"/>
    <n v="52.931888000000001"/>
    <n v="208.32494500000001"/>
    <m/>
    <n v="157657470.74616599"/>
    <n v="72.941261358700331"/>
  </r>
  <r>
    <x v="256"/>
    <n v="705.75739999999996"/>
    <n v="111.3265"/>
    <n v="447.72919999999999"/>
    <m/>
    <n v="245840503.3186"/>
    <n v="287.07938300000001"/>
    <n v="45.284035000000003"/>
    <n v="182.12182000000001"/>
    <m/>
    <n v="146376954.621214"/>
    <n v="59.541431393636145"/>
  </r>
  <r>
    <x v="257"/>
    <n v="702.30840000000001"/>
    <n v="110.3318"/>
    <n v="447.78930000000003"/>
    <m/>
    <n v="246341924.36970001"/>
    <n v="285.09495600000002"/>
    <n v="44.788072999999997"/>
    <n v="181.77551399999999"/>
    <m/>
    <n v="149031965.25030699"/>
    <n v="60.498011303445786"/>
  </r>
  <r>
    <x v="258"/>
    <n v="693.08730000000003"/>
    <n v="107.3248"/>
    <n v="445.42160000000001"/>
    <m/>
    <n v="246452932.7762"/>
    <n v="281.22501599999998"/>
    <n v="43.547787999999997"/>
    <n v="180.73292699999999"/>
    <m/>
    <n v="147857547.24159899"/>
    <n v="59.994233209578439"/>
  </r>
  <r>
    <x v="259"/>
    <n v="731.54759999999999"/>
    <n v="116.05419999999999"/>
    <n v="448.8236"/>
    <m/>
    <n v="247732927.91819999"/>
    <n v="295.29687699999999"/>
    <n v="46.846497999999997"/>
    <n v="181.17236299999999"/>
    <m/>
    <n v="151726293.45125699"/>
    <n v="61.245912978252193"/>
  </r>
  <r>
    <x v="260"/>
    <n v="707.40740000000005"/>
    <n v="108.5159"/>
    <n v="452.9776"/>
    <m/>
    <n v="261760005.4181"/>
    <n v="270.25037600000002"/>
    <n v="41.456257000000001"/>
    <n v="173.05072999999999"/>
    <m/>
    <n v="148600983.842031"/>
    <n v="56.769934583656465"/>
  </r>
  <r>
    <x v="261"/>
    <n v="714.48069999999996"/>
    <n v="111.3869"/>
    <n v="454.12509999999997"/>
    <m/>
    <n v="261261238.5086"/>
    <n v="273.47367100000002"/>
    <n v="42.634300000000003"/>
    <n v="173.820312"/>
    <m/>
    <n v="149901230.689183"/>
    <n v="57.375993295020947"/>
  </r>
  <r>
    <x v="262"/>
    <n v="717.72940000000006"/>
    <n v="110.05840000000001"/>
    <n v="456.71609999999998"/>
    <m/>
    <n v="261864280.5174"/>
    <n v="274.08449899999999"/>
    <n v="42.028793999999998"/>
    <n v="174.409469"/>
    <m/>
    <n v="149348419.53285"/>
    <n v="57.032757288532252"/>
  </r>
  <r>
    <x v="263"/>
    <n v="726.66899999999998"/>
    <n v="106.0141"/>
    <n v="462.99430000000001"/>
    <m/>
    <n v="262310612.655"/>
    <n v="277.02615300000002"/>
    <n v="40.415483000000002"/>
    <n v="176.50612599999999"/>
    <m/>
    <n v="147841434.582706"/>
    <n v="56.361209745315257"/>
  </r>
  <r>
    <x v="264"/>
    <n v="745.26139999999998"/>
    <n v="107.0158"/>
    <n v="466.21199999999999"/>
    <m/>
    <n v="264294764.92660001"/>
    <n v="281.98114299999997"/>
    <n v="40.491078000000002"/>
    <n v="176.39850000000001"/>
    <m/>
    <n v="148750801.480537"/>
    <n v="56.28215962652461"/>
  </r>
  <r>
    <x v="265"/>
    <n v="722.16200000000003"/>
    <n v="102.9949"/>
    <n v="460.21719999999999"/>
    <m/>
    <n v="264106073.86840001"/>
    <n v="273.43634700000001"/>
    <n v="38.997551000000001"/>
    <n v="174.254682"/>
    <m/>
    <n v="146281007.30831701"/>
    <n v="55.387218160384521"/>
  </r>
  <r>
    <x v="266"/>
    <n v="642.7586"/>
    <n v="93.647499999999994"/>
    <n v="722.21730000000002"/>
    <m/>
    <n v="263716157.40470001"/>
    <n v="243.73121699999999"/>
    <n v="35.510717999999997"/>
    <n v="273.861605"/>
    <m/>
    <n v="158861240.46990699"/>
    <n v="60.239479459014646"/>
  </r>
  <r>
    <x v="267"/>
    <n v="642.16780000000006"/>
    <n v="93.028199999999998"/>
    <n v="654.74400000000003"/>
    <m/>
    <n v="264538374.8048"/>
    <n v="242.750338"/>
    <n v="35.166240000000002"/>
    <n v="247.504356"/>
    <m/>
    <n v="155535320.24672201"/>
    <n v="58.794993490638113"/>
  </r>
  <r>
    <x v="268"/>
    <n v="656.18719999999996"/>
    <n v="96.966700000000003"/>
    <n v="541.27710000000002"/>
    <m/>
    <n v="264806326.3348"/>
    <n v="247.798914"/>
    <n v="36.61797"/>
    <n v="204.404898"/>
    <m/>
    <n v="157160865.79664099"/>
    <n v="59.349362219518618"/>
  </r>
  <r>
    <x v="269"/>
    <n v="709.81169999999997"/>
    <n v="100.69750000000001"/>
    <n v="551.21789999999999"/>
    <m/>
    <n v="265020513.00999999"/>
    <n v="267.832739"/>
    <n v="37.996115000000003"/>
    <n v="207.990655"/>
    <m/>
    <n v="154726722.96075299"/>
    <n v="58.382923345603331"/>
  </r>
  <r>
    <x v="270"/>
    <n v="713.89"/>
    <n v="102.9547"/>
    <n v="550.96789999999999"/>
    <m/>
    <n v="264447843.94209999"/>
    <n v="269.95493299999998"/>
    <n v="38.931949000000003"/>
    <n v="208.34652800000001"/>
    <m/>
    <n v="155623424.301963"/>
    <n v="58.848437552788766"/>
  </r>
  <r>
    <x v="271"/>
    <n v="704.55330000000004"/>
    <n v="98.177300000000002"/>
    <n v="522.50530000000003"/>
    <m/>
    <n v="265183789.389"/>
    <n v="265.68490500000001"/>
    <n v="37.022360999999997"/>
    <n v="197.03515899999999"/>
    <m/>
    <n v="147298527.04357299"/>
    <n v="55.545826305204393"/>
  </r>
  <r>
    <x v="272"/>
    <n v="741.17819999999995"/>
    <n v="104.0515"/>
    <n v="521.88480000000004"/>
    <m/>
    <n v="264535858.067"/>
    <n v="280.18061699999998"/>
    <n v="39.333609000000003"/>
    <n v="197.283198"/>
    <m/>
    <n v="150797055.65551099"/>
    <n v="57.004391297802073"/>
  </r>
  <r>
    <x v="273"/>
    <n v="755.88940000000002"/>
    <n v="102.6446"/>
    <n v="245.39760000000001"/>
    <m/>
    <n v="265328213.68259999"/>
    <n v="284.88843700000001"/>
    <n v="38.685896999999997"/>
    <n v="92.488316999999995"/>
    <m/>
    <n v="146117479.21373701"/>
    <n v="55.070464307474921"/>
  </r>
  <r>
    <x v="274"/>
    <n v="761.74540000000002"/>
    <n v="100.1859"/>
    <n v="248.14420000000001"/>
    <m/>
    <n v="264707081.60530001"/>
    <n v="287.769181"/>
    <n v="37.847835000000003"/>
    <n v="93.742940000000004"/>
    <m/>
    <n v="144893885.303819"/>
    <n v="54.737442015196137"/>
  </r>
  <r>
    <x v="275"/>
    <n v="774.87120000000004"/>
    <n v="99.322599999999994"/>
    <n v="250.72980000000001"/>
    <m/>
    <n v="264599861.24759999"/>
    <n v="292.84641199999999"/>
    <n v="37.536906000000002"/>
    <n v="94.758099999999999"/>
    <m/>
    <n v="144321333.43600199"/>
    <n v="54.54323851702739"/>
  </r>
  <r>
    <x v="276"/>
    <n v="775.75379999999996"/>
    <n v="100.2653"/>
    <n v="250.09729999999999"/>
    <m/>
    <n v="264923377.82859999"/>
    <n v="292.82195000000002"/>
    <n v="37.846905"/>
    <n v="94.403636000000006"/>
    <m/>
    <n v="144843137.45645699"/>
    <n v="54.673596057712778"/>
  </r>
  <r>
    <x v="277"/>
    <n v="753.2106"/>
    <n v="100.25060000000001"/>
    <n v="245.92699999999999"/>
    <m/>
    <n v="265002938.07449999"/>
    <n v="284.22726399999999"/>
    <n v="37.829996000000001"/>
    <n v="92.801613000000003"/>
    <m/>
    <n v="143864070.87652001"/>
    <n v="54.287726740627932"/>
  </r>
  <r>
    <x v="278"/>
    <n v="789.19200000000001"/>
    <n v="112.5591"/>
    <n v="244.7604"/>
    <m/>
    <n v="267568670.1284"/>
    <n v="294.94932999999997"/>
    <n v="42.067368999999999"/>
    <n v="91.475731999999994"/>
    <m/>
    <n v="148101099.58279601"/>
    <n v="55.350687923113618"/>
  </r>
  <r>
    <x v="279"/>
    <n v="741.01099999999997"/>
    <n v="102.6322"/>
    <n v="241.97139999999999"/>
    <m/>
    <n v="265377444.73140001"/>
    <n v="279.22908100000001"/>
    <n v="38.674047999999999"/>
    <n v="91.180092999999999"/>
    <m/>
    <n v="145176714.302513"/>
    <n v="54.705747298702278"/>
  </r>
  <r>
    <x v="280"/>
    <n v="765.34929999999997"/>
    <n v="105.96299999999999"/>
    <n v="240.74879999999999"/>
    <m/>
    <n v="272196391.19419998"/>
    <n v="281.17540300000002"/>
    <n v="38.928877999999997"/>
    <n v="88.446726999999996"/>
    <m/>
    <n v="150974422.99702701"/>
    <n v="55.465255191173156"/>
  </r>
  <r>
    <x v="281"/>
    <n v="778.01819999999998"/>
    <n v="110.9759"/>
    <n v="271.56700000000001"/>
    <m/>
    <n v="360385275.91100001"/>
    <n v="215.88512399999999"/>
    <n v="30.793683000000001"/>
    <n v="75.354631999999995"/>
    <m/>
    <n v="157565028.30939901"/>
    <n v="43.72127243853074"/>
  </r>
  <r>
    <x v="282"/>
    <n v="783.95060000000001"/>
    <n v="110.43559999999999"/>
    <n v="271.73719999999997"/>
    <m/>
    <n v="360596794.97869998"/>
    <n v="217.40365199999999"/>
    <n v="30.625785"/>
    <n v="75.35763"/>
    <m/>
    <n v="158802128.65368599"/>
    <n v="44.038696645394822"/>
  </r>
  <r>
    <x v="283"/>
    <n v="809.15909999999997"/>
    <n v="118.871"/>
    <n v="269.57470000000001"/>
    <m/>
    <n v="361362943.3897"/>
    <n v="223.91867099999999"/>
    <n v="32.895183000000003"/>
    <n v="74.599430999999996"/>
    <m/>
    <n v="164822163.62084299"/>
    <n v="45.611252242622989"/>
  </r>
  <r>
    <x v="284"/>
    <n v="814.92570000000001"/>
    <n v="118.6473"/>
    <n v="269.84500000000003"/>
    <m/>
    <n v="361758409.63080001"/>
    <n v="225.26793499999999"/>
    <n v="32.797384999999998"/>
    <n v="74.592599000000007"/>
    <m/>
    <n v="164998541.70555401"/>
    <n v="45.610146803206774"/>
  </r>
  <r>
    <x v="285"/>
    <n v="926.27739999999994"/>
    <n v="136.54239999999999"/>
    <n v="274.45429999999999"/>
    <m/>
    <n v="369556402.3901"/>
    <n v="250.645746"/>
    <n v="36.947648000000001"/>
    <n v="74.265876000000006"/>
    <m/>
    <n v="173604955.715691"/>
    <n v="46.976579107520202"/>
  </r>
  <r>
    <x v="286"/>
    <n v="772.37270000000001"/>
    <n v="110.422"/>
    <n v="217.49080000000001"/>
    <m/>
    <n v="369875634.16070002"/>
    <n v="208.819568"/>
    <n v="29.853818"/>
    <n v="58.801062000000002"/>
    <m/>
    <n v="182648610.994982"/>
    <n v="49.381087621366966"/>
  </r>
  <r>
    <x v="287"/>
    <n v="860.26620000000003"/>
    <n v="123.8584"/>
    <n v="238.63069999999999"/>
    <m/>
    <n v="369620820.94639999"/>
    <n v="232.742895"/>
    <n v="33.509583999999997"/>
    <n v="64.560946000000001"/>
    <m/>
    <n v="196648560.74004301"/>
    <n v="53.202782309863359"/>
  </r>
  <r>
    <x v="288"/>
    <n v="894.84069999999997"/>
    <n v="131.55080000000001"/>
    <n v="222.50049999999999"/>
    <m/>
    <n v="369673872.06599998"/>
    <n v="242.062198"/>
    <n v="35.585636000000001"/>
    <n v="60.188321999999999"/>
    <m/>
    <n v="196640790.72975099"/>
    <n v="53.193045435097339"/>
  </r>
  <r>
    <x v="289"/>
    <n v="1075.8136"/>
    <n v="158.59299999999999"/>
    <n v="202.2456"/>
    <m/>
    <n v="369582354.94739997"/>
    <n v="291.08900499999999"/>
    <n v="42.911409999999997"/>
    <n v="54.722741999999997"/>
    <m/>
    <n v="205467677.371562"/>
    <n v="55.594558187390945"/>
  </r>
  <r>
    <x v="290"/>
    <n v="1093.8987"/>
    <n v="165.98169999999999"/>
    <n v="198.43450000000001"/>
    <m/>
    <n v="369770311.611"/>
    <n v="295.83194400000002"/>
    <n v="44.887784000000003"/>
    <n v="53.664259999999999"/>
    <m/>
    <n v="207131436.197153"/>
    <n v="56.016242973842687"/>
  </r>
  <r>
    <x v="291"/>
    <n v="1131.6929"/>
    <n v="179.46369999999999"/>
    <n v="108.52119999999999"/>
    <m/>
    <n v="370856494.19630003"/>
    <n v="305.15655500000003"/>
    <n v="48.391683"/>
    <n v="29.262315999999998"/>
    <m/>
    <n v="211734375.647569"/>
    <n v="57.093344450237602"/>
  </r>
  <r>
    <x v="292"/>
    <n v="1112.8105"/>
    <n v="180.23259999999999"/>
    <n v="106.47110000000001"/>
    <m/>
    <n v="371658516.55599999"/>
    <n v="299.417463"/>
    <n v="48.494140000000002"/>
    <n v="28.647561"/>
    <m/>
    <n v="212241135.59631199"/>
    <n v="57.106490539503717"/>
  </r>
  <r>
    <x v="293"/>
    <n v="1109.4016999999999"/>
    <n v="177.7149"/>
    <n v="60.149500000000003"/>
    <m/>
    <n v="371743159.29110003"/>
    <n v="298.43231100000003"/>
    <n v="47.805829000000003"/>
    <n v="16.180392000000001"/>
    <m/>
    <n v="210884046.45781699"/>
    <n v="56.728426922492616"/>
  </r>
  <r>
    <x v="294"/>
    <n v="1108.4772"/>
    <n v="176.1121"/>
    <n v="60.780999999999999"/>
    <m/>
    <n v="371246091.74830002"/>
    <n v="298.58285999999998"/>
    <n v="47.438102000000001"/>
    <n v="16.372159"/>
    <m/>
    <n v="210408756.72825"/>
    <n v="56.676356035797518"/>
  </r>
  <r>
    <x v="295"/>
    <n v="1127.8793000000001"/>
    <n v="180.3638"/>
    <n v="79.719300000000004"/>
    <m/>
    <n v="371557827.69840002"/>
    <n v="303.55417499999999"/>
    <n v="48.542591999999999"/>
    <n v="21.455421999999999"/>
    <m/>
    <n v="213513371.87103799"/>
    <n v="57.464371883547159"/>
  </r>
  <r>
    <x v="296"/>
    <n v="1103.1708000000001"/>
    <n v="172.41810000000001"/>
    <n v="81.733500000000006"/>
    <m/>
    <n v="370673213.99180001"/>
    <n v="297.61276500000002"/>
    <n v="46.514853000000002"/>
    <n v="22.050014999999998"/>
    <m/>
    <n v="213311343.06040299"/>
    <n v="57.54700771691634"/>
  </r>
  <r>
    <x v="297"/>
    <n v="1108.9829999999999"/>
    <n v="168.93610000000001"/>
    <n v="266.75670000000002"/>
    <m/>
    <n v="369970855.9756"/>
    <n v="299.74874599999998"/>
    <n v="45.662002000000001"/>
    <n v="72.102085000000002"/>
    <m/>
    <n v="227989771.222693"/>
    <n v="61.623711041101345"/>
  </r>
  <r>
    <x v="298"/>
    <n v="1102.2081000000001"/>
    <n v="170.7671"/>
    <n v="264.05149999999998"/>
    <m/>
    <n v="370508107.2094"/>
    <n v="297.48555499999998"/>
    <n v="46.089976999999998"/>
    <n v="71.267401000000007"/>
    <m/>
    <n v="228742545.862748"/>
    <n v="61.737527846717164"/>
  </r>
  <r>
    <x v="299"/>
    <n v="1103.6876999999999"/>
    <n v="168.86189999999999"/>
    <n v="265.33269999999999"/>
    <m/>
    <n v="370598606.82849997"/>
    <n v="297.81215600000002"/>
    <n v="45.564633999999998"/>
    <n v="71.595708999999999"/>
    <m/>
    <n v="229681557.08665401"/>
    <n v="61.975828525697231"/>
  </r>
  <r>
    <x v="300"/>
    <n v="1079.7286999999999"/>
    <n v="163.9528"/>
    <n v="263.4273"/>
    <m/>
    <n v="369685064.89279997"/>
    <n v="292.06716799999998"/>
    <n v="44.349316999999999"/>
    <n v="71.257220000000004"/>
    <m/>
    <n v="227141355.448071"/>
    <n v="61.441853355351718"/>
  </r>
  <r>
    <x v="301"/>
    <n v="1092.0853"/>
    <n v="169.21010000000001"/>
    <n v="262.82979999999998"/>
    <m/>
    <n v="370446312.2335"/>
    <n v="294.80258400000002"/>
    <n v="45.677360999999998"/>
    <n v="70.949498000000006"/>
    <m/>
    <n v="228218194.45493099"/>
    <n v="61.606280564369698"/>
  </r>
  <r>
    <x v="302"/>
    <n v="1087.4593"/>
    <n v="166.22309999999999"/>
    <n v="263.77449999999999"/>
    <m/>
    <n v="369911323.8664"/>
    <n v="293.97837500000003"/>
    <n v="44.935932000000001"/>
    <n v="71.307495000000003"/>
    <m/>
    <n v="227814948.921444"/>
    <n v="61.586367927390995"/>
  </r>
  <r>
    <x v="303"/>
    <n v="1140.5458000000001"/>
    <n v="170.70840000000001"/>
    <n v="215.52950000000001"/>
    <m/>
    <n v="372101832.9465"/>
    <n v="306.51442700000001"/>
    <n v="45.876795999999999"/>
    <n v="57.922181999999999"/>
    <m/>
    <n v="227619435.04939499"/>
    <n v="61.171274875746619"/>
  </r>
  <r>
    <x v="304"/>
    <n v="1149.1524999999999"/>
    <n v="172.10890000000001"/>
    <n v="216.28299999999999"/>
    <m/>
    <n v="382466999.09119999"/>
    <n v="300.45794899999999"/>
    <n v="44.999673000000001"/>
    <n v="56.549453999999997"/>
    <m/>
    <n v="228514038.21615899"/>
    <n v="59.747387031859809"/>
  </r>
  <r>
    <x v="305"/>
    <n v="1151.9702"/>
    <n v="173.04820000000001"/>
    <n v="216.6583"/>
    <m/>
    <n v="382681561.58939999"/>
    <n v="301.02579200000002"/>
    <n v="45.219895000000001"/>
    <n v="56.615819000000002"/>
    <m/>
    <n v="228129284.86062899"/>
    <n v="59.613346384689777"/>
  </r>
  <r>
    <x v="306"/>
    <n v="1148.7152000000001"/>
    <n v="177.1662"/>
    <n v="213.6585"/>
    <m/>
    <n v="383029250.77990001"/>
    <n v="299.90273500000001"/>
    <n v="46.253960999999997"/>
    <n v="55.781249000000003"/>
    <m/>
    <n v="228198953.90193701"/>
    <n v="59.57742220399426"/>
  </r>
  <r>
    <x v="307"/>
    <n v="1167.5848000000001"/>
    <n v="169.31649999999999"/>
    <n v="212.36099999999999"/>
    <m/>
    <n v="381774650.66659999"/>
    <n v="305.83088700000002"/>
    <n v="44.349854000000001"/>
    <n v="55.624699"/>
    <m/>
    <n v="226890730.65184101"/>
    <n v="59.430538474903202"/>
  </r>
  <r>
    <x v="308"/>
    <n v="1254.4148"/>
    <n v="178.2088"/>
    <n v="211.3038"/>
    <m/>
    <n v="384628241.15450001"/>
    <n v="326.13694600000002"/>
    <n v="46.332738999999997"/>
    <n v="54.937151999999998"/>
    <m/>
    <n v="229586092.10090399"/>
    <n v="59.690388675511308"/>
  </r>
  <r>
    <x v="309"/>
    <n v="1201.5160000000001"/>
    <n v="180.0857"/>
    <n v="210.65260000000001"/>
    <m/>
    <n v="384302996.9443"/>
    <n v="312.64809500000001"/>
    <n v="46.860342000000003"/>
    <n v="54.814197"/>
    <m/>
    <n v="227575620.02989501"/>
    <n v="59.217758341572157"/>
  </r>
  <r>
    <x v="310"/>
    <n v="1199.7276999999999"/>
    <n v="179.9744"/>
    <n v="229.15469999999999"/>
    <m/>
    <n v="384469049.08219999"/>
    <n v="312.04792800000001"/>
    <n v="46.811154000000002"/>
    <n v="59.602899000000001"/>
    <m/>
    <n v="221676825.49942401"/>
    <n v="57.657911873168558"/>
  </r>
  <r>
    <x v="311"/>
    <n v="1253.6561999999999"/>
    <n v="168.8005"/>
    <n v="258.60739999999998"/>
    <m/>
    <n v="381252923.48290002"/>
    <n v="328.825334"/>
    <n v="44.275201000000003"/>
    <n v="67.830928999999998"/>
    <m/>
    <n v="214055787.88280699"/>
    <n v="56.145349897207495"/>
  </r>
  <r>
    <x v="312"/>
    <n v="1265.2193"/>
    <n v="173.24860000000001"/>
    <n v="243.1541"/>
    <m/>
    <n v="381849724.97039998"/>
    <n v="331.33958699999999"/>
    <n v="45.370885000000001"/>
    <n v="63.677956000000002"/>
    <m/>
    <n v="217865159.41273299"/>
    <n v="57.055209200326473"/>
  </r>
  <r>
    <x v="313"/>
    <n v="1224.6958"/>
    <n v="168.59010000000001"/>
    <n v="241.91759999999999"/>
    <m/>
    <n v="382775291.98220003"/>
    <n v="319.95163400000001"/>
    <n v="44.044144000000003"/>
    <n v="63.200944999999997"/>
    <m/>
    <n v="209664030.10308701"/>
    <n v="54.774703199191052"/>
  </r>
  <r>
    <x v="314"/>
    <n v="1179.4163000000001"/>
    <n v="161.7039"/>
    <n v="210.1575"/>
    <m/>
    <n v="383224206.4939"/>
    <n v="307.76143100000002"/>
    <n v="42.195638000000002"/>
    <n v="54.839306999999998"/>
    <m/>
    <n v="203975808.58456799"/>
    <n v="53.226232875718615"/>
  </r>
  <r>
    <x v="315"/>
    <n v="1126.3380999999999"/>
    <n v="150.55350000000001"/>
    <n v="212.28190000000001"/>
    <m/>
    <n v="382743243.32730001"/>
    <n v="294.28033499999998"/>
    <n v="39.335377999999999"/>
    <n v="55.463265"/>
    <m/>
    <n v="194132116.54617301"/>
    <n v="50.721239350569633"/>
  </r>
  <r>
    <x v="316"/>
    <n v="1070.3390999999999"/>
    <n v="139.33410000000001"/>
    <n v="204.7465"/>
    <m/>
    <n v="382116370.9465"/>
    <n v="280.10815100000002"/>
    <n v="36.463787000000004"/>
    <n v="53.582236999999999"/>
    <m/>
    <n v="185405743.88563401"/>
    <n v="48.520753880914619"/>
  </r>
  <r>
    <x v="317"/>
    <n v="1068.8929000000001"/>
    <n v="133.40170000000001"/>
    <n v="281.82119999999998"/>
    <m/>
    <n v="380539522.57700002"/>
    <n v="280.8888"/>
    <n v="35.055937999999998"/>
    <n v="74.058325999999994"/>
    <m/>
    <n v="182429187.251378"/>
    <n v="47.939616367827995"/>
  </r>
  <r>
    <x v="318"/>
    <n v="1080.7905000000001"/>
    <n v="127.5539"/>
    <n v="332.34469999999999"/>
    <m/>
    <n v="380182345.92570001"/>
    <n v="284.28213799999997"/>
    <n v="33.550716000000001"/>
    <n v="87.417184000000006"/>
    <m/>
    <n v="173725210.465404"/>
    <n v="45.695233439207499"/>
  </r>
  <r>
    <x v="319"/>
    <n v="987.97889999999995"/>
    <n v="110.059"/>
    <n v="348.90620000000001"/>
    <m/>
    <n v="380208269.11839998"/>
    <n v="259.85202900000002"/>
    <n v="28.947030000000002"/>
    <n v="91.767126000000005"/>
    <m/>
    <n v="157081892.284242"/>
    <n v="41.314696455306553"/>
  </r>
  <r>
    <x v="320"/>
    <n v="954.19669999999996"/>
    <n v="105.8288"/>
    <n v="344.1635"/>
    <m/>
    <n v="381878438.11570001"/>
    <n v="249.869227"/>
    <n v="27.712693000000002"/>
    <n v="90.123836999999995"/>
    <m/>
    <n v="152801641.50608999"/>
    <n v="40.0131628955167"/>
  </r>
  <r>
    <x v="321"/>
    <n v="913.77380000000005"/>
    <n v="106.434"/>
    <n v="334.39030000000002"/>
    <m/>
    <n v="382763232.25749999"/>
    <n v="238.730819"/>
    <n v="27.806746"/>
    <n v="87.362178999999998"/>
    <m/>
    <n v="144355331.71007499"/>
    <n v="37.71400164500686"/>
  </r>
  <r>
    <x v="322"/>
    <n v="934.65060000000005"/>
    <n v="109.83329999999999"/>
    <n v="333.89240000000001"/>
    <m/>
    <n v="384906532.58569998"/>
    <n v="242.82534100000001"/>
    <n v="28.535056999999998"/>
    <n v="86.746358000000001"/>
    <m/>
    <n v="147316447.43821201"/>
    <n v="38.273304027494461"/>
  </r>
  <r>
    <x v="323"/>
    <n v="905.90920000000006"/>
    <n v="103.9979"/>
    <n v="334.42180000000002"/>
    <m/>
    <n v="391898669.37419999"/>
    <n v="231.15904"/>
    <n v="26.536936000000001"/>
    <n v="85.333742000000001"/>
    <m/>
    <n v="144555216.35273901"/>
    <n v="36.885865569171429"/>
  </r>
  <r>
    <x v="324"/>
    <n v="900.2817"/>
    <n v="101.46850000000001"/>
    <n v="334.64420000000001"/>
    <m/>
    <n v="392017795.64060003"/>
    <n v="229.65327300000001"/>
    <n v="25.883645999999999"/>
    <n v="85.364542999999998"/>
    <m/>
    <n v="143803855.737721"/>
    <n v="36.682991776618138"/>
  </r>
  <r>
    <x v="325"/>
    <n v="933.8596"/>
    <n v="105.1772"/>
    <n v="333.15530000000001"/>
    <m/>
    <n v="391997115.77920002"/>
    <n v="238.23124300000001"/>
    <n v="26.831116000000002"/>
    <n v="84.989221999999998"/>
    <m/>
    <n v="144733641.08822599"/>
    <n v="36.922118878484305"/>
  </r>
  <r>
    <x v="326"/>
    <n v="955.6354"/>
    <n v="110.8584"/>
    <n v="379.8535"/>
    <m/>
    <n v="391598188.75989997"/>
    <n v="244.034683"/>
    <n v="28.309221999999998"/>
    <n v="97.000832000000003"/>
    <m/>
    <n v="146352113.25417"/>
    <n v="37.37303119752238"/>
  </r>
  <r>
    <x v="327"/>
    <n v="964.87419999999997"/>
    <n v="112.476"/>
    <n v="377.50009999999997"/>
    <m/>
    <n v="390311738.37159997"/>
    <n v="247.206042"/>
    <n v="28.816966000000001"/>
    <n v="96.717588000000006"/>
    <m/>
    <n v="146352278.34989899"/>
    <n v="37.496253369290919"/>
  </r>
  <r>
    <x v="328"/>
    <n v="1005.1638"/>
    <n v="114.1721"/>
    <n v="381.09879999999998"/>
    <m/>
    <n v="392928484.48830003"/>
    <n v="255.81342100000001"/>
    <n v="29.056712000000001"/>
    <n v="96.989354000000006"/>
    <m/>
    <n v="148370699.26774299"/>
    <n v="37.760229946414313"/>
  </r>
  <r>
    <x v="329"/>
    <n v="1010.7446"/>
    <n v="111.2624"/>
    <n v="382.29140000000001"/>
    <m/>
    <n v="392962369.28619999"/>
    <n v="257.21154999999999"/>
    <n v="28.313753999999999"/>
    <n v="97.284481"/>
    <m/>
    <n v="146709021.20787701"/>
    <n v="37.334114580581321"/>
  </r>
  <r>
    <x v="330"/>
    <n v="947.79489999999998"/>
    <n v="106.9974"/>
    <n v="383.13339999999999"/>
    <m/>
    <n v="393836830.45420003"/>
    <n v="240.656746"/>
    <n v="27.167952"/>
    <n v="97.282268000000002"/>
    <m/>
    <n v="141840811.24033901"/>
    <n v="36.015121053243881"/>
  </r>
  <r>
    <x v="331"/>
    <n v="908.77380000000005"/>
    <n v="102.9123"/>
    <n v="389.93830000000003"/>
    <m/>
    <n v="393658313.58399999"/>
    <n v="230.85345000000001"/>
    <n v="26.142544999999998"/>
    <n v="99.055014999999997"/>
    <m/>
    <n v="141149606.349814"/>
    <n v="35.855868269296707"/>
  </r>
  <r>
    <x v="332"/>
    <n v="908.41430000000003"/>
    <n v="103.8616"/>
    <n v="410.07279999999997"/>
    <m/>
    <n v="393895218.36860001"/>
    <n v="230.62333799999999"/>
    <n v="26.367825"/>
    <n v="104.107077"/>
    <m/>
    <n v="141966285.49755201"/>
    <n v="36.041637186035231"/>
  </r>
  <r>
    <x v="333"/>
    <n v="977.54139999999995"/>
    <n v="113.6884"/>
    <n v="483.85559999999998"/>
    <m/>
    <n v="392745476.67549998"/>
    <n v="248.89946699999999"/>
    <n v="28.947092999999999"/>
    <n v="123.198262"/>
    <m/>
    <n v="146503143.01394299"/>
    <n v="37.302311984356471"/>
  </r>
  <r>
    <x v="334"/>
    <n v="983.97739999999999"/>
    <n v="119.9562"/>
    <n v="465.1397"/>
    <m/>
    <n v="391721535.52020001"/>
    <n v="251.193083"/>
    <n v="30.622824999999999"/>
    <n v="118.74243800000001"/>
    <m/>
    <n v="148311496.69989699"/>
    <n v="37.861461076665506"/>
  </r>
  <r>
    <x v="335"/>
    <n v="958.37909999999999"/>
    <n v="121.7718"/>
    <n v="605.08669999999995"/>
    <m/>
    <n v="391733262.63810003"/>
    <n v="244.650938"/>
    <n v="31.085387000000001"/>
    <n v="154.46395699999999"/>
    <m/>
    <n v="149415248.530844"/>
    <n v="38.142088707151785"/>
  </r>
  <r>
    <x v="336"/>
    <n v="971.83699999999999"/>
    <n v="118.5612"/>
    <n v="606.03420000000006"/>
    <m/>
    <n v="392581695.82859999"/>
    <n v="247.55025800000001"/>
    <n v="30.200389000000001"/>
    <n v="154.371487"/>
    <m/>
    <n v="146926720.697391"/>
    <n v="37.425769529901558"/>
  </r>
  <r>
    <x v="337"/>
    <n v="987.38199999999995"/>
    <n v="122.1895"/>
    <n v="605.10299999999995"/>
    <m/>
    <n v="393058590.34179997"/>
    <n v="251.20478800000001"/>
    <n v="31.086841"/>
    <n v="153.94727800000001"/>
    <m/>
    <n v="147592969.055415"/>
    <n v="37.549864748425819"/>
  </r>
  <r>
    <x v="338"/>
    <n v="982.29020000000003"/>
    <n v="119.5984"/>
    <n v="605.66600000000005"/>
    <m/>
    <n v="393256720.3466"/>
    <n v="249.78344899999999"/>
    <n v="30.412296999999999"/>
    <n v="154.01288"/>
    <m/>
    <n v="147196027.82021499"/>
    <n v="37.43000950892398"/>
  </r>
  <r>
    <x v="339"/>
    <n v="975.57730000000004"/>
    <n v="121.07380000000001"/>
    <n v="605.35209999999995"/>
    <m/>
    <n v="393246882.70370001"/>
    <n v="248.08265299999999"/>
    <n v="30.788242"/>
    <n v="153.93691000000001"/>
    <m/>
    <n v="148363893.982014"/>
    <n v="37.72792627419296"/>
  </r>
  <r>
    <x v="340"/>
    <n v="964.83090000000004"/>
    <n v="123.214"/>
    <n v="604.38549999999998"/>
    <m/>
    <n v="392744289.66299999"/>
    <n v="245.66389000000001"/>
    <n v="31.372575999999999"/>
    <n v="153.887788"/>
    <m/>
    <n v="148790999.09091899"/>
    <n v="37.884955429547126"/>
  </r>
  <r>
    <x v="341"/>
    <n v="950.47180000000003"/>
    <n v="117.6293"/>
    <n v="556.19539999999995"/>
    <m/>
    <n v="394058479.63990003"/>
    <n v="241.20069699999999"/>
    <n v="29.850722000000001"/>
    <n v="141.14539600000001"/>
    <m/>
    <n v="145870286.80722699"/>
    <n v="37.017421104737224"/>
  </r>
  <r>
    <x v="342"/>
    <n v="948.44560000000001"/>
    <n v="115.9208"/>
    <n v="556.33249999999998"/>
    <m/>
    <n v="394182809.46219999"/>
    <n v="240.61059399999999"/>
    <n v="29.407878"/>
    <n v="141.13565800000001"/>
    <m/>
    <n v="145366535.612167"/>
    <n v="36.877949043616745"/>
  </r>
  <r>
    <x v="343"/>
    <n v="935.66279999999995"/>
    <n v="112.5586"/>
    <n v="556.04880000000003"/>
    <m/>
    <n v="394653031.38789999"/>
    <n v="237.084914"/>
    <n v="28.520900999999999"/>
    <n v="140.895611"/>
    <m/>
    <n v="145074200.37054801"/>
    <n v="36.759935647866904"/>
  </r>
  <r>
    <x v="344"/>
    <n v="961.6345"/>
    <n v="119.2144"/>
    <n v="705.24599999999998"/>
    <m/>
    <n v="397772268.4479"/>
    <n v="241.75503800000001"/>
    <n v="29.970516"/>
    <n v="177.298936"/>
    <m/>
    <n v="147049266.59317699"/>
    <n v="36.968204738595908"/>
  </r>
  <r>
    <x v="345"/>
    <n v="955.61980000000005"/>
    <n v="117.02670000000001"/>
    <n v="755.11279999999999"/>
    <m/>
    <n v="398338423.12260002"/>
    <n v="239.901487"/>
    <n v="29.378712"/>
    <n v="189.56564499999999"/>
    <m/>
    <n v="146285082.59665701"/>
    <n v="36.72381927154278"/>
  </r>
  <r>
    <x v="346"/>
    <n v="961.07320000000004"/>
    <n v="114.71080000000001"/>
    <n v="753.92660000000001"/>
    <m/>
    <n v="399600367.34130001"/>
    <n v="240.508588"/>
    <n v="28.706379999999999"/>
    <n v="188.67014699999999"/>
    <m/>
    <n v="145718567.03098601"/>
    <n v="36.46607434335197"/>
  </r>
  <r>
    <x v="347"/>
    <n v="979.34180000000003"/>
    <n v="117.0239"/>
    <n v="777.36990000000003"/>
    <m/>
    <n v="397742700.7859"/>
    <n v="246.22495900000001"/>
    <n v="29.422011000000001"/>
    <n v="195.44542200000001"/>
    <m/>
    <n v="147058521.03820699"/>
    <n v="36.973279647277998"/>
  </r>
  <r>
    <x v="348"/>
    <n v="956.2953"/>
    <n v="116.51179999999999"/>
    <n v="777.8895"/>
    <m/>
    <n v="399897344.61799997"/>
    <n v="239.13519600000001"/>
    <n v="29.135427"/>
    <n v="194.52229700000001"/>
    <m/>
    <n v="145170999.11620599"/>
    <n v="36.302066285256259"/>
  </r>
  <r>
    <x v="349"/>
    <n v="925.58140000000003"/>
    <n v="111.4032"/>
    <n v="778.07150000000001"/>
    <m/>
    <n v="399126541.03780001"/>
    <n v="231.90174200000001"/>
    <n v="27.911749"/>
    <n v="194.94356300000001"/>
    <m/>
    <n v="142784676.142443"/>
    <n v="35.774287465618656"/>
  </r>
  <r>
    <x v="350"/>
    <n v="882.28769999999997"/>
    <n v="105.73569999999999"/>
    <n v="885.58370000000002"/>
    <m/>
    <n v="398855991.46789998"/>
    <n v="221.20457500000001"/>
    <n v="26.509743"/>
    <n v="222.03093799999999"/>
    <m/>
    <n v="142824845.30554199"/>
    <n v="35.808624756997432"/>
  </r>
  <r>
    <x v="351"/>
    <n v="919.39480000000003"/>
    <n v="110.60639999999999"/>
    <n v="854.79089999999997"/>
    <m/>
    <n v="397391025.11229998"/>
    <n v="231.35771600000001"/>
    <n v="27.83314"/>
    <n v="215.100706"/>
    <m/>
    <n v="159503830.78797701"/>
    <n v="40.137753675464189"/>
  </r>
  <r>
    <x v="352"/>
    <n v="922.95060000000001"/>
    <n v="113.1614"/>
    <n v="778.31219999999996"/>
    <m/>
    <n v="395843089.66790003"/>
    <n v="233.160721"/>
    <n v="28.587439"/>
    <n v="196.62139400000001"/>
    <m/>
    <n v="159705428.988684"/>
    <n v="40.345640269398629"/>
  </r>
  <r>
    <x v="353"/>
    <n v="908.7473"/>
    <n v="109.4408"/>
    <n v="593.93240000000003"/>
    <m/>
    <n v="394775170.43989998"/>
    <n v="230.19363100000001"/>
    <n v="27.722311000000001"/>
    <n v="150.44826599999999"/>
    <m/>
    <n v="167349119.94204801"/>
    <n v="42.390994285575267"/>
  </r>
  <r>
    <x v="354"/>
    <n v="923.87929999999994"/>
    <n v="108.8596"/>
    <n v="392.75799999999998"/>
    <m/>
    <n v="394917536.14300001"/>
    <n v="233.94233399999999"/>
    <n v="27.565147"/>
    <n v="99.453168000000005"/>
    <m/>
    <n v="166354155.51571301"/>
    <n v="42.123770228191646"/>
  </r>
  <r>
    <x v="355"/>
    <n v="927.99400000000003"/>
    <n v="110.7174"/>
    <n v="380.92559999999997"/>
    <m/>
    <n v="394565391.7647"/>
    <n v="235.19396800000001"/>
    <n v="28.060596"/>
    <n v="96.543085000000005"/>
    <m/>
    <n v="166090910.962872"/>
    <n v="42.094647536122658"/>
  </r>
  <r>
    <x v="356"/>
    <n v="871.6789"/>
    <n v="105.4635"/>
    <n v="241.3432"/>
    <m/>
    <n v="395094725.42729998"/>
    <n v="220.625294"/>
    <n v="26.693218999999999"/>
    <n v="61.084895000000003"/>
    <m/>
    <n v="156768860.27537701"/>
    <n v="39.678803635211651"/>
  </r>
  <r>
    <x v="357"/>
    <n v="855.1454"/>
    <n v="107.0943"/>
    <n v="150.87440000000001"/>
    <m/>
    <n v="395562245.22079998"/>
    <n v="216.184788"/>
    <n v="27.073944000000001"/>
    <n v="38.141759"/>
    <m/>
    <n v="157270551.66658601"/>
    <n v="39.758736726453435"/>
  </r>
  <r>
    <x v="358"/>
    <n v="848.17600000000004"/>
    <n v="107.3304"/>
    <n v="150.51730000000001"/>
    <m/>
    <n v="395916989.01770002"/>
    <n v="214.23076599999999"/>
    <n v="27.109318999999999"/>
    <n v="38.017389000000001"/>
    <m/>
    <n v="157458112.52920201"/>
    <n v="39.770486464818674"/>
  </r>
  <r>
    <x v="359"/>
    <n v="835.83249999999998"/>
    <n v="103.8271"/>
    <n v="151.65199999999999"/>
    <m/>
    <n v="395957975.03890002"/>
    <n v="211.09121500000001"/>
    <n v="26.221747000000001"/>
    <n v="38.300024000000001"/>
    <m/>
    <n v="156971026.639144"/>
    <n v="39.643355238323643"/>
  </r>
  <r>
    <x v="360"/>
    <n v="814.87739999999997"/>
    <n v="98.674300000000002"/>
    <n v="153.74440000000001"/>
    <m/>
    <n v="395833863.5122"/>
    <n v="205.86348799999999"/>
    <n v="24.928211000000001"/>
    <n v="38.840639000000003"/>
    <m/>
    <n v="154296278.32615101"/>
    <n v="38.980060209375047"/>
  </r>
  <r>
    <x v="361"/>
    <n v="815.51369999999997"/>
    <n v="99.163600000000002"/>
    <n v="153.53919999999999"/>
    <m/>
    <n v="395709080.81129998"/>
    <n v="206.08920499999999"/>
    <n v="25.059723000000002"/>
    <n v="38.801029999999997"/>
    <m/>
    <n v="154977482.16077599"/>
    <n v="39.164499799457317"/>
  </r>
  <r>
    <x v="362"/>
    <n v="819.06349999999998"/>
    <n v="99.959299999999999"/>
    <n v="153.1841"/>
    <m/>
    <n v="395336539.46810001"/>
    <n v="207.18133"/>
    <n v="25.284609"/>
    <n v="38.747771999999998"/>
    <m/>
    <n v="155144130.792979"/>
    <n v="39.243559677462521"/>
  </r>
  <r>
    <x v="363"/>
    <n v="833.06079999999997"/>
    <n v="100.8762"/>
    <n v="152.86170000000001"/>
    <m/>
    <n v="395462386.07779998"/>
    <n v="210.654876"/>
    <n v="25.508417999999999"/>
    <n v="38.653916000000002"/>
    <m/>
    <n v="155080911.69022501"/>
    <n v="39.215085214125942"/>
  </r>
  <r>
    <x v="364"/>
    <n v="845.46590000000003"/>
    <n v="102.58150000000001"/>
    <n v="178.62190000000001"/>
    <m/>
    <n v="397215487.329"/>
    <n v="212.84817100000001"/>
    <n v="25.825151000000002"/>
    <n v="44.968513000000002"/>
    <m/>
    <n v="159017574.52535099"/>
    <n v="40.033075143830473"/>
  </r>
  <r>
    <x v="365"/>
    <n v="912.22739999999999"/>
    <n v="109.3582"/>
    <n v="204.88919999999999"/>
    <m/>
    <n v="396897465.71880001"/>
    <n v="229.839563"/>
    <n v="27.553262"/>
    <n v="51.622703000000001"/>
    <m/>
    <n v="165379546.64506599"/>
    <n v="41.668078264383936"/>
  </r>
  <r>
    <x v="366"/>
    <n v="935.0729"/>
    <n v="109.89149999999999"/>
    <n v="205.5711"/>
    <m/>
    <n v="396235921.67409998"/>
    <n v="235.98892699999999"/>
    <n v="27.733855999999999"/>
    <n v="51.880985000000003"/>
    <m/>
    <n v="165194022.724978"/>
    <n v="41.690824503500821"/>
  </r>
  <r>
    <x v="367"/>
    <n v="939.38840000000005"/>
    <n v="111.6155"/>
    <n v="204.84190000000001"/>
    <m/>
    <n v="396092875.0341"/>
    <n v="237.16367"/>
    <n v="28.179123000000001"/>
    <n v="51.715623999999998"/>
    <m/>
    <n v="165936918.90183699"/>
    <n v="41.893436959084738"/>
  </r>
  <r>
    <x v="368"/>
    <n v="971.47249999999997"/>
    <n v="118.31529999999999"/>
    <n v="202.36439999999999"/>
    <m/>
    <n v="396815473.04509997"/>
    <n v="244.81719200000001"/>
    <n v="29.816201"/>
    <n v="50.997104"/>
    <m/>
    <n v="166980951.06991699"/>
    <n v="42.080252009462043"/>
  </r>
  <r>
    <x v="369"/>
    <n v="1000.511"/>
    <n v="123.84350000000001"/>
    <n v="179.41970000000001"/>
    <m/>
    <n v="397003257.13010001"/>
    <n v="252.015817"/>
    <n v="31.194579999999998"/>
    <n v="45.193508000000001"/>
    <m/>
    <n v="173265687.09171501"/>
    <n v="43.643391831149373"/>
  </r>
  <r>
    <x v="370"/>
    <n v="973.40800000000002"/>
    <n v="119.51949999999999"/>
    <n v="193.73929999999999"/>
    <m/>
    <n v="397170891.3452"/>
    <n v="245.08543299999999"/>
    <n v="30.092714000000001"/>
    <n v="48.779834000000001"/>
    <m/>
    <n v="175037157.94011399"/>
    <n v="44.070993558281927"/>
  </r>
  <r>
    <x v="371"/>
    <n v="989.59370000000001"/>
    <n v="123.7739"/>
    <n v="226.52369999999999"/>
    <m/>
    <n v="397002795.47920001"/>
    <n v="249.26617899999999"/>
    <n v="31.177085000000002"/>
    <n v="57.058464999999998"/>
    <m/>
    <n v="177733451.77782699"/>
    <n v="44.76881619014668"/>
  </r>
  <r>
    <x v="372"/>
    <n v="980.1105"/>
    <n v="124.3447"/>
    <n v="250.48050000000001"/>
    <m/>
    <n v="397170306.31440002"/>
    <n v="246.773358"/>
    <n v="31.307652999999998"/>
    <n v="63.066271"/>
    <m/>
    <n v="177824188.75255099"/>
    <n v="44.772780322551448"/>
  </r>
  <r>
    <x v="373"/>
    <n v="985.11199999999997"/>
    <n v="124.43559999999999"/>
    <n v="250.5992"/>
    <m/>
    <n v="397716423.1031"/>
    <n v="247.69206"/>
    <n v="31.287519"/>
    <n v="63.009518"/>
    <m/>
    <n v="176973579.184383"/>
    <n v="44.497428042720315"/>
  </r>
  <r>
    <x v="374"/>
    <n v="1075.4739"/>
    <n v="138.42949999999999"/>
    <n v="335.41980000000001"/>
    <m/>
    <n v="397383399.0966"/>
    <n v="270.63886000000002"/>
    <n v="34.835250000000002"/>
    <n v="84.407099000000002"/>
    <m/>
    <n v="187832670.10638201"/>
    <n v="47.267367115333805"/>
  </r>
  <r>
    <x v="375"/>
    <n v="1067.4432999999999"/>
    <n v="141.53749999999999"/>
    <n v="332.93239999999997"/>
    <m/>
    <n v="396587588.57169998"/>
    <n v="269.15701100000001"/>
    <n v="35.688836999999999"/>
    <n v="83.949274000000003"/>
    <m/>
    <n v="188360694.7949"/>
    <n v="47.495357954412093"/>
  </r>
  <r>
    <x v="376"/>
    <n v="1069.4110000000001"/>
    <n v="138.99430000000001"/>
    <n v="333.90879999999999"/>
    <m/>
    <n v="397269137.52630001"/>
    <n v="269.19055600000002"/>
    <n v="34.987439999999999"/>
    <n v="84.051029999999997"/>
    <m/>
    <n v="186641514.12448901"/>
    <n v="46.981126016146412"/>
  </r>
  <r>
    <x v="377"/>
    <n v="1070.4175"/>
    <n v="137.78970000000001"/>
    <n v="333.98160000000001"/>
    <m/>
    <n v="397169672.26289999"/>
    <n v="269.51138900000001"/>
    <n v="34.692906000000001"/>
    <n v="84.090408999999994"/>
    <m/>
    <n v="186280065.237488"/>
    <n v="46.901885578560226"/>
  </r>
  <r>
    <x v="378"/>
    <n v="1088.3823"/>
    <n v="136.4665"/>
    <n v="335.49250000000001"/>
    <m/>
    <n v="397805795.75510001"/>
    <n v="273.59639099999998"/>
    <n v="34.304803999999997"/>
    <n v="84.335750000000004"/>
    <m/>
    <n v="185757173.06927899"/>
    <n v="46.695441607803048"/>
  </r>
  <r>
    <x v="379"/>
    <n v="1089.5912000000001"/>
    <n v="137.74510000000001"/>
    <n v="334.76710000000003"/>
    <m/>
    <n v="397745988.85140002"/>
    <n v="273.94146799999999"/>
    <n v="34.631424000000003"/>
    <n v="84.166053000000005"/>
    <m/>
    <n v="185897746.567494"/>
    <n v="46.737805478397007"/>
  </r>
  <r>
    <x v="380"/>
    <n v="1075.1151"/>
    <n v="134.64240000000001"/>
    <n v="336.03820000000002"/>
    <m/>
    <n v="397905810.53439999"/>
    <n v="270.19336499999997"/>
    <n v="33.837757000000003"/>
    <n v="84.451695000000001"/>
    <m/>
    <n v="183117033.79561201"/>
    <n v="46.020195972931404"/>
  </r>
  <r>
    <x v="381"/>
    <n v="1082.3543999999999"/>
    <n v="133.5275"/>
    <n v="336.26519999999999"/>
    <m/>
    <n v="398254031.68000001"/>
    <n v="271.77487600000001"/>
    <n v="33.528222999999997"/>
    <n v="84.434850999999995"/>
    <m/>
    <n v="183131022.832708"/>
    <n v="45.983469912454048"/>
  </r>
  <r>
    <x v="382"/>
    <n v="1085.2783999999999"/>
    <n v="134.6619"/>
    <n v="335.28480000000002"/>
    <m/>
    <n v="398364083.37870002"/>
    <n v="272.43379700000003"/>
    <n v="33.803725"/>
    <n v="84.165419"/>
    <m/>
    <n v="183607462.406423"/>
    <n v="46.090365589479809"/>
  </r>
  <r>
    <x v="383"/>
    <n v="1114.6356000000001"/>
    <n v="138.3329"/>
    <n v="333.52550000000002"/>
    <m/>
    <n v="399884722.51959997"/>
    <n v="278.73923100000002"/>
    <n v="34.593195000000001"/>
    <n v="83.405411999999998"/>
    <m/>
    <n v="183686524.78032801"/>
    <n v="45.934869335080627"/>
  </r>
  <r>
    <x v="384"/>
    <n v="1094.2118"/>
    <n v="139.7028"/>
    <n v="351.5607"/>
    <m/>
    <n v="384353548.92750001"/>
    <n v="284.68887599999999"/>
    <n v="36.347472000000003"/>
    <n v="91.468051000000003"/>
    <m/>
    <n v="186752656.912577"/>
    <n v="48.588768708833712"/>
  </r>
  <r>
    <x v="385"/>
    <n v="1112.463"/>
    <n v="150.1507"/>
    <n v="413.1703"/>
    <m/>
    <n v="384437442.9364"/>
    <n v="289.374259"/>
    <n v="39.057251999999998"/>
    <n v="107.474001"/>
    <m/>
    <n v="192649084.05489901"/>
    <n v="50.111946064205362"/>
  </r>
  <r>
    <x v="386"/>
    <n v="1095.287"/>
    <n v="150.49760000000001"/>
    <n v="362.15339999999998"/>
    <m/>
    <n v="384335086.76910001"/>
    <n v="284.98230799999999"/>
    <n v="39.157913000000001"/>
    <n v="94.228555"/>
    <m/>
    <n v="193238991.124093"/>
    <n v="50.278779579702203"/>
  </r>
  <r>
    <x v="387"/>
    <n v="1112.6902"/>
    <n v="144.5934"/>
    <n v="360.47770000000003"/>
    <m/>
    <n v="384207334.2992"/>
    <n v="289.60670499999998"/>
    <n v="37.634211000000001"/>
    <n v="93.823742999999993"/>
    <m/>
    <n v="192487092.873959"/>
    <n v="50.099796565585706"/>
  </r>
  <r>
    <x v="388"/>
    <n v="1217.1213"/>
    <n v="162.7098"/>
    <n v="373.73719999999997"/>
    <m/>
    <n v="385858451.25120002"/>
    <n v="315.43207000000001"/>
    <n v="42.168261000000001"/>
    <n v="96.858627999999996"/>
    <m/>
    <n v="202621106.096937"/>
    <n v="52.51177094603208"/>
  </r>
  <r>
    <x v="389"/>
    <n v="1231.5573999999999"/>
    <n v="166.89009999999999"/>
    <n v="336.87670000000003"/>
    <m/>
    <n v="386010535.28570002"/>
    <n v="319.04761300000001"/>
    <n v="43.234597000000001"/>
    <n v="87.271375000000006"/>
    <m/>
    <n v="203807433.519811"/>
    <n v="52.79841219073618"/>
  </r>
  <r>
    <x v="390"/>
    <n v="1206.5373"/>
    <n v="166.88339999999999"/>
    <n v="317.44150000000002"/>
    <m/>
    <n v="384999971.98559999"/>
    <n v="313.38633399999998"/>
    <n v="43.346341000000002"/>
    <n v="82.452343999999997"/>
    <m/>
    <n v="203059047.58684599"/>
    <n v="52.742613600616295"/>
  </r>
  <r>
    <x v="391"/>
    <n v="1235.2112"/>
    <n v="167.91069999999999"/>
    <n v="381.94450000000001"/>
    <m/>
    <n v="385235035.91790003"/>
    <n v="320.63833399999999"/>
    <n v="43.586559999999999"/>
    <n v="99.145837"/>
    <m/>
    <n v="210518815.192826"/>
    <n v="54.646850770263541"/>
  </r>
  <r>
    <x v="392"/>
    <n v="1237.251"/>
    <n v="165.74119999999999"/>
    <n v="399.41109999999998"/>
    <m/>
    <n v="385541435.59130001"/>
    <n v="320.91258800000003"/>
    <n v="42.989204999999998"/>
    <n v="103.59745100000001"/>
    <m/>
    <n v="210755453.61860499"/>
    <n v="54.66479972389272"/>
  </r>
  <r>
    <x v="393"/>
    <n v="1270.0377000000001"/>
    <n v="169.3296"/>
    <n v="408.197"/>
    <m/>
    <n v="385790003.25330001"/>
    <n v="329.204409"/>
    <n v="43.891651000000003"/>
    <n v="105.808081"/>
    <m/>
    <n v="215310474.14746401"/>
    <n v="55.81027821659147"/>
  </r>
  <r>
    <x v="394"/>
    <n v="1264.0335"/>
    <n v="168.7235"/>
    <n v="415.69740000000002"/>
    <m/>
    <n v="385884423.54570001"/>
    <n v="327.56789900000001"/>
    <n v="43.723843000000002"/>
    <n v="107.725882"/>
    <m/>
    <n v="215562436.23130101"/>
    <n v="55.861916957052848"/>
  </r>
  <r>
    <x v="395"/>
    <n v="1336.0002999999999"/>
    <n v="184.2901"/>
    <n v="462.52839999999998"/>
    <m/>
    <n v="385761465.03860003"/>
    <n v="346.32808599999998"/>
    <n v="47.773071000000002"/>
    <n v="119.900105"/>
    <m/>
    <n v="227024598.87645099"/>
    <n v="58.851030870523701"/>
  </r>
  <r>
    <x v="396"/>
    <n v="1329.711"/>
    <n v="182.72380000000001"/>
    <n v="470.81599999999997"/>
    <m/>
    <n v="386201033.7277"/>
    <n v="344.30539599999997"/>
    <n v="47.313130999999998"/>
    <n v="121.909565"/>
    <m/>
    <n v="225654041.53132701"/>
    <n v="58.429165596286211"/>
  </r>
  <r>
    <x v="397"/>
    <n v="1303.8172"/>
    <n v="178.33150000000001"/>
    <n v="494.79379999999998"/>
    <m/>
    <n v="386442660.37480003"/>
    <n v="337.38956200000001"/>
    <n v="46.146949999999997"/>
    <n v="128.03809000000001"/>
    <m/>
    <n v="219244887.33117899"/>
    <n v="56.734131557457822"/>
  </r>
  <r>
    <x v="398"/>
    <n v="1323.7570000000001"/>
    <n v="179.88419999999999"/>
    <n v="523.00289999999995"/>
    <m/>
    <n v="386514055.72100002"/>
    <n v="342.48612200000002"/>
    <n v="46.540143999999998"/>
    <n v="135.31277600000001"/>
    <m/>
    <n v="222844473.96615401"/>
    <n v="57.654946998101231"/>
  </r>
  <r>
    <x v="399"/>
    <n v="1323.5154"/>
    <n v="181.9016"/>
    <n v="494.0274"/>
    <m/>
    <n v="386503437.4558"/>
    <n v="342.43302199999999"/>
    <n v="47.063384999999997"/>
    <n v="127.819665"/>
    <m/>
    <n v="228005442.11406201"/>
    <n v="58.991827760946215"/>
  </r>
  <r>
    <x v="400"/>
    <n v="1280.3480999999999"/>
    <n v="189.6173"/>
    <n v="490.1968"/>
    <m/>
    <n v="385971756.70590001"/>
    <n v="331.72067099999998"/>
    <n v="49.127246999999997"/>
    <n v="127.003282"/>
    <m/>
    <n v="231171548.249084"/>
    <n v="59.893384485443178"/>
  </r>
  <r>
    <x v="401"/>
    <n v="1254.3107"/>
    <n v="188.3201"/>
    <n v="490.85109999999997"/>
    <m/>
    <n v="385668252.85339999"/>
    <n v="325.23047700000001"/>
    <n v="48.829557000000001"/>
    <n v="127.272882"/>
    <m/>
    <n v="228075485.13341501"/>
    <n v="59.137739092076878"/>
  </r>
  <r>
    <x v="402"/>
    <n v="1251.5684000000001"/>
    <n v="189.4461"/>
    <n v="489.95330000000001"/>
    <m/>
    <n v="385567321.12919998"/>
    <n v="324.604377"/>
    <n v="49.134377000000001"/>
    <n v="127.073347"/>
    <m/>
    <n v="228863143.342884"/>
    <n v="59.357505369650895"/>
  </r>
  <r>
    <x v="403"/>
    <n v="1210.4644000000001"/>
    <n v="185.63669999999999"/>
    <n v="489.24279999999999"/>
    <m/>
    <n v="385412853.61220002"/>
    <n v="314.069546"/>
    <n v="48.165674000000003"/>
    <n v="126.93992799999999"/>
    <m/>
    <n v="223926835.236339"/>
    <n v="58.100510436440388"/>
  </r>
  <r>
    <x v="404"/>
    <n v="1228.8223"/>
    <n v="187.0335"/>
    <n v="489.82580000000002"/>
    <m/>
    <n v="387061190.00730002"/>
    <n v="317.47494499999999"/>
    <n v="48.321429000000002"/>
    <n v="126.549965"/>
    <m/>
    <n v="224435614.53264499"/>
    <n v="57.984530696144475"/>
  </r>
  <r>
    <x v="405"/>
    <n v="1210.6194"/>
    <n v="185.29839999999999"/>
    <n v="489.72309999999999"/>
    <m/>
    <n v="392845190.6789"/>
    <n v="308.16704099999998"/>
    <n v="47.168300000000002"/>
    <n v="124.66058200000001"/>
    <m/>
    <n v="223958764.67546201"/>
    <n v="57.009419992752122"/>
  </r>
  <r>
    <x v="406"/>
    <n v="1212.4165"/>
    <n v="183.70509999999999"/>
    <n v="489.47590000000002"/>
    <m/>
    <n v="393981930.47909999"/>
    <n v="307.734037"/>
    <n v="46.627797999999999"/>
    <n v="124.23815999999999"/>
    <m/>
    <n v="223689943.210558"/>
    <n v="56.776701139197129"/>
  </r>
  <r>
    <x v="407"/>
    <n v="1197.0368000000001"/>
    <n v="186.0634"/>
    <n v="487.65620000000001"/>
    <m/>
    <n v="394013886.18940002"/>
    <n v="303.80573900000002"/>
    <n v="47.222549000000001"/>
    <n v="123.76624700000001"/>
    <m/>
    <n v="225230494.64026701"/>
    <n v="57.163085498971512"/>
  </r>
  <r>
    <x v="408"/>
    <n v="1183.9357"/>
    <n v="180.93629999999999"/>
    <n v="490.95119999999997"/>
    <m/>
    <n v="396006734.26859999"/>
    <n v="298.96857699999998"/>
    <n v="45.690207999999998"/>
    <n v="123.97546699999999"/>
    <m/>
    <n v="226373930.64376301"/>
    <n v="57.16416188271689"/>
  </r>
  <r>
    <x v="409"/>
    <n v="1228.7571"/>
    <n v="195.74170000000001"/>
    <n v="485.35770000000002"/>
    <m/>
    <n v="396179082.00120002"/>
    <n v="310.15193799999997"/>
    <n v="49.407378999999999"/>
    <n v="122.509674"/>
    <m/>
    <n v="226401943.85587999"/>
    <n v="57.146364899496191"/>
  </r>
  <r>
    <x v="410"/>
    <n v="1057.5535"/>
    <n v="169.7876"/>
    <n v="594.28139999999996"/>
    <m/>
    <n v="396287186.23299998"/>
    <n v="266.86542900000001"/>
    <n v="42.844585000000002"/>
    <n v="149.96230499999999"/>
    <m/>
    <n v="227903863.70640001"/>
    <n v="57.509773624727359"/>
  </r>
  <r>
    <x v="411"/>
    <n v="1024.3241"/>
    <n v="160.6781"/>
    <n v="597.11239999999998"/>
    <m/>
    <n v="395671120.18769997"/>
    <n v="258.88270499999999"/>
    <n v="40.609003999999999"/>
    <n v="150.911292"/>
    <m/>
    <n v="225621410.09988099"/>
    <n v="57.02246097538022"/>
  </r>
  <r>
    <x v="412"/>
    <n v="1026.1901"/>
    <n v="163.83750000000001"/>
    <n v="587.46109999999999"/>
    <m/>
    <n v="395268929.47140002"/>
    <n v="259.61820499999999"/>
    <n v="41.449627999999997"/>
    <n v="148.623141"/>
    <m/>
    <n v="226653930.80716601"/>
    <n v="57.341701790291047"/>
  </r>
  <r>
    <x v="413"/>
    <n v="1324.3176000000001"/>
    <n v="259.88529999999997"/>
    <n v="482.90570000000002"/>
    <m/>
    <n v="394793830.09020001"/>
    <n v="335.44536399999998"/>
    <n v="65.828106000000005"/>
    <n v="122.31845199999999"/>
    <m/>
    <n v="231262826.11074999"/>
    <n v="58.578125716380249"/>
  </r>
  <r>
    <x v="414"/>
    <n v="1331.854"/>
    <n v="258.54950000000002"/>
    <n v="484.44600000000003"/>
    <m/>
    <n v="395412383.70060003"/>
    <n v="336.82657799999998"/>
    <n v="65.387304999999998"/>
    <n v="122.516648"/>
    <m/>
    <n v="230494259.871521"/>
    <n v="58.292119663618728"/>
  </r>
  <r>
    <x v="415"/>
    <n v="1378.0121999999999"/>
    <n v="268.60059999999999"/>
    <n v="487.11110000000002"/>
    <m/>
    <n v="395272327"/>
    <n v="348.62349499999999"/>
    <n v="67.953301999999994"/>
    <n v="123.23430399999999"/>
    <m/>
    <n v="242889070.76242101"/>
    <n v="61.448539189646077"/>
  </r>
  <r>
    <x v="416"/>
    <n v="1375.8373999999999"/>
    <n v="269.08030000000002"/>
    <n v="486.54149999999998"/>
    <m/>
    <n v="394745480.48720002"/>
    <n v="348.537847"/>
    <n v="68.165518000000006"/>
    <n v="123.25448299999999"/>
    <m/>
    <n v="241720963.669552"/>
    <n v="61.234637410216031"/>
  </r>
  <r>
    <x v="417"/>
    <n v="1378.653"/>
    <n v="255.8638"/>
    <n v="461.02370000000002"/>
    <m/>
    <n v="394850596.46640003"/>
    <n v="349.15814"/>
    <n v="64.800155000000004"/>
    <n v="116.759023"/>
    <m/>
    <n v="241915083.171345"/>
    <n v="61.267498475700258"/>
  </r>
  <r>
    <x v="418"/>
    <n v="1388.902"/>
    <n v="256.14760000000001"/>
    <n v="461.53199999999998"/>
    <m/>
    <n v="395227888.73390001"/>
    <n v="351.41801500000003"/>
    <n v="64.810102999999998"/>
    <n v="116.776172"/>
    <m/>
    <n v="242063955.269366"/>
    <n v="61.246678731303646"/>
  </r>
  <r>
    <x v="419"/>
    <n v="1372.9386999999999"/>
    <n v="255.7"/>
    <n v="461.73349999999999"/>
    <m/>
    <n v="395702493.49260002"/>
    <n v="346.962357"/>
    <n v="64.619253999999998"/>
    <n v="116.687033"/>
    <m/>
    <n v="242673890.34687799"/>
    <n v="61.327359401998869"/>
  </r>
  <r>
    <x v="420"/>
    <n v="1359.8371"/>
    <n v="249.3349"/>
    <n v="465.38760000000002"/>
    <m/>
    <n v="396579030.80779999"/>
    <n v="342.89183100000002"/>
    <n v="62.871428000000002"/>
    <n v="117.350531"/>
    <m/>
    <n v="238087225.97804999"/>
    <n v="60.035253375118003"/>
  </r>
  <r>
    <x v="421"/>
    <n v="1367.6307999999999"/>
    <n v="249.16820000000001"/>
    <n v="465.53910000000002"/>
    <m/>
    <n v="396823011.71969998"/>
    <n v="344.64503300000001"/>
    <n v="62.790764000000003"/>
    <n v="117.316558"/>
    <m/>
    <n v="237670914.779358"/>
    <n v="59.893430511847257"/>
  </r>
  <r>
    <x v="422"/>
    <n v="1341.8811000000001"/>
    <n v="246.2654"/>
    <n v="463.74799999999999"/>
    <m/>
    <n v="396341593.56129998"/>
    <n v="338.56681300000002"/>
    <n v="62.134633999999998"/>
    <n v="117.007149"/>
    <m/>
    <n v="232987979.421581"/>
    <n v="58.784640120176036"/>
  </r>
  <r>
    <x v="423"/>
    <n v="1301.8434"/>
    <n v="238.6326"/>
    <n v="450.05919999999998"/>
    <m/>
    <n v="398593497.2044"/>
    <n v="326.60929199999998"/>
    <n v="59.868664000000003"/>
    <n v="112.911827"/>
    <m/>
    <n v="226233312.49943"/>
    <n v="56.757903499719376"/>
  </r>
  <r>
    <x v="424"/>
    <n v="1292.201"/>
    <n v="237.18799999999999"/>
    <n v="450.46800000000002"/>
    <m/>
    <n v="398206380.42430001"/>
    <n v="324.50534800000003"/>
    <n v="59.564087999999998"/>
    <n v="113.12425500000001"/>
    <m/>
    <n v="226189722.58062699"/>
    <n v="56.802134194739807"/>
  </r>
  <r>
    <x v="425"/>
    <n v="1293.5923"/>
    <n v="238.15979999999999"/>
    <n v="449.66129999999998"/>
    <m/>
    <n v="398138654.52899998"/>
    <n v="324.90999900000003"/>
    <n v="59.818306"/>
    <n v="112.94088000000001"/>
    <m/>
    <n v="226424946.00582901"/>
    <n v="56.870877376548847"/>
  </r>
  <r>
    <x v="426"/>
    <n v="1282.8698999999999"/>
    <n v="239.1"/>
    <n v="583.12300000000005"/>
    <m/>
    <n v="398715397.03140002"/>
    <n v="321.75078000000002"/>
    <n v="59.967585999999997"/>
    <n v="146.25043400000001"/>
    <m/>
    <n v="227440306.255602"/>
    <n v="57.04327145352012"/>
  </r>
  <r>
    <x v="427"/>
    <n v="1279.8614"/>
    <n v="241.2449"/>
    <n v="578.77319999999997"/>
    <m/>
    <n v="398017422.95609999"/>
    <n v="321.55913900000002"/>
    <n v="60.611643000000001"/>
    <n v="145.41403600000001"/>
    <m/>
    <n v="229184883.01162201"/>
    <n v="57.581620751536889"/>
  </r>
  <r>
    <x v="428"/>
    <n v="1257.0749000000001"/>
    <n v="241.95820000000001"/>
    <n v="575.78769999999997"/>
    <m/>
    <n v="397454894.21289998"/>
    <n v="316.28114699999998"/>
    <n v="60.876894999999998"/>
    <n v="144.86868999999999"/>
    <m/>
    <n v="229762669.671022"/>
    <n v="57.808489218891779"/>
  </r>
  <r>
    <x v="429"/>
    <n v="1235.2174"/>
    <n v="244.61859999999999"/>
    <n v="576.82389999999998"/>
    <m/>
    <n v="396693721.6268"/>
    <n v="311.378107"/>
    <n v="61.664349000000001"/>
    <n v="145.407872"/>
    <m/>
    <n v="232171976.46115801"/>
    <n v="58.526758505036256"/>
  </r>
  <r>
    <x v="430"/>
    <n v="1227.5075999999999"/>
    <n v="241.09479999999999"/>
    <n v="577.28110000000004"/>
    <m/>
    <n v="397086370.03969997"/>
    <n v="309.12861600000002"/>
    <n v="60.715960000000003"/>
    <n v="145.37922800000001"/>
    <m/>
    <n v="231041862.45893401"/>
    <n v="58.184284299618461"/>
  </r>
  <r>
    <x v="431"/>
    <n v="1237.3601000000001"/>
    <n v="241.38820000000001"/>
    <n v="578.05229999999995"/>
    <m/>
    <n v="397677416.92970002"/>
    <n v="311.14668499999999"/>
    <n v="60.699499000000003"/>
    <n v="145.35708500000001"/>
    <m/>
    <n v="230654299.06941801"/>
    <n v="58.000351352662364"/>
  </r>
  <r>
    <x v="432"/>
    <n v="1230.4575"/>
    <n v="240.3399"/>
    <n v="577.52610000000004"/>
    <m/>
    <n v="397940386.33710003"/>
    <n v="309.20648999999997"/>
    <n v="60.395955999999998"/>
    <n v="145.12879799999999"/>
    <m/>
    <n v="230617999.42903399"/>
    <n v="57.952901325696239"/>
  </r>
  <r>
    <x v="433"/>
    <n v="1225.3353999999999"/>
    <n v="240.20349999999999"/>
    <n v="576.59040000000005"/>
    <m/>
    <n v="397958235.76300001"/>
    <n v="307.90552600000001"/>
    <n v="60.358972000000001"/>
    <n v="144.88716400000001"/>
    <m/>
    <n v="229739851.135095"/>
    <n v="57.729638562352612"/>
  </r>
  <r>
    <x v="434"/>
    <n v="1262.3686"/>
    <n v="242.65129999999999"/>
    <n v="578.0086"/>
    <m/>
    <n v="398999666.28250003"/>
    <n v="316.38337200000001"/>
    <n v="60.814912999999997"/>
    <n v="144.86443199999999"/>
    <m/>
    <n v="229433705.67712399"/>
    <n v="57.502229967951948"/>
  </r>
  <r>
    <x v="435"/>
    <n v="1256.7883999999999"/>
    <n v="240.11420000000001"/>
    <n v="579.20119999999997"/>
    <m/>
    <n v="399387818.17559999"/>
    <n v="314.67870099999999"/>
    <n v="60.120562"/>
    <n v="145.02225000000001"/>
    <m/>
    <n v="228294213.28505301"/>
    <n v="57.161035689045036"/>
  </r>
  <r>
    <x v="436"/>
    <n v="1265.9481000000001"/>
    <n v="239.39869999999999"/>
    <n v="598.67079999999999"/>
    <m/>
    <n v="399982507.25919998"/>
    <n v="316.50086599999997"/>
    <n v="59.852291999999998"/>
    <n v="149.67424600000001"/>
    <m/>
    <n v="226725982.387256"/>
    <n v="56.683974491997255"/>
  </r>
  <r>
    <x v="437"/>
    <n v="1327.5904"/>
    <n v="253.4512"/>
    <n v="620.94690000000003"/>
    <m/>
    <n v="399705916.31349999"/>
    <n v="332.141794"/>
    <n v="63.409419"/>
    <n v="155.35094000000001"/>
    <m/>
    <n v="241203148.267827"/>
    <n v="60.345153379877658"/>
  </r>
  <r>
    <x v="438"/>
    <n v="1400.4444000000001"/>
    <n v="268.77949999999998"/>
    <n v="665.6"/>
    <m/>
    <n v="399667458.935"/>
    <n v="350.40240799999998"/>
    <n v="67.250783999999996"/>
    <n v="166.53845200000001"/>
    <m/>
    <n v="259910553.72793701"/>
    <n v="65.031702711180102"/>
  </r>
  <r>
    <x v="439"/>
    <n v="1416.7021"/>
    <n v="270.7079"/>
    <n v="664.90009999999995"/>
    <m/>
    <n v="400545321.35540003"/>
    <n v="353.69333399999999"/>
    <n v="67.584835999999996"/>
    <n v="165.998718"/>
    <m/>
    <n v="261891099.040849"/>
    <n v="65.383637026301827"/>
  </r>
  <r>
    <x v="440"/>
    <n v="1399.6459"/>
    <n v="267.34129999999999"/>
    <n v="666.03510000000006"/>
    <m/>
    <n v="400552432.24239999"/>
    <n v="349.42888599999998"/>
    <n v="66.743146999999993"/>
    <n v="166.27913000000001"/>
    <m/>
    <n v="258740256.39123601"/>
    <n v="64.595852019357025"/>
  </r>
  <r>
    <x v="441"/>
    <n v="1402.136"/>
    <n v="268.15769999999998"/>
    <n v="665.48710000000005"/>
    <m/>
    <n v="400537591.4673"/>
    <n v="350.06352199999998"/>
    <n v="66.949445999999995"/>
    <n v="166.14847499999999"/>
    <m/>
    <n v="258880590.58186001"/>
    <n v="64.633281893341362"/>
  </r>
  <r>
    <x v="442"/>
    <n v="1407.6045999999999"/>
    <n v="267.33609999999999"/>
    <n v="666.53420000000006"/>
    <m/>
    <n v="401405274.70899999"/>
    <n v="350.66918399999997"/>
    <n v="66.600047000000004"/>
    <n v="166.050185"/>
    <m/>
    <n v="258820072.03140599"/>
    <n v="64.478493019066178"/>
  </r>
  <r>
    <x v="443"/>
    <n v="1398.3486"/>
    <n v="266.15359999999998"/>
    <n v="666.18769999999995"/>
    <m/>
    <n v="400871802.22049999"/>
    <n v="348.82688000000002"/>
    <n v="66.393694999999994"/>
    <n v="166.18472399999999"/>
    <m/>
    <n v="258611836.144604"/>
    <n v="64.512354002478389"/>
  </r>
  <r>
    <x v="444"/>
    <n v="1415.6774"/>
    <n v="268.23630000000003"/>
    <n v="666.37270000000001"/>
    <m/>
    <n v="383781043.10549998"/>
    <n v="368.87632300000001"/>
    <n v="69.893056000000001"/>
    <n v="173.63356300000001"/>
    <m/>
    <n v="258559056.59079099"/>
    <n v="67.371502901385895"/>
  </r>
  <r>
    <x v="445"/>
    <n v="1425.7074"/>
    <n v="268.93150000000003"/>
    <n v="666.02359999999999"/>
    <m/>
    <n v="382682366.49650002"/>
    <n v="372.55633499999999"/>
    <n v="70.275383000000005"/>
    <n v="174.04083900000001"/>
    <m/>
    <n v="257993074.52075699"/>
    <n v="67.417027045879465"/>
  </r>
  <r>
    <x v="446"/>
    <n v="1437.3341"/>
    <n v="266.97620000000001"/>
    <n v="667.46220000000005"/>
    <m/>
    <n v="382671142.84869999"/>
    <n v="375.60556300000002"/>
    <n v="69.766484000000005"/>
    <n v="174.42187999999999"/>
    <m/>
    <n v="256685014.83978"/>
    <n v="67.077180925886481"/>
  </r>
  <r>
    <x v="447"/>
    <n v="1426.5700999999999"/>
    <n v="258.17430000000002"/>
    <n v="706.12929999999994"/>
    <m/>
    <n v="381738037.56809998"/>
    <n v="373.70394299999998"/>
    <n v="67.631274000000005"/>
    <n v="184.977453"/>
    <m/>
    <n v="252361735.416794"/>
    <n v="66.108616533078418"/>
  </r>
  <r>
    <x v="448"/>
    <n v="1433.0952"/>
    <n v="252.77979999999999"/>
    <n v="708.89080000000001"/>
    <m/>
    <n v="381364569.1566"/>
    <n v="375.78089699999998"/>
    <n v="66.282979999999995"/>
    <n v="185.882711"/>
    <m/>
    <n v="249351815.45295501"/>
    <n v="65.384106343283165"/>
  </r>
  <r>
    <x v="449"/>
    <n v="1405.6449"/>
    <n v="253.76230000000001"/>
    <n v="706.92049999999995"/>
    <m/>
    <n v="380401986.33329999"/>
    <n v="369.51565699999998"/>
    <n v="66.708984000000001"/>
    <n v="185.83512300000001"/>
    <m/>
    <n v="250371434.89568099"/>
    <n v="65.817593990245612"/>
  </r>
  <r>
    <x v="450"/>
    <n v="1389.6505"/>
    <n v="253.80950000000001"/>
    <n v="711.86130000000003"/>
    <m/>
    <n v="380141972.30839998"/>
    <n v="365.56092200000001"/>
    <n v="66.767028999999994"/>
    <n v="187.26195799999999"/>
    <m/>
    <n v="249787877.97580701"/>
    <n v="65.709102433224643"/>
  </r>
  <r>
    <x v="451"/>
    <n v="1361.1873000000001"/>
    <n v="254.6875"/>
    <n v="709.42750000000001"/>
    <m/>
    <n v="379388032.73049998"/>
    <n v="358.784986"/>
    <n v="67.131136999999995"/>
    <n v="186.99258800000001"/>
    <m/>
    <n v="250668097.58368"/>
    <n v="66.071693347729607"/>
  </r>
  <r>
    <x v="452"/>
    <n v="1324.8705"/>
    <n v="243.85509999999999"/>
    <n v="711.9606"/>
    <m/>
    <n v="377648109.27880001"/>
    <n v="350.82143100000002"/>
    <n v="64.572042999999994"/>
    <n v="188.524868"/>
    <m/>
    <n v="247844511.73623201"/>
    <n v="65.628426476050478"/>
  </r>
  <r>
    <x v="453"/>
    <n v="1328.0966000000001"/>
    <n v="240.63800000000001"/>
    <n v="714.42539999999997"/>
    <m/>
    <n v="379472703.13120002"/>
    <n v="349.98475200000001"/>
    <n v="63.413784"/>
    <n v="188.26792900000001"/>
    <m/>
    <n v="247457787.70083699"/>
    <n v="65.210958695830143"/>
  </r>
  <r>
    <x v="454"/>
    <n v="1336.4692"/>
    <n v="239.3409"/>
    <n v="715.54909999999995"/>
    <m/>
    <n v="379634406.25400001"/>
    <n v="352.04111599999999"/>
    <n v="63.045102"/>
    <n v="188.483733"/>
    <m/>
    <n v="245904796.174667"/>
    <n v="64.774106910146799"/>
  </r>
  <r>
    <x v="455"/>
    <n v="1332.2773"/>
    <n v="240.15219999999999"/>
    <n v="714.13350000000003"/>
    <m/>
    <n v="379116935.42650002"/>
    <n v="351.41592900000001"/>
    <n v="63.345151999999999"/>
    <n v="188.36760699999999"/>
    <m/>
    <n v="245420883.53177899"/>
    <n v="64.734877447688987"/>
  </r>
  <r>
    <x v="456"/>
    <n v="1285.5118"/>
    <n v="231.23650000000001"/>
    <n v="711.08849999999995"/>
    <m/>
    <n v="379875256.505"/>
    <n v="338.40366799999998"/>
    <n v="60.871693"/>
    <n v="187.19000199999999"/>
    <m/>
    <n v="233955552.54902601"/>
    <n v="61.587468134015367"/>
  </r>
  <r>
    <x v="457"/>
    <n v="1281.4722999999999"/>
    <n v="230.0171"/>
    <n v="711.2328"/>
    <m/>
    <n v="380717376.52139997"/>
    <n v="336.59411899999998"/>
    <n v="60.416758999999999"/>
    <n v="186.81385299999999"/>
    <m/>
    <n v="233884536.27329001"/>
    <n v="61.43258771382699"/>
  </r>
  <r>
    <x v="458"/>
    <n v="1259.6193000000001"/>
    <n v="229.1549"/>
    <n v="710.28679999999997"/>
    <m/>
    <n v="380351915.94880003"/>
    <n v="331.17206599999997"/>
    <n v="60.248125999999999"/>
    <n v="186.74463600000001"/>
    <m/>
    <n v="232954138.73639101"/>
    <n v="61.247000203818992"/>
  </r>
  <r>
    <x v="459"/>
    <n v="1258.7316000000001"/>
    <n v="228.70779999999999"/>
    <n v="710.42570000000001"/>
    <m/>
    <n v="380310022.40369999"/>
    <n v="330.97513199999997"/>
    <n v="60.1372"/>
    <n v="186.80172999999999"/>
    <m/>
    <n v="232873119.945052"/>
    <n v="61.232443592521633"/>
  </r>
  <r>
    <x v="460"/>
    <n v="1255.9556"/>
    <n v="227.91669999999999"/>
    <n v="710.30960000000005"/>
    <m/>
    <n v="380300120.8229"/>
    <n v="330.25380000000001"/>
    <n v="59.930745999999999"/>
    <n v="186.77606499999999"/>
    <m/>
    <n v="232548470.244578"/>
    <n v="61.14867114461746"/>
  </r>
  <r>
    <x v="461"/>
    <n v="1249.9898000000001"/>
    <n v="226.93940000000001"/>
    <n v="710.16430000000003"/>
    <m/>
    <n v="380212818.0298"/>
    <n v="328.76056299999999"/>
    <n v="59.687466999999998"/>
    <n v="186.78073599999999"/>
    <m/>
    <n v="232465221.35945201"/>
    <n v="61.140816494311892"/>
  </r>
  <r>
    <x v="462"/>
    <n v="1206.0989"/>
    <n v="218.13159999999999"/>
    <n v="712.6943"/>
    <m/>
    <n v="377717896.11199999"/>
    <n v="319.31208800000002"/>
    <n v="57.749872000000003"/>
    <n v="188.684282"/>
    <m/>
    <n v="226274309.22044301"/>
    <n v="59.905636335893576"/>
  </r>
  <r>
    <x v="463"/>
    <n v="1201.0926999999999"/>
    <n v="213.95750000000001"/>
    <n v="714.17089999999996"/>
    <m/>
    <n v="378634941.86930001"/>
    <n v="317.21654999999998"/>
    <n v="56.507595000000002"/>
    <n v="188.61727200000001"/>
    <m/>
    <n v="225387344.273646"/>
    <n v="59.526292835236227"/>
  </r>
  <r>
    <x v="464"/>
    <n v="1209.5098"/>
    <n v="214.79689999999999"/>
    <n v="712.71879999999999"/>
    <m/>
    <n v="378312566.162"/>
    <n v="319.71177"/>
    <n v="56.777628"/>
    <n v="188.39416499999999"/>
    <m/>
    <n v="225370469.813124"/>
    <n v="59.572557184530972"/>
  </r>
  <r>
    <x v="465"/>
    <n v="1219.0463"/>
    <n v="214.3124"/>
    <n v="711.64380000000006"/>
    <m/>
    <n v="377307185.39179999"/>
    <n v="323.09119700000002"/>
    <n v="56.800508999999998"/>
    <n v="188.61125000000001"/>
    <m/>
    <n v="224032345.48899201"/>
    <n v="59.376644326652382"/>
  </r>
  <r>
    <x v="466"/>
    <n v="1223.2195999999999"/>
    <n v="211.31819999999999"/>
    <n v="713.88130000000001"/>
    <m/>
    <n v="387291085.45469999"/>
    <n v="315.839854"/>
    <n v="54.563146000000003"/>
    <n v="184.326809"/>
    <m/>
    <n v="223230149.070104"/>
    <n v="57.638855489797848"/>
  </r>
  <r>
    <x v="467"/>
    <n v="1218.69"/>
    <n v="214.4528"/>
    <n v="713.76120000000003"/>
    <m/>
    <n v="388579138.87029999"/>
    <n v="313.62723299999999"/>
    <n v="55.188963999999999"/>
    <n v="183.684899"/>
    <m/>
    <n v="225631854.512288"/>
    <n v="58.065869199324013"/>
  </r>
  <r>
    <x v="468"/>
    <n v="1208.1595"/>
    <n v="221.58949999999999"/>
    <n v="501.3476"/>
    <m/>
    <n v="387624879.59960002"/>
    <n v="311.68265100000002"/>
    <n v="57.165964000000002"/>
    <n v="129.33834400000001"/>
    <m/>
    <n v="228451763.71996999"/>
    <n v="58.936300465530209"/>
  </r>
  <r>
    <x v="469"/>
    <n v="1183.2731000000001"/>
    <n v="217.48949999999999"/>
    <n v="400.08449999999999"/>
    <m/>
    <n v="385146009.82450002"/>
    <n v="307.227148"/>
    <n v="56.469363000000001"/>
    <n v="103.87865600000001"/>
    <m/>
    <n v="227207611.57085499"/>
    <n v="58.992591322544655"/>
  </r>
  <r>
    <x v="470"/>
    <n v="1153.8282999999999"/>
    <n v="214.7013"/>
    <n v="352.12360000000001"/>
    <m/>
    <n v="383564912.88950002"/>
    <n v="300.816957"/>
    <n v="55.975219000000003"/>
    <n v="91.802869999999999"/>
    <m/>
    <n v="226980556.64566699"/>
    <n v="59.176569341486427"/>
  </r>
  <r>
    <x v="471"/>
    <n v="1175.3154"/>
    <n v="217.13980000000001"/>
    <n v="352.0641"/>
    <m/>
    <n v="383050190.13419998"/>
    <n v="306.83065299999998"/>
    <n v="56.687035999999999"/>
    <n v="91.910696999999999"/>
    <m/>
    <n v="229142864.49825999"/>
    <n v="59.820584978167169"/>
  </r>
  <r>
    <x v="472"/>
    <n v="1189.1159"/>
    <n v="220.52500000000001"/>
    <n v="353.04059999999998"/>
    <m/>
    <n v="382061743.33240002"/>
    <n v="311.23657900000001"/>
    <n v="57.719728000000003"/>
    <n v="92.404070000000004"/>
    <m/>
    <n v="232054595.72747901"/>
    <n v="60.737459265998183"/>
  </r>
  <r>
    <x v="473"/>
    <n v="1147.6410000000001"/>
    <n v="216.71270000000001"/>
    <n v="351.39159999999998"/>
    <m/>
    <n v="381614206.5363"/>
    <n v="300.73330099999998"/>
    <n v="56.788426000000001"/>
    <n v="92.080325000000002"/>
    <m/>
    <n v="232579341.057531"/>
    <n v="60.946195679800383"/>
  </r>
  <r>
    <x v="474"/>
    <n v="1104.0751"/>
    <n v="210.9965"/>
    <n v="251.4975"/>
    <m/>
    <n v="379585401.33200002"/>
    <n v="290.86342500000001"/>
    <n v="55.586041999999999"/>
    <n v="66.255841000000004"/>
    <m/>
    <n v="230827476.753483"/>
    <n v="60.810419985459973"/>
  </r>
  <r>
    <x v="475"/>
    <n v="1097.6597999999999"/>
    <n v="212.42920000000001"/>
    <n v="200.5419"/>
    <m/>
    <n v="379066511.33410001"/>
    <n v="289.56918300000001"/>
    <n v="56.040086000000002"/>
    <n v="52.904145999999997"/>
    <m/>
    <n v="233093698.08771801"/>
    <n v="61.491503764698138"/>
  </r>
  <r>
    <x v="476"/>
    <n v="1111.4277999999999"/>
    <n v="215.53049999999999"/>
    <n v="152.56639999999999"/>
    <m/>
    <n v="378353714.99309999"/>
    <n v="293.75363700000003"/>
    <n v="56.965344999999999"/>
    <n v="40.323748000000002"/>
    <m/>
    <n v="240297357.50993699"/>
    <n v="63.511298551494143"/>
  </r>
  <r>
    <x v="477"/>
    <n v="1156.7243000000001"/>
    <n v="218.8141"/>
    <n v="154.4795"/>
    <m/>
    <n v="375985811.93419999"/>
    <n v="307.65105"/>
    <n v="58.197434999999999"/>
    <n v="41.086523999999997"/>
    <m/>
    <n v="244591834.92895499"/>
    <n v="65.05347466987935"/>
  </r>
  <r>
    <x v="478"/>
    <n v="1136.6946"/>
    <n v="219.39019999999999"/>
    <n v="152.20849999999999"/>
    <m/>
    <n v="376102304.69889998"/>
    <n v="302.23016100000001"/>
    <n v="58.332585999999999"/>
    <n v="40.469973000000003"/>
    <m/>
    <n v="245070568.58357501"/>
    <n v="65.160613354861951"/>
  </r>
  <r>
    <x v="479"/>
    <n v="1125.2045000000001"/>
    <n v="217.97329999999999"/>
    <n v="152.1311"/>
    <m/>
    <n v="375541665.99760002"/>
    <n v="299.62174700000003"/>
    <n v="58.042374000000002"/>
    <n v="40.509779000000002"/>
    <m/>
    <n v="244564450.176043"/>
    <n v="65.123120100768247"/>
  </r>
  <r>
    <x v="480"/>
    <n v="1132.8786"/>
    <n v="217.78890000000001"/>
    <n v="102.7115"/>
    <m/>
    <n v="375331010.07679999"/>
    <n v="301.83453300000002"/>
    <n v="58.025821000000001"/>
    <n v="27.365577999999999"/>
    <m/>
    <n v="243090195.441717"/>
    <n v="64.766882808850795"/>
  </r>
  <r>
    <x v="481"/>
    <n v="1086.0568000000001"/>
    <n v="217.3604"/>
    <n v="199.5976"/>
    <m/>
    <n v="376547846.78799999"/>
    <n v="288.42464799999999"/>
    <n v="57.724510000000002"/>
    <n v="53.007233999999997"/>
    <m/>
    <n v="245656192.70491499"/>
    <n v="65.23903796035296"/>
  </r>
  <r>
    <x v="482"/>
    <n v="1086.2322999999999"/>
    <n v="218.84350000000001"/>
    <n v="198.90520000000001"/>
    <m/>
    <n v="377639443.64319998"/>
    <n v="287.637406"/>
    <n v="57.950381999999998"/>
    <n v="52.670662999999998"/>
    <m/>
    <n v="247218516.31214699"/>
    <n v="65.464167070885509"/>
  </r>
  <r>
    <x v="483"/>
    <n v="1094.1491000000001"/>
    <n v="219.77430000000001"/>
    <n v="199.32409999999999"/>
    <m/>
    <n v="378112559.19679999"/>
    <n v="289.37126599999999"/>
    <n v="58.124040999999998"/>
    <n v="52.715546000000003"/>
    <m/>
    <n v="247331527.503501"/>
    <n v="65.41214288911516"/>
  </r>
  <r>
    <x v="484"/>
    <n v="1064.6858"/>
    <n v="216.77770000000001"/>
    <n v="197.928"/>
    <m/>
    <n v="380548184.14999998"/>
    <n v="279.77686999999997"/>
    <n v="56.964587000000002"/>
    <n v="52.011285000000001"/>
    <m/>
    <n v="245882432.681122"/>
    <n v="64.61269371980579"/>
  </r>
  <r>
    <x v="485"/>
    <n v="1071.5318"/>
    <n v="216.92140000000001"/>
    <n v="198.33580000000001"/>
    <m/>
    <n v="381016894.62330002"/>
    <n v="281.22947199999999"/>
    <n v="56.932226"/>
    <n v="52.054332000000002"/>
    <m/>
    <n v="245617656.71412501"/>
    <n v="64.463718060838175"/>
  </r>
  <r>
    <x v="486"/>
    <n v="1084.0301999999999"/>
    <n v="218.858"/>
    <n v="595.75969999999995"/>
    <m/>
    <n v="380215014.83990002"/>
    <n v="285.109782"/>
    <n v="57.561641000000002"/>
    <n v="156.69020900000001"/>
    <m/>
    <n v="248133095.68386599"/>
    <n v="65.261256394187711"/>
  </r>
  <r>
    <x v="487"/>
    <n v="1081.7657999999999"/>
    <n v="220.10650000000001"/>
    <n v="715.14509999999996"/>
    <m/>
    <n v="381109937.89459997"/>
    <n v="283.84612700000002"/>
    <n v="57.754069999999999"/>
    <n v="187.64797999999999"/>
    <m/>
    <n v="251217898.864885"/>
    <n v="65.917435859245941"/>
  </r>
  <r>
    <x v="488"/>
    <n v="1065.8687"/>
    <n v="217.2901"/>
    <n v="715.56849999999997"/>
    <m/>
    <n v="379587468.71969998"/>
    <n v="280.79659800000002"/>
    <n v="57.243749999999999"/>
    <n v="188.51214999999999"/>
    <m/>
    <n v="249992287.18285701"/>
    <n v="65.858941030389929"/>
  </r>
  <r>
    <x v="489"/>
    <n v="1076.2112999999999"/>
    <n v="218.47819999999999"/>
    <n v="714.76930000000004"/>
    <m/>
    <n v="378168298.53920001"/>
    <n v="284.58527700000002"/>
    <n v="57.772742999999998"/>
    <n v="189.00825399999999"/>
    <m/>
    <n v="250420119.926496"/>
    <n v="66.219225909159078"/>
  </r>
  <r>
    <x v="490"/>
    <n v="1098.0488"/>
    <n v="219.74019999999999"/>
    <n v="715.44809999999995"/>
    <m/>
    <n v="378415332.43110001"/>
    <n v="290.17027200000001"/>
    <n v="58.068523999999996"/>
    <n v="189.06424699999999"/>
    <m/>
    <n v="249723491.36884201"/>
    <n v="65.991906238183532"/>
  </r>
  <r>
    <x v="491"/>
    <n v="1105.8178"/>
    <n v="221.56620000000001"/>
    <n v="711.37720000000002"/>
    <m/>
    <n v="378941420.45910001"/>
    <n v="291.817611"/>
    <n v="58.469776000000003"/>
    <n v="187.727485"/>
    <m/>
    <n v="248436913.31112"/>
    <n v="65.560770055205495"/>
  </r>
  <r>
    <x v="492"/>
    <n v="1102.7873999999999"/>
    <n v="224.6866"/>
    <n v="658.63589999999999"/>
    <m/>
    <n v="379221370.36500001"/>
    <n v="290.80307299999998"/>
    <n v="59.249456000000002"/>
    <n v="173.68111400000001"/>
    <m/>
    <n v="251125869.95699701"/>
    <n v="66.221444671034419"/>
  </r>
  <r>
    <x v="493"/>
    <n v="1091.3823"/>
    <n v="224.15610000000001"/>
    <n v="658.3587"/>
    <m/>
    <n v="378999586.79979998"/>
    <n v="287.96398199999999"/>
    <n v="59.144154"/>
    <n v="173.709609"/>
    <m/>
    <n v="251397031.88642699"/>
    <n v="66.331742999821046"/>
  </r>
  <r>
    <x v="494"/>
    <n v="1080.2573"/>
    <n v="220.61109999999999"/>
    <n v="714.2278"/>
    <m/>
    <n v="380684752.77109998"/>
    <n v="283.76689399999998"/>
    <n v="57.951126000000002"/>
    <n v="187.616603"/>
    <m/>
    <n v="250181078.986821"/>
    <n v="65.718702197997175"/>
  </r>
  <r>
    <x v="495"/>
    <n v="1078.9378999999999"/>
    <n v="221.27189999999999"/>
    <n v="713.577"/>
    <m/>
    <n v="379662493.10659999"/>
    <n v="284.18343099999998"/>
    <n v="58.281210999999999"/>
    <n v="187.950354"/>
    <m/>
    <n v="250970463.91898599"/>
    <n v="66.103570533241907"/>
  </r>
  <r>
    <x v="496"/>
    <n v="1089.6921"/>
    <n v="222.20490000000001"/>
    <n v="714.68560000000002"/>
    <m/>
    <n v="381904039.21569997"/>
    <n v="285.331389"/>
    <n v="58.183438000000002"/>
    <n v="187.13748100000001"/>
    <m/>
    <n v="250849215.643769"/>
    <n v="65.683834127265925"/>
  </r>
  <r>
    <x v="497"/>
    <n v="1175.6113"/>
    <n v="238.74029999999999"/>
    <n v="772.45479999999998"/>
    <m/>
    <n v="383333184.93400002"/>
    <n v="306.68132700000001"/>
    <n v="62.280101999999999"/>
    <n v="201.51002600000001"/>
    <m/>
    <n v="262253521.81451499"/>
    <n v="68.413988697500386"/>
  </r>
  <r>
    <x v="498"/>
    <n v="1198.2684999999999"/>
    <n v="245.3083"/>
    <n v="767.65200000000004"/>
    <m/>
    <n v="381037161.64139998"/>
    <n v="314.47549500000002"/>
    <n v="64.379101000000006"/>
    <n v="201.46381400000001"/>
    <m/>
    <n v="263391976.27873799"/>
    <n v="69.125010049969944"/>
  </r>
  <r>
    <x v="499"/>
    <n v="1198.5576000000001"/>
    <n v="246.21279999999999"/>
    <n v="767.01840000000004"/>
    <m/>
    <n v="381855100.62730002"/>
    <n v="313.87759299999999"/>
    <n v="64.478070000000002"/>
    <n v="200.86634900000001"/>
    <m/>
    <n v="264114153.54069501"/>
    <n v="69.166066685194522"/>
  </r>
  <r>
    <x v="500"/>
    <n v="1192.1547"/>
    <n v="249.46459999999999"/>
    <n v="580.53560000000004"/>
    <m/>
    <n v="380749352.53570002"/>
    <n v="313.10747900000001"/>
    <n v="65.519375999999994"/>
    <n v="152.47185500000001"/>
    <m/>
    <n v="267755246.57460001"/>
    <n v="70.323230963208161"/>
  </r>
  <r>
    <x v="501"/>
    <n v="1223.6903"/>
    <n v="256.36489999999998"/>
    <n v="527.68389999999999"/>
    <m/>
    <n v="380719931.64719999"/>
    <n v="321.41482400000001"/>
    <n v="67.336873999999995"/>
    <n v="138.601596"/>
    <m/>
    <n v="272972851.69490498"/>
    <n v="71.6991228995753"/>
  </r>
  <r>
    <x v="502"/>
    <n v="1240.0468000000001"/>
    <n v="260.8809"/>
    <n v="474.92599999999999"/>
    <m/>
    <n v="380293011.25209999"/>
    <n v="326.07667300000003"/>
    <n v="68.599971999999994"/>
    <n v="124.88423"/>
    <m/>
    <n v="277783763.16250902"/>
    <n v="73.044666860407645"/>
  </r>
  <r>
    <x v="503"/>
    <n v="1246.9249"/>
    <n v="262.43090000000001"/>
    <n v="473.80189999999999"/>
    <m/>
    <n v="380707212.04070002"/>
    <n v="327.52857299999999"/>
    <n v="68.932473999999999"/>
    <n v="124.453093"/>
    <m/>
    <n v="279320868.22633499"/>
    <n v="73.368945843997778"/>
  </r>
  <r>
    <x v="504"/>
    <n v="1119.6224"/>
    <n v="243.82140000000001"/>
    <n v="615.38720000000001"/>
    <m/>
    <n v="380653690.23769999"/>
    <n v="294.13149800000002"/>
    <n v="64.053338999999994"/>
    <n v="161.665896"/>
    <m/>
    <n v="270997517.01587301"/>
    <n v="71.19266776230333"/>
  </r>
  <r>
    <x v="505"/>
    <n v="1124.1596"/>
    <n v="242.98390000000001"/>
    <n v="566.84100000000001"/>
    <m/>
    <n v="381119741.26539999"/>
    <n v="294.962312"/>
    <n v="63.755265000000001"/>
    <n v="148.730422"/>
    <m/>
    <n v="269437437.42731601"/>
    <n v="70.696268981692057"/>
  </r>
  <r>
    <x v="506"/>
    <n v="1146.6862000000001"/>
    <n v="243.1275"/>
    <n v="571.10230000000001"/>
    <m/>
    <n v="382371772.8488"/>
    <n v="299.88777499999998"/>
    <n v="63.584060999999998"/>
    <n v="149.35786100000001"/>
    <m/>
    <n v="266110478.38997999"/>
    <n v="69.594697434741647"/>
  </r>
  <r>
    <x v="507"/>
    <n v="1142.5931"/>
    <n v="242.0558"/>
    <n v="622.74649999999997"/>
    <m/>
    <n v="384584336.54350001"/>
    <n v="297.09818899999999"/>
    <n v="62.939588999999998"/>
    <n v="161.92716200000001"/>
    <m/>
    <n v="291289055.71758401"/>
    <n v="75.741268699495407"/>
  </r>
  <r>
    <x v="508"/>
    <n v="1138.0512000000001"/>
    <n v="243.34469999999999"/>
    <n v="621.13980000000004"/>
    <m/>
    <n v="344115414.54820001"/>
    <n v="330.71787899999998"/>
    <n v="70.716013000000004"/>
    <n v="180.50333499999999"/>
    <m/>
    <n v="266471022.40197799"/>
    <n v="77.436525984119669"/>
  </r>
  <r>
    <x v="509"/>
    <n v="1128.6974"/>
    <n v="242.8518"/>
    <n v="621.02639999999997"/>
    <m/>
    <n v="344477964.7252"/>
    <n v="327.65445599999998"/>
    <n v="70.498501000000005"/>
    <n v="180.28044299999999"/>
    <m/>
    <n v="267169499.171992"/>
    <n v="77.557790782095694"/>
  </r>
  <r>
    <x v="510"/>
    <n v="1122.0582999999999"/>
    <n v="243.40350000000001"/>
    <n v="618.94629999999995"/>
    <m/>
    <n v="344468398.8197"/>
    <n v="325.73620799999998"/>
    <n v="70.660617999999999"/>
    <n v="179.681591"/>
    <m/>
    <n v="269043378.11245698"/>
    <n v="78.103936103955462"/>
  </r>
  <r>
    <x v="511"/>
    <n v="1122.2793999999999"/>
    <n v="251.488"/>
    <n v="574.95280000000002"/>
    <m/>
    <n v="338467283.0262"/>
    <n v="331.57692200000002"/>
    <n v="74.302012000000005"/>
    <n v="169.86953500000001"/>
    <m/>
    <n v="277036939.763771"/>
    <n v="81.850433899197924"/>
  </r>
  <r>
    <x v="512"/>
    <n v="1132.1713999999999"/>
    <n v="252.2304"/>
    <n v="578.78319999999997"/>
    <m/>
    <n v="341100943.05489999"/>
    <n v="331.91681899999998"/>
    <n v="73.945970000000003"/>
    <n v="169.680915"/>
    <m/>
    <n v="274814147.98331302"/>
    <n v="80.566809790110099"/>
  </r>
  <r>
    <x v="513"/>
    <n v="1128.3977"/>
    <n v="253.08090000000001"/>
    <n v="579.28009999999995"/>
    <m/>
    <n v="344007551.11519998"/>
    <n v="328.01538699999998"/>
    <n v="73.568414000000004"/>
    <n v="168.391682"/>
    <m/>
    <n v="274834227.71584398"/>
    <n v="79.891917146844406"/>
  </r>
  <r>
    <x v="514"/>
    <n v="1113.7528"/>
    <n v="253.7346"/>
    <n v="574.84190000000001"/>
    <m/>
    <n v="343685835.34530002"/>
    <n v="324.06130400000001"/>
    <n v="73.827483000000001"/>
    <n v="167.25795500000001"/>
    <m/>
    <n v="278461568.03781199"/>
    <n v="81.022125266827643"/>
  </r>
  <r>
    <x v="515"/>
    <n v="1144.2378000000001"/>
    <n v="258.69979999999998"/>
    <n v="595.52350000000001"/>
    <m/>
    <n v="348049580.09210002"/>
    <n v="328.75712700000003"/>
    <n v="74.328433000000004"/>
    <n v="171.10306499999999"/>
    <m/>
    <n v="283412437.24422598"/>
    <n v="81.428754250825435"/>
  </r>
  <r>
    <x v="516"/>
    <n v="1036.5174"/>
    <n v="233.68430000000001"/>
    <n v="600.0367"/>
    <m/>
    <n v="350570373.55320001"/>
    <n v="295.666"/>
    <n v="66.658314000000004"/>
    <n v="171.16012799999999"/>
    <m/>
    <n v="257811445.71945"/>
    <n v="73.540568504522071"/>
  </r>
  <r>
    <x v="517"/>
    <n v="1023.3977"/>
    <n v="228.26650000000001"/>
    <n v="604.40599999999995"/>
    <m/>
    <n v="351659816.36580002"/>
    <n v="291.01923299999999"/>
    <n v="64.911169999999998"/>
    <n v="171.872353"/>
    <m/>
    <n v="251560256.027751"/>
    <n v="71.535115563523917"/>
  </r>
  <r>
    <x v="518"/>
    <n v="1115.2333000000001"/>
    <n v="246.5848"/>
    <n v="662.34870000000001"/>
    <m/>
    <n v="350075946.14609998"/>
    <n v="318.56896"/>
    <n v="70.437516000000002"/>
    <n v="189.20143100000001"/>
    <m/>
    <n v="269623734.60130501"/>
    <n v="77.018640546294719"/>
  </r>
  <r>
    <x v="519"/>
    <n v="1102.2138"/>
    <n v="242.7884"/>
    <n v="665.02170000000001"/>
    <m/>
    <n v="349255010.07740003"/>
    <n v="315.58997499999998"/>
    <n v="69.516081999999997"/>
    <n v="190.41149899999999"/>
    <m/>
    <n v="267003104.87551701"/>
    <n v="76.44932704511389"/>
  </r>
  <r>
    <x v="520"/>
    <n v="1006.0456"/>
    <n v="222.17599999999999"/>
    <n v="646.80110000000002"/>
    <m/>
    <n v="348129736.18349999"/>
    <n v="288.98582800000003"/>
    <n v="63.819885999999997"/>
    <n v="185.79311999999999"/>
    <m/>
    <n v="250970302.39581999"/>
    <n v="72.091027082941565"/>
  </r>
  <r>
    <x v="521"/>
    <n v="1006.3462"/>
    <n v="220.95480000000001"/>
    <n v="649.42719999999997"/>
    <m/>
    <n v="349204783.2766"/>
    <n v="288.18225000000001"/>
    <n v="63.273704000000002"/>
    <n v="185.97316900000001"/>
    <m/>
    <n v="248403069.895145"/>
    <n v="71.133925361608959"/>
  </r>
  <r>
    <x v="522"/>
    <n v="1008.4902"/>
    <n v="221.21100000000001"/>
    <n v="649.20479999999998"/>
    <m/>
    <n v="349588720.0959"/>
    <n v="288.47904499999999"/>
    <n v="63.277498999999999"/>
    <n v="185.70530500000001"/>
    <m/>
    <n v="248194624.837484"/>
    <n v="70.996176526919598"/>
  </r>
  <r>
    <x v="523"/>
    <n v="1009.1682"/>
    <n v="222.71950000000001"/>
    <n v="645.71050000000002"/>
    <m/>
    <n v="349404810.00099999"/>
    <n v="288.82493099999999"/>
    <n v="63.742539999999998"/>
    <n v="184.80297999999999"/>
    <m/>
    <n v="250389636.33410999"/>
    <n v="71.661759989335408"/>
  </r>
  <r>
    <x v="524"/>
    <n v="1002.0453"/>
    <n v="222.80860000000001"/>
    <n v="692.57719999999995"/>
    <m/>
    <n v="348720209.10759997"/>
    <n v="287.34936299999998"/>
    <n v="63.893228000000001"/>
    <n v="198.60541000000001"/>
    <m/>
    <n v="252320667.84389901"/>
    <n v="72.356193089470125"/>
  </r>
  <r>
    <x v="525"/>
    <n v="997.27710000000002"/>
    <n v="221.84530000000001"/>
    <n v="615.20669999999996"/>
    <m/>
    <n v="347771795.73970002"/>
    <n v="286.76192600000002"/>
    <n v="63.790481"/>
    <n v="176.89953800000001"/>
    <m/>
    <n v="252043558.72919899"/>
    <n v="72.473835376186855"/>
  </r>
  <r>
    <x v="526"/>
    <n v="964.16809999999998"/>
    <n v="213.55520000000001"/>
    <n v="620.92909999999995"/>
    <m/>
    <n v="348767910.01499999"/>
    <n v="276.44977399999999"/>
    <n v="61.231321000000001"/>
    <n v="178.035043"/>
    <m/>
    <n v="247069877.27821699"/>
    <n v="70.840771235974927"/>
  </r>
  <r>
    <x v="527"/>
    <n v="961.1884"/>
    <n v="213.29640000000001"/>
    <n v="620.40859999999998"/>
    <m/>
    <n v="348773059.43769997"/>
    <n v="275.59135500000002"/>
    <n v="61.156213999999999"/>
    <n v="177.88317699999999"/>
    <m/>
    <n v="247220077.90059"/>
    <n v="70.882790746270359"/>
  </r>
  <r>
    <x v="528"/>
    <n v="951.83339999999998"/>
    <n v="214.131"/>
    <n v="618.44159999999999"/>
    <m/>
    <n v="349852022.26990002"/>
    <n v="272.06742800000001"/>
    <n v="61.206162999999997"/>
    <n v="176.77233799999999"/>
    <m/>
    <n v="249587086.976639"/>
    <n v="71.340758689138084"/>
  </r>
  <r>
    <x v="529"/>
    <n v="959.33510000000001"/>
    <n v="217.77500000000001"/>
    <n v="566.21010000000001"/>
    <m/>
    <n v="351818189.01490003"/>
    <n v="272.67922199999998"/>
    <n v="61.89987"/>
    <n v="160.93826799999999"/>
    <m/>
    <n v="251460854.43631199"/>
    <n v="71.474660005615078"/>
  </r>
  <r>
    <x v="530"/>
    <n v="949.60569999999996"/>
    <n v="219.2201"/>
    <n v="536.39340000000004"/>
    <m/>
    <n v="387501861.58859998"/>
    <n v="245.058358"/>
    <n v="56.572657"/>
    <n v="138.423438"/>
    <m/>
    <n v="255761835.19521701"/>
    <n v="66.002737160202926"/>
  </r>
  <r>
    <x v="531"/>
    <n v="966.57439999999997"/>
    <n v="219.9391"/>
    <n v="540.64380000000006"/>
    <m/>
    <n v="389802126.78289998"/>
    <n v="247.96539899999999"/>
    <n v="56.423268"/>
    <n v="138.69698600000001"/>
    <m/>
    <n v="253679187.95187101"/>
    <n v="65.078964562232215"/>
  </r>
  <r>
    <x v="532"/>
    <n v="964.40009999999995"/>
    <n v="219.99340000000001"/>
    <n v="539.91650000000004"/>
    <m/>
    <n v="390096348.70649999"/>
    <n v="247.221001"/>
    <n v="56.394632000000001"/>
    <n v="138.405935"/>
    <m/>
    <n v="254050321.95251599"/>
    <n v="65.125019189466428"/>
  </r>
  <r>
    <x v="533"/>
    <n v="968.51340000000005"/>
    <n v="221.02420000000001"/>
    <n v="535.50840000000005"/>
    <m/>
    <n v="388189385.1825"/>
    <n v="249.49507600000001"/>
    <n v="56.937209000000003"/>
    <n v="137.95029400000001"/>
    <m/>
    <n v="254856954.638147"/>
    <n v="65.652736619351586"/>
  </r>
  <r>
    <x v="534"/>
    <n v="991.16629999999998"/>
    <n v="224.2791"/>
    <n v="536.22670000000005"/>
    <m/>
    <n v="390116015.2719"/>
    <n v="254.069626"/>
    <n v="57.490360000000003"/>
    <n v="137.453137"/>
    <m/>
    <n v="253550224.54599199"/>
    <n v="64.993544130526033"/>
  </r>
  <r>
    <x v="535"/>
    <n v="989.91459999999995"/>
    <n v="223.01429999999999"/>
    <n v="558.05179999999996"/>
    <m/>
    <n v="390282818.72729999"/>
    <n v="253.640322"/>
    <n v="57.141716000000002"/>
    <n v="142.986515"/>
    <m/>
    <n v="262656891.31554699"/>
    <n v="67.299117130511377"/>
  </r>
  <r>
    <x v="536"/>
    <n v="977.95450000000005"/>
    <n v="219.88419999999999"/>
    <n v="557.70349999999996"/>
    <m/>
    <n v="391049263.50040001"/>
    <n v="250.084731"/>
    <n v="56.229284"/>
    <n v="142.617197"/>
    <m/>
    <n v="261653368.17488399"/>
    <n v="66.910589687024526"/>
  </r>
  <r>
    <x v="537"/>
    <n v="992.1549"/>
    <n v="224.571"/>
    <n v="554.30560000000003"/>
    <m/>
    <n v="391299753.59939998"/>
    <n v="253.553674"/>
    <n v="57.391039999999997"/>
    <n v="141.65753900000001"/>
    <m/>
    <n v="267488108.46226299"/>
    <n v="68.358874750559806"/>
  </r>
  <r>
    <x v="538"/>
    <n v="1019.4068"/>
    <n v="234.6626"/>
    <n v="521.60450000000003"/>
    <m/>
    <n v="390328990.9659"/>
    <n v="261.16604799999999"/>
    <n v="60.119183"/>
    <n v="133.63201599999999"/>
    <m/>
    <n v="280303147.524333"/>
    <n v="71.812023706130731"/>
  </r>
  <r>
    <x v="539"/>
    <n v="1019.9827"/>
    <n v="234.89359999999999"/>
    <n v="521.62400000000002"/>
    <m/>
    <n v="390485382.48610002"/>
    <n v="261.208933"/>
    <n v="60.154262000000003"/>
    <n v="133.58349000000001"/>
    <m/>
    <n v="279220351.46748602"/>
    <n v="71.505967698400426"/>
  </r>
  <r>
    <x v="540"/>
    <n v="1010.6988"/>
    <n v="233.64109999999999"/>
    <n v="468.98559999999998"/>
    <m/>
    <n v="388218564.42309999"/>
    <n v="260.34272800000002"/>
    <n v="60.182876999999998"/>
    <n v="120.80452699999999"/>
    <m/>
    <n v="278859372.97438502"/>
    <n v="71.830509545254557"/>
  </r>
  <r>
    <x v="541"/>
    <n v="1007.0616"/>
    <n v="234.20240000000001"/>
    <n v="315.59870000000001"/>
    <m/>
    <n v="386849821.30440003"/>
    <n v="260.32365700000003"/>
    <n v="60.540908999999999"/>
    <n v="81.581710000000001"/>
    <m/>
    <n v="280275355.21178001"/>
    <n v="72.450687521770902"/>
  </r>
  <r>
    <x v="542"/>
    <n v="1006.7338"/>
    <n v="234.06379999999999"/>
    <n v="239.52869999999999"/>
    <m/>
    <n v="386191252.66750002"/>
    <n v="260.682704"/>
    <n v="60.608260000000001"/>
    <n v="62.023336"/>
    <m/>
    <n v="280625806.04419398"/>
    <n v="72.664982468104995"/>
  </r>
  <r>
    <x v="543"/>
    <n v="1013.3013"/>
    <n v="233.78380000000001"/>
    <n v="240.5558"/>
    <m/>
    <n v="385680414.76539999"/>
    <n v="262.730816"/>
    <n v="60.615938"/>
    <n v="62.371796000000003"/>
    <m/>
    <n v="278653080.40446198"/>
    <n v="72.249735723282669"/>
  </r>
  <r>
    <x v="544"/>
    <n v="1042.2003999999999"/>
    <n v="240.71860000000001"/>
    <n v="217.54759999999999"/>
    <m/>
    <n v="385894298.82499999"/>
    <n v="270.07405999999997"/>
    <n v="62.379413"/>
    <n v="56.374918999999998"/>
    <m/>
    <n v="287243831.27059698"/>
    <n v="74.435883646174261"/>
  </r>
  <r>
    <x v="545"/>
    <n v="1047.2662"/>
    <n v="241.49879999999999"/>
    <n v="217.12540000000001"/>
    <m/>
    <n v="386455297.86360002"/>
    <n v="270.99284299999999"/>
    <n v="62.490746000000001"/>
    <n v="56.183833"/>
    <m/>
    <n v="287101708.16426998"/>
    <n v="74.291052484316822"/>
  </r>
  <r>
    <x v="546"/>
    <n v="1088.4277999999999"/>
    <n v="248.92500000000001"/>
    <n v="178.69589999999999"/>
    <m/>
    <n v="387184415.76550001"/>
    <n v="281.11353500000001"/>
    <n v="64.291068999999993"/>
    <n v="46.152658000000002"/>
    <m/>
    <n v="294935119.03667098"/>
    <n v="76.174325987154347"/>
  </r>
  <r>
    <x v="547"/>
    <n v="1060.9758999999999"/>
    <n v="242.59059999999999"/>
    <n v="208.93350000000001"/>
    <m/>
    <n v="387426640.18709999"/>
    <n v="273.85207700000001"/>
    <n v="62.615879999999997"/>
    <n v="53.928531999999997"/>
    <m/>
    <n v="286486740.97507298"/>
    <n v="73.946061333500424"/>
  </r>
  <r>
    <x v="548"/>
    <n v="1043.5468000000001"/>
    <n v="237.892"/>
    <n v="215.0675"/>
    <m/>
    <n v="387702763.77789998"/>
    <n v="269.16155800000001"/>
    <n v="61.359377000000002"/>
    <n v="55.472264000000003"/>
    <m/>
    <n v="284952812.03542399"/>
    <n v="73.497751024200213"/>
  </r>
  <r>
    <x v="549"/>
    <n v="1041.6741"/>
    <n v="238.38040000000001"/>
    <n v="213.74369999999999"/>
    <m/>
    <n v="388043849.14109999"/>
    <n v="268.44236899999999"/>
    <n v="61.431305000000002"/>
    <n v="55.082357000000002"/>
    <m/>
    <n v="285698260.00753403"/>
    <n v="73.625251537912874"/>
  </r>
  <r>
    <x v="550"/>
    <n v="1045.3121000000001"/>
    <n v="238.6557"/>
    <n v="214.3682"/>
    <m/>
    <n v="388132635.93910003"/>
    <n v="269.31826999999998"/>
    <n v="61.488182000000002"/>
    <n v="55.230656000000003"/>
    <m/>
    <n v="285222570.08581197"/>
    <n v="73.485850885923654"/>
  </r>
  <r>
    <x v="551"/>
    <n v="1116.3094000000001"/>
    <n v="255.19159999999999"/>
    <n v="187.1773"/>
    <m/>
    <n v="392148070.88859999"/>
    <n v="284.665279"/>
    <n v="65.075316999999998"/>
    <n v="47.731282"/>
    <m/>
    <n v="298555159.07659799"/>
    <n v="76.13327241418726"/>
  </r>
  <r>
    <x v="552"/>
    <n v="1057.4722999999999"/>
    <n v="244.1593"/>
    <n v="188.38140000000001"/>
    <m/>
    <n v="393777303.9127"/>
    <n v="268.545772"/>
    <n v="62.004412000000002"/>
    <n v="47.839578000000003"/>
    <m/>
    <n v="294745089.73440999"/>
    <n v="74.850705412863178"/>
  </r>
  <r>
    <x v="553"/>
    <n v="1040.0241000000001"/>
    <n v="243.48609999999999"/>
    <n v="187.02539999999999"/>
    <m/>
    <n v="395029018.17400002"/>
    <n v="263.27789899999999"/>
    <n v="61.637523000000002"/>
    <n v="47.344723999999999"/>
    <m/>
    <n v="295990929.386356"/>
    <n v="74.928907945689119"/>
  </r>
  <r>
    <x v="554"/>
    <n v="1020.2251"/>
    <n v="243.0932"/>
    <n v="184.93"/>
    <m/>
    <n v="396442078.89069998"/>
    <n v="257.34531099999998"/>
    <n v="61.318717999999997"/>
    <n v="46.647419999999997"/>
    <m/>
    <n v="297738988.53196901"/>
    <n v="75.102771472968783"/>
  </r>
  <r>
    <x v="555"/>
    <n v="1046.6873000000001"/>
    <n v="249.3683"/>
    <n v="181.83850000000001"/>
    <m/>
    <n v="398907204.77630001"/>
    <n v="262.388668"/>
    <n v="62.512858999999999"/>
    <n v="45.584159999999997"/>
    <m/>
    <n v="300224965.97203797"/>
    <n v="75.261855984877172"/>
  </r>
  <r>
    <x v="556"/>
    <n v="1051.7855999999999"/>
    <n v="250.85409999999999"/>
    <n v="181.83500000000001"/>
    <m/>
    <n v="400039685.44029999"/>
    <n v="262.92031500000002"/>
    <n v="62.707304000000001"/>
    <n v="45.454239999999999"/>
    <m/>
    <n v="301527148.41054797"/>
    <n v="75.374308946042419"/>
  </r>
  <r>
    <x v="557"/>
    <n v="1040.3150000000001"/>
    <n v="250.98429999999999"/>
    <n v="181.68049999999999"/>
    <m/>
    <n v="401030718.50639999"/>
    <n v="259.410303"/>
    <n v="62.584806999999998"/>
    <n v="45.303387000000001"/>
    <m/>
    <n v="301256586.47373098"/>
    <n v="75.120576198185489"/>
  </r>
  <r>
    <x v="558"/>
    <n v="1034.4398000000001"/>
    <n v="247.62469999999999"/>
    <n v="182.41929999999999"/>
    <m/>
    <n v="400599084.65439999"/>
    <n v="258.223206"/>
    <n v="61.813595999999997"/>
    <n v="45.536624000000003"/>
    <m/>
    <n v="300936771.17246902"/>
    <n v="75.121682175606949"/>
  </r>
  <r>
    <x v="559"/>
    <n v="1178.4319"/>
    <n v="284.964"/>
    <n v="178.03569999999999"/>
    <m/>
    <n v="400966108.84460002"/>
    <n v="293.89813099999998"/>
    <n v="71.069348000000005"/>
    <n v="44.401682999999998"/>
    <m/>
    <n v="346595869.44639403"/>
    <n v="86.440190779496049"/>
  </r>
  <r>
    <x v="560"/>
    <n v="1176.7476999999999"/>
    <n v="285.08769999999998"/>
    <n v="178.1182"/>
    <m/>
    <n v="401415232.39310002"/>
    <n v="293.14973700000002"/>
    <n v="71.020647999999994"/>
    <n v="44.372556000000003"/>
    <m/>
    <n v="346650983.935978"/>
    <n v="86.357207191506831"/>
  </r>
  <r>
    <x v="561"/>
    <n v="1176.0126"/>
    <n v="283.9187"/>
    <n v="178.9425"/>
    <m/>
    <n v="400254747.35750002"/>
    <n v="293.81602800000002"/>
    <n v="70.934499000000002"/>
    <n v="44.707152000000001"/>
    <m/>
    <n v="344706223.19938302"/>
    <n v="86.121707606255555"/>
  </r>
  <r>
    <x v="562"/>
    <n v="1183.1564000000001"/>
    <n v="284.45890000000003"/>
    <n v="179.2098"/>
    <m/>
    <n v="400096715.85479999"/>
    <n v="295.71759900000001"/>
    <n v="71.097533999999996"/>
    <n v="44.791620000000002"/>
    <m/>
    <n v="344747623.11213303"/>
    <n v="86.166071714831617"/>
  </r>
  <r>
    <x v="563"/>
    <n v="1203.0437999999999"/>
    <n v="283.16149999999999"/>
    <n v="182.37620000000001"/>
    <m/>
    <n v="396391458.204"/>
    <n v="303.498921"/>
    <n v="71.434814000000003"/>
    <n v="46.009115000000001"/>
    <m/>
    <n v="340398160.16506797"/>
    <n v="85.874242020090293"/>
  </r>
  <r>
    <x v="564"/>
    <n v="1199.5708999999999"/>
    <n v="281.33170000000001"/>
    <n v="182.03030000000001"/>
    <m/>
    <n v="394628910.2105"/>
    <n v="303.97440999999998"/>
    <n v="71.290189999999996"/>
    <n v="46.126955000000002"/>
    <m/>
    <n v="337722944.51469499"/>
    <n v="85.579879166619932"/>
  </r>
  <r>
    <x v="565"/>
    <n v="1194.5317"/>
    <n v="282.73180000000002"/>
    <n v="206.7587"/>
    <m/>
    <n v="396687820.26050001"/>
    <n v="301.12638700000002"/>
    <n v="71.273122999999998"/>
    <n v="52.121262000000002"/>
    <m/>
    <n v="339957347.82707"/>
    <n v="85.69896287812017"/>
  </r>
  <r>
    <x v="566"/>
    <n v="1202.3028999999999"/>
    <n v="282.8143"/>
    <n v="382.7962"/>
    <m/>
    <n v="396124639.25019997"/>
    <n v="303.51631300000003"/>
    <n v="71.395280999999997"/>
    <n v="96.635292000000007"/>
    <m/>
    <n v="339084886.58111501"/>
    <n v="85.600554215195501"/>
  </r>
  <r>
    <x v="567"/>
    <n v="1210.5254"/>
    <n v="282.60289999999998"/>
    <n v="504.81349999999998"/>
    <m/>
    <n v="396374115.61790001"/>
    <n v="305.39971000000003"/>
    <n v="71.297011999999995"/>
    <n v="127.357837"/>
    <m/>
    <n v="337496294.94016099"/>
    <n v="85.145896677446885"/>
  </r>
  <r>
    <x v="568"/>
    <n v="1209.6469"/>
    <n v="280.61430000000001"/>
    <n v="508.0403"/>
    <m/>
    <n v="397606445.82980001"/>
    <n v="304.23221599999999"/>
    <n v="70.575892999999994"/>
    <n v="127.774664"/>
    <m/>
    <n v="333142874.11035502"/>
    <n v="83.787090879547918"/>
  </r>
  <r>
    <x v="569"/>
    <n v="1204.5634"/>
    <n v="281.62520000000001"/>
    <n v="506.8288"/>
    <m/>
    <n v="398340836.36699998"/>
    <n v="302.39515799999998"/>
    <n v="70.699555000000004"/>
    <n v="127.234959"/>
    <m/>
    <n v="334912618.153952"/>
    <n v="84.07689786677804"/>
  </r>
  <r>
    <x v="570"/>
    <n v="1158.4263000000001"/>
    <n v="270.45850000000002"/>
    <n v="509.79399999999998"/>
    <m/>
    <n v="399782564.47670001"/>
    <n v="289.76408800000002"/>
    <n v="67.651399999999995"/>
    <n v="127.51781699999999"/>
    <m/>
    <n v="321671331.37373"/>
    <n v="80.461570852842328"/>
  </r>
  <r>
    <x v="571"/>
    <n v="1170.2162000000001"/>
    <n v="273.32420000000002"/>
    <n v="508.75479999999999"/>
    <m/>
    <n v="400256010.00880003"/>
    <n v="292.36692799999997"/>
    <n v="68.287344000000004"/>
    <n v="127.107348"/>
    <m/>
    <n v="323313447.19679201"/>
    <n v="80.776662713867466"/>
  </r>
  <r>
    <x v="572"/>
    <n v="1147.7016000000001"/>
    <n v="270.15030000000002"/>
    <n v="508.68920000000003"/>
    <m/>
    <n v="397343160.15350002"/>
    <n v="288.84393"/>
    <n v="67.989165999999997"/>
    <n v="128.022639"/>
    <m/>
    <n v="323250201.06650299"/>
    <n v="81.35290436146586"/>
  </r>
  <r>
    <x v="573"/>
    <n v="1148.9516000000001"/>
    <n v="270.37259999999998"/>
    <n v="508.74790000000002"/>
    <m/>
    <n v="397465084.00650001"/>
    <n v="289.069819"/>
    <n v="68.024238999999994"/>
    <n v="127.998136"/>
    <m/>
    <n v="323487114.94239497"/>
    <n v="81.387555274441354"/>
  </r>
  <r>
    <x v="574"/>
    <n v="1150.1501000000001"/>
    <n v="269.68439999999998"/>
    <n v="508.37920000000003"/>
    <m/>
    <n v="397396750.77039999"/>
    <n v="289.42111299999999"/>
    <n v="67.862758999999997"/>
    <n v="127.927367"/>
    <m/>
    <n v="322505992.00911897"/>
    <n v="81.154662534080472"/>
  </r>
  <r>
    <x v="575"/>
    <n v="1140.8780999999999"/>
    <n v="270.52670000000001"/>
    <n v="504.9196"/>
    <m/>
    <n v="397306644.41930002"/>
    <n v="287.15303799999998"/>
    <n v="68.090152000000003"/>
    <n v="127.085617"/>
    <m/>
    <n v="324462236.035896"/>
    <n v="81.665444208748937"/>
  </r>
  <r>
    <x v="576"/>
    <n v="1159.8144"/>
    <n v="276.75389999999999"/>
    <n v="502.0068"/>
    <m/>
    <n v="401703449.97039998"/>
    <n v="288.72403300000002"/>
    <n v="68.895077000000001"/>
    <n v="124.96950200000001"/>
    <m/>
    <n v="327616578.926732"/>
    <n v="81.556824804684354"/>
  </r>
  <r>
    <x v="577"/>
    <n v="1167.6210000000001"/>
    <n v="279.27730000000003"/>
    <n v="512.14689999999996"/>
    <m/>
    <n v="402737506.04939997"/>
    <n v="289.92109799999997"/>
    <n v="69.344746000000001"/>
    <n v="127.166428"/>
    <m/>
    <n v="327882420.09955198"/>
    <n v="81.413430627773167"/>
  </r>
  <r>
    <x v="578"/>
    <n v="1111.3136999999999"/>
    <n v="264.52820000000003"/>
    <n v="495.67200000000003"/>
    <m/>
    <n v="402015640.75080001"/>
    <n v="276.43543899999997"/>
    <n v="65.800475000000006"/>
    <n v="123.296695"/>
    <m/>
    <n v="314187871.66361701"/>
    <n v="78.153146249942708"/>
  </r>
  <r>
    <x v="579"/>
    <n v="1113.2286999999999"/>
    <n v="265.27100000000002"/>
    <n v="495.56470000000002"/>
    <m/>
    <n v="401720677.07520002"/>
    <n v="277.11511100000001"/>
    <n v="66.033693"/>
    <n v="123.360516"/>
    <m/>
    <n v="314753561.08081502"/>
    <n v="78.351346854345465"/>
  </r>
  <r>
    <x v="580"/>
    <n v="1107.1827000000001"/>
    <n v="262.072"/>
    <n v="495.86430000000001"/>
    <m/>
    <n v="401556116.7586"/>
    <n v="275.72303199999999"/>
    <n v="65.264104000000003"/>
    <n v="123.48568"/>
    <m/>
    <n v="315109041.81302601"/>
    <n v="78.471981539371598"/>
  </r>
  <r>
    <x v="581"/>
    <n v="1107.6775"/>
    <n v="262.11959999999999"/>
    <n v="494.55099999999999"/>
    <m/>
    <n v="400317862.62"/>
    <n v="276.69949400000002"/>
    <n v="65.477868000000001"/>
    <n v="123.53957800000001"/>
    <m/>
    <n v="314599980.80537301"/>
    <n v="78.587545093885979"/>
  </r>
  <r>
    <x v="582"/>
    <n v="1106.9631999999999"/>
    <n v="260.85140000000001"/>
    <n v="495.30560000000003"/>
    <m/>
    <n v="400562615.83810002"/>
    <n v="276.35210000000001"/>
    <n v="65.121253999999993"/>
    <n v="123.652478"/>
    <m/>
    <n v="313194186.35465002"/>
    <n v="78.188571267279045"/>
  </r>
  <r>
    <x v="583"/>
    <n v="1033.3905999999999"/>
    <n v="240.7013"/>
    <n v="498.96039999999999"/>
    <m/>
    <n v="402415785.35079998"/>
    <n v="256.79673600000001"/>
    <n v="59.814079999999997"/>
    <n v="123.991259"/>
    <m/>
    <n v="291976475.98638499"/>
    <n v="72.555920173921322"/>
  </r>
  <r>
    <x v="584"/>
    <n v="1023.7492999999999"/>
    <n v="239.3974"/>
    <n v="499.02370000000002"/>
    <m/>
    <n v="402150648.15390003"/>
    <n v="254.56860599999999"/>
    <n v="59.529283999999997"/>
    <n v="124.088747"/>
    <m/>
    <n v="291712640.77182299"/>
    <n v="72.538150096474979"/>
  </r>
  <r>
    <x v="585"/>
    <n v="1023.9448"/>
    <n v="240.0249"/>
    <n v="497.97550000000001"/>
    <m/>
    <n v="401861379.06330001"/>
    <n v="254.800499"/>
    <n v="59.728282999999998"/>
    <n v="123.917233"/>
    <m/>
    <n v="291050870.45726001"/>
    <n v="72.425688463935359"/>
  </r>
  <r>
    <x v="586"/>
    <n v="1010.5410000000001"/>
    <n v="232.87870000000001"/>
    <n v="500.21780000000001"/>
    <m/>
    <n v="403095469.14660001"/>
    <n v="250.69520199999999"/>
    <n v="57.772592000000003"/>
    <n v="124.094126"/>
    <m/>
    <n v="279399721.615215"/>
    <n v="69.313535626370765"/>
  </r>
  <r>
    <x v="587"/>
    <n v="997.92819999999995"/>
    <n v="228.5034"/>
    <n v="527.68079999999998"/>
    <m/>
    <n v="403385224.7245"/>
    <n v="247.38838699999999"/>
    <n v="56.646447999999999"/>
    <n v="130.81312"/>
    <m/>
    <n v="273629235.66517198"/>
    <n v="67.83323208034021"/>
  </r>
  <r>
    <x v="588"/>
    <n v="752.96979999999996"/>
    <n v="172.9605"/>
    <n v="537.38940000000002"/>
    <m/>
    <n v="402769478.60600001"/>
    <n v="186.94807800000001"/>
    <n v="42.942802"/>
    <n v="133.42356599999999"/>
    <m/>
    <n v="274080896.90258503"/>
    <n v="68.049073095406612"/>
  </r>
  <r>
    <x v="589"/>
    <n v="741.08349999999996"/>
    <n v="169.1721"/>
    <n v="531.24289999999996"/>
    <m/>
    <n v="402697409.26450002"/>
    <n v="184.029865"/>
    <n v="42.009731000000002"/>
    <n v="131.92111199999999"/>
    <m/>
    <n v="273045544.96896398"/>
    <n v="67.804147403794687"/>
  </r>
  <r>
    <x v="590"/>
    <n v="966.03570000000002"/>
    <n v="219.7073"/>
    <n v="529.70090000000005"/>
    <m/>
    <n v="402037048.7317"/>
    <n v="240.28524300000001"/>
    <n v="54.648521000000002"/>
    <n v="131.75425000000001"/>
    <m/>
    <n v="269280018.153193"/>
    <n v="66.978906297985844"/>
  </r>
  <r>
    <x v="591"/>
    <n v="979.31420000000003"/>
    <n v="222.21600000000001"/>
    <n v="530.35329999999999"/>
    <m/>
    <n v="401930984.62099999"/>
    <n v="243.65232800000001"/>
    <n v="55.287103999999999"/>
    <n v="131.951335"/>
    <m/>
    <n v="269007845.24293798"/>
    <n v="66.928864789212099"/>
  </r>
  <r>
    <x v="592"/>
    <n v="978.22270000000003"/>
    <n v="222.20920000000001"/>
    <n v="529.78160000000003"/>
    <m/>
    <n v="401836052.86540002"/>
    <n v="243.43826100000001"/>
    <n v="55.298473000000001"/>
    <n v="131.840236"/>
    <m/>
    <n v="269195892.69238502"/>
    <n v="66.991473456105126"/>
  </r>
  <r>
    <x v="593"/>
    <n v="980.72550000000001"/>
    <n v="224.00470000000001"/>
    <n v="518.60289999999998"/>
    <m/>
    <n v="404256697.73680001"/>
    <n v="242.59969100000001"/>
    <n v="55.411499999999997"/>
    <n v="128.28554299999999"/>
    <m/>
    <n v="270141866.91650301"/>
    <n v="66.824339195583264"/>
  </r>
  <r>
    <x v="594"/>
    <n v="951.64970000000005"/>
    <n v="221.06739999999999"/>
    <n v="516.7346"/>
    <m/>
    <n v="411179617.28839999"/>
    <n v="231.443792"/>
    <n v="53.764192000000001"/>
    <n v="125.67125900000001"/>
    <m/>
    <n v="270544789.24039298"/>
    <n v="65.797227747948838"/>
  </r>
  <r>
    <x v="595"/>
    <n v="946.78920000000005"/>
    <n v="220.61779999999999"/>
    <n v="516.09820000000002"/>
    <m/>
    <n v="412061683.03250003"/>
    <n v="229.76880399999999"/>
    <n v="53.539994"/>
    <n v="125.24780199999999"/>
    <m/>
    <n v="270564099.30994302"/>
    <n v="65.661067371945663"/>
  </r>
  <r>
    <x v="596"/>
    <n v="934.1377"/>
    <n v="221.70169999999999"/>
    <n v="513.53470000000004"/>
    <m/>
    <n v="411556276.40270001"/>
    <n v="226.97690499999999"/>
    <n v="53.869109000000002"/>
    <n v="124.77873099999999"/>
    <m/>
    <n v="273595137.04954302"/>
    <n v="66.478183601271425"/>
  </r>
  <r>
    <x v="597"/>
    <n v="956.22280000000001"/>
    <n v="227.48670000000001"/>
    <n v="511.1259"/>
    <m/>
    <n v="413998468.25550002"/>
    <n v="230.972545"/>
    <n v="54.948681999999998"/>
    <n v="123.460819"/>
    <m/>
    <n v="276312643.69297701"/>
    <n v="66.742431404951503"/>
  </r>
  <r>
    <x v="598"/>
    <n v="957.90049999999997"/>
    <n v="228.8784"/>
    <n v="511.09480000000002"/>
    <m/>
    <n v="415520505.22509998"/>
    <n v="230.53026"/>
    <n v="55.082335999999998"/>
    <n v="123.001102"/>
    <m/>
    <n v="277465402.27286297"/>
    <n v="66.775381427338132"/>
  </r>
  <r>
    <x v="599"/>
    <n v="941.46640000000002"/>
    <n v="227.1293"/>
    <n v="507.68959999999998"/>
    <m/>
    <n v="412884452.33660001"/>
    <n v="228.021761"/>
    <n v="55.010379"/>
    <n v="122.96166599999999"/>
    <m/>
    <n v="279168612.81380397"/>
    <n v="67.614222631520775"/>
  </r>
  <r>
    <x v="600"/>
    <n v="945.28200000000004"/>
    <n v="228.29239999999999"/>
    <n v="486.11869999999999"/>
    <m/>
    <n v="413766650.79009998"/>
    <n v="228.45775499999999"/>
    <n v="55.174190000000003"/>
    <n v="117.48619600000001"/>
    <m/>
    <e v="#N/A"/>
    <e v="#N/A"/>
  </r>
  <r>
    <x v="601"/>
    <n v="951.41600000000005"/>
    <n v="227.7817"/>
    <n v="487.28550000000001"/>
    <m/>
    <n v="413983140.35170001"/>
    <n v="229.819987"/>
    <n v="55.021974999999998"/>
    <n v="117.706605"/>
    <m/>
    <n v="278678688.598885"/>
    <n v="67.316434278490931"/>
  </r>
  <r>
    <x v="602"/>
    <n v="956.54390000000001"/>
    <n v="227.6114"/>
    <n v="487.90550000000002"/>
    <m/>
    <n v="414762796.829"/>
    <n v="230.624325"/>
    <n v="54.877487000000002"/>
    <n v="117.634827"/>
    <m/>
    <n v="277185857.55612999"/>
    <n v="66.829971172754256"/>
  </r>
  <r>
    <x v="603"/>
    <n v="1019.5989"/>
    <n v="242.7499"/>
    <n v="514.6866"/>
    <m/>
    <n v="415444360.50370002"/>
    <n v="245.42369500000001"/>
    <n v="58.431387000000001"/>
    <n v="123.888214"/>
    <m/>
    <n v="289276551.528355"/>
    <n v="69.630636260804096"/>
  </r>
  <r>
    <x v="604"/>
    <n v="1012.2933"/>
    <n v="239.84379999999999"/>
    <n v="514.09169999999995"/>
    <m/>
    <n v="416304747.05500001"/>
    <n v="243.16160400000001"/>
    <n v="57.612555"/>
    <n v="123.489272"/>
    <m/>
    <n v="288629530.22028297"/>
    <n v="69.331308917827627"/>
  </r>
  <r>
    <x v="605"/>
    <n v="1007.2406"/>
    <n v="241.10599999999999"/>
    <n v="512.64660000000003"/>
    <m/>
    <n v="416863920.8689"/>
    <n v="241.623357"/>
    <n v="57.838059000000001"/>
    <n v="122.97696500000001"/>
    <m/>
    <n v="289532822.66855901"/>
    <n v="69.454996744516663"/>
  </r>
  <r>
    <x v="606"/>
    <n v="996.31370000000004"/>
    <n v="242.32239999999999"/>
    <n v="510.40390000000002"/>
    <m/>
    <n v="416135730.85170001"/>
    <n v="239.420368"/>
    <n v="58.231577000000001"/>
    <n v="122.653226"/>
    <m/>
    <n v="292447362.33868998"/>
    <n v="70.276917038616588"/>
  </r>
  <r>
    <x v="607"/>
    <n v="977.52940000000001"/>
    <n v="236.626"/>
    <n v="511.53890000000001"/>
    <m/>
    <n v="413532779.28560001"/>
    <n v="236.384985"/>
    <n v="57.220615000000002"/>
    <n v="123.69972199999999"/>
    <m/>
    <n v="289373412.64527798"/>
    <n v="69.975931084637594"/>
  </r>
  <r>
    <x v="608"/>
    <n v="869.17"/>
    <n v="209.97030000000001"/>
    <n v="514.50609999999995"/>
    <m/>
    <n v="413107627.00459999"/>
    <n v="210.397955"/>
    <n v="50.827021000000002"/>
    <n v="124.545292"/>
    <m/>
    <n v="268357207.36389899"/>
    <n v="64.960603441221579"/>
  </r>
  <r>
    <x v="609"/>
    <n v="853.75540000000001"/>
    <n v="206.46420000000001"/>
    <n v="512.87959999999998"/>
    <m/>
    <n v="413228303.73189998"/>
    <n v="206.60622499999999"/>
    <n v="49.963712000000001"/>
    <n v="124.115312"/>
    <m/>
    <n v="265282728.34947199"/>
    <n v="64.197618109331117"/>
  </r>
  <r>
    <x v="610"/>
    <n v="848.56380000000001"/>
    <n v="204.75710000000001"/>
    <n v="508.94049999999999"/>
    <m/>
    <n v="413878084.25880003"/>
    <n v="205.027478"/>
    <n v="49.472805999999999"/>
    <n v="122.9687"/>
    <m/>
    <n v="270135569.28613299"/>
    <n v="65.269358190325406"/>
  </r>
  <r>
    <x v="611"/>
    <n v="845.99450000000002"/>
    <n v="205.49510000000001"/>
    <n v="507.99459999999999"/>
    <m/>
    <n v="413162060.34930003"/>
    <n v="204.76093599999999"/>
    <n v="49.737166000000002"/>
    <n v="122.952867"/>
    <m/>
    <n v="271215925.34631997"/>
    <n v="65.643957026699312"/>
  </r>
  <r>
    <x v="612"/>
    <n v="861.14459999999997"/>
    <n v="209.2878"/>
    <n v="483.06389999999999"/>
    <m/>
    <n v="415409094.22009999"/>
    <n v="207.30037300000001"/>
    <n v="50.381131000000003"/>
    <n v="116.28630800000001"/>
    <m/>
    <n v="273236080.36891598"/>
    <n v="65.775180218886788"/>
  </r>
  <r>
    <x v="613"/>
    <n v="841.88390000000004"/>
    <n v="206.53290000000001"/>
    <n v="480.44670000000002"/>
    <m/>
    <n v="412251655.16109997"/>
    <n v="204.216015"/>
    <n v="50.098744000000003"/>
    <n v="116.542091"/>
    <m/>
    <n v="272701629.83408803"/>
    <n v="66.149311087064405"/>
  </r>
  <r>
    <x v="614"/>
    <n v="845.42409999999995"/>
    <n v="207.3486"/>
    <n v="479.97149999999999"/>
    <m/>
    <n v="412622042.4059"/>
    <n v="204.89067800000001"/>
    <n v="50.251460000000002"/>
    <n v="116.322312"/>
    <m/>
    <n v="273327817.60760599"/>
    <n v="66.241690825312475"/>
  </r>
  <r>
    <x v="615"/>
    <n v="847.31690000000003"/>
    <n v="208.96190000000001"/>
    <n v="452.52420000000001"/>
    <m/>
    <n v="412149192.36070001"/>
    <n v="205.58499599999999"/>
    <n v="50.700547999999998"/>
    <n v="109.796212"/>
    <m/>
    <n v="274528166.12149799"/>
    <n v="66.608929778331245"/>
  </r>
  <r>
    <x v="616"/>
    <n v="860.85760000000005"/>
    <n v="212.5147"/>
    <n v="451.84429999999998"/>
    <m/>
    <n v="413957693.26069999"/>
    <n v="207.95787000000001"/>
    <n v="51.337299000000002"/>
    <n v="109.15228999999999"/>
    <m/>
    <n v="276638521.87386799"/>
    <n v="66.827728141689136"/>
  </r>
  <r>
    <x v="617"/>
    <n v="817.59479999999996"/>
    <n v="201.94990000000001"/>
    <n v="400.73570000000001"/>
    <m/>
    <n v="415965731.236"/>
    <n v="196.553403"/>
    <n v="48.549647999999998"/>
    <n v="96.338633000000002"/>
    <m/>
    <n v="266350397.61313099"/>
    <n v="64.03181262593381"/>
  </r>
  <r>
    <x v="618"/>
    <n v="818.35850000000005"/>
    <n v="201.57230000000001"/>
    <n v="401.79539999999997"/>
    <m/>
    <n v="416852539.98890001"/>
    <n v="196.31846300000001"/>
    <n v="48.355781"/>
    <n v="96.387898000000007"/>
    <m/>
    <n v="266158467.965437"/>
    <n v="63.849549284868047"/>
  </r>
  <r>
    <x v="619"/>
    <n v="825.24549999999999"/>
    <n v="203.61359999999999"/>
    <n v="405.03550000000001"/>
    <m/>
    <n v="419110898.50489998"/>
    <n v="196.903851"/>
    <n v="48.582273000000001"/>
    <n v="96.641604999999998"/>
    <m/>
    <n v="266391187.62388501"/>
    <n v="63.56102610888572"/>
  </r>
  <r>
    <x v="620"/>
    <n v="821.18079999999998"/>
    <n v="202.215"/>
    <n v="403.95740000000001"/>
    <m/>
    <n v="418067632.83270001"/>
    <n v="196.422955"/>
    <n v="48.368968000000002"/>
    <n v="96.624892000000003"/>
    <m/>
    <n v="266675973.051559"/>
    <n v="63.787758752009374"/>
  </r>
  <r>
    <x v="621"/>
    <n v="886.02229999999997"/>
    <n v="218.6865"/>
    <n v="426.91640000000001"/>
    <m/>
    <n v="418490155.41790003"/>
    <n v="211.71879200000001"/>
    <n v="52.256067999999999"/>
    <n v="102.013487"/>
    <m/>
    <n v="279960538.24166399"/>
    <n v="66.897759628801353"/>
  </r>
  <r>
    <x v="622"/>
    <n v="917.18380000000002"/>
    <n v="226.3596"/>
    <n v="411.79320000000001"/>
    <m/>
    <n v="419110626.62159997"/>
    <n v="218.84050199999999"/>
    <n v="54.009511000000003"/>
    <n v="98.254058000000001"/>
    <m/>
    <n v="290698321.93075502"/>
    <n v="69.360761447171839"/>
  </r>
  <r>
    <x v="623"/>
    <n v="916.35329999999999"/>
    <n v="226.2431"/>
    <n v="411.49250000000001"/>
    <m/>
    <n v="419155652.19809997"/>
    <n v="218.61885799999999"/>
    <n v="53.975915000000001"/>
    <n v="98.171764999999994"/>
    <m/>
    <n v="290617325.22067302"/>
    <n v="69.33398695607292"/>
  </r>
  <r>
    <x v="624"/>
    <n v="911.83410000000003"/>
    <n v="224.7876"/>
    <n v="412.2364"/>
    <m/>
    <n v="420214647.68040001"/>
    <n v="216.99245999999999"/>
    <n v="53.493518000000002"/>
    <n v="98.101388"/>
    <m/>
    <n v="289552256.17501599"/>
    <n v="68.905797970954808"/>
  </r>
  <r>
    <x v="625"/>
    <n v="905.82749999999999"/>
    <n v="224.5284"/>
    <n v="390.87569999999999"/>
    <m/>
    <n v="419959951.27539998"/>
    <n v="215.693782"/>
    <n v="53.464241000000001"/>
    <n v="93.074517999999998"/>
    <m/>
    <n v="288948156.56593102"/>
    <n v="68.80374085395718"/>
  </r>
  <r>
    <x v="626"/>
    <n v="901.88959999999997"/>
    <n v="224.76650000000001"/>
    <n v="390.47500000000002"/>
    <m/>
    <n v="420081732.07440001"/>
    <n v="214.69383999999999"/>
    <n v="53.505420999999998"/>
    <n v="92.952150000000003"/>
    <m/>
    <n v="288109086.90173399"/>
    <n v="68.584055173983955"/>
  </r>
  <r>
    <x v="627"/>
    <n v="899.82640000000004"/>
    <n v="223.81370000000001"/>
    <n v="391.31659999999999"/>
    <m/>
    <n v="422011317.65359998"/>
    <n v="213.223286"/>
    <n v="53.034998999999999"/>
    <n v="92.726564999999994"/>
    <m/>
    <e v="#N/A"/>
    <e v="#N/A"/>
  </r>
  <r>
    <x v="628"/>
    <n v="893.73199999999997"/>
    <n v="220.9813"/>
    <n v="390.9178"/>
    <m/>
    <n v="419814439.15609998"/>
    <n v="212.88738900000001"/>
    <n v="52.637850999999998"/>
    <n v="93.116806999999994"/>
    <m/>
    <n v="285820140.05602098"/>
    <n v="68.0824939300728"/>
  </r>
  <r>
    <x v="629"/>
    <n v="896.89919999999995"/>
    <n v="222.92420000000001"/>
    <n v="364.26089999999999"/>
    <m/>
    <n v="418842795.75639999"/>
    <n v="214.13742999999999"/>
    <n v="53.223835000000001"/>
    <n v="86.968405000000004"/>
    <m/>
    <n v="285669345.51211399"/>
    <n v="68.204430971819789"/>
  </r>
  <r>
    <x v="630"/>
    <n v="880.26599999999996"/>
    <n v="218.87710000000001"/>
    <n v="366.51710000000003"/>
    <m/>
    <n v="418813331.35170001"/>
    <n v="210.18098900000001"/>
    <n v="52.261254000000001"/>
    <n v="87.513236000000006"/>
    <m/>
    <n v="282508035.93448299"/>
    <n v="67.454403856415411"/>
  </r>
  <r>
    <x v="631"/>
    <n v="877.45939999999996"/>
    <n v="218.43549999999999"/>
    <n v="366.27170000000001"/>
    <m/>
    <n v="418898634.2062"/>
    <n v="209.46819300000001"/>
    <n v="52.145192999999999"/>
    <n v="87.436832999999993"/>
    <m/>
    <n v="282868447.49934602"/>
    <n v="67.526705603939959"/>
  </r>
  <r>
    <x v="632"/>
    <n v="881.58309999999994"/>
    <n v="219.1326"/>
    <n v="365.77269999999999"/>
    <m/>
    <n v="419602782.00419998"/>
    <n v="210.09944100000001"/>
    <n v="52.223820000000003"/>
    <n v="87.171181000000004"/>
    <m/>
    <n v="282654675.87156701"/>
    <n v="67.362440859302453"/>
  </r>
  <r>
    <x v="633"/>
    <n v="885.20320000000004"/>
    <n v="220.39359999999999"/>
    <n v="365.40449999999998"/>
    <m/>
    <n v="420467026.76179999"/>
    <n v="210.52856600000001"/>
    <n v="52.416381000000001"/>
    <n v="86.904436000000004"/>
    <m/>
    <n v="283991143.646303"/>
    <n v="67.541834572247609"/>
  </r>
  <r>
    <x v="634"/>
    <n v="881.80340000000001"/>
    <n v="219.77160000000001"/>
    <n v="364.39760000000001"/>
    <m/>
    <n v="388745546.50870001"/>
    <n v="226.833055"/>
    <n v="56.533535000000001"/>
    <n v="93.736790999999997"/>
    <m/>
    <n v="283209542.429061"/>
    <n v="72.852163831212621"/>
  </r>
  <r>
    <x v="635"/>
    <n v="879.09829999999999"/>
    <n v="219.49010000000001"/>
    <n v="364.51979999999998"/>
    <m/>
    <n v="388861227.65069997"/>
    <n v="226.069929"/>
    <n v="56.444325999999997"/>
    <n v="93.740330999999998"/>
    <m/>
    <n v="283172991.75915903"/>
    <n v="72.821091850669958"/>
  </r>
  <r>
    <x v="636"/>
    <n v="866.49450000000002"/>
    <n v="215.61619999999999"/>
    <n v="364.71620000000001"/>
    <m/>
    <n v="389141063.86699998"/>
    <n v="222.66848200000001"/>
    <n v="55.408236000000002"/>
    <n v="93.723391000000007"/>
    <m/>
    <n v="282933052.81712699"/>
    <n v="72.70706668824532"/>
  </r>
  <r>
    <x v="637"/>
    <n v="873.71690000000001"/>
    <n v="216.95079999999999"/>
    <n v="365.15890000000002"/>
    <m/>
    <n v="390895235.13120002"/>
    <n v="223.516897"/>
    <n v="55.501009000000003"/>
    <n v="93.416053000000005"/>
    <m/>
    <n v="284126872.84266502"/>
    <n v="72.686194997311929"/>
  </r>
  <r>
    <x v="638"/>
    <n v="876.11879999999996"/>
    <n v="219.0016"/>
    <n v="352.11529999999999"/>
    <m/>
    <n v="390560782.82169998"/>
    <n v="224.32329100000001"/>
    <n v="56.073627999999999"/>
    <n v="90.156338000000005"/>
    <m/>
    <n v="284077643.65805399"/>
    <n v="72.735834254956927"/>
  </r>
  <r>
    <x v="639"/>
    <n v="834.78909999999996"/>
    <n v="208.4914"/>
    <n v="330.0487"/>
    <m/>
    <n v="391026195.54909998"/>
    <n v="213.48674600000001"/>
    <n v="53.319037000000002"/>
    <n v="84.405777"/>
    <m/>
    <n v="304848299.61102301"/>
    <n v="77.9610939320673"/>
  </r>
  <r>
    <x v="640"/>
    <n v="845.17660000000001"/>
    <n v="208.60310000000001"/>
    <n v="331.96319999999997"/>
    <m/>
    <n v="392486053.89130002"/>
    <n v="215.339269"/>
    <n v="53.149175"/>
    <n v="84.579616999999999"/>
    <m/>
    <n v="305478131.759592"/>
    <n v="77.831588850337823"/>
  </r>
  <r>
    <x v="641"/>
    <n v="846.79349999999999"/>
    <n v="208.4248"/>
    <n v="331.1336"/>
    <m/>
    <n v="393389486.18510002"/>
    <n v="215.255753"/>
    <n v="52.981791999999999"/>
    <n v="84.174492000000001"/>
    <m/>
    <n v="305817448.59025401"/>
    <n v="77.739100644484154"/>
  </r>
  <r>
    <x v="642"/>
    <n v="840.78129999999999"/>
    <n v="208.2081"/>
    <n v="330.23349999999999"/>
    <m/>
    <n v="392634821.16420001"/>
    <n v="214.13824099999999"/>
    <n v="53.028435000000002"/>
    <n v="84.107033000000001"/>
    <m/>
    <n v="305710019.49035001"/>
    <n v="77.861158259955246"/>
  </r>
  <r>
    <x v="643"/>
    <n v="837.23929999999996"/>
    <n v="207.54169999999999"/>
    <n v="329.75799999999998"/>
    <m/>
    <n v="392606039.25150001"/>
    <n v="213.25176300000001"/>
    <n v="52.862585000000003"/>
    <n v="83.992085000000003"/>
    <m/>
    <n v="304221552.37348598"/>
    <n v="77.487741389175184"/>
  </r>
  <r>
    <x v="644"/>
    <n v="841.23469999999998"/>
    <n v="207.56379999999999"/>
    <n v="330.39420000000001"/>
    <m/>
    <n v="393005088.66170001"/>
    <n v="214.05185900000001"/>
    <n v="52.814532"/>
    <n v="84.068681999999995"/>
    <m/>
    <n v="304016772.182437"/>
    <n v="77.356955661237151"/>
  </r>
  <r>
    <x v="645"/>
    <n v="840.57209999999998"/>
    <n v="207.4631"/>
    <n v="330.28379999999999"/>
    <m/>
    <n v="393374081.23049998"/>
    <n v="213.68263400000001"/>
    <n v="52.739392000000002"/>
    <n v="83.961759999999998"/>
    <m/>
    <n v="303969305.25155801"/>
    <n v="77.272326712711219"/>
  </r>
  <r>
    <x v="646"/>
    <n v="842.17589999999996"/>
    <n v="207.41499999999999"/>
    <n v="330.20170000000002"/>
    <m/>
    <n v="393632754.54040003"/>
    <n v="213.94964999999999"/>
    <n v="52.692515"/>
    <n v="83.885728"/>
    <m/>
    <n v="302938072.22708601"/>
    <n v="76.95956922609048"/>
  </r>
  <r>
    <x v="647"/>
    <n v="843.13409999999999"/>
    <n v="208.91829999999999"/>
    <n v="329.71319999999997"/>
    <m/>
    <n v="393751157.34189999"/>
    <n v="214.12866600000001"/>
    <n v="53.058459999999997"/>
    <n v="83.736440000000002"/>
    <m/>
    <n v="303651988.90117002"/>
    <n v="77.117738764512239"/>
  </r>
  <r>
    <x v="648"/>
    <n v="854.23329999999999"/>
    <n v="211.21789999999999"/>
    <n v="330.18759999999997"/>
    <m/>
    <n v="395572490.27039999"/>
    <n v="215.948611"/>
    <n v="53.395498000000003"/>
    <n v="83.470820000000003"/>
    <m/>
    <n v="305430852.44209498"/>
    <n v="77.212359290534266"/>
  </r>
  <r>
    <x v="649"/>
    <n v="855.61969999999997"/>
    <n v="210.47389999999999"/>
    <n v="330.93099999999998"/>
    <m/>
    <n v="395871098.42930001"/>
    <n v="216.13593499999999"/>
    <n v="53.167281000000003"/>
    <n v="83.595645000000005"/>
    <m/>
    <n v="304991543.39844501"/>
    <n v="77.043144753067764"/>
  </r>
  <r>
    <x v="650"/>
    <n v="856.72569999999996"/>
    <n v="211.4975"/>
    <n v="329.96499999999997"/>
    <m/>
    <n v="395710740.00309998"/>
    <n v="216.50301899999999"/>
    <n v="53.447501000000003"/>
    <n v="83.385403999999994"/>
    <m/>
    <n v="305406061.16693097"/>
    <n v="77.179118556281395"/>
  </r>
  <r>
    <x v="651"/>
    <n v="844.56859999999995"/>
    <n v="208.31450000000001"/>
    <n v="331.59379999999999"/>
    <m/>
    <n v="395539949.41579998"/>
    <n v="213.52295799999999"/>
    <n v="52.665855999999998"/>
    <n v="83.833201000000003"/>
    <m/>
    <n v="302441187.42293203"/>
    <n v="76.462867497866682"/>
  </r>
  <r>
    <x v="652"/>
    <n v="847.6875"/>
    <n v="208.10720000000001"/>
    <n v="331.78980000000001"/>
    <m/>
    <n v="396408629.08319998"/>
    <n v="213.841838"/>
    <n v="52.498151"/>
    <n v="83.698935000000006"/>
    <m/>
    <n v="302647100.531802"/>
    <n v="76.347253396515015"/>
  </r>
  <r>
    <x v="653"/>
    <n v="842.3655"/>
    <n v="207.01519999999999"/>
    <n v="356.2559"/>
    <m/>
    <n v="396435382.79979998"/>
    <n v="212.48494400000001"/>
    <n v="52.219152999999999"/>
    <n v="89.864808999999994"/>
    <m/>
    <n v="320884530.17616999"/>
    <n v="80.942454709754514"/>
  </r>
  <r>
    <x v="654"/>
    <n v="847.36940000000004"/>
    <n v="206.6875"/>
    <n v="356.96910000000003"/>
    <m/>
    <n v="396771143.236"/>
    <n v="213.56628699999999"/>
    <n v="52.092371999999997"/>
    <n v="89.968513999999999"/>
    <m/>
    <n v="320213099.78025001"/>
    <n v="80.704735018944376"/>
  </r>
  <r>
    <x v="655"/>
    <n v="854.58109999999999"/>
    <n v="205.45939999999999"/>
    <n v="358.80509999999998"/>
    <m/>
    <n v="397068818.57410002"/>
    <n v="215.22241500000001"/>
    <n v="51.744028"/>
    <n v="90.363454000000004"/>
    <m/>
    <n v="320097380.28089303"/>
    <n v="80.615088696811682"/>
  </r>
  <r>
    <x v="656"/>
    <n v="849.2473"/>
    <n v="204.92250000000001"/>
    <n v="386.66430000000003"/>
    <m/>
    <n v="396282747.00870001"/>
    <n v="214.30337499999999"/>
    <n v="51.711184000000003"/>
    <n v="97.572832000000005"/>
    <m/>
    <n v="319811309.78986001"/>
    <n v="80.702809346085118"/>
  </r>
  <r>
    <x v="657"/>
    <n v="845.44290000000001"/>
    <n v="205.40690000000001"/>
    <n v="385.31020000000001"/>
    <m/>
    <n v="395843318.42769998"/>
    <n v="213.580187"/>
    <n v="51.890960999999997"/>
    <n v="97.339068999999995"/>
    <m/>
    <n v="320225767.03198999"/>
    <n v="80.897100474989728"/>
  </r>
  <r>
    <x v="658"/>
    <n v="842.02110000000005"/>
    <n v="205.57859999999999"/>
    <n v="384.78570000000002"/>
    <m/>
    <n v="396229798.84109998"/>
    <n v="212.50827200000001"/>
    <n v="51.883679999999998"/>
    <n v="97.111751999999996"/>
    <m/>
    <n v="320567861.56134099"/>
    <n v="80.904531284356608"/>
  </r>
  <r>
    <x v="659"/>
    <n v="848.3537"/>
    <n v="208.8304"/>
    <n v="391.91649999999998"/>
    <m/>
    <n v="398705079.7421"/>
    <n v="212.77724900000001"/>
    <n v="52.377161000000001"/>
    <n v="98.297342999999998"/>
    <m/>
    <n v="334322204.46483302"/>
    <n v="83.852005266922447"/>
  </r>
  <r>
    <x v="660"/>
    <n v="848.69719999999995"/>
    <n v="208.99709999999999"/>
    <n v="392.03489999999999"/>
    <m/>
    <n v="399109608.17650002"/>
    <n v="212.647649"/>
    <n v="52.365839999999999"/>
    <n v="98.227377000000004"/>
    <m/>
    <n v="334705701.364416"/>
    <n v="83.863102893879116"/>
  </r>
  <r>
    <x v="661"/>
    <n v="844.98670000000004"/>
    <n v="207.2859"/>
    <n v="393.53399999999999"/>
    <m/>
    <n v="398189183.20569998"/>
    <n v="212.207347"/>
    <n v="52.057139999999997"/>
    <n v="98.830911999999998"/>
    <m/>
    <n v="332885953.46748197"/>
    <n v="83.599948845299721"/>
  </r>
  <r>
    <x v="662"/>
    <n v="848.49990000000003"/>
    <n v="209.95269999999999"/>
    <n v="392.06130000000002"/>
    <m/>
    <n v="398847344.01800001"/>
    <n v="212.73800900000001"/>
    <n v="52.639864000000003"/>
    <n v="98.298586"/>
    <m/>
    <n v="334100659.75279403"/>
    <n v="83.766549975500411"/>
  </r>
  <r>
    <x v="663"/>
    <n v="854.09839999999997"/>
    <n v="210.08750000000001"/>
    <n v="393.54840000000002"/>
    <m/>
    <n v="399377955.00370002"/>
    <n v="213.85717199999999"/>
    <n v="52.603679999999997"/>
    <n v="98.540340999999998"/>
    <m/>
    <n v="333935429.80220902"/>
    <n v="83.613886449770433"/>
  </r>
  <r>
    <x v="664"/>
    <n v="853.17269999999996"/>
    <n v="210.59190000000001"/>
    <n v="393.65870000000001"/>
    <m/>
    <n v="399315976.48280001"/>
    <n v="213.65854400000001"/>
    <n v="52.738160000000001"/>
    <n v="98.583258000000001"/>
    <m/>
    <n v="334334618.75252199"/>
    <n v="83.726832494247333"/>
  </r>
  <r>
    <x v="665"/>
    <n v="854.6943"/>
    <n v="210.6491"/>
    <n v="393.89150000000001"/>
    <m/>
    <n v="399893830.23820001"/>
    <n v="213.73030399999999"/>
    <n v="52.676257"/>
    <n v="98.499019000000004"/>
    <m/>
    <n v="334903083.85122502"/>
    <n v="83.747999725761531"/>
  </r>
  <r>
    <x v="666"/>
    <n v="853.55930000000001"/>
    <n v="210.85210000000001"/>
    <n v="393.23559999999998"/>
    <m/>
    <n v="399756383.14240003"/>
    <n v="213.519868"/>
    <n v="52.745148999999998"/>
    <n v="98.368810999999994"/>
    <m/>
    <n v="333826519.82004899"/>
    <n v="83.507489535478982"/>
  </r>
  <r>
    <x v="667"/>
    <n v="852.17849999999999"/>
    <n v="210.8604"/>
    <n v="424.50189999999998"/>
    <m/>
    <n v="399787604.38789999"/>
    <n v="213.15780899999999"/>
    <n v="52.743105999999997"/>
    <n v="106.181856"/>
    <m/>
    <n v="359568766.41343999"/>
    <n v="89.939948729516615"/>
  </r>
  <r>
    <x v="668"/>
    <n v="854.67110000000002"/>
    <n v="211.19300000000001"/>
    <n v="425.54829999999998"/>
    <m/>
    <n v="400581297.39660001"/>
    <n v="213.35771399999999"/>
    <n v="52.721632999999997"/>
    <n v="106.232693"/>
    <m/>
    <n v="360222810.21056002"/>
    <n v="89.925019603178683"/>
  </r>
  <r>
    <x v="669"/>
    <n v="826.09990000000005"/>
    <n v="203.82490000000001"/>
    <n v="415.62110000000001"/>
    <m/>
    <n v="400469361.73900002"/>
    <n v="206.28292200000001"/>
    <n v="50.896503000000003"/>
    <n v="103.783495"/>
    <m/>
    <n v="352700992.67024302"/>
    <n v="88.07190421226548"/>
  </r>
  <r>
    <x v="670"/>
    <n v="842.80060000000003"/>
    <n v="206.97479999999999"/>
    <n v="439.30880000000002"/>
    <m/>
    <n v="401664966.43290001"/>
    <n v="209.826764"/>
    <n v="51.529214000000003"/>
    <n v="109.371948"/>
    <m/>
    <n v="382372511.27110302"/>
    <n v="95.196878798484946"/>
  </r>
  <r>
    <x v="671"/>
    <n v="846.07659999999998"/>
    <n v="207.5966"/>
    <n v="439.82920000000001"/>
    <m/>
    <n v="402333774.26130003"/>
    <n v="210.292214"/>
    <n v="51.598103999999999"/>
    <n v="109.31948300000001"/>
    <m/>
    <n v="383207435.66624802"/>
    <n v="95.246151375144024"/>
  </r>
  <r>
    <x v="672"/>
    <n v="775.14059999999995"/>
    <n v="189.90379999999999"/>
    <n v="441.53609999999998"/>
    <m/>
    <n v="403030992.52359998"/>
    <n v="192.32778999999999"/>
    <n v="47.118907"/>
    <n v="109.553883"/>
    <m/>
    <n v="364050583.483127"/>
    <n v="90.328185731723735"/>
  </r>
  <r>
    <x v="673"/>
    <n v="772.08540000000005"/>
    <n v="189.77250000000001"/>
    <n v="441.26310000000001"/>
    <m/>
    <n v="404550334.14929998"/>
    <n v="190.850269"/>
    <n v="46.909489999999998"/>
    <n v="109.074956"/>
    <m/>
    <n v="363925319.23373997"/>
    <n v="89.957982607779215"/>
  </r>
  <r>
    <x v="674"/>
    <n v="777.17660000000001"/>
    <n v="190.49209999999999"/>
    <n v="442.3329"/>
    <m/>
    <n v="405454138.40380001"/>
    <n v="191.68052"/>
    <n v="46.982404000000002"/>
    <n v="109.095668"/>
    <m/>
    <n v="364882977.55833298"/>
    <n v="89.993649835419518"/>
  </r>
  <r>
    <x v="675"/>
    <n v="774.46699999999998"/>
    <n v="191.2338"/>
    <n v="439.70510000000002"/>
    <m/>
    <n v="403975801.76660001"/>
    <n v="191.71123499999999"/>
    <n v="47.337933999999997"/>
    <n v="108.844415"/>
    <m/>
    <n v="364124181.06759202"/>
    <n v="90.13514657939028"/>
  </r>
  <r>
    <x v="676"/>
    <n v="775.25250000000005"/>
    <n v="191.50360000000001"/>
    <n v="439.47590000000002"/>
    <m/>
    <n v="404400889.78320003"/>
    <n v="191.70395500000001"/>
    <n v="47.354891000000002"/>
    <n v="108.673327"/>
    <m/>
    <n v="364536914.41107202"/>
    <n v="90.142461013500949"/>
  </r>
  <r>
    <x v="677"/>
    <n v="793.74969999999996"/>
    <n v="196.6463"/>
    <n v="434.166"/>
    <m/>
    <n v="405607079.78030002"/>
    <n v="195.694242"/>
    <n v="48.481968999999999"/>
    <n v="107.041031"/>
    <m/>
    <n v="364195142.185381"/>
    <n v="89.790134428287075"/>
  </r>
  <r>
    <x v="678"/>
    <n v="783.51379999999995"/>
    <n v="195.43989999999999"/>
    <n v="394.93849999999998"/>
    <m/>
    <n v="405435470.72359997"/>
    <n v="193.25240600000001"/>
    <n v="48.204934000000002"/>
    <n v="97.410938999999999"/>
    <m/>
    <n v="382304852.14856899"/>
    <n v="94.294870516941046"/>
  </r>
  <r>
    <x v="679"/>
    <n v="778.50319999999999"/>
    <n v="194.5103"/>
    <n v="393.54689999999999"/>
    <m/>
    <n v="405920628.76010001"/>
    <n v="191.78704999999999"/>
    <n v="47.918309000000001"/>
    <n v="96.951688000000004"/>
    <m/>
    <n v="382617020.49629098"/>
    <n v="94.259072682511658"/>
  </r>
  <r>
    <x v="680"/>
    <n v="782.80859999999996"/>
    <n v="193.9896"/>
    <n v="395.76929999999999"/>
    <m/>
    <n v="406287642.53750002"/>
    <n v="192.673495"/>
    <n v="47.746862"/>
    <n v="97.411108999999996"/>
    <m/>
    <n v="381703077.70675403"/>
    <n v="93.948975490073678"/>
  </r>
  <r>
    <x v="681"/>
    <n v="786.75869999999998"/>
    <n v="194.43109999999999"/>
    <n v="395.85849999999999"/>
    <m/>
    <n v="407198280.15259999"/>
    <n v="193.21267800000001"/>
    <n v="47.748506999999996"/>
    <n v="97.215170000000001"/>
    <m/>
    <n v="381180658.68347299"/>
    <n v="93.610576778620796"/>
  </r>
  <r>
    <x v="682"/>
    <n v="789.3152"/>
    <n v="193.6591"/>
    <n v="397.80439999999999"/>
    <m/>
    <n v="408119542.58459997"/>
    <n v="193.402941"/>
    <n v="47.451563"/>
    <n v="97.472519000000005"/>
    <m/>
    <n v="382136318.25066203"/>
    <n v="93.633428046746431"/>
  </r>
  <r>
    <x v="683"/>
    <n v="813.60580000000004"/>
    <n v="200.10990000000001"/>
    <n v="395.21319999999997"/>
    <m/>
    <n v="408536000.66180003"/>
    <n v="199.151555"/>
    <n v="48.982194999999997"/>
    <n v="96.738892000000007"/>
    <m/>
    <n v="387767551.32362199"/>
    <n v="94.916372289214507"/>
  </r>
  <r>
    <x v="684"/>
    <n v="805.16060000000004"/>
    <n v="199.24260000000001"/>
    <n v="399.15260000000001"/>
    <m/>
    <n v="407287871.00620002"/>
    <n v="197.688332"/>
    <n v="48.919355000000003"/>
    <n v="98.002574999999993"/>
    <m/>
    <n v="389724839.40874898"/>
    <n v="95.687808833083636"/>
  </r>
  <r>
    <x v="685"/>
    <n v="806.22260000000006"/>
    <n v="199.08170000000001"/>
    <n v="399.37599999999998"/>
    <m/>
    <n v="407764587.60280001"/>
    <n v="197.71766"/>
    <n v="48.822704999999999"/>
    <n v="97.942786999999996"/>
    <m/>
    <n v="390200523.33486998"/>
    <n v="95.692596953750424"/>
  </r>
  <r>
    <x v="686"/>
    <n v="801.00810000000001"/>
    <n v="199.87270000000001"/>
    <n v="397.03269999999998"/>
    <m/>
    <n v="406750630.50489998"/>
    <n v="196.92854500000001"/>
    <n v="49.138879000000003"/>
    <n v="97.610838000000001"/>
    <m/>
    <n v="387783180.58858502"/>
    <n v="95.33683576771088"/>
  </r>
  <r>
    <x v="687"/>
    <n v="801.10410000000002"/>
    <n v="199.72569999999999"/>
    <n v="396.88150000000002"/>
    <m/>
    <n v="406471515.014"/>
    <n v="197.08739"/>
    <n v="49.136457"/>
    <n v="97.640666999999993"/>
    <m/>
    <n v="387202203.87367499"/>
    <n v="95.259369862692267"/>
  </r>
  <r>
    <x v="688"/>
    <n v="803.35829999999999"/>
    <n v="199.76920000000001"/>
    <n v="398.59859999999998"/>
    <m/>
    <n v="407147259.51440001"/>
    <n v="197.31394"/>
    <n v="49.065589000000003"/>
    <n v="97.900351999999998"/>
    <m/>
    <n v="388007606.11317599"/>
    <n v="95.299083328216014"/>
  </r>
  <r>
    <x v="689"/>
    <n v="804.71910000000003"/>
    <n v="200.059"/>
    <n v="399.07499999999999"/>
    <m/>
    <n v="408055933.77209997"/>
    <n v="197.20803799999999"/>
    <n v="49.027346999999999"/>
    <n v="97.799092000000002"/>
    <m/>
    <n v="388461912.64111203"/>
    <n v="95.198202131296242"/>
  </r>
  <r>
    <x v="690"/>
    <n v="806.00900000000001"/>
    <n v="200.45760000000001"/>
    <n v="398.50229999999999"/>
    <m/>
    <n v="408117358.6444"/>
    <n v="197.494417"/>
    <n v="49.117635999999997"/>
    <n v="97.644046000000003"/>
    <m/>
    <n v="388772226.952968"/>
    <n v="95.259909611370446"/>
  </r>
  <r>
    <x v="691"/>
    <n v="794.68430000000001"/>
    <n v="196.8503"/>
    <n v="402.12119999999999"/>
    <m/>
    <n v="408736908.11949998"/>
    <n v="194.42440500000001"/>
    <n v="48.160637000000001"/>
    <n v="98.381426000000005"/>
    <m/>
    <n v="386701527.03565699"/>
    <n v="94.608908408779996"/>
  </r>
  <r>
    <x v="692"/>
    <n v="797.12350000000004"/>
    <n v="196.78370000000001"/>
    <n v="403.31270000000001"/>
    <m/>
    <n v="409118673.87510002"/>
    <n v="194.83918700000001"/>
    <n v="48.099418"/>
    <n v="98.580858000000006"/>
    <m/>
    <n v="387031713.678352"/>
    <n v="94.601331690009587"/>
  </r>
  <r>
    <x v="693"/>
    <n v="793.06110000000001"/>
    <n v="196.63300000000001"/>
    <n v="402.84350000000001"/>
    <m/>
    <n v="408419119.55220002"/>
    <n v="194.17824999999999"/>
    <n v="48.144905999999999"/>
    <n v="98.634828999999996"/>
    <m/>
    <n v="386159352.56680501"/>
    <n v="94.549773524363616"/>
  </r>
  <r>
    <x v="694"/>
    <n v="790.87260000000003"/>
    <n v="196.33789999999999"/>
    <n v="401.6438"/>
    <m/>
    <n v="410338110.13789999"/>
    <n v="192.73681400000001"/>
    <n v="47.847835000000003"/>
    <n v="97.881184000000005"/>
    <m/>
    <n v="385849654.68856901"/>
    <n v="94.032127447021367"/>
  </r>
  <r>
    <x v="695"/>
    <n v="791.25800000000004"/>
    <n v="197.00450000000001"/>
    <n v="399.99160000000001"/>
    <m/>
    <n v="389371321.1207"/>
    <n v="203.214247"/>
    <n v="50.595534000000001"/>
    <n v="102.72754500000001"/>
    <m/>
    <n v="385467032.96083999"/>
    <n v="98.997284096675997"/>
  </r>
  <r>
    <x v="696"/>
    <n v="791.72730000000001"/>
    <n v="197.81729999999999"/>
    <n v="393.31060000000002"/>
    <m/>
    <n v="388676277.86720002"/>
    <n v="203.698385"/>
    <n v="50.895130999999999"/>
    <n v="101.192335"/>
    <m/>
    <n v="380947050.35757899"/>
    <n v="98.01139715754357"/>
  </r>
  <r>
    <x v="697"/>
    <n v="794.12369999999999"/>
    <n v="197.62430000000001"/>
    <n v="394.1234"/>
    <m/>
    <n v="389073429.17150003"/>
    <n v="204.106382"/>
    <n v="50.793574"/>
    <n v="101.29794800000001"/>
    <m/>
    <n v="381313948.56256402"/>
    <n v="98.005651368827941"/>
  </r>
  <r>
    <x v="698"/>
    <n v="793.92769999999996"/>
    <n v="196.8135"/>
    <n v="395.41719999999998"/>
    <m/>
    <n v="389948356.38"/>
    <n v="203.59816599999999"/>
    <n v="50.471682999999999"/>
    <n v="101.40245299999999"/>
    <m/>
    <n v="382843544.84324002"/>
    <n v="98.178012185327319"/>
  </r>
  <r>
    <x v="699"/>
    <n v="804.71299999999997"/>
    <n v="198.8109"/>
    <n v="397.5249"/>
    <m/>
    <n v="390105758.46619999"/>
    <n v="206.28072800000001"/>
    <n v="50.963334000000003"/>
    <n v="101.90182799999999"/>
    <m/>
    <n v="383690651.76979202"/>
    <n v="98.355546782587737"/>
  </r>
  <r>
    <x v="700"/>
    <n v="806.26189999999997"/>
    <n v="198.76920000000001"/>
    <n v="397.54360000000003"/>
    <m/>
    <n v="390349125.37849998"/>
    <n v="206.54891900000001"/>
    <n v="50.920878000000002"/>
    <n v="101.843087"/>
    <m/>
    <n v="383986532.77846497"/>
    <n v="98.370025142527069"/>
  </r>
  <r>
    <x v="701"/>
    <n v="809.63130000000001"/>
    <n v="199.55179999999999"/>
    <n v="396.2516"/>
    <m/>
    <n v="390573670.52380002"/>
    <n v="207.29285200000001"/>
    <n v="51.091974"/>
    <n v="101.45374099999999"/>
    <m/>
    <n v="382992000.39412302"/>
    <n v="98.05883737131866"/>
  </r>
  <r>
    <x v="702"/>
    <n v="846.76689999999996"/>
    <n v="207.86099999999999"/>
    <n v="398.56729999999999"/>
    <m/>
    <n v="391251228.49409997"/>
    <n v="216.425365"/>
    <n v="53.127245000000002"/>
    <n v="101.869917"/>
    <m/>
    <n v="394999984.688016"/>
    <n v="100.95814553946443"/>
  </r>
  <r>
    <x v="703"/>
    <n v="820.31830000000002"/>
    <n v="200.11269999999999"/>
    <n v="399.25709999999998"/>
    <m/>
    <n v="391721347.6092"/>
    <n v="209.41373400000001"/>
    <n v="51.085472000000003"/>
    <n v="101.923753"/>
    <m/>
    <n v="390696541.15803301"/>
    <n v="99.738383813539471"/>
  </r>
  <r>
    <x v="704"/>
    <n v="818.93790000000001"/>
    <n v="200.239"/>
    <n v="398.34840000000003"/>
    <m/>
    <n v="391758819.7863"/>
    <n v="209.04134300000001"/>
    <n v="51.112825000000001"/>
    <n v="101.68205"/>
    <m/>
    <n v="389403890.927571"/>
    <n v="99.398883001533036"/>
  </r>
  <r>
    <x v="705"/>
    <n v="819.0249"/>
    <n v="199.9563"/>
    <n v="398.7423"/>
    <m/>
    <n v="391323942.74559999"/>
    <n v="209.295883"/>
    <n v="51.097385000000003"/>
    <n v="101.895707"/>
    <m/>
    <n v="389130706.84621102"/>
    <n v="99.439534447087283"/>
  </r>
  <r>
    <x v="706"/>
    <n v="819.41070000000002"/>
    <n v="200.25700000000001"/>
    <n v="398.59679999999997"/>
    <m/>
    <n v="391079060.78850001"/>
    <n v="209.525588"/>
    <n v="51.206270000000004"/>
    <n v="101.922307"/>
    <m/>
    <n v="388870699.57047802"/>
    <n v="99.435315914493245"/>
  </r>
  <r>
    <x v="707"/>
    <n v="814.04989999999998"/>
    <n v="200.15379999999999"/>
    <n v="396.68340000000001"/>
    <m/>
    <n v="390447453.71810001"/>
    <n v="208.49153799999999"/>
    <n v="51.262672999999999"/>
    <n v="101.597128"/>
    <m/>
    <n v="387276301.19351399"/>
    <n v="99.187815800977006"/>
  </r>
  <r>
    <x v="708"/>
    <n v="816.58010000000002"/>
    <n v="200.98419999999999"/>
    <n v="396.23399999999998"/>
    <m/>
    <n v="390525722.54460001"/>
    <n v="209.09764799999999"/>
    <n v="51.465035"/>
    <n v="101.461691"/>
    <m/>
    <n v="387048440.72014701"/>
    <n v="99.109589554870908"/>
  </r>
  <r>
    <x v="709"/>
    <n v="814.84230000000002"/>
    <n v="200.50829999999999"/>
    <n v="396.28949999999998"/>
    <m/>
    <n v="390870568.1742"/>
    <n v="208.46857399999999"/>
    <n v="51.297876000000002"/>
    <n v="101.386375"/>
    <m/>
    <n v="387012344.47966999"/>
    <n v="99.012915269483656"/>
  </r>
  <r>
    <x v="710"/>
    <n v="818.53290000000004"/>
    <n v="200.72739999999999"/>
    <n v="397.92959999999999"/>
    <m/>
    <n v="391863960.95639998"/>
    <n v="208.88190299999999"/>
    <n v="51.223745999999998"/>
    <n v="101.547894"/>
    <m/>
    <n v="388347277.29161799"/>
    <n v="99.102575379425289"/>
  </r>
  <r>
    <x v="711"/>
    <n v="817.23050000000001"/>
    <n v="200.36109999999999"/>
    <n v="398.09969999999998"/>
    <m/>
    <n v="391806639.96249998"/>
    <n v="208.58005399999999"/>
    <n v="51.137749999999997"/>
    <n v="101.606165"/>
    <m/>
    <n v="388238476.333875"/>
    <n v="99.089304962017366"/>
  </r>
  <r>
    <x v="712"/>
    <n v="805.24959999999999"/>
    <n v="197.28030000000001"/>
    <n v="401.17739999999998"/>
    <m/>
    <n v="392283828.56169999"/>
    <n v="205.272188"/>
    <n v="50.290194"/>
    <n v="102.267127"/>
    <m/>
    <n v="386292501.09288198"/>
    <n v="98.472705976490275"/>
  </r>
  <r>
    <x v="713"/>
    <n v="800.63879999999995"/>
    <n v="196.3535"/>
    <n v="400.90660000000003"/>
    <m/>
    <n v="392161087.78490001"/>
    <n v="204.16069400000001"/>
    <n v="50.069603000000001"/>
    <n v="102.230082"/>
    <m/>
    <n v="385966062.14070398"/>
    <n v="98.420285480339658"/>
  </r>
  <r>
    <x v="714"/>
    <n v="800.01800000000003"/>
    <n v="196.65539999999999"/>
    <n v="399.71039999999999"/>
    <m/>
    <n v="392214730.40030003"/>
    <n v="203.974491"/>
    <n v="50.139727999999998"/>
    <n v="101.911114"/>
    <m/>
    <n v="385814445.42405897"/>
    <n v="98.368168128282989"/>
  </r>
  <r>
    <x v="715"/>
    <n v="824.02300000000002"/>
    <n v="202.12110000000001"/>
    <n v="401.10219999999998"/>
    <m/>
    <n v="396559845.32630002"/>
    <n v="207.79284899999999"/>
    <n v="50.968625000000003"/>
    <n v="101.14543999999999"/>
    <m/>
    <n v="390749399.05083299"/>
    <n v="98.534787033042619"/>
  </r>
  <r>
    <x v="716"/>
    <n v="832.02599999999995"/>
    <n v="203.38489999999999"/>
    <n v="402.1549"/>
    <m/>
    <n v="406470642.89950001"/>
    <n v="204.69522599999999"/>
    <n v="50.036799000000002"/>
    <n v="98.938239999999993"/>
    <m/>
    <n v="391601916.53671199"/>
    <n v="96.341992558989233"/>
  </r>
  <r>
    <x v="717"/>
    <n v="832.44420000000002"/>
    <n v="203.5984"/>
    <n v="403.19189999999998"/>
    <m/>
    <n v="406898653.13150001"/>
    <n v="204.58268799999999"/>
    <n v="50.036636999999999"/>
    <n v="99.089022999999997"/>
    <m/>
    <n v="392105876.42922199"/>
    <n v="96.364505857064771"/>
  </r>
  <r>
    <x v="718"/>
    <n v="829.79349999999999"/>
    <n v="203.16030000000001"/>
    <n v="401.79969999999997"/>
    <m/>
    <n v="406945446.96289998"/>
    <n v="203.90779800000001"/>
    <n v="49.923226999999997"/>
    <n v="98.735518999999996"/>
    <m/>
    <n v="391631149.44276297"/>
    <n v="96.236768924574505"/>
  </r>
  <r>
    <x v="719"/>
    <n v="832.20650000000001"/>
    <n v="203.31319999999999"/>
    <n v="401.88459999999998"/>
    <m/>
    <n v="407570143.54369998"/>
    <n v="204.187307"/>
    <n v="49.884222999999999"/>
    <n v="98.605014999999995"/>
    <m/>
    <n v="392340515.26257002"/>
    <n v="96.263311107945029"/>
  </r>
  <r>
    <x v="720"/>
    <n v="810.57600000000002"/>
    <n v="197.09469999999999"/>
    <n v="404.83730000000003"/>
    <m/>
    <n v="407730194.02209997"/>
    <n v="198.802054"/>
    <n v="48.339491000000002"/>
    <n v="99.290487999999996"/>
    <m/>
    <n v="385806596.34237099"/>
    <n v="94.623013453219826"/>
  </r>
  <r>
    <x v="721"/>
    <n v="811.52480000000003"/>
    <n v="197.149"/>
    <n v="404.4778"/>
    <m/>
    <n v="407684467.22030002"/>
    <n v="199.05708100000001"/>
    <n v="48.358232000000001"/>
    <n v="99.213443999999996"/>
    <m/>
    <n v="386182778.45027798"/>
    <n v="94.725899439675445"/>
  </r>
  <r>
    <x v="722"/>
    <n v="803.28139999999996"/>
    <n v="195.29740000000001"/>
    <n v="402.0634"/>
    <m/>
    <n v="407430940.97039998"/>
    <n v="197.15768199999999"/>
    <n v="47.933866000000002"/>
    <n v="98.682588999999993"/>
    <m/>
    <n v="384303079.54627699"/>
    <n v="94.323489185912564"/>
  </r>
  <r>
    <x v="723"/>
    <n v="802.38319999999999"/>
    <n v="195.78479999999999"/>
    <n v="401.26990000000001"/>
    <m/>
    <n v="407519893.42629999"/>
    <n v="196.89424099999999"/>
    <n v="48.043004000000003"/>
    <n v="98.466334000000003"/>
    <m/>
    <n v="384142095.51058501"/>
    <n v="94.263397126662511"/>
  </r>
  <r>
    <x v="724"/>
    <n v="806.62919999999997"/>
    <n v="196.6464"/>
    <n v="432.9572"/>
    <m/>
    <n v="408834709.97920001"/>
    <n v="197.299588"/>
    <n v="48.099243000000001"/>
    <n v="105.90030400000001"/>
    <m/>
    <n v="375552394.46252799"/>
    <n v="91.859224595102191"/>
  </r>
  <r>
    <x v="725"/>
    <n v="803.64549999999997"/>
    <n v="193.73689999999999"/>
    <n v="434.53"/>
    <m/>
    <n v="409850860.90390003"/>
    <n v="196.08242300000001"/>
    <n v="47.270097"/>
    <n v="106.02149300000001"/>
    <m/>
    <n v="370313685.77273202"/>
    <n v="90.353277520517764"/>
  </r>
  <r>
    <x v="726"/>
    <n v="801.81290000000001"/>
    <n v="192.74780000000001"/>
    <n v="433.24970000000002"/>
    <m/>
    <n v="410074524.11220002"/>
    <n v="195.528581"/>
    <n v="47.003115000000001"/>
    <n v="105.651455"/>
    <m/>
    <n v="368093875.09665197"/>
    <n v="89.762678111634713"/>
  </r>
  <r>
    <x v="727"/>
    <n v="792.00810000000001"/>
    <n v="191.24"/>
    <n v="433.46910000000003"/>
    <m/>
    <n v="410034904.87720001"/>
    <n v="193.156263"/>
    <n v="46.639932000000002"/>
    <n v="105.715171"/>
    <m/>
    <n v="352013254.78588003"/>
    <n v="85.849582705965801"/>
  </r>
  <r>
    <x v="728"/>
    <n v="787.11580000000004"/>
    <n v="190.7501"/>
    <n v="432.90839999999997"/>
    <m/>
    <n v="410117131.26770002"/>
    <n v="191.924633"/>
    <n v="46.511127000000002"/>
    <n v="105.557258"/>
    <m/>
    <n v="352233520.74731898"/>
    <n v="85.886078364622591"/>
  </r>
  <r>
    <x v="729"/>
    <n v="793.34630000000004"/>
    <n v="191.5925"/>
    <n v="433.01499999999999"/>
    <m/>
    <n v="411266528.27539998"/>
    <n v="192.90320199999999"/>
    <n v="46.585970000000003"/>
    <n v="105.28816999999999"/>
    <m/>
    <n v="352527866.58322698"/>
    <n v="85.717616763395029"/>
  </r>
  <r>
    <x v="730"/>
    <n v="758.40340000000003"/>
    <n v="183.70189999999999"/>
    <n v="432.69279999999998"/>
    <m/>
    <n v="411996537.82200003"/>
    <n v="184.08004199999999"/>
    <n v="44.588214999999998"/>
    <n v="105.02340700000001"/>
    <m/>
    <n v="345685904.90649402"/>
    <n v="83.905050934152499"/>
  </r>
  <r>
    <x v="731"/>
    <n v="754.64739999999995"/>
    <n v="183.45609999999999"/>
    <n v="431.96859999999998"/>
    <m/>
    <n v="411857235.91850001"/>
    <n v="183.23033699999999"/>
    <n v="44.543615000000003"/>
    <n v="104.88309099999999"/>
    <m/>
    <n v="345596912.73373801"/>
    <n v="83.91182249426987"/>
  </r>
  <r>
    <x v="732"/>
    <n v="758.01030000000003"/>
    <n v="184.44839999999999"/>
    <n v="431.96839999999997"/>
    <m/>
    <n v="412747740.09920001"/>
    <n v="183.649776"/>
    <n v="44.687925"/>
    <n v="104.656757"/>
    <m/>
    <n v="346547308.05652601"/>
    <n v="83.961043123636884"/>
  </r>
  <r>
    <x v="733"/>
    <n v="752.28189999999995"/>
    <n v="182.3058"/>
    <n v="433.95749999999998"/>
    <m/>
    <n v="413400482.27020001"/>
    <n v="181.97412199999999"/>
    <n v="44.099077999999999"/>
    <n v="104.97266399999999"/>
    <m/>
    <n v="344602786.75254297"/>
    <n v="83.358099840655086"/>
  </r>
  <r>
    <x v="734"/>
    <n v="760.36950000000002"/>
    <n v="181.84460000000001"/>
    <n v="386.07839999999999"/>
    <m/>
    <n v="414423898.14649999"/>
    <n v="183.476268"/>
    <n v="43.878888000000003"/>
    <n v="93.160264999999995"/>
    <m/>
    <n v="344991805.12785399"/>
    <n v="83.246117482804621"/>
  </r>
  <r>
    <x v="735"/>
    <n v="758.93809999999996"/>
    <n v="181.9324"/>
    <n v="385.48500000000001"/>
    <m/>
    <n v="414173730.3556"/>
    <n v="183.24148600000001"/>
    <n v="43.926591000000002"/>
    <n v="93.073262"/>
    <m/>
    <n v="344899674.36844403"/>
    <n v="83.27415504414563"/>
  </r>
  <r>
    <x v="736"/>
    <n v="755.40650000000005"/>
    <n v="180.87790000000001"/>
    <n v="385.9058"/>
    <m/>
    <n v="412541981.54369998"/>
    <n v="183.11021299999999"/>
    <n v="43.844726000000001"/>
    <n v="93.543401000000003"/>
    <m/>
    <n v="344361491.44033301"/>
    <n v="83.473078340235602"/>
  </r>
  <r>
    <x v="737"/>
    <n v="752.11040000000003"/>
    <n v="181.4538"/>
    <n v="383.75639999999999"/>
    <m/>
    <n v="411974436.08469999"/>
    <n v="182.56239600000001"/>
    <n v="44.044916999999998"/>
    <n v="93.150537"/>
    <m/>
    <n v="343438789.98416799"/>
    <n v="83.364102211807776"/>
  </r>
  <r>
    <x v="738"/>
    <n v="745.07629999999995"/>
    <n v="181.3424"/>
    <n v="381.6454"/>
    <m/>
    <n v="410940331.89749998"/>
    <n v="181.31009399999999"/>
    <n v="44.128644999999999"/>
    <n v="92.871244000000004"/>
    <m/>
    <n v="342789475.638255"/>
    <n v="83.415875500815119"/>
  </r>
  <r>
    <x v="739"/>
    <n v="741.88549999999998"/>
    <n v="180.98650000000001"/>
    <n v="349.90480000000002"/>
    <m/>
    <n v="410807519.04140002"/>
    <n v="180.59199599999999"/>
    <n v="44.056277000000001"/>
    <n v="85.174876999999995"/>
    <m/>
    <n v="342667789.30007899"/>
    <n v="83.413222352813349"/>
  </r>
  <r>
    <x v="740"/>
    <n v="742.56269999999995"/>
    <n v="180.99199999999999"/>
    <n v="349.88330000000002"/>
    <m/>
    <n v="410970541.31910002"/>
    <n v="180.68514099999999"/>
    <n v="44.040140000000001"/>
    <n v="85.135858999999996"/>
    <m/>
    <n v="343262984.451805"/>
    <n v="83.524961022760223"/>
  </r>
  <r>
    <x v="741"/>
    <n v="753.48680000000002"/>
    <n v="182.69759999999999"/>
    <n v="350.7038"/>
    <m/>
    <n v="410085536.18970001"/>
    <n v="183.738936"/>
    <n v="44.551096000000001"/>
    <n v="85.519671000000002"/>
    <m/>
    <n v="341739651.03386599"/>
    <n v="83.333748907394252"/>
  </r>
  <r>
    <x v="742"/>
    <n v="751.34209999999996"/>
    <n v="182.48429999999999"/>
    <n v="350.52050000000003"/>
    <m/>
    <n v="409921460.3973"/>
    <n v="183.28928199999999"/>
    <n v="44.516894000000001"/>
    <n v="85.509185000000002"/>
    <m/>
    <n v="341363361.67321002"/>
    <n v="83.275308724348619"/>
  </r>
  <r>
    <x v="743"/>
    <n v="752.55380000000002"/>
    <n v="183.20590000000001"/>
    <n v="349.5127"/>
    <m/>
    <n v="409832807.02590001"/>
    <n v="183.62458699999999"/>
    <n v="44.702595000000002"/>
    <n v="85.281777000000005"/>
    <m/>
    <n v="339570169.673554"/>
    <n v="82.855780174790723"/>
  </r>
  <r>
    <x v="744"/>
    <n v="747.4769"/>
    <n v="180.6789"/>
    <n v="349.88380000000001"/>
    <m/>
    <n v="409626636.56050003"/>
    <n v="182.477611"/>
    <n v="44.108190999999998"/>
    <n v="85.415295"/>
    <m/>
    <n v="339371294.57022899"/>
    <n v="82.848932242253099"/>
  </r>
  <r>
    <x v="745"/>
    <n v="752.5883"/>
    <n v="181.86969999999999"/>
    <n v="351.13240000000002"/>
    <m/>
    <n v="411509357.14670002"/>
    <n v="182.88485700000001"/>
    <n v="44.195762999999999"/>
    <n v="85.327926000000005"/>
    <m/>
    <n v="341278840.42043698"/>
    <n v="82.93343383168164"/>
  </r>
  <r>
    <x v="746"/>
    <n v="713.22260000000006"/>
    <n v="172.8998"/>
    <n v="355.45940000000002"/>
    <m/>
    <n v="411568108.50629997"/>
    <n v="173.29394199999999"/>
    <n v="42.010008999999997"/>
    <n v="86.367090000000005"/>
    <m/>
    <n v="341164664.38544899"/>
    <n v="82.89385337062059"/>
  </r>
  <r>
    <x v="747"/>
    <n v="711.97460000000001"/>
    <n v="172.6662"/>
    <n v="355.7636"/>
    <m/>
    <n v="412058502.4404"/>
    <n v="172.78483399999999"/>
    <n v="41.903322000000003"/>
    <n v="86.338128999999995"/>
    <m/>
    <n v="339718178.45117599"/>
    <n v="82.444161797222634"/>
  </r>
  <r>
    <x v="748"/>
    <n v="710.14760000000001"/>
    <n v="173.62299999999999"/>
    <n v="353.97410000000002"/>
    <m/>
    <n v="412001327.4612"/>
    <n v="172.36536699999999"/>
    <n v="42.141368999999997"/>
    <n v="85.915767000000002"/>
    <m/>
    <n v="339677222.853571"/>
    <n v="82.445662237716917"/>
  </r>
  <r>
    <x v="749"/>
    <n v="710.87570000000005"/>
    <n v="173.20429999999999"/>
    <n v="355.05470000000003"/>
    <m/>
    <n v="412726628.51550001"/>
    <n v="172.23887500000001"/>
    <n v="41.965865000000001"/>
    <n v="86.026602999999994"/>
    <m/>
    <n v="340192421.969217"/>
    <n v="82.425605343862856"/>
  </r>
  <r>
    <x v="750"/>
    <n v="708.91409999999996"/>
    <n v="172.79470000000001"/>
    <n v="354.73309999999998"/>
    <m/>
    <n v="413183801.69510001"/>
    <n v="171.57354599999999"/>
    <n v="41.820298999999999"/>
    <n v="85.853583"/>
    <m/>
    <n v="339988226.61705101"/>
    <n v="82.284984363432983"/>
  </r>
  <r>
    <x v="751"/>
    <n v="709.56759999999997"/>
    <n v="173.38339999999999"/>
    <n v="304.91840000000002"/>
    <m/>
    <n v="413832538.83600003"/>
    <n v="171.46249599999999"/>
    <n v="41.896994999999997"/>
    <n v="73.681590999999997"/>
    <m/>
    <n v="340515802.09736699"/>
    <n v="82.283477044880669"/>
  </r>
  <r>
    <x v="752"/>
    <n v="710.15629999999999"/>
    <n v="174.03989999999999"/>
    <n v="304.70440000000002"/>
    <m/>
    <n v="414540016.38700002"/>
    <n v="171.311881"/>
    <n v="41.98386"/>
    <n v="73.504219000000006"/>
    <m/>
    <n v="341372974.86765099"/>
    <n v="82.349824232398632"/>
  </r>
  <r>
    <x v="753"/>
    <n v="713.07730000000004"/>
    <n v="173.93340000000001"/>
    <n v="305.04629999999997"/>
    <m/>
    <n v="414496748.87660003"/>
    <n v="172.03447399999999"/>
    <n v="41.962549000000003"/>
    <n v="73.594376999999994"/>
    <m/>
    <n v="341357125.774692"/>
    <n v="82.35459667653933"/>
  </r>
  <r>
    <x v="754"/>
    <n v="703.90099999999995"/>
    <n v="171.21440000000001"/>
    <n v="307.35890000000001"/>
    <m/>
    <n v="414786430.5388"/>
    <n v="169.702032"/>
    <n v="41.277723999999999"/>
    <n v="74.100520000000003"/>
    <m/>
    <n v="339494124.53561097"/>
    <n v="81.847934151224351"/>
  </r>
  <r>
    <x v="755"/>
    <n v="708.03899999999999"/>
    <n v="171.62479999999999"/>
    <n v="307.50470000000001"/>
    <m/>
    <n v="414997106.57440001"/>
    <n v="170.61299700000001"/>
    <n v="41.355662000000002"/>
    <n v="74.098034999999996"/>
    <m/>
    <n v="339981340.584553"/>
    <n v="81.923785780323684"/>
  </r>
  <r>
    <x v="756"/>
    <n v="706.20860000000005"/>
    <n v="171.27699999999999"/>
    <n v="307.21120000000002"/>
    <m/>
    <n v="414886596.33850002"/>
    <n v="170.21726100000001"/>
    <n v="41.282846999999997"/>
    <n v="74.047028999999995"/>
    <m/>
    <n v="339824448.88434899"/>
    <n v="81.907791643162923"/>
  </r>
  <r>
    <x v="757"/>
    <n v="722.70450000000005"/>
    <n v="175.46180000000001"/>
    <n v="307.00450000000001"/>
    <m/>
    <n v="417480371.4971"/>
    <n v="173.11101300000001"/>
    <n v="42.028753999999999"/>
    <n v="73.537469000000002"/>
    <m/>
    <n v="342948082.96218598"/>
    <n v="82.147115499672836"/>
  </r>
  <r>
    <x v="758"/>
    <n v="689.53579999999999"/>
    <n v="168.66059999999999"/>
    <n v="305.34050000000002"/>
    <m/>
    <n v="421274152.14099997"/>
    <n v="163.678639"/>
    <n v="40.035829"/>
    <n v="72.480236000000005"/>
    <m/>
    <n v="332970391.81056201"/>
    <n v="79.038884801818369"/>
  </r>
  <r>
    <x v="759"/>
    <n v="684.40539999999999"/>
    <n v="168.7551"/>
    <n v="303.91109999999998"/>
    <m/>
    <n v="420711103.28839999"/>
    <n v="162.678236"/>
    <n v="40.111871999999998"/>
    <n v="72.237480000000005"/>
    <m/>
    <n v="332559534.29119998"/>
    <n v="79.047006768259322"/>
  </r>
  <r>
    <x v="760"/>
    <n v="683.32339999999999"/>
    <n v="169.50200000000001"/>
    <n v="303.36149999999998"/>
    <m/>
    <n v="421167000.79619998"/>
    <n v="162.245237"/>
    <n v="40.245792999999999"/>
    <n v="72.028790999999998"/>
    <m/>
    <n v="332859101.86886102"/>
    <n v="79.032569322763592"/>
  </r>
  <r>
    <x v="761"/>
    <n v="686.99580000000003"/>
    <n v="169.83529999999999"/>
    <n v="303.75599999999997"/>
    <m/>
    <n v="421570605.19870001"/>
    <n v="162.96102999999999"/>
    <n v="40.286324"/>
    <n v="72.053410999999997"/>
    <m/>
    <n v="333097872.72610402"/>
    <n v="79.013543311233505"/>
  </r>
  <r>
    <x v="762"/>
    <n v="703.17190000000005"/>
    <n v="172.47489999999999"/>
    <n v="304.45030000000003"/>
    <m/>
    <n v="422156785.2773"/>
    <n v="166.56652800000001"/>
    <n v="40.855649999999997"/>
    <n v="72.117827000000005"/>
    <m/>
    <n v="333492457.70748198"/>
    <n v="78.997298951009981"/>
  </r>
  <r>
    <x v="763"/>
    <n v="705.61710000000005"/>
    <n v="172.92359999999999"/>
    <n v="355.93130000000002"/>
    <m/>
    <n v="422656154.77389997"/>
    <n v="166.948261"/>
    <n v="40.913541000000002"/>
    <n v="84.212969999999999"/>
    <m/>
    <n v="332609184.46986097"/>
    <n v="78.694981893210652"/>
  </r>
  <r>
    <x v="764"/>
    <n v="691.11680000000001"/>
    <n v="168.7884"/>
    <n v="355.85660000000001"/>
    <m/>
    <n v="422460167.7956"/>
    <n v="163.59336400000001"/>
    <n v="39.953684000000003"/>
    <n v="84.234356000000005"/>
    <m/>
    <n v="328911038.33757299"/>
    <n v="77.856106542264797"/>
  </r>
  <r>
    <x v="765"/>
    <n v="686.94640000000004"/>
    <n v="166.71799999999999"/>
    <n v="355.50830000000002"/>
    <m/>
    <n v="422600184.67540002"/>
    <n v="162.55231900000001"/>
    <n v="39.450527000000001"/>
    <n v="84.124028999999993"/>
    <m/>
    <n v="328950853.05044198"/>
    <n v="77.839732441932014"/>
  </r>
  <r>
    <x v="766"/>
    <n v="708.17750000000001"/>
    <n v="172.3818"/>
    <n v="354.92419999999998"/>
    <m/>
    <n v="422355474.54960001"/>
    <n v="167.67333300000001"/>
    <n v="40.814388000000001"/>
    <n v="84.034474000000003"/>
    <m/>
    <n v="316670029.33321702"/>
    <n v="74.977133816227678"/>
  </r>
  <r>
    <x v="767"/>
    <n v="708.28150000000005"/>
    <n v="172.69720000000001"/>
    <n v="354.75259999999997"/>
    <m/>
    <n v="422694928.88370001"/>
    <n v="167.56328300000001"/>
    <n v="40.856226999999997"/>
    <n v="83.926390999999995"/>
    <m/>
    <n v="315173816.953915"/>
    <n v="74.562952005660733"/>
  </r>
  <r>
    <x v="768"/>
    <n v="709.64269999999999"/>
    <n v="172.76589999999999"/>
    <n v="355.1447"/>
    <m/>
    <n v="422664395.72759998"/>
    <n v="167.89743999999999"/>
    <n v="40.875433000000001"/>
    <n v="84.025222999999997"/>
    <m/>
    <n v="315112327.32598698"/>
    <n v="74.553790314780031"/>
  </r>
  <r>
    <x v="769"/>
    <n v="720.33789999999999"/>
    <n v="173.52690000000001"/>
    <n v="355.66070000000002"/>
    <m/>
    <n v="422791976.42729998"/>
    <n v="170.37643600000001"/>
    <n v="41.043092000000001"/>
    <n v="84.121913000000006"/>
    <m/>
    <n v="314889558.096237"/>
    <n v="74.478603108113376"/>
  </r>
  <r>
    <x v="770"/>
    <n v="718.7681"/>
    <n v="173.02109999999999"/>
    <n v="355.90129999999999"/>
    <m/>
    <n v="422505623.30779999"/>
    <n v="170.120363"/>
    <n v="40.951194999999998"/>
    <n v="84.235872999999998"/>
    <m/>
    <n v="314462592.61636698"/>
    <n v="74.428025396309934"/>
  </r>
  <r>
    <x v="771"/>
    <n v="720.77639999999997"/>
    <n v="172.4477"/>
    <n v="356.40120000000002"/>
    <m/>
    <n v="422013375.13340002"/>
    <n v="170.79468199999999"/>
    <n v="40.863089000000002"/>
    <n v="84.452584000000002"/>
    <m/>
    <n v="313069119.15024602"/>
    <n v="74.184643804543811"/>
  </r>
  <r>
    <x v="772"/>
    <n v="724.1662"/>
    <n v="172.53809999999999"/>
    <n v="356.32850000000002"/>
    <m/>
    <n v="421822352.1074"/>
    <n v="171.675635"/>
    <n v="40.903024000000002"/>
    <n v="84.473594000000006"/>
    <m/>
    <n v="312984619.752922"/>
    <n v="74.198206469920095"/>
  </r>
  <r>
    <x v="773"/>
    <n v="723.00260000000003"/>
    <n v="172.55690000000001"/>
    <n v="356.08699999999999"/>
    <m/>
    <n v="421895445.42189997"/>
    <n v="171.37008900000001"/>
    <n v="40.900393999999999"/>
    <n v="84.401717000000005"/>
    <m/>
    <n v="313277231.64826"/>
    <n v="74.254708138643068"/>
  </r>
  <r>
    <x v="774"/>
    <n v="709.82920000000001"/>
    <n v="171.1455"/>
    <n v="355.2303"/>
    <m/>
    <n v="421031043.1049"/>
    <n v="168.59307899999999"/>
    <n v="40.649140000000003"/>
    <n v="84.371521999999999"/>
    <m/>
    <n v="312897416.87144297"/>
    <n v="74.316946931982997"/>
  </r>
  <r>
    <x v="775"/>
    <n v="718.34849999999994"/>
    <n v="171.9504"/>
    <n v="355.81740000000002"/>
    <m/>
    <n v="421798075.69940001"/>
    <n v="170.306253"/>
    <n v="40.766047"/>
    <n v="84.357284000000007"/>
    <m/>
    <n v="313067659.902408"/>
    <n v="74.222164096718117"/>
  </r>
  <r>
    <x v="776"/>
    <n v="701.05949999999996"/>
    <n v="167.5505"/>
    <n v="357.7002"/>
    <m/>
    <n v="420705764.90429997"/>
    <n v="166.63891000000001"/>
    <n v="39.826053000000002"/>
    <n v="85.023841000000004"/>
    <m/>
    <n v="309657156.81885803"/>
    <n v="73.604210507858696"/>
  </r>
  <r>
    <x v="777"/>
    <n v="705.31910000000005"/>
    <n v="167.536"/>
    <n v="357.9649"/>
    <m/>
    <n v="420845825.24919999"/>
    <n v="167.59560300000001"/>
    <n v="39.809353000000002"/>
    <n v="85.058441000000002"/>
    <m/>
    <n v="309483680.02788001"/>
    <n v="73.538493543240463"/>
  </r>
  <r>
    <x v="778"/>
    <n v="695.24"/>
    <n v="167.81569999999999"/>
    <n v="355.78210000000001"/>
    <m/>
    <n v="420303864.94059998"/>
    <n v="165.413659"/>
    <n v="39.927231999999997"/>
    <n v="84.648781"/>
    <m/>
    <n v="309912492.090518"/>
    <n v="73.735341961301444"/>
  </r>
  <r>
    <x v="779"/>
    <n v="703.99770000000001"/>
    <n v="170.36920000000001"/>
    <n v="330.38720000000001"/>
    <m/>
    <n v="421495225.19760001"/>
    <n v="167.02388500000001"/>
    <n v="40.420197000000002"/>
    <n v="78.384564999999995"/>
    <m/>
    <n v="311700041.88666701"/>
    <n v="73.951025599528393"/>
  </r>
  <r>
    <x v="780"/>
    <n v="708.8646"/>
    <n v="170.31379999999999"/>
    <n v="330.8245"/>
    <m/>
    <n v="430779834.54860002"/>
    <n v="164.55380299999999"/>
    <n v="39.536158999999998"/>
    <n v="76.796654000000004"/>
    <m/>
    <n v="312240443.72946501"/>
    <n v="72.482604497179281"/>
  </r>
  <r>
    <x v="781"/>
    <n v="679.94140000000004"/>
    <n v="162.68719999999999"/>
    <n v="331.02809999999999"/>
    <m/>
    <n v="430908753.03689998"/>
    <n v="157.79243199999999"/>
    <n v="37.754443000000002"/>
    <n v="76.820926999999998"/>
    <m/>
    <n v="306238135.04907101"/>
    <n v="71.067977359663175"/>
  </r>
  <r>
    <x v="782"/>
    <n v="679.57489999999996"/>
    <n v="162.5598"/>
    <n v="330.8537"/>
    <m/>
    <n v="430800440.0395"/>
    <n v="157.74703"/>
    <n v="37.734363000000002"/>
    <n v="76.799758999999995"/>
    <m/>
    <n v="306104786.19483697"/>
    <n v="71.054891718952348"/>
  </r>
  <r>
    <x v="783"/>
    <n v="683.96680000000003"/>
    <n v="163.0351"/>
    <n v="333.0197"/>
    <m/>
    <n v="430283666.86790001"/>
    <n v="158.95718400000001"/>
    <n v="37.890143999999999"/>
    <n v="77.395385000000005"/>
    <m/>
    <n v="305662054.64789099"/>
    <n v="71.037336107329239"/>
  </r>
  <r>
    <x v="784"/>
    <n v="694.20249999999999"/>
    <n v="164.8921"/>
    <n v="332.16520000000003"/>
    <m/>
    <n v="431153006.829"/>
    <n v="161.010706"/>
    <n v="38.244450999999998"/>
    <n v="77.041141999999994"/>
    <m/>
    <n v="306265367.46572202"/>
    <n v="71.034032609029268"/>
  </r>
  <r>
    <x v="785"/>
    <n v="696.28070000000002"/>
    <n v="164.8272"/>
    <n v="332.3879"/>
    <m/>
    <n v="431026969.3574"/>
    <n v="161.53993800000001"/>
    <n v="38.240577000000002"/>
    <n v="77.115336999999997"/>
    <m/>
    <n v="305923195.39965999"/>
    <n v="70.975418511688034"/>
  </r>
  <r>
    <x v="786"/>
    <n v="688.29679999999996"/>
    <n v="162.5026"/>
    <n v="332.08010000000002"/>
    <m/>
    <n v="430978958.64649999"/>
    <n v="159.70543000000001"/>
    <n v="37.705460000000002"/>
    <n v="77.052509000000001"/>
    <m/>
    <n v="304545472.81395602"/>
    <n v="70.663652297640837"/>
  </r>
  <r>
    <x v="787"/>
    <n v="686.68439999999998"/>
    <n v="162.2953"/>
    <n v="330.86149999999998"/>
    <m/>
    <n v="430326605.81840003"/>
    <n v="159.57284300000001"/>
    <n v="37.714447"/>
    <n v="76.886135999999993"/>
    <m/>
    <n v="304263742.214037"/>
    <n v="70.705305714338706"/>
  </r>
  <r>
    <x v="788"/>
    <n v="688.12360000000001"/>
    <n v="162.05719999999999"/>
    <n v="330.2165"/>
    <m/>
    <n v="430882088.64740002"/>
    <n v="159.70113799999999"/>
    <n v="37.610568000000001"/>
    <n v="76.637322999999995"/>
    <m/>
    <n v="304615357.48119801"/>
    <n v="70.695757727462933"/>
  </r>
  <r>
    <x v="789"/>
    <n v="692.19669999999996"/>
    <n v="162.54329999999999"/>
    <n v="330.79989999999998"/>
    <m/>
    <n v="431367225.46149999"/>
    <n v="160.46576099999999"/>
    <n v="37.680956999999999"/>
    <n v="76.686378000000005"/>
    <m/>
    <n v="303231581.19176102"/>
    <n v="70.295461336300519"/>
  </r>
  <r>
    <x v="790"/>
    <n v="699.23209999999995"/>
    <n v="162.65119999999999"/>
    <n v="332.084"/>
    <m/>
    <n v="431773462.08289999"/>
    <n v="161.94420500000001"/>
    <n v="37.670495000000003"/>
    <n v="76.911627999999993"/>
    <m/>
    <n v="303117581.53994799"/>
    <n v="70.202920781117811"/>
  </r>
  <r>
    <x v="791"/>
    <n v="694.173"/>
    <n v="162.62610000000001"/>
    <n v="330.42899999999997"/>
    <m/>
    <n v="431226950.75770003"/>
    <n v="160.97625600000001"/>
    <n v="37.712415999999997"/>
    <n v="76.625313000000006"/>
    <m/>
    <n v="302975416.35856003"/>
    <n v="70.258924175821605"/>
  </r>
  <r>
    <x v="792"/>
    <n v="691.25940000000003"/>
    <n v="162.65969999999999"/>
    <n v="329.47449999999998"/>
    <m/>
    <n v="430913756.95670003"/>
    <n v="160.41711100000001"/>
    <n v="37.747622999999997"/>
    <n v="76.459498999999994"/>
    <m/>
    <n v="302460895.692191"/>
    <n v="70.190587051177275"/>
  </r>
  <r>
    <x v="793"/>
    <n v="705.87429999999995"/>
    <n v="167.2704"/>
    <n v="329.46420000000001"/>
    <m/>
    <n v="431284319.94459999"/>
    <n v="163.66797199999999"/>
    <n v="38.784253"/>
    <n v="76.391416000000007"/>
    <m/>
    <n v="309168616.56794298"/>
    <n v="71.685568491721838"/>
  </r>
  <r>
    <x v="794"/>
    <n v="710.28309999999999"/>
    <n v="167.7183"/>
    <n v="330.46749999999997"/>
    <m/>
    <n v="431841849.84640002"/>
    <n v="164.477598"/>
    <n v="38.837899"/>
    <n v="76.525120999999999"/>
    <m/>
    <n v="309415165.21458399"/>
    <n v="71.6501111054055"/>
  </r>
  <r>
    <x v="795"/>
    <n v="713.42819999999995"/>
    <n v="168.55719999999999"/>
    <n v="331.04809999999998"/>
    <m/>
    <n v="432583600.92739999"/>
    <n v="164.922618"/>
    <n v="38.965231000000003"/>
    <n v="76.528120999999999"/>
    <m/>
    <n v="309837658.96861798"/>
    <n v="71.6249202014058"/>
  </r>
  <r>
    <x v="796"/>
    <n v="715.846"/>
    <n v="168.07919999999999"/>
    <n v="332.17009999999999"/>
    <m/>
    <n v="432458662.11189997"/>
    <n v="165.529347"/>
    <n v="38.865957999999999"/>
    <n v="76.809676999999994"/>
    <m/>
    <n v="309401280.971385"/>
    <n v="71.544706599338852"/>
  </r>
  <r>
    <x v="797"/>
    <n v="703.42470000000003"/>
    <n v="165.01179999999999"/>
    <n v="333.73430000000002"/>
    <m/>
    <n v="432127407.27420002"/>
    <n v="162.78178299999999"/>
    <n v="38.185913999999997"/>
    <n v="77.230532999999994"/>
    <m/>
    <n v="306995785.33746201"/>
    <n v="71.042886928637316"/>
  </r>
  <r>
    <x v="798"/>
    <n v="705.79290000000003"/>
    <n v="164.42359999999999"/>
    <n v="335.13380000000001"/>
    <m/>
    <n v="432040610.86089998"/>
    <n v="163.362629"/>
    <n v="38.057440999999997"/>
    <n v="77.569975999999997"/>
    <m/>
    <n v="306600168.76307499"/>
    <n v="70.965590052317594"/>
  </r>
  <r>
    <x v="799"/>
    <n v="708.34670000000006"/>
    <n v="164.31129999999999"/>
    <n v="335.74470000000002"/>
    <m/>
    <n v="432110301.81620002"/>
    <n v="163.927288"/>
    <n v="38.025314000000002"/>
    <n v="77.698841999999999"/>
    <m/>
    <n v="306514462.74032003"/>
    <n v="70.934310395288207"/>
  </r>
  <r>
    <x v="800"/>
    <n v="703.65279999999996"/>
    <n v="163.3184"/>
    <n v="336.49709999999999"/>
    <m/>
    <n v="432129566.94379997"/>
    <n v="162.833755"/>
    <n v="37.793849999999999"/>
    <n v="77.869491999999994"/>
    <m/>
    <n v="306366458.75870901"/>
    <n v="70.896898105228033"/>
  </r>
  <r>
    <x v="801"/>
    <n v="696.03039999999999"/>
    <n v="163.792"/>
    <n v="334.29849999999999"/>
    <m/>
    <n v="432068311.32870001"/>
    <n v="161.09267500000001"/>
    <n v="37.908819999999999"/>
    <n v="77.371677000000005"/>
    <m/>
    <n v="307461861.91983002"/>
    <n v="71.160474827307013"/>
  </r>
  <r>
    <x v="802"/>
    <n v="698.07590000000005"/>
    <n v="164.77699999999999"/>
    <n v="334.32310000000001"/>
    <m/>
    <n v="433248827.10159999"/>
    <n v="161.12585999999999"/>
    <n v="38.032879000000001"/>
    <n v="77.166533000000001"/>
    <m/>
    <n v="308558490.00987703"/>
    <n v="71.219694251478685"/>
  </r>
  <r>
    <x v="803"/>
    <n v="692.76390000000004"/>
    <n v="164.78210000000001"/>
    <n v="332.88369999999998"/>
    <m/>
    <n v="432913999.4156"/>
    <n v="160.02344600000001"/>
    <n v="38.063471999999997"/>
    <n v="76.893725000000003"/>
    <m/>
    <n v="308944316.92410499"/>
    <n v="71.363900761157097"/>
  </r>
  <r>
    <x v="804"/>
    <n v="691.19820000000004"/>
    <n v="165.58330000000001"/>
    <n v="333.69049999999999"/>
    <m/>
    <n v="433203050.3064"/>
    <n v="159.55524800000001"/>
    <n v="38.223022999999998"/>
    <n v="77.028659000000005"/>
    <m/>
    <n v="309377242.719778"/>
    <n v="71.416219830621856"/>
  </r>
  <r>
    <x v="805"/>
    <n v="712.33579999999995"/>
    <n v="171.3836"/>
    <n v="327.05939999999998"/>
    <m/>
    <n v="433715031.50709999"/>
    <n v="164.24051499999999"/>
    <n v="39.515255000000003"/>
    <n v="75.408822999999998"/>
    <m/>
    <n v="304185017.25417101"/>
    <n v="70.134764801019216"/>
  </r>
  <r>
    <x v="806"/>
    <n v="711.24760000000003"/>
    <n v="171.85749999999999"/>
    <n v="325.98579999999998"/>
    <m/>
    <n v="433458657.34859997"/>
    <n v="164.08660599999999"/>
    <n v="39.647956999999998"/>
    <n v="75.205742000000001"/>
    <m/>
    <n v="302728842.01856399"/>
    <n v="69.840303541359589"/>
  </r>
  <r>
    <x v="807"/>
    <n v="708.72349999999994"/>
    <n v="171.09559999999999"/>
    <n v="325.3965"/>
    <m/>
    <n v="431950094.84500003"/>
    <n v="164.07532"/>
    <n v="39.610039"/>
    <n v="75.331965999999994"/>
    <m/>
    <n v="301602265.03764403"/>
    <n v="69.823405212092922"/>
  </r>
  <r>
    <x v="808"/>
    <n v="702.00829999999996"/>
    <n v="168.59100000000001"/>
    <n v="326.00439999999998"/>
    <m/>
    <n v="431754770.54210001"/>
    <n v="162.59422000000001"/>
    <n v="39.04786"/>
    <n v="75.506844000000001"/>
    <m/>
    <n v="301336614.14152598"/>
    <n v="69.793464878957934"/>
  </r>
  <r>
    <x v="809"/>
    <n v="696.33879999999999"/>
    <n v="168.52160000000001"/>
    <n v="273.58519999999999"/>
    <m/>
    <n v="429606214.4914"/>
    <n v="162.087693"/>
    <n v="39.226993"/>
    <n v="63.682785000000003"/>
    <m/>
    <n v="300292172.89845598"/>
    <n v="69.899401537746456"/>
  </r>
  <r>
    <x v="810"/>
    <n v="696.19539999999995"/>
    <n v="168.2278"/>
    <n v="273.89210000000003"/>
    <m/>
    <n v="429965736.82920003"/>
    <n v="161.91880900000001"/>
    <n v="39.125861999999998"/>
    <n v="63.700913"/>
    <m/>
    <n v="300514158.83251297"/>
    <n v="69.892582848267622"/>
  </r>
  <r>
    <x v="811"/>
    <n v="695.3252"/>
    <n v="168.08580000000001"/>
    <n v="273.50650000000002"/>
    <m/>
    <n v="429860077.56830001"/>
    <n v="161.75617099999999"/>
    <n v="39.102445000000003"/>
    <n v="63.626866999999997"/>
    <m/>
    <n v="299365599.85704303"/>
    <n v="69.642568705272978"/>
  </r>
  <r>
    <x v="812"/>
    <n v="692.07600000000002"/>
    <n v="167.25909999999999"/>
    <n v="274.17930000000001"/>
    <m/>
    <n v="430029579.04189998"/>
    <n v="160.936836"/>
    <n v="38.89479"/>
    <n v="63.758242000000003"/>
    <m/>
    <n v="299367293.785074"/>
    <n v="69.61551213571407"/>
  </r>
  <r>
    <x v="813"/>
    <n v="691.01059999999995"/>
    <n v="167.1765"/>
    <n v="274.36840000000001"/>
    <m/>
    <n v="429857181.05970001"/>
    <n v="160.75353200000001"/>
    <n v="38.891173000000002"/>
    <n v="63.827804"/>
    <m/>
    <n v="299206255.76187903"/>
    <n v="69.605968899778432"/>
  </r>
  <r>
    <x v="814"/>
    <n v="698.24339999999995"/>
    <n v="168.36680000000001"/>
    <n v="275.55520000000001"/>
    <m/>
    <n v="431397448.639"/>
    <n v="161.85617300000001"/>
    <n v="39.028233"/>
    <n v="63.875017999999997"/>
    <m/>
    <n v="299471804.96880198"/>
    <n v="69.419002340786804"/>
  </r>
  <r>
    <x v="815"/>
    <n v="700.06219999999996"/>
    <n v="168.43520000000001"/>
    <n v="276.0908"/>
    <m/>
    <n v="432084460.28399998"/>
    <n v="162.01975899999999"/>
    <n v="38.982008"/>
    <n v="63.897415000000002"/>
    <m/>
    <n v="300126901.59221601"/>
    <n v="69.460239647347862"/>
  </r>
  <r>
    <x v="816"/>
    <n v="703.88430000000005"/>
    <n v="168.98410000000001"/>
    <n v="276.61169999999998"/>
    <m/>
    <n v="433065008.21359998"/>
    <n v="162.535482"/>
    <n v="39.020493000000002"/>
    <n v="63.873019999999997"/>
    <m/>
    <n v="300882241.84195203"/>
    <n v="69.4773847194665"/>
  </r>
  <r>
    <x v="817"/>
    <n v="701.51589999999999"/>
    <n v="169.47"/>
    <n v="275.54259999999999"/>
    <m/>
    <n v="432928427.03130001"/>
    <n v="162.039694"/>
    <n v="39.145038999999997"/>
    <n v="63.646225000000001"/>
    <m/>
    <n v="300937834.33043402"/>
    <n v="69.51214462724036"/>
  </r>
  <r>
    <x v="818"/>
    <n v="695.37609999999995"/>
    <n v="167.185"/>
    <n v="258.62580000000003"/>
    <m/>
    <n v="434119648.8581"/>
    <n v="160.18074799999999"/>
    <n v="38.511271999999998"/>
    <n v="59.574773999999998"/>
    <m/>
    <n v="299667182.62309498"/>
    <n v="69.028707502950809"/>
  </r>
  <r>
    <x v="819"/>
    <n v="696.5847"/>
    <n v="167.5693"/>
    <n v="258.53089999999997"/>
    <m/>
    <n v="434163084.3143"/>
    <n v="160.44309699999999"/>
    <n v="38.595934999999997"/>
    <n v="59.546956000000002"/>
    <m/>
    <n v="299498569.02125698"/>
    <n v="68.982965121107242"/>
  </r>
  <r>
    <x v="820"/>
    <n v="698.32380000000001"/>
    <n v="167.18260000000001"/>
    <n v="259.27769999999998"/>
    <m/>
    <n v="434403040.80489999"/>
    <n v="160.75481400000001"/>
    <n v="38.485596000000001"/>
    <n v="59.685977000000001"/>
    <m/>
    <n v="299337856.712964"/>
    <n v="68.907864032978367"/>
  </r>
  <r>
    <x v="821"/>
    <n v="690.96339999999998"/>
    <n v="165.48859999999999"/>
    <n v="258.65069999999997"/>
    <m/>
    <n v="432835778.43970001"/>
    <n v="159.63638700000001"/>
    <n v="38.233576999999997"/>
    <n v="59.757237000000003"/>
    <m/>
    <n v="298501089.35640502"/>
    <n v="68.964051546859437"/>
  </r>
  <r>
    <x v="822"/>
    <n v="697.65340000000003"/>
    <n v="164.76060000000001"/>
    <n v="262.3852"/>
    <m/>
    <n v="422894632.87989998"/>
    <n v="164.97097500000001"/>
    <n v="38.960200999999998"/>
    <n v="62.045053000000003"/>
    <m/>
    <n v="299678136.32004702"/>
    <n v="70.863546855453734"/>
  </r>
  <r>
    <x v="823"/>
    <n v="694.92740000000003"/>
    <n v="164.61770000000001"/>
    <n v="261.31209999999999"/>
    <m/>
    <n v="422211890.6365"/>
    <n v="164.592096"/>
    <n v="38.989356999999998"/>
    <n v="61.891221999999999"/>
    <m/>
    <n v="299398372.779217"/>
    <n v="70.911876102746163"/>
  </r>
  <r>
    <x v="824"/>
    <n v="696.39620000000002"/>
    <n v="165.49520000000001"/>
    <n v="261.15660000000003"/>
    <m/>
    <n v="422709033.04220003"/>
    <n v="164.745994"/>
    <n v="39.151091000000001"/>
    <n v="61.781646000000002"/>
    <m/>
    <n v="299622727.37837201"/>
    <n v="70.881553020528898"/>
  </r>
  <r>
    <x v="825"/>
    <n v="695.20709999999997"/>
    <n v="164.84610000000001"/>
    <n v="261.625"/>
    <m/>
    <n v="422979325.95660001"/>
    <n v="164.35959299999999"/>
    <n v="38.972614"/>
    <n v="61.852905"/>
    <m/>
    <n v="299977461.948439"/>
    <n v="70.920123878399281"/>
  </r>
  <r>
    <x v="826"/>
    <n v="698.29639999999995"/>
    <n v="164.11879999999999"/>
    <n v="262.34789999999998"/>
    <m/>
    <n v="422901397.22219998"/>
    <n v="165.12038100000001"/>
    <n v="38.807817"/>
    <n v="62.035240999999999"/>
    <m/>
    <n v="300153983.27533799"/>
    <n v="70.974932986005641"/>
  </r>
  <r>
    <x v="827"/>
    <n v="701.65279999999996"/>
    <n v="163.5504"/>
    <n v="265.80270000000002"/>
    <m/>
    <n v="422282339.88069999"/>
    <n v="166.15726799999999"/>
    <n v="38.730106999999997"/>
    <n v="62.944308999999997"/>
    <m/>
    <n v="298603356.58212203"/>
    <n v="70.711779390651557"/>
  </r>
  <r>
    <x v="828"/>
    <n v="702.66700000000003"/>
    <n v="163.7458"/>
    <n v="265.44380000000001"/>
    <m/>
    <n v="422139007.98500001"/>
    <n v="166.453937"/>
    <n v="38.789544999999997"/>
    <n v="62.880661000000003"/>
    <m/>
    <n v="298356267.49470103"/>
    <n v="70.677256034415706"/>
  </r>
  <r>
    <x v="829"/>
    <n v="700.83259999999996"/>
    <n v="162.09450000000001"/>
    <n v="290.05459999999999"/>
    <m/>
    <n v="423234609.98369998"/>
    <n v="165.58962399999999"/>
    <n v="38.298971000000002"/>
    <n v="68.532816999999994"/>
    <m/>
    <n v="298593068.91039002"/>
    <n v="70.550248459569445"/>
  </r>
  <r>
    <x v="830"/>
    <n v="705.23770000000002"/>
    <n v="159.10400000000001"/>
    <n v="244.54179999999999"/>
    <m/>
    <n v="423111805.29890001"/>
    <n v="166.67880500000001"/>
    <n v="37.603299999999997"/>
    <n v="57.796024000000003"/>
    <m/>
    <n v="296804002.65891099"/>
    <n v="70.147889740216286"/>
  </r>
  <r>
    <x v="831"/>
    <n v="528.25639999999999"/>
    <n v="115.5137"/>
    <n v="72.625"/>
    <m/>
    <n v="422384893.65549999"/>
    <n v="125.065173"/>
    <n v="27.347971000000001"/>
    <n v="17.194033000000001"/>
    <m/>
    <n v="258045595.23517099"/>
    <n v="61.092524640721344"/>
  </r>
  <r>
    <x v="832"/>
    <n v="527.59199999999998"/>
    <n v="116.9036"/>
    <n v="69.586299999999994"/>
    <m/>
    <n v="421188755.20380002"/>
    <n v="125.262603"/>
    <n v="27.755631999999999"/>
    <n v="16.521405000000001"/>
    <m/>
    <n v="257593958.783544"/>
    <n v="61.158792964190688"/>
  </r>
  <r>
    <x v="833"/>
    <n v="526.56970000000001"/>
    <n v="116.91330000000001"/>
    <n v="44.243699999999997"/>
    <m/>
    <n v="420194807.37889999"/>
    <n v="125.315613"/>
    <n v="27.823595000000001"/>
    <n v="10.529331000000001"/>
    <m/>
    <n v="257123621.313685"/>
    <n v="61.191527548276035"/>
  </r>
  <r>
    <x v="834"/>
    <n v="526.67920000000004"/>
    <n v="116.1658"/>
    <n v="45.773099999999999"/>
    <m/>
    <n v="420275797.0747"/>
    <n v="125.317519"/>
    <n v="27.640373"/>
    <n v="10.891204999999999"/>
    <m/>
    <n v="257396741.95238501"/>
    <n v="61.244721619464372"/>
  </r>
  <r>
    <x v="835"/>
    <n v="525.40179999999998"/>
    <n v="116.0986"/>
    <n v="44.419400000000003"/>
    <m/>
    <n v="419259715.90499997"/>
    <n v="125.316547"/>
    <n v="27.691331999999999"/>
    <n v="10.594722000000001"/>
    <m/>
    <n v="256315746.720301"/>
    <n v="61.135314697961483"/>
  </r>
  <r>
    <x v="836"/>
    <n v="525.34450000000004"/>
    <n v="116.3019"/>
    <n v="44.045000000000002"/>
    <m/>
    <n v="418808134.07929999"/>
    <n v="125.437989"/>
    <n v="27.769732999999999"/>
    <n v="10.516749000000001"/>
    <m/>
    <n v="256127106.059995"/>
    <n v="61.156191873651181"/>
  </r>
  <r>
    <x v="837"/>
    <n v="524.2482"/>
    <n v="117.66670000000001"/>
    <n v="41.651899999999998"/>
    <m/>
    <n v="418245742.59600002"/>
    <n v="125.344539"/>
    <n v="28.133389000000001"/>
    <n v="9.9587149999999998"/>
    <m/>
    <n v="256167489.26998699"/>
    <n v="61.248080537529638"/>
  </r>
  <r>
    <x v="838"/>
    <n v="526.67930000000001"/>
    <n v="119.1069"/>
    <n v="41.096800000000002"/>
    <m/>
    <n v="419323638.17290002"/>
    <n v="125.602101"/>
    <n v="28.404527999999999"/>
    <n v="9.8007349999999995"/>
    <m/>
    <n v="257229065.90519199"/>
    <n v="61.343802850229146"/>
  </r>
  <r>
    <x v="839"/>
    <n v="527.84879999999998"/>
    <n v="119.2567"/>
    <n v="41.832900000000002"/>
    <m/>
    <n v="419901571.07859999"/>
    <n v="125.707746"/>
    <n v="28.401108000000001"/>
    <n v="9.9625489999999992"/>
    <m/>
    <n v="257875577.754053"/>
    <n v="61.413339581380633"/>
  </r>
  <r>
    <x v="840"/>
    <n v="523.15009999999995"/>
    <n v="119.0637"/>
    <n v="41.132599999999996"/>
    <m/>
    <n v="419697268.60509998"/>
    <n v="124.649394"/>
    <n v="28.368948"/>
    <n v="9.8005399999999998"/>
    <m/>
    <n v="256451038.63116199"/>
    <n v="61.103814061859183"/>
  </r>
  <r>
    <x v="841"/>
    <n v="522.06439999999998"/>
    <n v="120.0095"/>
    <n v="40.412500000000001"/>
    <m/>
    <n v="420541807.35280001"/>
    <n v="124.14090400000001"/>
    <n v="28.536877"/>
    <n v="9.6096269999999997"/>
    <m/>
    <n v="256408689.48440501"/>
    <n v="60.971034270868387"/>
  </r>
  <r>
    <x v="842"/>
    <n v="521.58849999999995"/>
    <n v="119.706"/>
    <n v="41.222499999999997"/>
    <m/>
    <n v="420737273.46780002"/>
    <n v="123.970119"/>
    <n v="28.451484000000001"/>
    <n v="9.797682"/>
    <m/>
    <n v="256844586.39367899"/>
    <n v="61.046311461001537"/>
  </r>
  <r>
    <x v="843"/>
    <n v="522.66449999999998"/>
    <n v="120.8711"/>
    <n v="40.2151"/>
    <m/>
    <n v="420439061.47479999"/>
    <n v="124.313973"/>
    <n v="28.74878"/>
    <n v="9.5650250000000003"/>
    <m/>
    <n v="257493788.90979299"/>
    <n v="61.24402143001798"/>
  </r>
  <r>
    <x v="844"/>
    <n v="521.84490000000005"/>
    <n v="121.6293"/>
    <n v="39.578000000000003"/>
    <m/>
    <n v="421443646.43049997"/>
    <n v="123.82317399999999"/>
    <n v="28.860157000000001"/>
    <n v="9.3910540000000005"/>
    <m/>
    <n v="258050640.645464"/>
    <n v="61.230165131465327"/>
  </r>
  <r>
    <x v="845"/>
    <n v="522.41930000000002"/>
    <n v="121.8955"/>
    <n v="39.551699999999997"/>
    <m/>
    <n v="421968478.11049998"/>
    <n v="123.80529"/>
    <n v="28.887346999999998"/>
    <n v="9.3731410000000004"/>
    <m/>
    <n v="258389297.515405"/>
    <n v="61.234265334800938"/>
  </r>
  <r>
    <x v="846"/>
    <n v="521.49959999999999"/>
    <n v="121.73180000000001"/>
    <n v="39.769399999999997"/>
    <m/>
    <n v="421695031.03960001"/>
    <n v="123.66747599999999"/>
    <n v="28.867260000000002"/>
    <n v="9.4308440000000004"/>
    <m/>
    <n v="258209541.78743601"/>
    <n v="61.231345588985228"/>
  </r>
  <r>
    <x v="847"/>
    <n v="519.18859999999995"/>
    <n v="121.32380000000001"/>
    <n v="39.898600000000002"/>
    <m/>
    <n v="420913437.8786"/>
    <n v="123.34807000000001"/>
    <n v="28.823931000000002"/>
    <n v="9.4790510000000001"/>
    <m/>
    <n v="257691359.64729699"/>
    <n v="61.221936972613456"/>
  </r>
  <r>
    <x v="848"/>
    <n v="525.3098"/>
    <n v="122.0051"/>
    <n v="40.878100000000003"/>
    <m/>
    <n v="422161408.87739998"/>
    <n v="124.433401"/>
    <n v="28.900106999999998"/>
    <n v="9.6830499999999997"/>
    <m/>
    <n v="258702623.439567"/>
    <n v="61.280500301413596"/>
  </r>
  <r>
    <x v="849"/>
    <n v="516.85339999999997"/>
    <n v="120.0068"/>
    <n v="39.565300000000001"/>
    <m/>
    <n v="420911561.19400001"/>
    <n v="122.793824"/>
    <n v="28.511167"/>
    <n v="9.3999079999999999"/>
    <m/>
    <n v="256411208.65599501"/>
    <n v="60.918072178543447"/>
  </r>
  <r>
    <x v="850"/>
    <n v="517.77890000000002"/>
    <n v="120.19159999999999"/>
    <n v="40.032600000000002"/>
    <m/>
    <n v="421398802.15969998"/>
    <n v="122.871469"/>
    <n v="28.522055000000002"/>
    <n v="9.4999319999999994"/>
    <m/>
    <n v="256770609.32057801"/>
    <n v="60.93292339812303"/>
  </r>
  <r>
    <x v="851"/>
    <n v="518.3365"/>
    <n v="120.12860000000001"/>
    <n v="40.4499"/>
    <m/>
    <n v="421515657.8628"/>
    <n v="122.969691"/>
    <n v="28.499202"/>
    <n v="9.5962980000000009"/>
    <m/>
    <n v="257086719.82365701"/>
    <n v="60.991024895055425"/>
  </r>
  <r>
    <x v="852"/>
    <n v="520.00980000000004"/>
    <n v="119.9362"/>
    <n v="41.498899999999999"/>
    <m/>
    <n v="421923362.14200002"/>
    <n v="123.247454"/>
    <n v="28.426062999999999"/>
    <n v="9.8356490000000001"/>
    <m/>
    <n v="256980576.266534"/>
    <n v="60.906932235728192"/>
  </r>
  <r>
    <x v="853"/>
    <n v="499.34050000000002"/>
    <n v="115.062"/>
    <n v="20.704899999999999"/>
    <m/>
    <n v="421353264.54549998"/>
    <n v="118.508753"/>
    <n v="27.307727"/>
    <n v="4.9139049999999997"/>
    <m/>
    <n v="253755581.264328"/>
    <n v="60.22395045118396"/>
  </r>
  <r>
    <x v="854"/>
    <n v="502.1746"/>
    <n v="115.52849999999999"/>
    <n v="20.9986"/>
    <m/>
    <n v="422085653.71990001"/>
    <n v="118.97457199999999"/>
    <n v="27.370865999999999"/>
    <n v="4.9749619999999997"/>
    <m/>
    <n v="254338538.43588901"/>
    <n v="60.257565305612218"/>
  </r>
  <r>
    <x v="855"/>
    <n v="501.66829999999999"/>
    <n v="116.0087"/>
    <n v="19.841899999999999"/>
    <m/>
    <n v="421741854.95169997"/>
    <n v="118.951509"/>
    <n v="27.50704"/>
    <n v="4.7047499999999998"/>
    <m/>
    <n v="253558333.79614699"/>
    <n v="60.121690749708911"/>
  </r>
  <r>
    <x v="856"/>
    <n v="501.84589999999997"/>
    <n v="115.55029999999999"/>
    <n v="20.732500000000002"/>
    <m/>
    <n v="421831758.36070001"/>
    <n v="118.968259"/>
    <n v="27.392507999999999"/>
    <n v="4.9148740000000002"/>
    <m/>
    <n v="253665375.09938201"/>
    <n v="60.134252595196436"/>
  </r>
  <r>
    <x v="857"/>
    <n v="504.54349999999999"/>
    <n v="115.92400000000001"/>
    <n v="21.312799999999999"/>
    <m/>
    <n v="422672215.11870003"/>
    <n v="119.369924"/>
    <n v="27.426454"/>
    <n v="5.0423939999999998"/>
    <m/>
    <n v="254219345.96039999"/>
    <n v="60.145743407573406"/>
  </r>
  <r>
    <x v="858"/>
    <n v="498.04020000000003"/>
    <n v="114.3231"/>
    <n v="22.609000000000002"/>
    <m/>
    <n v="422892722.57700002"/>
    <n v="117.769868"/>
    <n v="27.033594000000001"/>
    <n v="5.3462730000000001"/>
    <m/>
    <n v="253067143.99281099"/>
    <n v="59.841924554928397"/>
  </r>
  <r>
    <x v="859"/>
    <n v="498.09649999999999"/>
    <n v="112.9836"/>
    <n v="25.2273"/>
    <m/>
    <n v="423504145.29759997"/>
    <n v="117.613134"/>
    <n v="26.678274999999999"/>
    <n v="5.9568009999999996"/>
    <m/>
    <n v="253175453.36237499"/>
    <n v="59.781103956955704"/>
  </r>
  <r>
    <x v="860"/>
    <n v="499.82049999999998"/>
    <n v="113.0806"/>
    <n v="25.975100000000001"/>
    <m/>
    <n v="424383980.76279998"/>
    <n v="117.77553399999999"/>
    <n v="26.645821999999999"/>
    <n v="6.12066"/>
    <m/>
    <n v="253586238.59727699"/>
    <n v="59.753961057029947"/>
  </r>
  <r>
    <x v="861"/>
    <n v="491.00970000000001"/>
    <n v="109.8502"/>
    <n v="28.159300000000002"/>
    <m/>
    <n v="422650830.41939998"/>
    <n v="116.17384"/>
    <n v="25.990769"/>
    <n v="6.6625449999999997"/>
    <m/>
    <n v="252337077.42742699"/>
    <n v="59.7034382203936"/>
  </r>
  <r>
    <x v="862"/>
    <n v="488.47140000000002"/>
    <n v="109.2525"/>
    <n v="27.8995"/>
    <m/>
    <n v="421834291.09570003"/>
    <n v="115.796987"/>
    <n v="25.899387999999998"/>
    <n v="6.6138529999999998"/>
    <m/>
    <n v="251997448.91082501"/>
    <n v="59.738493107393033"/>
  </r>
  <r>
    <x v="863"/>
    <n v="487.83240000000001"/>
    <n v="110.6063"/>
    <n v="24.425699999999999"/>
    <m/>
    <n v="421046775.64130002"/>
    <n v="115.861806"/>
    <n v="26.269362000000001"/>
    <n v="5.8011840000000001"/>
    <m/>
    <n v="251469338.39607799"/>
    <n v="59.724798512721733"/>
  </r>
  <r>
    <x v="864"/>
    <n v="490.84710000000001"/>
    <n v="111.72110000000001"/>
    <n v="24.191400000000002"/>
    <m/>
    <n v="422067450.42070001"/>
    <n v="116.295891"/>
    <n v="26.469963"/>
    <n v="5.731643"/>
    <m/>
    <n v="251917297.31897801"/>
    <n v="59.686502019494014"/>
  </r>
  <r>
    <x v="865"/>
    <n v="491.91879999999998"/>
    <n v="111.5513"/>
    <n v="26.808700000000002"/>
    <m/>
    <n v="423075842.0966"/>
    <n v="116.272013"/>
    <n v="26.366738000000002"/>
    <n v="6.3366179999999996"/>
    <m/>
    <n v="252690366.97878999"/>
    <n v="59.726966618220132"/>
  </r>
  <r>
    <x v="866"/>
    <n v="497.8562"/>
    <n v="114.52079999999999"/>
    <n v="23.6904"/>
    <m/>
    <n v="424327007.03789997"/>
    <n v="117.32842599999999"/>
    <n v="26.988807999999999"/>
    <n v="5.5830529999999996"/>
    <m/>
    <n v="252739686.39248499"/>
    <n v="59.562479455829411"/>
  </r>
  <r>
    <x v="867"/>
    <n v="499.45920000000001"/>
    <n v="113.6112"/>
    <n v="26.812899999999999"/>
    <m/>
    <n v="425423016.12840003"/>
    <n v="117.402957"/>
    <n v="26.705466000000001"/>
    <n v="6.3026439999999999"/>
    <m/>
    <n v="252966312.927452"/>
    <n v="59.462300660080501"/>
  </r>
  <r>
    <x v="868"/>
    <n v="490.8981"/>
    <n v="110.86839999999999"/>
    <n v="28.8568"/>
    <m/>
    <n v="426015832.57590002"/>
    <n v="115.230013"/>
    <n v="26.024478999999999"/>
    <n v="6.7736450000000001"/>
    <m/>
    <n v="264394560.30444199"/>
    <n v="62.062144194450056"/>
  </r>
  <r>
    <x v="869"/>
    <n v="494.07130000000001"/>
    <n v="110.4747"/>
    <n v="31.140599999999999"/>
    <m/>
    <n v="426866606.76190001"/>
    <n v="115.74372200000001"/>
    <n v="25.880379999999999"/>
    <n v="7.2951600000000001"/>
    <m/>
    <n v="265069294.35992199"/>
    <n v="62.096516841799662"/>
  </r>
  <r>
    <x v="870"/>
    <n v="490.29759999999999"/>
    <n v="108.78530000000001"/>
    <n v="30.349299999999999"/>
    <m/>
    <n v="426564608.15579998"/>
    <n v="114.940994"/>
    <n v="25.502655000000001"/>
    <n v="7.1148189999999998"/>
    <m/>
    <n v="264120358.087051"/>
    <n v="61.918019694353724"/>
  </r>
  <r>
    <x v="871"/>
    <n v="493.10610000000003"/>
    <n v="107.39409999999999"/>
    <n v="33.292499999999997"/>
    <m/>
    <n v="427332643.02630001"/>
    <n v="115.39162899999999"/>
    <n v="25.131264999999999"/>
    <n v="7.7907690000000001"/>
    <m/>
    <n v="264761827.76102701"/>
    <n v="61.956846049959339"/>
  </r>
  <r>
    <x v="872"/>
    <n v="496.50020000000001"/>
    <n v="108.1818"/>
    <n v="31.803699999999999"/>
    <m/>
    <n v="427122149.1875"/>
    <n v="116.24314099999999"/>
    <n v="25.328071000000001"/>
    <n v="7.4460430000000004"/>
    <m/>
    <n v="263884891.294462"/>
    <n v="61.782066745178469"/>
  </r>
  <r>
    <x v="873"/>
    <n v="500.38659999999999"/>
    <n v="107.514"/>
    <n v="33.6755"/>
    <m/>
    <n v="427509671.91689998"/>
    <n v="117.04684899999999"/>
    <n v="25.148904999999999"/>
    <n v="7.8771319999999996"/>
    <m/>
    <n v="263869802.110502"/>
    <n v="61.72253388498622"/>
  </r>
  <r>
    <x v="874"/>
    <n v="496.01929999999999"/>
    <n v="108.0187"/>
    <n v="31.018999999999998"/>
    <m/>
    <n v="426194937.36260003"/>
    <n v="116.383199"/>
    <n v="25.344905000000001"/>
    <n v="7.2781250000000002"/>
    <m/>
    <n v="263054256.14934999"/>
    <n v="61.721581625815404"/>
  </r>
  <r>
    <x v="875"/>
    <n v="491.34"/>
    <n v="108.27549999999999"/>
    <n v="29.186"/>
    <m/>
    <n v="425166485.14859998"/>
    <n v="115.564142"/>
    <n v="25.466612000000001"/>
    <n v="6.8646050000000001"/>
    <m/>
    <n v="262766079.10631099"/>
    <n v="61.803102616254336"/>
  </r>
  <r>
    <x v="876"/>
    <n v="467.21609999999998"/>
    <n v="102.5115"/>
    <n v="36.064100000000003"/>
    <m/>
    <n v="425906650.16659999"/>
    <n v="109.699179"/>
    <n v="24.069006999999999"/>
    <n v="8.4676069999999992"/>
    <m/>
    <n v="262122895.638455"/>
    <n v="61.544682511043582"/>
  </r>
  <r>
    <x v="877"/>
    <n v="470.74349999999998"/>
    <n v="103.0369"/>
    <n v="36.7027"/>
    <m/>
    <n v="426751861.35619998"/>
    <n v="110.308482"/>
    <n v="24.144452000000001"/>
    <n v="8.6004780000000007"/>
    <m/>
    <n v="262613666.29365"/>
    <n v="61.537790475962893"/>
  </r>
  <r>
    <x v="878"/>
    <n v="463.81099999999998"/>
    <n v="103.232"/>
    <n v="32.802"/>
    <m/>
    <n v="424396976.08969998"/>
    <n v="109.287065"/>
    <n v="24.324396"/>
    <n v="7.7290840000000003"/>
    <m/>
    <n v="261298139.58871999"/>
    <n v="61.569274596690896"/>
  </r>
  <r>
    <x v="879"/>
    <n v="464.93020000000001"/>
    <n v="103.9341"/>
    <n v="32.796599999999998"/>
    <m/>
    <n v="425347681.24510002"/>
    <n v="109.305921"/>
    <n v="24.435092999999998"/>
    <n v="7.7105389999999998"/>
    <m/>
    <n v="261899443.229729"/>
    <n v="61.573027144072633"/>
  </r>
  <r>
    <x v="880"/>
    <n v="459.05970000000002"/>
    <n v="102.3261"/>
    <n v="34.946399999999997"/>
    <m/>
    <n v="425915450.912"/>
    <n v="107.781885"/>
    <n v="24.024979999999999"/>
    <n v="8.2050090000000004"/>
    <m/>
    <n v="260982111.02226299"/>
    <n v="61.275567830054023"/>
  </r>
  <r>
    <x v="881"/>
    <n v="460.7328"/>
    <n v="102.0959"/>
    <n v="36.007100000000001"/>
    <m/>
    <n v="426705208.64270002"/>
    <n v="107.974496"/>
    <n v="23.926565"/>
    <n v="8.438402"/>
    <m/>
    <n v="261672083.84841901"/>
    <n v="61.32385509911343"/>
  </r>
  <r>
    <x v="882"/>
    <n v="462.84980000000002"/>
    <n v="102.3202"/>
    <n v="36.577500000000001"/>
    <m/>
    <n v="427270626.71149999"/>
    <n v="108.32708100000001"/>
    <n v="23.947399000000001"/>
    <n v="8.5607340000000001"/>
    <m/>
    <n v="262168532.331597"/>
    <n v="61.358894326386128"/>
  </r>
  <r>
    <x v="883"/>
    <n v="463.69819999999999"/>
    <n v="102.11799999999999"/>
    <n v="37.576799999999999"/>
    <m/>
    <n v="426361160.19340003"/>
    <n v="108.757139"/>
    <n v="23.951056000000001"/>
    <n v="8.8133730000000003"/>
    <m/>
    <n v="262586524.15434101"/>
    <n v="61.587815371182067"/>
  </r>
  <r>
    <x v="884"/>
    <n v="469.44929999999999"/>
    <n v="102.2012"/>
    <n v="40.168900000000001"/>
    <m/>
    <n v="413998151.16390002"/>
    <n v="113.394057"/>
    <n v="24.686389999999999"/>
    <n v="9.7026760000000003"/>
    <m/>
    <n v="263276435.99278"/>
    <n v="63.593626022873238"/>
  </r>
  <r>
    <x v="885"/>
    <n v="476.56330000000003"/>
    <n v="100.8922"/>
    <n v="44.262700000000002"/>
    <m/>
    <n v="414984543.7094"/>
    <n v="114.838807"/>
    <n v="24.312279"/>
    <n v="10.666107999999999"/>
    <m/>
    <n v="263323125.80473399"/>
    <n v="63.453718890583666"/>
  </r>
  <r>
    <x v="886"/>
    <n v="562.88679999999999"/>
    <n v="111.1109"/>
    <n v="44.205399999999997"/>
    <m/>
    <n v="415384336.53549999"/>
    <n v="135.50987599999999"/>
    <n v="26.748937999999999"/>
    <n v="10.642048000000001"/>
    <m/>
    <n v="263314868.028357"/>
    <n v="63.390658931563571"/>
  </r>
  <r>
    <x v="887"/>
    <n v="561.25329999999997"/>
    <n v="110.6606"/>
    <n v="43.631799999999998"/>
    <m/>
    <n v="414647168.65259999"/>
    <n v="135.35683900000001"/>
    <n v="26.687895000000001"/>
    <n v="10.522633000000001"/>
    <m/>
    <n v="262554777.396137"/>
    <n v="63.320045871604833"/>
  </r>
  <r>
    <x v="888"/>
    <n v="554.07270000000005"/>
    <n v="110.1562"/>
    <n v="41.963200000000001"/>
    <m/>
    <n v="412452930.38870001"/>
    <n v="134.335983"/>
    <n v="26.707581000000001"/>
    <n v="10.174058"/>
    <m/>
    <n v="261583391.13597599"/>
    <n v="63.421392324563442"/>
  </r>
  <r>
    <x v="889"/>
    <n v="555.64369999999997"/>
    <n v="108.52370000000001"/>
    <n v="43.619100000000003"/>
    <m/>
    <n v="412421620.83740002"/>
    <n v="134.727103"/>
    <n v="26.313776000000001"/>
    <n v="10.576337000000001"/>
    <m/>
    <n v="260273041.79929799"/>
    <n v="63.108486230869154"/>
  </r>
  <r>
    <x v="890"/>
    <n v="559.14800000000002"/>
    <n v="106.45910000000001"/>
    <n v="46.354199999999999"/>
    <m/>
    <n v="411975930.4364"/>
    <n v="135.72346300000001"/>
    <n v="25.841097000000001"/>
    <n v="11.251677000000001"/>
    <m/>
    <n v="259311996.36362201"/>
    <n v="62.943482180848932"/>
  </r>
  <r>
    <x v="891"/>
    <n v="558.53510000000006"/>
    <n v="104.99290000000001"/>
    <n v="46.785299999999999"/>
    <m/>
    <n v="411076932.23540002"/>
    <n v="135.871185"/>
    <n v="25.540937"/>
    <n v="11.381154"/>
    <m/>
    <n v="257801089.773617"/>
    <n v="62.713587058197952"/>
  </r>
  <r>
    <x v="892"/>
    <n v="556.87300000000005"/>
    <n v="102.2902"/>
    <n v="51.010199999999998"/>
    <m/>
    <n v="410585612.10790002"/>
    <n v="135.628961"/>
    <n v="24.913245"/>
    <n v="12.423767"/>
    <m/>
    <n v="257353307.18874499"/>
    <n v="62.679572688268905"/>
  </r>
  <r>
    <x v="893"/>
    <n v="568.2174"/>
    <n v="102.2907"/>
    <n v="53.428600000000003"/>
    <m/>
    <n v="410211828.72670001"/>
    <n v="138.518044"/>
    <n v="24.936067999999999"/>
    <n v="13.024637"/>
    <m/>
    <n v="256746523.433328"/>
    <n v="62.588766450316847"/>
  </r>
  <r>
    <x v="894"/>
    <n v="577.99530000000004"/>
    <n v="106.9534"/>
    <n v="49.106000000000002"/>
    <m/>
    <n v="411805026.97009999"/>
    <n v="140.35654299999999"/>
    <n v="25.971854"/>
    <n v="11.924575000000001"/>
    <m/>
    <n v="258119266.440341"/>
    <n v="62.679969775862475"/>
  </r>
  <r>
    <x v="895"/>
    <n v="582.00530000000003"/>
    <n v="107.10720000000001"/>
    <n v="49.122199999999999"/>
    <m/>
    <n v="412131575.32660002"/>
    <n v="141.218323"/>
    <n v="25.988593999999999"/>
    <n v="11.919058"/>
    <m/>
    <n v="257083023.853596"/>
    <n v="62.378871031627845"/>
  </r>
  <r>
    <x v="896"/>
    <n v="581.85540000000003"/>
    <n v="107.85509999999999"/>
    <n v="47.204799999999999"/>
    <m/>
    <n v="410932526.4946"/>
    <n v="141.59390200000001"/>
    <n v="26.246426"/>
    <n v="11.487239000000001"/>
    <m/>
    <n v="256596886.481287"/>
    <n v="62.442583620758697"/>
  </r>
  <r>
    <x v="897"/>
    <n v="580.16880000000003"/>
    <n v="108.13500000000001"/>
    <n v="47.302700000000002"/>
    <m/>
    <n v="410388430.73009998"/>
    <n v="141.37065200000001"/>
    <n v="26.349426999999999"/>
    <n v="11.526324000000001"/>
    <m/>
    <n v="256741549.57343"/>
    <n v="62.560620706747251"/>
  </r>
  <r>
    <x v="898"/>
    <n v="580.01329999999996"/>
    <n v="106.16719999999999"/>
    <n v="50.870199999999997"/>
    <m/>
    <n v="411745435.49260002"/>
    <n v="140.86696499999999"/>
    <n v="25.784669999999998"/>
    <n v="12.35477"/>
    <m/>
    <n v="256796739.32252899"/>
    <n v="62.367841191804587"/>
  </r>
  <r>
    <x v="899"/>
    <n v="582.56389999999999"/>
    <n v="106.95569999999999"/>
    <n v="49.758699999999997"/>
    <m/>
    <n v="411526289.50470001"/>
    <n v="141.56177"/>
    <n v="25.990003999999999"/>
    <n v="12.091257000000001"/>
    <m/>
    <n v="256595980.59289801"/>
    <n v="62.352269377912364"/>
  </r>
  <r>
    <x v="900"/>
    <n v="574.25229999999999"/>
    <n v="105.1177"/>
    <n v="50.633299999999998"/>
    <m/>
    <n v="411133926.07969999"/>
    <n v="139.67524"/>
    <n v="25.567751000000001"/>
    <n v="12.315524999999999"/>
    <m/>
    <n v="255150781.77182901"/>
    <n v="62.060259586159027"/>
  </r>
  <r>
    <x v="901"/>
    <n v="586.07230000000004"/>
    <n v="104.4915"/>
    <n v="59.858199999999997"/>
    <m/>
    <n v="412570599.14590001"/>
    <n v="142.053821"/>
    <n v="25.326937999999998"/>
    <n v="14.508596000000001"/>
    <m/>
    <n v="264688546.86002901"/>
    <n v="64.15594019738316"/>
  </r>
  <r>
    <x v="902"/>
    <n v="587.38980000000004"/>
    <n v="105.69289999999999"/>
    <n v="58.866999999999997"/>
    <m/>
    <n v="412004614.05519998"/>
    <n v="142.56874300000001"/>
    <n v="25.653328999999999"/>
    <n v="14.287947000000001"/>
    <m/>
    <n v="265062669.116723"/>
    <n v="64.334878803374323"/>
  </r>
  <r>
    <x v="903"/>
    <n v="585.19460000000004"/>
    <n v="102.74379999999999"/>
    <n v="61.911999999999999"/>
    <m/>
    <n v="412388831.14829999"/>
    <n v="141.90360100000001"/>
    <n v="24.914301999999999"/>
    <n v="15.013016"/>
    <m/>
    <n v="264581550.12534299"/>
    <n v="64.158272518829747"/>
  </r>
  <r>
    <x v="904"/>
    <n v="588.67269999999996"/>
    <n v="103.0363"/>
    <n v="62.497900000000001"/>
    <m/>
    <n v="421786375.68430001"/>
    <n v="139.566552"/>
    <n v="24.428550999999999"/>
    <n v="14.81743"/>
    <m/>
    <n v="265211302.44687"/>
    <n v="62.878110279544963"/>
  </r>
  <r>
    <x v="905"/>
    <n v="560.8664"/>
    <n v="102.2475"/>
    <n v="41.980200000000004"/>
    <m/>
    <n v="420867187.09570003"/>
    <n v="133.264464"/>
    <n v="24.294481000000001"/>
    <n v="9.974691"/>
    <m/>
    <n v="263158834.26888001"/>
    <n v="62.527762281700738"/>
  </r>
  <r>
    <x v="906"/>
    <n v="559.83489999999995"/>
    <n v="103.2431"/>
    <n v="41.126199999999997"/>
    <m/>
    <n v="421804129.67860001"/>
    <n v="132.72390200000001"/>
    <n v="24.47655"/>
    <n v="9.7500710000000002"/>
    <m/>
    <n v="263697511.24337301"/>
    <n v="62.516578831103729"/>
  </r>
  <r>
    <x v="907"/>
    <n v="558.96439999999996"/>
    <n v="103.6532"/>
    <n v="40.9512"/>
    <m/>
    <n v="421306786.35699999"/>
    <n v="132.67396099999999"/>
    <n v="24.602784"/>
    <n v="9.7200430000000004"/>
    <m/>
    <n v="264079436.12827399"/>
    <n v="62.681030707277216"/>
  </r>
  <r>
    <x v="908"/>
    <n v="551.97919999999999"/>
    <n v="107.3254"/>
    <n v="36.549799999999998"/>
    <m/>
    <n v="422092223.67299998"/>
    <n v="130.77217899999999"/>
    <n v="25.427002000000002"/>
    <n v="8.659198"/>
    <m/>
    <n v="264910339.46927899"/>
    <n v="62.761246147597426"/>
  </r>
  <r>
    <x v="909"/>
    <n v="548.15030000000002"/>
    <n v="106.54130000000001"/>
    <n v="37.056699999999999"/>
    <m/>
    <n v="421729326.35149997"/>
    <n v="129.97680399999999"/>
    <n v="25.262957"/>
    <n v="8.7868440000000003"/>
    <m/>
    <n v="264663263.67762399"/>
    <n v="62.75666574276466"/>
  </r>
  <r>
    <x v="910"/>
    <n v="543.55330000000004"/>
    <n v="107.0518"/>
    <n v="35.621099999999998"/>
    <m/>
    <n v="421507389.4569"/>
    <n v="128.95463100000001"/>
    <n v="25.397372000000001"/>
    <n v="8.4508840000000003"/>
    <m/>
    <n v="263520986.78240901"/>
    <n v="62.518711029466914"/>
  </r>
  <r>
    <x v="911"/>
    <n v="545.3768"/>
    <n v="106.34820000000001"/>
    <n v="36.151899999999998"/>
    <m/>
    <n v="421807409.0223"/>
    <n v="129.29521600000001"/>
    <n v="25.212502000000001"/>
    <n v="8.5707120000000003"/>
    <m/>
    <n v="263807048.121714"/>
    <n v="62.542061253306983"/>
  </r>
  <r>
    <x v="912"/>
    <n v="522.524"/>
    <n v="100.6293"/>
    <n v="37.620899999999999"/>
    <m/>
    <n v="421027892.8215"/>
    <n v="124.106742"/>
    <n v="23.900863000000001"/>
    <n v="8.9354890000000005"/>
    <m/>
    <n v="257093428.38471201"/>
    <n v="61.063276986665095"/>
  </r>
  <r>
    <x v="913"/>
    <n v="517.56470000000002"/>
    <n v="100.33199999999999"/>
    <n v="37.119100000000003"/>
    <m/>
    <n v="419851851.04839998"/>
    <n v="123.273173"/>
    <n v="23.897000999999999"/>
    <n v="8.8409990000000001"/>
    <m/>
    <n v="256596158.482685"/>
    <n v="61.115881195223054"/>
  </r>
  <r>
    <x v="914"/>
    <n v="513.45989999999995"/>
    <n v="103.18940000000001"/>
    <n v="32.335599999999999"/>
    <m/>
    <n v="418902064.56940001"/>
    <n v="122.572779"/>
    <n v="24.633299000000001"/>
    <n v="7.719131"/>
    <m/>
    <n v="256794788.90559599"/>
    <n v="61.301867578418786"/>
  </r>
  <r>
    <x v="915"/>
    <n v="520.3999"/>
    <n v="102.7568"/>
    <n v="34.056399999999996"/>
    <m/>
    <n v="419234862.05430001"/>
    <n v="124.13087400000001"/>
    <n v="24.510556999999999"/>
    <n v="8.1234660000000005"/>
    <m/>
    <n v="257309075.82357299"/>
    <n v="61.375877607775351"/>
  </r>
  <r>
    <x v="916"/>
    <n v="519.87879999999996"/>
    <n v="103.6728"/>
    <n v="32.253599999999999"/>
    <m/>
    <n v="418637273.9831"/>
    <n v="124.18359100000001"/>
    <n v="24.76435"/>
    <n v="7.7044259999999998"/>
    <m/>
    <n v="256571278.264732"/>
    <n v="61.287251329438377"/>
  </r>
  <r>
    <x v="917"/>
    <n v="519.9384"/>
    <n v="103.9773"/>
    <n v="31.7624"/>
    <m/>
    <n v="418401125.1433"/>
    <n v="124.267926"/>
    <n v="24.851103999999999"/>
    <n v="7.5913750000000002"/>
    <m/>
    <n v="256399079.53042799"/>
    <n v="61.280685954803005"/>
  </r>
  <r>
    <x v="918"/>
    <n v="526.24980000000005"/>
    <n v="103.8853"/>
    <n v="33.496499999999997"/>
    <m/>
    <n v="420405455.72619998"/>
    <n v="125.17672899999999"/>
    <n v="24.710740000000001"/>
    <n v="7.9676650000000002"/>
    <m/>
    <n v="257172911.90985"/>
    <n v="61.172591460692303"/>
  </r>
  <r>
    <x v="919"/>
    <n v="521.97280000000001"/>
    <n v="101.208"/>
    <n v="36.085900000000002"/>
    <m/>
    <n v="420694132.16159999"/>
    <n v="124.074181"/>
    <n v="24.057383000000002"/>
    <n v="8.5777049999999999"/>
    <m/>
    <n v="255600397.132238"/>
    <n v="60.756824873909807"/>
  </r>
  <r>
    <x v="920"/>
    <n v="525.53920000000005"/>
    <n v="101.53270000000001"/>
    <n v="36.673900000000003"/>
    <m/>
    <n v="421381568.61070001"/>
    <n v="124.718127"/>
    <n v="24.095192000000001"/>
    <n v="8.7032520000000009"/>
    <m/>
    <n v="255803744.579339"/>
    <n v="60.705964293295253"/>
  </r>
  <r>
    <x v="921"/>
    <n v="523.45929999999998"/>
    <n v="102.40179999999999"/>
    <n v="35.3232"/>
    <m/>
    <n v="421482278.75749999"/>
    <n v="124.19485400000001"/>
    <n v="24.295635999999998"/>
    <n v="8.3807080000000003"/>
    <m/>
    <n v="255771831.12015399"/>
    <n v="60.683887321230046"/>
  </r>
  <r>
    <x v="922"/>
    <n v="523.59950000000003"/>
    <n v="102.48399999999999"/>
    <n v="36.0212"/>
    <m/>
    <n v="419815546.41790003"/>
    <n v="124.721322"/>
    <n v="24.411673"/>
    <n v="8.5802440000000004"/>
    <m/>
    <n v="256608449.150785"/>
    <n v="61.124093983729551"/>
  </r>
  <r>
    <x v="923"/>
    <n v="515.77819999999997"/>
    <n v="102.3663"/>
    <n v="34.366199999999999"/>
    <m/>
    <n v="419177976.32419997"/>
    <n v="123.045157"/>
    <n v="24.420725000000001"/>
    <n v="8.1984750000000002"/>
    <m/>
    <n v="255883658.88298801"/>
    <n v="61.044156261941318"/>
  </r>
  <r>
    <x v="924"/>
    <n v="513.71699999999998"/>
    <n v="102.8019"/>
    <n v="33.060600000000001"/>
    <m/>
    <n v="418571587.2956"/>
    <n v="122.730977"/>
    <n v="24.560172000000001"/>
    <n v="7.898434"/>
    <m/>
    <n v="255491165.15736499"/>
    <n v="61.038821771945607"/>
  </r>
  <r>
    <x v="925"/>
    <n v="512.55050000000006"/>
    <n v="102.4513"/>
    <n v="33.827500000000001"/>
    <m/>
    <n v="418316919.95829999"/>
    <n v="122.526839"/>
    <n v="24.491312000000001"/>
    <n v="8.0865720000000003"/>
    <m/>
    <n v="255633733.315258"/>
    <n v="61.110062997389846"/>
  </r>
  <r>
    <x v="926"/>
    <n v="512.08910000000003"/>
    <n v="102.24160000000001"/>
    <n v="34.699199999999998"/>
    <m/>
    <n v="418374775.87660003"/>
    <n v="122.39961099999999"/>
    <n v="24.437802000000001"/>
    <n v="8.2938080000000003"/>
    <m/>
    <n v="255981396.21039701"/>
    <n v="61.184710687696651"/>
  </r>
  <r>
    <x v="927"/>
    <n v="504.01089999999999"/>
    <n v="103.51130000000001"/>
    <n v="29.952000000000002"/>
    <m/>
    <n v="416165814.76599997"/>
    <n v="121.108193"/>
    <n v="24.872610000000002"/>
    <n v="7.1971309999999997"/>
    <m/>
    <n v="255168392.46286699"/>
    <n v="61.31411649136583"/>
  </r>
  <r>
    <x v="928"/>
    <n v="506.93029999999999"/>
    <n v="103.8364"/>
    <n v="31.090800000000002"/>
    <m/>
    <n v="417650834.73329997"/>
    <n v="121.37658"/>
    <n v="24.862012"/>
    <n v="7.4442089999999999"/>
    <m/>
    <n v="256146865.01352501"/>
    <n v="61.33038502774528"/>
  </r>
  <r>
    <x v="929"/>
    <n v="512.15380000000005"/>
    <n v="103.66840000000001"/>
    <n v="32.957799999999999"/>
    <m/>
    <n v="419230190.42610002"/>
    <n v="122.165295"/>
    <n v="24.728276000000001"/>
    <n v="7.861504"/>
    <m/>
    <n v="255197661.09107599"/>
    <n v="60.872920633816108"/>
  </r>
  <r>
    <x v="930"/>
    <n v="511.02569999999997"/>
    <n v="102.36499999999999"/>
    <n v="33.207099999999997"/>
    <m/>
    <n v="419735126.27100003"/>
    <n v="121.749567"/>
    <n v="24.387999000000001"/>
    <n v="7.9114420000000001"/>
    <m/>
    <n v="255069336.88485801"/>
    <n v="60.769118646547035"/>
  </r>
  <r>
    <x v="931"/>
    <n v="493.27780000000001"/>
    <n v="98.696700000000007"/>
    <n v="14.203099999999999"/>
    <m/>
    <n v="420136028.23049998"/>
    <n v="117.409069"/>
    <n v="23.491606000000001"/>
    <n v="3.3805960000000002"/>
    <m/>
    <n v="255678920.13051"/>
    <n v="60.856223449191184"/>
  </r>
  <r>
    <x v="932"/>
    <n v="488.99779999999998"/>
    <n v="98.191599999999994"/>
    <n v="13.2684"/>
    <m/>
    <n v="419862189.57539999"/>
    <n v="116.466263"/>
    <n v="23.386626"/>
    <n v="3.16018"/>
    <m/>
    <n v="255419711.003407"/>
    <n v="60.834177819562399"/>
  </r>
  <r>
    <x v="933"/>
    <n v="490.30369999999999"/>
    <n v="98.034800000000004"/>
    <n v="13.9529"/>
    <m/>
    <n v="420279939.79009998"/>
    <n v="116.661219"/>
    <n v="23.326072"/>
    <n v="3.319906"/>
    <m/>
    <n v="255287018.47782001"/>
    <n v="60.742137396640381"/>
  </r>
  <r>
    <x v="934"/>
    <n v="494.63959999999997"/>
    <n v="98.402100000000004"/>
    <n v="14.790100000000001"/>
    <m/>
    <n v="422073627.45319998"/>
    <n v="117.192728"/>
    <n v="23.313966000000001"/>
    <n v="3.5041519999999999"/>
    <m/>
    <n v="255777223.51344401"/>
    <n v="60.600143405502124"/>
  </r>
  <r>
    <x v="935"/>
    <n v="500.53210000000001"/>
    <n v="96.487499999999997"/>
    <n v="17.997199999999999"/>
    <m/>
    <n v="422090859.40880001"/>
    <n v="118.58396999999999"/>
    <n v="22.859414999999998"/>
    <n v="4.2638210000000001"/>
    <m/>
    <n v="256075792.04596099"/>
    <n v="60.668404998069036"/>
  </r>
  <r>
    <x v="936"/>
    <n v="372.84780000000001"/>
    <n v="72.196399999999997"/>
    <n v="-77.355000000000004"/>
    <m/>
    <n v="423273063.54250002"/>
    <n v="88.086823999999993"/>
    <n v="17.056695999999999"/>
    <n v="-18.275437"/>
    <m/>
    <n v="246820180.22827101"/>
    <n v="58.312281476774928"/>
  </r>
  <r>
    <x v="937"/>
    <n v="374.3451"/>
    <n v="71.878200000000007"/>
    <n v="-76.316299999999998"/>
    <m/>
    <n v="423906120.69800001"/>
    <n v="88.308491000000004"/>
    <n v="16.956160000000001"/>
    <n v="-18.003112999999999"/>
    <m/>
    <n v="247210623.67736399"/>
    <n v="58.317304612235652"/>
  </r>
  <r>
    <x v="938"/>
    <n v="375.10550000000001"/>
    <n v="71.703800000000001"/>
    <n v="-75.594300000000004"/>
    <m/>
    <n v="423893882.27990001"/>
    <n v="88.490425000000002"/>
    <n v="16.915507000000002"/>
    <n v="-17.833307999999999"/>
    <m/>
    <n v="247493843.83945"/>
    <n v="58.385802245673389"/>
  </r>
  <r>
    <x v="939"/>
    <n v="379.43740000000003"/>
    <n v="71.555499999999995"/>
    <n v="-74.071200000000005"/>
    <m/>
    <n v="424880659.24849999"/>
    <n v="89.304464999999993"/>
    <n v="16.841317"/>
    <n v="-17.433413000000002"/>
    <m/>
    <n v="247938268.24120799"/>
    <n v="58.354802188394338"/>
  </r>
  <r>
    <x v="940"/>
    <n v="379.06020000000001"/>
    <n v="72.404700000000005"/>
    <n v="-75.878299999999996"/>
    <m/>
    <n v="424675186.61500001"/>
    <n v="89.258853000000002"/>
    <n v="17.049430000000001"/>
    <n v="-17.867373000000001"/>
    <m/>
    <n v="247977840.29352701"/>
    <n v="58.392354465093241"/>
  </r>
  <r>
    <x v="941"/>
    <n v="353.21530000000001"/>
    <n v="68.987099999999998"/>
    <n v="-93.214699999999993"/>
    <m/>
    <n v="423098471.84289998"/>
    <n v="83.483001000000002"/>
    <n v="16.305211"/>
    <n v="-22.031442999999999"/>
    <m/>
    <n v="245491037.238175"/>
    <n v="58.022198985707497"/>
  </r>
  <r>
    <x v="942"/>
    <n v="359.12"/>
    <n v="69.500699999999995"/>
    <n v="-91.978300000000004"/>
    <m/>
    <n v="425137062.315"/>
    <n v="84.471581"/>
    <n v="16.347833999999999"/>
    <n v="-21.634976000000002"/>
    <m/>
    <n v="246702858.690694"/>
    <n v="58.029017123871128"/>
  </r>
  <r>
    <x v="943"/>
    <n v="358.89479999999998"/>
    <n v="69.375399999999999"/>
    <n v="-92.566699999999997"/>
    <m/>
    <n v="423930701.59930003"/>
    <n v="84.658837000000005"/>
    <n v="16.364796999999999"/>
    <n v="-21.835338"/>
    <m/>
    <n v="246389954.647966"/>
    <n v="58.120337526498425"/>
  </r>
  <r>
    <x v="944"/>
    <n v="355.18619999999999"/>
    <n v="67.936400000000006"/>
    <n v="-91.983400000000003"/>
    <m/>
    <n v="423216279.91219997"/>
    <n v="83.925458000000006"/>
    <n v="16.052406999999999"/>
    <n v="-21.734372"/>
    <m/>
    <n v="245965803.13492599"/>
    <n v="58.11822815179837"/>
  </r>
  <r>
    <x v="945"/>
    <n v="359.87619999999998"/>
    <n v="67.795299999999997"/>
    <n v="-89.534099999999995"/>
    <m/>
    <n v="395785350.36430001"/>
    <n v="90.927115000000001"/>
    <n v="17.12931"/>
    <n v="-22.621883"/>
    <m/>
    <n v="246860336.65340099"/>
    <n v="62.372277403946043"/>
  </r>
  <r>
    <x v="946"/>
    <n v="360.42579999999998"/>
    <n v="68.976299999999995"/>
    <n v="-91.870599999999996"/>
    <m/>
    <n v="395159774.11559999"/>
    <n v="91.210144"/>
    <n v="17.455293999999999"/>
    <n v="-23.248975999999999"/>
    <m/>
    <n v="246919229.18715799"/>
    <n v="62.485922242410297"/>
  </r>
  <r>
    <x v="947"/>
    <n v="361.19619999999998"/>
    <n v="67.995000000000005"/>
    <n v="-89.571600000000004"/>
    <m/>
    <n v="395629719.64469999"/>
    <n v="91.296529000000007"/>
    <n v="17.186525"/>
    <n v="-22.640260999999999"/>
    <m/>
    <n v="247389054.331312"/>
    <n v="62.530452604390462"/>
  </r>
  <r>
    <x v="948"/>
    <n v="354.95170000000002"/>
    <n v="67.626000000000005"/>
    <n v="-140.1397"/>
    <m/>
    <n v="393619299.20670003"/>
    <n v="90.176396999999994"/>
    <n v="17.18056"/>
    <n v="-35.602853000000003"/>
    <m/>
    <n v="246655652.765645"/>
    <n v="62.663505895862983"/>
  </r>
  <r>
    <x v="949"/>
    <n v="350.2337"/>
    <n v="66.373000000000005"/>
    <n v="-132.4913"/>
    <m/>
    <n v="394827725.69160002"/>
    <n v="88.705447000000007"/>
    <n v="16.810623"/>
    <n v="-33.556736999999998"/>
    <m/>
    <n v="246800579.38719201"/>
    <n v="62.50842160460838"/>
  </r>
  <r>
    <x v="950"/>
    <n v="285.71690000000001"/>
    <n v="54.081000000000003"/>
    <n v="-188.4853"/>
    <m/>
    <n v="394868728.43800002"/>
    <n v="72.357438999999999"/>
    <n v="13.695944000000001"/>
    <n v="-47.733660999999998"/>
    <m/>
    <n v="264230281.770136"/>
    <n v="66.915980613446806"/>
  </r>
  <r>
    <x v="951"/>
    <n v="280.47000000000003"/>
    <n v="53.330100000000002"/>
    <n v="-190.58619999999999"/>
    <m/>
    <n v="392253143.046"/>
    <n v="71.502295000000004"/>
    <n v="13.595838000000001"/>
    <n v="-48.587552000000002"/>
    <m/>
    <n v="261505090.235742"/>
    <n v="66.667430171509167"/>
  </r>
  <r>
    <x v="952"/>
    <n v="278.84359999999998"/>
    <n v="52.698599999999999"/>
    <n v="-162.6884"/>
    <m/>
    <n v="392618567.3775"/>
    <n v="71.021501000000001"/>
    <n v="13.42234"/>
    <n v="-41.436757"/>
    <m/>
    <n v="261323972.49397501"/>
    <n v="66.559249665519218"/>
  </r>
  <r>
    <x v="953"/>
    <n v="264.97210000000001"/>
    <n v="49.975000000000001"/>
    <n v="-163.42449999999999"/>
    <m/>
    <n v="392317200.41850001"/>
    <n v="67.540271000000004"/>
    <n v="12.738417"/>
    <n v="-41.656216000000001"/>
    <m/>
    <n v="261962908.07292601"/>
    <n v="66.773240580193786"/>
  </r>
  <r>
    <x v="954"/>
    <n v="260.66399999999999"/>
    <n v="48.613799999999998"/>
    <n v="-162.3511"/>
    <m/>
    <n v="391955106.30970001"/>
    <n v="66.503534999999999"/>
    <n v="12.402900000000001"/>
    <n v="-41.420841000000003"/>
    <m/>
    <n v="260944143.47666901"/>
    <n v="66.57500802412973"/>
  </r>
  <r>
    <x v="955"/>
    <n v="258.3175"/>
    <n v="48.238"/>
    <n v="-162.51259999999999"/>
    <m/>
    <n v="391271851.65060002"/>
    <n v="66.019954999999996"/>
    <n v="12.328512999999999"/>
    <n v="-41.534447"/>
    <m/>
    <n v="260776674.514166"/>
    <n v="66.648462805097395"/>
  </r>
  <r>
    <x v="956"/>
    <n v="261.1386"/>
    <n v="48.664000000000001"/>
    <n v="-162.2354"/>
    <m/>
    <n v="391408015.08249998"/>
    <n v="66.717744999999994"/>
    <n v="12.433062"/>
    <n v="-41.449176999999999"/>
    <m/>
    <n v="261325500.73632801"/>
    <n v="66.765495510163859"/>
  </r>
  <r>
    <x v="957"/>
    <n v="269.5958"/>
    <n v="50.1815"/>
    <n v="-161.45079999999999"/>
    <m/>
    <n v="393296030.55559999"/>
    <n v="68.547805999999994"/>
    <n v="12.759219"/>
    <n v="-41.050707000000003"/>
    <m/>
    <n v="261885416.050888"/>
    <n v="66.587352961820812"/>
  </r>
  <r>
    <x v="958"/>
    <n v="270.7636"/>
    <n v="50.9711"/>
    <n v="-164.08369999999999"/>
    <m/>
    <n v="392070067.23019999"/>
    <n v="69.060002999999995"/>
    <n v="13.000508"/>
    <n v="-41.850605999999999"/>
    <m/>
    <n v="261965531.29991099"/>
    <n v="66.815998770469903"/>
  </r>
  <r>
    <x v="959"/>
    <n v="277.30119999999999"/>
    <n v="52.658200000000001"/>
    <n v="-166.00460000000001"/>
    <m/>
    <n v="392610842.75300002"/>
    <n v="70.630041000000006"/>
    <n v="13.412314"/>
    <n v="-42.282224999999997"/>
    <m/>
    <n v="262435906.046161"/>
    <n v="66.843774411820078"/>
  </r>
  <r>
    <x v="960"/>
    <n v="321.92520000000002"/>
    <n v="62.064500000000002"/>
    <n v="-212.45400000000001"/>
    <m/>
    <n v="391563290.47100002"/>
    <n v="82.215367999999998"/>
    <n v="15.850439"/>
    <n v="-54.257894999999998"/>
    <m/>
    <n v="262718401.919523"/>
    <n v="67.094747723543421"/>
  </r>
  <r>
    <x v="961"/>
    <n v="321.92809999999997"/>
    <n v="61.890500000000003"/>
    <n v="-210.8869"/>
    <m/>
    <n v="392263760.1638"/>
    <n v="82.069293999999999"/>
    <n v="15.777777"/>
    <n v="-53.761505"/>
    <m/>
    <n v="263314647.58239201"/>
    <n v="67.126937107939327"/>
  </r>
  <r>
    <x v="962"/>
    <n v="316.40620000000001"/>
    <n v="60.561999999999998"/>
    <n v="-208.95679999999999"/>
    <m/>
    <n v="392198024.76520002"/>
    <n v="80.675112999999996"/>
    <n v="15.441689"/>
    <n v="-53.278391999999997"/>
    <m/>
    <n v="263337267.88468501"/>
    <n v="67.143955669419555"/>
  </r>
  <r>
    <x v="963"/>
    <n v="322.81009999999998"/>
    <n v="62.066899999999997"/>
    <n v="-199.98339999999999"/>
    <m/>
    <n v="392904328.45279998"/>
    <n v="82.159976"/>
    <n v="15.796950000000001"/>
    <n v="-50.898752000000002"/>
    <m/>
    <n v="264638169.01115301"/>
    <n v="67.354353171231168"/>
  </r>
  <r>
    <x v="964"/>
    <n v="325.44279999999998"/>
    <n v="63.718699999999998"/>
    <n v="-205.06819999999999"/>
    <m/>
    <n v="392308395.25590003"/>
    <n v="82.955859000000004"/>
    <n v="16.241992"/>
    <n v="-52.272193000000001"/>
    <m/>
    <n v="264774028.83844599"/>
    <n v="67.491298182832864"/>
  </r>
  <r>
    <x v="965"/>
    <n v="326.59309999999999"/>
    <n v="64.941000000000003"/>
    <n v="-109.495"/>
    <m/>
    <n v="391119355.39749998"/>
    <n v="83.502156999999997"/>
    <n v="16.603883"/>
    <n v="-27.995291000000002"/>
    <m/>
    <n v="264660703.64671499"/>
    <n v="67.667503536800595"/>
  </r>
  <r>
    <x v="966"/>
    <n v="316.57740000000001"/>
    <n v="63.0747"/>
    <n v="-208.33250000000001"/>
    <m/>
    <n v="390176195.51609999"/>
    <n v="81.137035999999995"/>
    <n v="16.165697000000002"/>
    <n v="-53.394466999999999"/>
    <m/>
    <n v="264216632.932632"/>
    <n v="67.717261065386936"/>
  </r>
  <r>
    <x v="967"/>
    <n v="294.28129999999999"/>
    <n v="59.533700000000003"/>
    <n v="-211.74940000000001"/>
    <m/>
    <n v="389319838.48290002"/>
    <n v="75.588570000000004"/>
    <n v="15.29172"/>
    <n v="-54.389574000000003"/>
    <m/>
    <n v="260903843.63172501"/>
    <n v="67.01529638161108"/>
  </r>
  <r>
    <x v="968"/>
    <n v="311.58049999999997"/>
    <n v="63.6434"/>
    <n v="-214.6422"/>
    <m/>
    <n v="388644522.6099"/>
    <n v="80.171076999999997"/>
    <n v="16.375736"/>
    <n v="-55.228411999999999"/>
    <m/>
    <n v="266254492.30250701"/>
    <n v="68.508489586963421"/>
  </r>
  <r>
    <x v="969"/>
    <n v="351.5197"/>
    <n v="72.709599999999995"/>
    <n v="-115.4271"/>
    <m/>
    <n v="388123120.55080003"/>
    <n v="90.569120999999996"/>
    <n v="18.733643000000001"/>
    <n v="-29.739816000000001"/>
    <m/>
    <n v="277193588.66688597"/>
    <n v="71.418983819750338"/>
  </r>
  <r>
    <x v="970"/>
    <n v="347.45310000000001"/>
    <n v="72.712000000000003"/>
    <n v="-119.5266"/>
    <m/>
    <n v="385822024.80589998"/>
    <n v="90.055278999999999"/>
    <n v="18.845994999999998"/>
    <n v="-30.979724000000001"/>
    <m/>
    <n v="276314200.450975"/>
    <n v="71.617010612596218"/>
  </r>
  <r>
    <x v="971"/>
    <n v="424.01060000000001"/>
    <n v="87.509500000000003"/>
    <n v="-114.02070000000001"/>
    <m/>
    <n v="387134574.60829997"/>
    <n v="109.52537599999999"/>
    <n v="22.604413000000001"/>
    <n v="-29.452470999999999"/>
    <m/>
    <n v="292382963.152605"/>
    <n v="75.524890394622076"/>
  </r>
  <r>
    <x v="972"/>
    <n v="414.66070000000002"/>
    <n v="84.841099999999997"/>
    <n v="-110.5587"/>
    <m/>
    <n v="386107357.07889998"/>
    <n v="107.39518200000001"/>
    <n v="21.973448000000001"/>
    <n v="-28.634186"/>
    <m/>
    <n v="292339462.95383602"/>
    <n v="75.714553891315063"/>
  </r>
  <r>
    <x v="973"/>
    <n v="409.90219999999999"/>
    <n v="85.247299999999996"/>
    <n v="-119.724"/>
    <m/>
    <n v="383359471.1965"/>
    <n v="106.92371799999999"/>
    <n v="22.236910000000002"/>
    <n v="-31.230218000000001"/>
    <m/>
    <n v="289270686.34280503"/>
    <n v="75.456773101226574"/>
  </r>
  <r>
    <x v="974"/>
    <n v="414.86610000000002"/>
    <n v="86.248999999999995"/>
    <n v="-120.20659999999999"/>
    <m/>
    <n v="384276674.2353"/>
    <n v="107.960261"/>
    <n v="22.444506000000001"/>
    <n v="-31.281264"/>
    <m/>
    <n v="289810116.054461"/>
    <n v="75.417045968552515"/>
  </r>
  <r>
    <x v="975"/>
    <n v="433.20549999999997"/>
    <n v="90.165800000000004"/>
    <n v="-113.504"/>
    <m/>
    <n v="383636539.41070002"/>
    <n v="112.920813"/>
    <n v="23.502922999999999"/>
    <n v="-29.586337"/>
    <m/>
    <n v="293158154.24853998"/>
    <n v="76.415597611962895"/>
  </r>
  <r>
    <x v="976"/>
    <n v="427.54450000000003"/>
    <n v="87.686999999999998"/>
    <n v="-109.70659999999999"/>
    <m/>
    <n v="382982194.2105"/>
    <n v="111.635608"/>
    <n v="22.895842999999999"/>
    <n v="-28.645353"/>
    <m/>
    <n v="292471459.56093001"/>
    <n v="76.366855687337193"/>
  </r>
  <r>
    <x v="977"/>
    <n v="434.11700000000002"/>
    <n v="87.447199999999995"/>
    <n v="-102.4573"/>
    <m/>
    <n v="384944240.99860001"/>
    <n v="112.773995"/>
    <n v="22.716847999999999"/>
    <n v="-26.616140000000001"/>
    <m/>
    <n v="294077048.91185999"/>
    <n v="76.394713205471618"/>
  </r>
  <r>
    <x v="978"/>
    <n v="431.25330000000002"/>
    <n v="87.849500000000006"/>
    <n v="-107.0939"/>
    <m/>
    <n v="383437854.6196"/>
    <n v="112.47019400000001"/>
    <n v="22.911014000000002"/>
    <n v="-27.929924"/>
    <m/>
    <n v="292672015.19789797"/>
    <n v="76.328409329394788"/>
  </r>
  <r>
    <x v="979"/>
    <n v="445.92619999999999"/>
    <n v="90.597200000000001"/>
    <n v="-109.5446"/>
    <m/>
    <n v="383899701.33200002"/>
    <n v="116.156954"/>
    <n v="23.599184999999999"/>
    <n v="-28.534693000000001"/>
    <m/>
    <n v="292108531.24665803"/>
    <n v="76.089804246562792"/>
  </r>
  <r>
    <x v="980"/>
    <n v="459.63330000000002"/>
    <n v="93.276899999999998"/>
    <n v="-104.13639999999999"/>
    <m/>
    <n v="383974824.51670003"/>
    <n v="119.70402"/>
    <n v="24.292452000000001"/>
    <n v="-27.120632000000001"/>
    <m/>
    <n v="278037719.65856701"/>
    <n v="72.410403470729221"/>
  </r>
  <r>
    <x v="981"/>
    <n v="456.2527"/>
    <n v="91.488500000000002"/>
    <n v="-99.448499999999996"/>
    <m/>
    <n v="384296021.68739998"/>
    <n v="118.724284"/>
    <n v="23.806778000000001"/>
    <n v="-25.878098000000001"/>
    <m/>
    <n v="278115273.95486599"/>
    <n v="72.370063248038207"/>
  </r>
  <r>
    <x v="982"/>
    <n v="457.04169999999999"/>
    <n v="92.441900000000004"/>
    <n v="-101.94929999999999"/>
    <m/>
    <n v="384089358.99910003"/>
    <n v="118.99358599999999"/>
    <n v="24.067810999999999"/>
    <n v="-26.543119999999998"/>
    <m/>
    <n v="277650858.62779599"/>
    <n v="72.288089248639281"/>
  </r>
  <r>
    <x v="983"/>
    <n v="488.8005"/>
    <n v="97.454300000000003"/>
    <n v="-76.688299999999998"/>
    <m/>
    <n v="385667601.84899998"/>
    <n v="126.741395"/>
    <n v="25.268988"/>
    <n v="-19.884558999999999"/>
    <m/>
    <n v="276871214.62445402"/>
    <n v="71.790114932406766"/>
  </r>
  <r>
    <x v="984"/>
    <n v="488.90499999999997"/>
    <n v="97.363600000000005"/>
    <n v="-76.399000000000001"/>
    <m/>
    <n v="385706122.46740001"/>
    <n v="126.755831"/>
    <n v="25.242948999999999"/>
    <n v="-19.807566999999999"/>
    <m/>
    <n v="276886767.59646499"/>
    <n v="71.786977563434334"/>
  </r>
  <r>
    <x v="985"/>
    <n v="487.67219999999998"/>
    <n v="97.1584"/>
    <n v="-76.976600000000005"/>
    <m/>
    <n v="385422084.66909999"/>
    <n v="126.529387"/>
    <n v="25.208311999999999"/>
    <n v="-19.972026"/>
    <m/>
    <n v="276991075.44370598"/>
    <n v="71.866944438721958"/>
  </r>
  <r>
    <x v="986"/>
    <n v="490.48200000000003"/>
    <n v="97.186899999999994"/>
    <n v="-71.023600000000002"/>
    <m/>
    <n v="385438708.16549999"/>
    <n v="127.252917"/>
    <n v="25.214618999999999"/>
    <n v="-18.426691000000002"/>
    <m/>
    <n v="279590294.800331"/>
    <n v="72.538198389841085"/>
  </r>
  <r>
    <x v="987"/>
    <n v="490.62479999999999"/>
    <n v="98.712599999999995"/>
    <n v="-76.981399999999994"/>
    <m/>
    <n v="383680924.75999999"/>
    <n v="127.87312799999999"/>
    <n v="25.727784"/>
    <n v="-20.063911000000001"/>
    <m/>
    <n v="278627937.714688"/>
    <n v="72.619700311912894"/>
  </r>
  <r>
    <x v="988"/>
    <n v="521.66970000000003"/>
    <n v="106.4701"/>
    <n v="-56.732300000000002"/>
    <m/>
    <n v="383432276.79000002"/>
    <n v="136.05263099999999"/>
    <n v="27.767641999999999"/>
    <n v="-14.795911"/>
    <m/>
    <n v="282418276.075324"/>
    <n v="73.655321466325105"/>
  </r>
  <r>
    <x v="989"/>
    <n v="524.38210000000004"/>
    <n v="108.95140000000001"/>
    <n v="13.860799999999999"/>
    <m/>
    <n v="382926313.61000001"/>
    <n v="136.94073299999999"/>
    <n v="28.452314999999999"/>
    <n v="3.619704"/>
    <m/>
    <n v="281398746.35696203"/>
    <n v="73.486395777846425"/>
  </r>
  <r>
    <x v="990"/>
    <n v="560.673"/>
    <n v="115.4873"/>
    <n v="35.482199999999999"/>
    <m/>
    <n v="383709288.5"/>
    <n v="146.119215"/>
    <n v="30.097602999999999"/>
    <n v="9.2471569999999996"/>
    <m/>
    <n v="282209448.90758401"/>
    <n v="73.547724114472146"/>
  </r>
  <r>
    <x v="991"/>
    <n v="575.80060000000003"/>
    <n v="120.2762"/>
    <n v="27.165099999999999"/>
    <m/>
    <n v="383226315.44"/>
    <n v="150.250799"/>
    <n v="31.385162000000001"/>
    <n v="7.088527"/>
    <m/>
    <n v="281194207.199615"/>
    <n v="73.375495332767741"/>
  </r>
  <r>
    <x v="992"/>
    <n v="574.6259"/>
    <n v="119.45050000000001"/>
    <n v="29.292899999999999"/>
    <m/>
    <n v="383258874.85000002"/>
    <n v="149.93153100000001"/>
    <n v="31.167054"/>
    <n v="7.6431110000000002"/>
    <m/>
    <n v="281812700.25684297"/>
    <n v="73.530639144922333"/>
  </r>
  <r>
    <x v="993"/>
    <n v="583.92010000000005"/>
    <n v="121.8874"/>
    <n v="42.1267"/>
    <m/>
    <n v="383270459.27999997"/>
    <n v="152.35197099999999"/>
    <n v="31.801929000000001"/>
    <n v="10.991377"/>
    <m/>
    <n v="257792357.722947"/>
    <n v="67.261212410481036"/>
  </r>
  <r>
    <x v="994"/>
    <n v="586.70709999999997"/>
    <n v="123.43470000000001"/>
    <n v="38.746699999999997"/>
    <m/>
    <n v="382809724.02999997"/>
    <n v="153.263374"/>
    <n v="32.244399999999999"/>
    <n v="10.12166"/>
    <m/>
    <n v="257091294.05220801"/>
    <n v="67.15902912436475"/>
  </r>
  <r>
    <x v="995"/>
    <n v="571.52149999999995"/>
    <n v="118.1437"/>
    <n v="44.701000000000001"/>
    <m/>
    <n v="382780516.72000003"/>
    <n v="149.30788699999999"/>
    <n v="30.864605999999998"/>
    <n v="11.677972"/>
    <m/>
    <n v="257271657.221259"/>
    <n v="67.211272774745368"/>
  </r>
  <r>
    <x v="996"/>
    <n v="580.04849999999999"/>
    <n v="120.23350000000001"/>
    <n v="80.325800000000001"/>
    <m/>
    <n v="383070667.82999998"/>
    <n v="151.42075600000001"/>
    <n v="31.386768"/>
    <n v="20.968924999999999"/>
    <m/>
    <n v="257389211.67996901"/>
    <n v="67.191052016071822"/>
  </r>
  <r>
    <x v="997"/>
    <n v="581.0489"/>
    <n v="120.21680000000001"/>
    <n v="117.76349999999999"/>
    <m/>
    <n v="383401226.39999998"/>
    <n v="151.551132"/>
    <n v="31.355350999999999"/>
    <n v="30.715472999999999"/>
    <m/>
    <n v="257850648.952306"/>
    <n v="67.253475262307091"/>
  </r>
  <r>
    <x v="998"/>
    <n v="597.09109999999998"/>
    <n v="123.02509999999999"/>
    <n v="116.815"/>
    <m/>
    <n v="384185122.87"/>
    <n v="155.41754900000001"/>
    <n v="32.022348999999998"/>
    <n v="30.405915"/>
    <m/>
    <n v="245229721.50984299"/>
    <n v="63.831134240152096"/>
  </r>
  <r>
    <x v="999"/>
    <n v="596.06560000000002"/>
    <n v="122.86409999999999"/>
    <n v="116.9067"/>
    <m/>
    <n v="384553627.29000002"/>
    <n v="155.00194500000001"/>
    <n v="31.949795999999999"/>
    <n v="30.400623"/>
    <m/>
    <n v="245937995.80096"/>
    <n v="63.954147964776041"/>
  </r>
  <r>
    <x v="1000"/>
    <n v="592.15110000000004"/>
    <n v="122.6609"/>
    <n v="216.6379"/>
    <m/>
    <n v="383930515.81999999"/>
    <n v="154.233924"/>
    <n v="31.948723999999999"/>
    <n v="56.42633"/>
    <m/>
    <n v="245647104.62523001"/>
    <n v="63.982177634558738"/>
  </r>
  <r>
    <x v="1001"/>
    <n v="592.5059"/>
    <n v="121.6801"/>
    <n v="283.96359999999999"/>
    <m/>
    <n v="384880845.42000002"/>
    <n v="153.94528099999999"/>
    <n v="31.615005"/>
    <n v="73.779612999999998"/>
    <m/>
    <n v="246078285.40755701"/>
    <n v="63.936225545083921"/>
  </r>
  <r>
    <x v="1002"/>
    <n v="592.30439999999999"/>
    <n v="123.4465"/>
    <n v="280.7022"/>
    <m/>
    <n v="384032062.35000002"/>
    <n v="154.23305999999999"/>
    <n v="32.144841999999997"/>
    <n v="73.093428000000003"/>
    <m/>
    <n v="245509645.8608"/>
    <n v="63.929465773888126"/>
  </r>
  <r>
    <x v="1003"/>
    <n v="583.61569999999995"/>
    <n v="122.4132"/>
    <n v="279.82589999999999"/>
    <m/>
    <n v="382837687.58999997"/>
    <n v="152.444683"/>
    <n v="31.975221999999999"/>
    <n v="73.092568999999997"/>
    <m/>
    <n v="244521685.165831"/>
    <n v="63.870849995233883"/>
  </r>
  <r>
    <x v="1004"/>
    <n v="584.25310000000002"/>
    <n v="122.04770000000001"/>
    <n v="280.82859999999999"/>
    <m/>
    <n v="383228018.38"/>
    <n v="152.455737"/>
    <n v="31.847280000000001"/>
    <n v="73.279767000000007"/>
    <m/>
    <n v="245030194.69355601"/>
    <n v="63.938486473238441"/>
  </r>
  <r>
    <x v="1005"/>
    <n v="575.96529999999996"/>
    <n v="120.7247"/>
    <n v="281.03469999999999"/>
    <m/>
    <n v="382872183.17000002"/>
    <n v="150.43278799999999"/>
    <n v="31.531331999999999"/>
    <n v="73.401702"/>
    <m/>
    <n v="243161289.319803"/>
    <n v="63.509782117505353"/>
  </r>
  <r>
    <x v="1006"/>
    <n v="563.37699999999995"/>
    <n v="119.54730000000001"/>
    <n v="316.67939999999999"/>
    <m/>
    <n v="381985954.37"/>
    <n v="147.486313"/>
    <n v="31.296254999999999"/>
    <n v="82.903414999999995"/>
    <m/>
    <n v="241039454.7211"/>
    <n v="63.101653860189813"/>
  </r>
  <r>
    <x v="1007"/>
    <n v="563.17489999999998"/>
    <n v="117.6153"/>
    <n v="319.06869999999998"/>
    <m/>
    <n v="382200794.88"/>
    <n v="147.35053099999999"/>
    <n v="30.77317"/>
    <n v="83.481955999999997"/>
    <m/>
    <n v="242259099.584245"/>
    <n v="63.385294544012481"/>
  </r>
  <r>
    <x v="1008"/>
    <n v="552.93259999999998"/>
    <n v="115.2638"/>
    <n v="319.30919999999998"/>
    <m/>
    <n v="381989180.26999998"/>
    <n v="144.750854"/>
    <n v="30.174624000000001"/>
    <n v="83.591162999999995"/>
    <m/>
    <n v="241191307.34227401"/>
    <n v="63.140874087531394"/>
  </r>
  <r>
    <x v="1009"/>
    <n v="550.72749999999996"/>
    <n v="116.14100000000001"/>
    <n v="317.85239999999999"/>
    <m/>
    <n v="356728164.26999998"/>
    <n v="154.38296"/>
    <n v="32.557284000000003"/>
    <n v="89.102131999999997"/>
    <m/>
    <n v="240505560.617309"/>
    <n v="67.419840849817362"/>
  </r>
  <r>
    <x v="1010"/>
    <n v="547.46230000000003"/>
    <n v="115.37779999999999"/>
    <n v="318.09620000000001"/>
    <m/>
    <n v="356929346.43000001"/>
    <n v="153.38113999999999"/>
    <n v="32.325108999999998"/>
    <n v="89.120215000000002"/>
    <m/>
    <n v="241091145.226942"/>
    <n v="67.545901629644817"/>
  </r>
  <r>
    <x v="1011"/>
    <n v="550.96199999999999"/>
    <n v="114.6978"/>
    <n v="319.0487"/>
    <m/>
    <n v="357216239.14999998"/>
    <n v="154.23766900000001"/>
    <n v="32.108787"/>
    <n v="89.315284000000005"/>
    <m/>
    <n v="242304658.89238399"/>
    <n v="67.831367204623902"/>
  </r>
  <r>
    <x v="1012"/>
    <n v="548.63440000000003"/>
    <n v="113.57340000000001"/>
    <n v="320.07549999999998"/>
    <m/>
    <n v="357179334.63999999"/>
    <n v="153.601944"/>
    <n v="31.797304"/>
    <n v="89.611986999999999"/>
    <m/>
    <n v="242929351.31786501"/>
    <n v="68.01327169801489"/>
  </r>
  <r>
    <x v="1013"/>
    <n v="565.13189999999997"/>
    <n v="116.417"/>
    <n v="320.08280000000002"/>
    <m/>
    <n v="357167861.94999999"/>
    <n v="158.225854"/>
    <n v="32.594478000000002"/>
    <n v="89.616910000000004"/>
    <m/>
    <n v="243233160.14063501"/>
    <n v="68.100516886562787"/>
  </r>
  <r>
    <x v="1014"/>
    <n v="565.89490000000001"/>
    <n v="117.94710000000001"/>
    <n v="317.52120000000002"/>
    <m/>
    <n v="357316542.31999999"/>
    <n v="158.37355199999999"/>
    <n v="33.009135000000001"/>
    <n v="88.862719999999996"/>
    <m/>
    <n v="241177080.34178099"/>
    <n v="67.496757574070372"/>
  </r>
  <r>
    <x v="1015"/>
    <n v="554.21969999999999"/>
    <n v="116.6048"/>
    <n v="315.14120000000003"/>
    <m/>
    <n v="356890458.05000001"/>
    <n v="155.29126299999999"/>
    <n v="32.672434000000003"/>
    <n v="88.301940999999999"/>
    <m/>
    <n v="239628579.92039001"/>
    <n v="67.14345382885476"/>
  </r>
  <r>
    <x v="1016"/>
    <n v="555.79499999999996"/>
    <n v="116.8968"/>
    <n v="315.22030000000001"/>
    <m/>
    <n v="357191857.39999998"/>
    <n v="155.60125099999999"/>
    <n v="32.726613999999998"/>
    <n v="88.249576000000005"/>
    <m/>
    <n v="239706516.98214999"/>
    <n v="67.10861740437592"/>
  </r>
  <r>
    <x v="1017"/>
    <n v="553.89660000000003"/>
    <n v="115.9374"/>
    <n v="316.08890000000002"/>
    <m/>
    <n v="357640512.27999997"/>
    <n v="154.87523999999999"/>
    <n v="32.417301000000002"/>
    <n v="88.381737999999999"/>
    <m/>
    <n v="240180666.80390301"/>
    <n v="67.157007821268138"/>
  </r>
  <r>
    <x v="1018"/>
    <n v="553.55849999999998"/>
    <n v="115.2204"/>
    <n v="352.24560000000002"/>
    <m/>
    <n v="357829144.41000003"/>
    <n v="154.69910999999999"/>
    <n v="32.199837000000002"/>
    <n v="98.439605999999998"/>
    <m/>
    <n v="240771463.65083799"/>
    <n v="67.286711385074454"/>
  </r>
  <r>
    <x v="1019"/>
    <n v="554.42290000000003"/>
    <n v="115.3603"/>
    <n v="352.53399999999999"/>
    <m/>
    <n v="357722586.14999998"/>
    <n v="154.986831"/>
    <n v="32.248536999999999"/>
    <n v="98.549549999999996"/>
    <m/>
    <n v="240619980.02030501"/>
    <n v="67.264408045906393"/>
  </r>
  <r>
    <x v="1020"/>
    <n v="621.96010000000001"/>
    <n v="129.1798"/>
    <n v="403.99650000000003"/>
    <m/>
    <n v="357445458.60000002"/>
    <n v="174.00139899999999"/>
    <n v="36.139722999999996"/>
    <n v="113.023257"/>
    <m/>
    <n v="253979249.15223399"/>
    <n v="71.053986850746341"/>
  </r>
  <r>
    <x v="1021"/>
    <n v="622.5077"/>
    <n v="129.63749999999999"/>
    <n v="403.49"/>
    <m/>
    <n v="357505278.31"/>
    <n v="174.12545700000001"/>
    <n v="36.261702"/>
    <n v="112.862669"/>
    <m/>
    <n v="253716580.999955"/>
    <n v="70.968625190465644"/>
  </r>
  <r>
    <x v="1022"/>
    <n v="683.79319999999996"/>
    <n v="142.0291"/>
    <n v="441.23180000000002"/>
    <m/>
    <n v="358023124.69"/>
    <n v="190.99135000000001"/>
    <n v="39.670369999999998"/>
    <n v="123.241145"/>
    <m/>
    <n v="263663657.72337201"/>
    <n v="73.64430941483721"/>
  </r>
  <r>
    <x v="1023"/>
    <n v="685.61569999999995"/>
    <n v="142.1437"/>
    <n v="441.82940000000002"/>
    <m/>
    <n v="358190799.62"/>
    <n v="191.410751"/>
    <n v="39.683793999999999"/>
    <n v="123.35029299999999"/>
    <m/>
    <n v="263822586.65860301"/>
    <n v="73.654205227629802"/>
  </r>
  <r>
    <x v="1024"/>
    <n v="692.80169999999998"/>
    <n v="143.0412"/>
    <n v="442.42590000000001"/>
    <m/>
    <n v="358574029.95999998"/>
    <n v="193.210228"/>
    <n v="39.891679000000003"/>
    <n v="123.38481400000001"/>
    <m/>
    <n v="264463211.375514"/>
    <n v="73.754145386662742"/>
  </r>
  <r>
    <x v="1025"/>
    <n v="664.3519"/>
    <n v="137.4384"/>
    <n v="441.58510000000001"/>
    <m/>
    <n v="358515445"/>
    <n v="185.306354"/>
    <n v="38.335419999999999"/>
    <n v="123.17045400000001"/>
    <m/>
    <n v="257626743.417119"/>
    <n v="71.859315131352005"/>
  </r>
  <r>
    <x v="1026"/>
    <n v="660.13610000000006"/>
    <n v="135.4862"/>
    <n v="442.04610000000002"/>
    <m/>
    <n v="357945223.33999997"/>
    <n v="184.423777"/>
    <n v="37.851098999999998"/>
    <n v="123.49545999999999"/>
    <m/>
    <n v="256898226.45141199"/>
    <n v="71.770262515109224"/>
  </r>
  <r>
    <x v="1027"/>
    <n v="649.97569999999996"/>
    <n v="133.35380000000001"/>
    <n v="442.61410000000001"/>
    <m/>
    <n v="357800230.44999999"/>
    <n v="181.658827"/>
    <n v="37.270462000000002"/>
    <n v="123.704252"/>
    <m/>
    <n v="254272519.69706699"/>
    <n v="71.065499141035275"/>
  </r>
  <r>
    <x v="1028"/>
    <n v="648.43079999999998"/>
    <n v="132.98949999999999"/>
    <n v="442.31869999999998"/>
    <m/>
    <n v="356958733.74000001"/>
    <n v="181.65427500000001"/>
    <n v="37.256267000000001"/>
    <n v="123.91311899999999"/>
    <m/>
    <n v="253628728.76188999"/>
    <n v="71.052674942148059"/>
  </r>
  <r>
    <x v="1029"/>
    <n v="678.28049999999996"/>
    <n v="138.31909999999999"/>
    <n v="437.8186"/>
    <m/>
    <n v="356945450.62"/>
    <n v="190.023573"/>
    <n v="38.750767000000003"/>
    <n v="122.657005"/>
    <m/>
    <n v="284179916.00306398"/>
    <n v="79.614382396373117"/>
  </r>
  <r>
    <x v="1030"/>
    <n v="623.40769999999998"/>
    <n v="125.9667"/>
    <n v="410.1506"/>
    <m/>
    <n v="358751611.69"/>
    <n v="173.771401"/>
    <n v="35.112510999999998"/>
    <n v="114.32718"/>
    <m/>
    <n v="284669983.76802403"/>
    <n v="79.350161641645684"/>
  </r>
  <r>
    <x v="1031"/>
    <n v="626.94259999999997"/>
    <n v="125.8519"/>
    <n v="450.81459999999998"/>
    <m/>
    <n v="358119235.63999999"/>
    <n v="175.065324"/>
    <n v="35.142457"/>
    <n v="125.883939"/>
    <m/>
    <n v="285296035.81100702"/>
    <n v="79.665096822054366"/>
  </r>
  <r>
    <x v="1032"/>
    <n v="583.47540000000004"/>
    <n v="118.08629999999999"/>
    <n v="449.10899999999998"/>
    <m/>
    <n v="356962932.30000001"/>
    <n v="163.45545899999999"/>
    <n v="33.080829999999999"/>
    <n v="125.81390399999999"/>
    <m/>
    <n v="275931994.08684999"/>
    <n v="77.299901227545462"/>
  </r>
  <r>
    <x v="1033"/>
    <n v="531.62139999999999"/>
    <n v="108.4671"/>
    <n v="424.92450000000002"/>
    <m/>
    <n v="356165611.85000002"/>
    <n v="149.262417"/>
    <n v="30.454118999999999"/>
    <n v="119.305314"/>
    <m/>
    <n v="275607773.85127401"/>
    <n v="77.381915794651974"/>
  </r>
  <r>
    <x v="1034"/>
    <n v="539.66139999999996"/>
    <n v="109.7312"/>
    <n v="424.92079999999999"/>
    <m/>
    <n v="357374398.13999999"/>
    <n v="151.00729200000001"/>
    <n v="30.704830000000001"/>
    <n v="118.900739"/>
    <m/>
    <n v="263826262.534996"/>
    <n v="73.823492647518393"/>
  </r>
  <r>
    <x v="1035"/>
    <n v="495.053"/>
    <n v="99.856399999999994"/>
    <n v="397.95549999999997"/>
    <m/>
    <n v="358497275.13999999"/>
    <n v="138.09114700000001"/>
    <n v="27.854158999999999"/>
    <n v="111.006562"/>
    <m/>
    <n v="254907501.25923899"/>
    <n v="71.104445957000024"/>
  </r>
  <r>
    <x v="1036"/>
    <n v="495.34840000000003"/>
    <n v="100.8857"/>
    <n v="396.238"/>
    <m/>
    <n v="357812580.26999998"/>
    <n v="138.43795"/>
    <n v="28.195124"/>
    <n v="110.73898"/>
    <m/>
    <n v="255099286.86037099"/>
    <n v="71.294107844916169"/>
  </r>
  <r>
    <x v="1037"/>
    <n v="497.88670000000002"/>
    <n v="99.733199999999997"/>
    <n v="397.28230000000002"/>
    <m/>
    <n v="358988502.47000003"/>
    <n v="138.69154499999999"/>
    <n v="27.781725000000002"/>
    <n v="110.66713799999999"/>
    <m/>
    <n v="253879598.302394"/>
    <n v="70.720816002626776"/>
  </r>
  <r>
    <x v="1038"/>
    <n v="496.82319999999999"/>
    <n v="99.483699999999999"/>
    <n v="397.0077"/>
    <m/>
    <n v="358901576.92000002"/>
    <n v="138.42881499999999"/>
    <n v="27.718935999999999"/>
    <n v="110.61743"/>
    <m/>
    <n v="254060002.85780001"/>
    <n v="70.788210249193355"/>
  </r>
  <r>
    <x v="1039"/>
    <n v="498.74740000000003"/>
    <n v="100.6896"/>
    <n v="395.11860000000001"/>
    <m/>
    <n v="358085740.81"/>
    <n v="139.28155799999999"/>
    <n v="28.118852"/>
    <n v="110.341897"/>
    <m/>
    <n v="253739611.85017601"/>
    <n v="70.860015614196158"/>
  </r>
  <r>
    <x v="1040"/>
    <n v="501.05380000000002"/>
    <n v="101.5162"/>
    <n v="394.93209999999999"/>
    <m/>
    <n v="358235121.18000001"/>
    <n v="139.867302"/>
    <n v="28.337869000000001"/>
    <n v="110.243825"/>
    <m/>
    <n v="254052085.055626"/>
    <n v="70.917693446359252"/>
  </r>
  <r>
    <x v="1041"/>
    <n v="499.73880000000003"/>
    <n v="100.8224"/>
    <n v="395.79669999999999"/>
    <m/>
    <n v="358660867.33999997"/>
    <n v="139.334632"/>
    <n v="28.110789"/>
    <n v="110.354024"/>
    <m/>
    <n v="254379845.391186"/>
    <n v="70.924895508614654"/>
  </r>
  <r>
    <x v="1042"/>
    <n v="498.7174"/>
    <n v="101.125"/>
    <n v="406.8485"/>
    <m/>
    <n v="358115894.31"/>
    <n v="139.26145399999999"/>
    <n v="28.238064999999999"/>
    <n v="113.608054"/>
    <m/>
    <n v="254274156.06536099"/>
    <n v="71.003314878074278"/>
  </r>
  <r>
    <x v="1043"/>
    <n v="476.35149999999999"/>
    <n v="98.118499999999997"/>
    <n v="395.4896"/>
    <m/>
    <n v="358691570.69"/>
    <n v="132.80253500000001"/>
    <n v="27.354559999999999"/>
    <n v="110.258961"/>
    <m/>
    <n v="253828961.30618599"/>
    <n v="70.765242912707933"/>
  </r>
  <r>
    <x v="1044"/>
    <n v="477.70749999999998"/>
    <n v="97.541700000000006"/>
    <n v="397.20119999999997"/>
    <m/>
    <n v="359304961.04000002"/>
    <n v="132.953216"/>
    <n v="27.147328999999999"/>
    <n v="110.547096"/>
    <m/>
    <n v="253622468.398471"/>
    <n v="70.586965363452407"/>
  </r>
  <r>
    <x v="1045"/>
    <n v="478.04689999999999"/>
    <n v="97.207999999999998"/>
    <n v="396.78"/>
    <m/>
    <n v="358984720.20999998"/>
    <n v="133.16636399999999"/>
    <n v="27.078589999999998"/>
    <n v="110.528381"/>
    <m/>
    <n v="253500989.04374501"/>
    <n v="70.616094438629929"/>
  </r>
  <r>
    <x v="1046"/>
    <n v="482.54899999999998"/>
    <n v="97.032300000000006"/>
    <n v="397.19170000000003"/>
    <m/>
    <n v="358687805.12"/>
    <n v="134.531755"/>
    <n v="27.052021"/>
    <n v="110.73465400000001"/>
    <m/>
    <n v="253576148.84206501"/>
    <n v="70.695503226609674"/>
  </r>
  <r>
    <x v="1047"/>
    <n v="428.6182"/>
    <n v="88.366900000000001"/>
    <n v="365.15539999999999"/>
    <m/>
    <n v="357221609.98000002"/>
    <n v="119.986638"/>
    <n v="24.737276999999999"/>
    <n v="102.22097100000001"/>
    <m/>
    <n v="247123068.66777799"/>
    <n v="69.179204662790085"/>
  </r>
  <r>
    <x v="1048"/>
    <n v="419.27749999999997"/>
    <n v="87.131399999999999"/>
    <n v="364.52550000000002"/>
    <m/>
    <n v="356496807.75"/>
    <n v="117.61045"/>
    <n v="24.441004"/>
    <n v="102.25210800000001"/>
    <m/>
    <n v="245214111.815505"/>
    <n v="68.784378004154789"/>
  </r>
  <r>
    <x v="1049"/>
    <n v="416.43259999999998"/>
    <n v="86.509799999999998"/>
    <n v="364.8503"/>
    <m/>
    <n v="356544380.56"/>
    <n v="116.79684899999999"/>
    <n v="24.263403"/>
    <n v="102.329561"/>
    <m/>
    <n v="244915280.273864"/>
    <n v="68.691386999058082"/>
  </r>
  <r>
    <x v="1050"/>
    <n v="414.67230000000001"/>
    <n v="86.247200000000007"/>
    <n v="365.2783"/>
    <m/>
    <n v="356875997.17000002"/>
    <n v="116.195066"/>
    <n v="24.167273999999999"/>
    <n v="102.354404"/>
    <m/>
    <n v="244647805.84771499"/>
    <n v="68.552608689784066"/>
  </r>
  <r>
    <x v="1051"/>
    <n v="418.77379999999999"/>
    <n v="87.2971"/>
    <n v="365.06060000000002"/>
    <m/>
    <n v="358104206.48000002"/>
    <n v="116.94188200000001"/>
    <n v="24.377569000000001"/>
    <n v="101.942561"/>
    <m/>
    <n v="245112484.652695"/>
    <n v="68.447250888795253"/>
  </r>
  <r>
    <x v="1052"/>
    <n v="419.89780000000002"/>
    <n v="87.238500000000002"/>
    <n v="365.20229999999998"/>
    <m/>
    <n v="357085994.74000001"/>
    <n v="117.59010600000001"/>
    <n v="24.430669999999999"/>
    <n v="102.272927"/>
    <m/>
    <n v="245781375.97130799"/>
    <n v="68.829743980932463"/>
  </r>
  <r>
    <x v="1053"/>
    <n v="419.42160000000001"/>
    <n v="87.567499999999995"/>
    <n v="364.1053"/>
    <m/>
    <n v="356526465.25999999"/>
    <n v="117.64108400000001"/>
    <n v="24.56129"/>
    <n v="102.125743"/>
    <m/>
    <n v="245641922.972101"/>
    <n v="68.898650425001279"/>
  </r>
  <r>
    <x v="1054"/>
    <n v="416.18849999999998"/>
    <n v="86.342200000000005"/>
    <n v="364.95319999999998"/>
    <m/>
    <n v="356484604.36000001"/>
    <n v="116.74795899999999"/>
    <n v="24.220457"/>
    <n v="102.375585"/>
    <m/>
    <n v="245118531.31468001"/>
    <n v="68.759920713755236"/>
  </r>
  <r>
    <x v="1055"/>
    <n v="419.24380000000002"/>
    <n v="86.656800000000004"/>
    <n v="366.02620000000002"/>
    <m/>
    <n v="357310349.36000001"/>
    <n v="117.333237"/>
    <n v="24.25253"/>
    <n v="102.439294"/>
    <m/>
    <n v="245752355.401539"/>
    <n v="68.778403939802118"/>
  </r>
  <r>
    <x v="1056"/>
    <n v="425.04579999999999"/>
    <n v="88.688199999999995"/>
    <n v="364.58929999999998"/>
    <m/>
    <n v="356847927.44999999"/>
    <n v="119.111186"/>
    <n v="24.85322"/>
    <n v="102.169376"/>
    <m/>
    <n v="245734227.729983"/>
    <n v="68.862450592322475"/>
  </r>
  <r>
    <x v="1057"/>
    <n v="427.3261"/>
    <n v="88.9328"/>
    <n v="365.47500000000002"/>
    <m/>
    <n v="357630209.20999998"/>
    <n v="119.48825600000001"/>
    <n v="24.867251"/>
    <n v="102.19354800000001"/>
    <m/>
    <n v="245092668.64665699"/>
    <n v="68.532428842648159"/>
  </r>
  <r>
    <x v="1058"/>
    <n v="428.37880000000001"/>
    <n v="89.790300000000002"/>
    <n v="363.93180000000001"/>
    <m/>
    <n v="357155931.85000002"/>
    <n v="119.94167299999999"/>
    <n v="25.140364000000002"/>
    <n v="101.89717400000001"/>
    <m/>
    <n v="245188289.74485099"/>
    <n v="68.650207900740199"/>
  </r>
  <r>
    <x v="1059"/>
    <n v="422.2183"/>
    <n v="87.879000000000005"/>
    <n v="364.88760000000002"/>
    <m/>
    <n v="357634520.12"/>
    <n v="118.058598"/>
    <n v="24.572292000000001"/>
    <n v="102.02807"/>
    <m/>
    <n v="245550758.82806501"/>
    <n v="68.659691672289739"/>
  </r>
  <r>
    <x v="1060"/>
    <n v="417.28219999999999"/>
    <n v="86.820999999999998"/>
    <n v="365.12520000000001"/>
    <m/>
    <n v="357563309.54000002"/>
    <n v="116.701627"/>
    <n v="24.281293999999999"/>
    <n v="102.11484"/>
    <m/>
    <n v="245187886.265549"/>
    <n v="68.571880761753661"/>
  </r>
  <r>
    <x v="1061"/>
    <n v="414.25060000000002"/>
    <n v="87.325400000000002"/>
    <n v="362.62599999999998"/>
    <m/>
    <n v="356447131.61000001"/>
    <n v="116.216562"/>
    <n v="24.498837000000002"/>
    <n v="101.73345999999999"/>
    <m/>
    <n v="244876329.926624"/>
    <n v="68.699200585670823"/>
  </r>
  <r>
    <x v="1062"/>
    <n v="410.81509999999997"/>
    <n v="86.634500000000003"/>
    <n v="322.6146"/>
    <m/>
    <n v="356220380.42000002"/>
    <n v="115.326108"/>
    <n v="24.320478000000001"/>
    <n v="90.566013999999996"/>
    <m/>
    <n v="244541015.49725601"/>
    <n v="68.648799714640433"/>
  </r>
  <r>
    <x v="1063"/>
    <n v="411.22500000000002"/>
    <n v="85.599500000000006"/>
    <n v="324.43020000000001"/>
    <m/>
    <n v="356891758.88"/>
    <n v="115.224011"/>
    <n v="23.984722999999999"/>
    <n v="90.904369000000003"/>
    <m/>
    <n v="245112485.78121999"/>
    <n v="68.679783066561569"/>
  </r>
  <r>
    <x v="1064"/>
    <n v="414.62189999999998"/>
    <n v="85.437600000000003"/>
    <n v="326.67140000000001"/>
    <m/>
    <n v="357919722.51999998"/>
    <n v="115.84214900000001"/>
    <n v="23.870604"/>
    <n v="91.269461000000007"/>
    <m/>
    <n v="245665595.73402801"/>
    <n v="68.637065877335274"/>
  </r>
  <r>
    <x v="1065"/>
    <n v="415.65839999999997"/>
    <n v="86.855500000000006"/>
    <n v="324.2525"/>
    <m/>
    <n v="357401404.61000001"/>
    <n v="116.300158"/>
    <n v="24.301946999999998"/>
    <n v="90.725020999999998"/>
    <m/>
    <n v="245541840.32182199"/>
    <n v="68.701979666185053"/>
  </r>
  <r>
    <x v="1066"/>
    <n v="419.47570000000002"/>
    <n v="86.770200000000003"/>
    <n v="326.22930000000002"/>
    <m/>
    <n v="358309104.43000001"/>
    <n v="117.070902"/>
    <n v="24.216577000000001"/>
    <n v="91.046891000000002"/>
    <m/>
    <n v="246389284.46109501"/>
    <n v="68.764449860422147"/>
  </r>
  <r>
    <x v="1067"/>
    <n v="428.34300000000002"/>
    <n v="88.840599999999995"/>
    <n v="332.94749999999999"/>
    <m/>
    <n v="357821868.31"/>
    <n v="119.70844700000001"/>
    <n v="24.828164000000001"/>
    <n v="93.048393000000004"/>
    <m/>
    <n v="248228357.91009599"/>
    <n v="69.372047908218576"/>
  </r>
  <r>
    <x v="1068"/>
    <n v="432.80450000000002"/>
    <n v="89.599599999999995"/>
    <n v="333.34390000000002"/>
    <m/>
    <n v="358107483.31999999"/>
    <n v="120.85882599999999"/>
    <n v="25.020309000000001"/>
    <n v="93.084873999999999"/>
    <m/>
    <n v="248744901.18428901"/>
    <n v="69.460961518643813"/>
  </r>
  <r>
    <x v="1069"/>
    <n v="425.0308"/>
    <n v="88.561000000000007"/>
    <n v="333.11579999999998"/>
    <m/>
    <n v="357707132.41000003"/>
    <n v="118.82089000000001"/>
    <n v="24.757963"/>
    <n v="93.125288999999995"/>
    <m/>
    <n v="246759376.65334401"/>
    <n v="68.983633340168097"/>
  </r>
  <r>
    <x v="1070"/>
    <n v="437.79730000000001"/>
    <n v="90.299899999999994"/>
    <n v="340.62169999999998"/>
    <m/>
    <n v="358438081.69999999"/>
    <n v="122.140287"/>
    <n v="25.192608"/>
    <n v="95.029439999999994"/>
    <m/>
    <n v="249456882.93278101"/>
    <n v="69.595530070258434"/>
  </r>
  <r>
    <x v="1071"/>
    <n v="438.33519999999999"/>
    <n v="89.488799999999998"/>
    <n v="341.28550000000001"/>
    <m/>
    <n v="358436337.95999998"/>
    <n v="122.290949"/>
    <n v="24.966442000000001"/>
    <n v="95.215095000000005"/>
    <m/>
    <n v="249071747.10243499"/>
    <n v="69.488419762348528"/>
  </r>
  <r>
    <x v="1072"/>
    <n v="427.07679999999999"/>
    <n v="86.825599999999994"/>
    <n v="341.17630000000003"/>
    <m/>
    <n v="357449566.72000003"/>
    <n v="119.478897"/>
    <n v="24.290308"/>
    <n v="95.447395"/>
    <m/>
    <n v="247240100.086371"/>
    <n v="69.167827605744705"/>
  </r>
  <r>
    <x v="1073"/>
    <n v="375.67939999999999"/>
    <n v="75.585700000000003"/>
    <n v="311.03660000000002"/>
    <m/>
    <n v="296231257.66000003"/>
    <n v="126.81963500000001"/>
    <n v="25.515775000000001"/>
    <n v="104.9979"/>
    <m/>
    <n v="245948093.497244"/>
    <n v="83.025706145950124"/>
  </r>
  <r>
    <x v="1074"/>
    <n v="379.80110000000002"/>
    <n v="75.501300000000001"/>
    <n v="339.38799999999998"/>
    <m/>
    <n v="295724665.12"/>
    <n v="128.43064699999999"/>
    <n v="25.530944000000002"/>
    <n v="114.764861"/>
    <m/>
    <n v="245746563.195097"/>
    <n v="83.099785773830277"/>
  </r>
  <r>
    <x v="1075"/>
    <n v="370.63170000000002"/>
    <n v="74.288399999999996"/>
    <n v="338.84179999999998"/>
    <m/>
    <n v="295093393.55000001"/>
    <n v="125.598102"/>
    <n v="25.174538999999999"/>
    <n v="114.825275"/>
    <m/>
    <n v="245289763.411053"/>
    <n v="83.122756650088007"/>
  </r>
  <r>
    <x v="1076"/>
    <n v="338.69639999999998"/>
    <n v="67.704300000000003"/>
    <n v="335.68090000000001"/>
    <m/>
    <n v="295716932.36000001"/>
    <n v="114.53398900000001"/>
    <n v="22.894969"/>
    <n v="113.514264"/>
    <m/>
    <n v="233697246.08934799"/>
    <n v="79.027346937594203"/>
  </r>
  <r>
    <x v="1077"/>
    <n v="348.8057"/>
    <n v="69.972200000000001"/>
    <n v="335.8605"/>
    <m/>
    <n v="295664256.22000003"/>
    <n v="117.97357700000001"/>
    <n v="23.6661"/>
    <n v="113.59523299999999"/>
    <m/>
    <n v="233538831.61737299"/>
    <n v="78.987847433137034"/>
  </r>
  <r>
    <x v="1078"/>
    <n v="332.41890000000001"/>
    <n v="67.283799999999999"/>
    <n v="312.80950000000001"/>
    <m/>
    <n v="295119996.67000002"/>
    <n v="112.638555"/>
    <n v="22.798794000000001"/>
    <n v="105.994004"/>
    <m/>
    <n v="228475868.13560101"/>
    <n v="77.41795564977599"/>
  </r>
  <r>
    <x v="1079"/>
    <n v="329.91210000000001"/>
    <n v="66.422300000000007"/>
    <n v="313.01560000000001"/>
    <m/>
    <n v="295593634.82999998"/>
    <n v="111.610015"/>
    <n v="22.470815000000002"/>
    <n v="105.893891"/>
    <m/>
    <n v="228641319.20604801"/>
    <n v="77.349879112770083"/>
  </r>
  <r>
    <x v="1080"/>
    <n v="334.3424"/>
    <n v="66.662700000000001"/>
    <n v="313.66860000000003"/>
    <m/>
    <n v="295907574.07999998"/>
    <n v="112.988794"/>
    <n v="22.528217000000001"/>
    <n v="106.00222100000001"/>
    <m/>
    <n v="228890479.41841701"/>
    <n v="77.352017815040924"/>
  </r>
  <r>
    <x v="1081"/>
    <n v="345.67989999999998"/>
    <n v="67.9803"/>
    <n v="314.7663"/>
    <m/>
    <n v="296611996.67000002"/>
    <n v="116.54279099999999"/>
    <n v="22.918931000000001"/>
    <n v="106.12055599999999"/>
    <m/>
    <n v="229621901.83068401"/>
    <n v="77.414907154329697"/>
  </r>
  <r>
    <x v="1082"/>
    <n v="340.51229999999998"/>
    <n v="67.258600000000001"/>
    <n v="314.14920000000001"/>
    <m/>
    <n v="296324021.47000003"/>
    <n v="114.912149"/>
    <n v="22.697654"/>
    <n v="106.015435"/>
    <m/>
    <n v="228931680.81541601"/>
    <n v="77.257213127621227"/>
  </r>
  <r>
    <x v="1083"/>
    <n v="340.47879999999998"/>
    <n v="67.336600000000004"/>
    <n v="313.59750000000003"/>
    <m/>
    <n v="296612440.52999997"/>
    <n v="114.789117"/>
    <n v="22.701879999999999"/>
    <n v="105.726348"/>
    <m/>
    <n v="228929081.941255"/>
    <n v="77.181213819688281"/>
  </r>
  <r>
    <x v="1084"/>
    <n v="338.38940000000002"/>
    <n v="66.899199999999993"/>
    <n v="313.3741"/>
    <m/>
    <n v="296417876.37"/>
    <n v="114.15957899999999"/>
    <n v="22.569219"/>
    <n v="105.720378"/>
    <m/>
    <n v="228864233.640201"/>
    <n v="77.2099970632419"/>
  </r>
  <r>
    <x v="1085"/>
    <n v="333.09890000000001"/>
    <n v="66.348799999999997"/>
    <n v="312.65350000000001"/>
    <m/>
    <n v="296106729.76999998"/>
    <n v="112.49285"/>
    <n v="22.407056000000001"/>
    <n v="105.58811"/>
    <m/>
    <n v="228220200.732014"/>
    <n v="77.073628454606009"/>
  </r>
  <r>
    <x v="1086"/>
    <n v="338.17489999999998"/>
    <n v="66.965900000000005"/>
    <n v="313.42320000000001"/>
    <m/>
    <n v="296681996.66000003"/>
    <n v="113.985649"/>
    <n v="22.571608999999999"/>
    <n v="105.64281099999999"/>
    <m/>
    <n v="228514167.816688"/>
    <n v="77.023267467950575"/>
  </r>
  <r>
    <x v="1087"/>
    <n v="332.71249999999998"/>
    <n v="65.703900000000004"/>
    <n v="313.2799"/>
    <m/>
    <n v="295999396.29000002"/>
    <n v="112.40310100000001"/>
    <n v="22.197309000000001"/>
    <n v="105.83802"/>
    <m/>
    <n v="227595426.77680701"/>
    <n v="76.890503706914501"/>
  </r>
  <r>
    <x v="1088"/>
    <n v="327.33109999999999"/>
    <n v="65.490200000000002"/>
    <n v="313.048"/>
    <m/>
    <n v="296083202.49000001"/>
    <n v="110.55375600000001"/>
    <n v="22.118849999999998"/>
    <n v="105.72974000000001"/>
    <m/>
    <n v="227965391.27350101"/>
    <n v="76.993692771612189"/>
  </r>
  <r>
    <x v="1089"/>
    <n v="331.31180000000001"/>
    <n v="66.055000000000007"/>
    <n v="313.44580000000002"/>
    <m/>
    <n v="296543348.26999998"/>
    <n v="111.724577"/>
    <n v="22.274989999999999"/>
    <n v="105.699825"/>
    <m/>
    <n v="228340541.90620399"/>
    <n v="77.000729653292382"/>
  </r>
  <r>
    <x v="1090"/>
    <n v="328.50170000000003"/>
    <n v="65.265600000000006"/>
    <n v="313.71280000000002"/>
    <m/>
    <n v="296538426.92000002"/>
    <n v="110.778796"/>
    <n v="22.009153999999999"/>
    <n v="105.791618"/>
    <m/>
    <n v="226834533.03441399"/>
    <n v="76.494144583699878"/>
  </r>
  <r>
    <x v="1091"/>
    <n v="320.11219999999997"/>
    <n v="64.375600000000006"/>
    <n v="313.79039999999998"/>
    <m/>
    <n v="296356455.64999998"/>
    <n v="108.015936"/>
    <n v="21.722355"/>
    <n v="105.882762"/>
    <m/>
    <n v="226498267.729761"/>
    <n v="76.427647655922087"/>
  </r>
  <r>
    <x v="1092"/>
    <n v="314.88010000000003"/>
    <n v="64.334000000000003"/>
    <n v="311.52089999999998"/>
    <m/>
    <n v="295170730.63"/>
    <n v="106.677278"/>
    <n v="21.795521000000001"/>
    <n v="105.539224"/>
    <m/>
    <n v="226217188.208314"/>
    <n v="76.639437699491936"/>
  </r>
  <r>
    <x v="1093"/>
    <n v="305.3639"/>
    <n v="62.345300000000002"/>
    <n v="312.7568"/>
    <m/>
    <n v="295450075.58999997"/>
    <n v="103.35549899999999"/>
    <n v="21.101804999999999"/>
    <n v="105.857749"/>
    <m/>
    <n v="225808452.66436601"/>
    <n v="76.42863255778056"/>
  </r>
  <r>
    <x v="1094"/>
    <n v="300.17090000000002"/>
    <n v="61.637999999999998"/>
    <n v="312.22399999999999"/>
    <m/>
    <n v="294525765.47000003"/>
    <n v="101.916686"/>
    <n v="20.927879999999998"/>
    <n v="106.009062"/>
    <m/>
    <n v="225509047.8671"/>
    <n v="76.566831939893561"/>
  </r>
  <r>
    <x v="1095"/>
    <n v="301.23590000000002"/>
    <n v="62.352600000000002"/>
    <n v="309.63220000000001"/>
    <m/>
    <n v="294274965.5"/>
    <n v="102.365452"/>
    <n v="21.188551"/>
    <n v="105.21866799999999"/>
    <m/>
    <n v="225894928.64371499"/>
    <n v="76.763216422402408"/>
  </r>
  <r>
    <x v="1096"/>
    <n v="316.4169"/>
    <n v="65.8673"/>
    <n v="315.34140000000002"/>
    <m/>
    <n v="295019235.88999999"/>
    <n v="107.252973"/>
    <n v="22.326442"/>
    <n v="106.88842"/>
    <m/>
    <n v="210105966.145179"/>
    <n v="71.217717553684707"/>
  </r>
  <r>
    <x v="1097"/>
    <n v="317.36829999999998"/>
    <n v="66.091800000000006"/>
    <n v="284.40030000000002"/>
    <m/>
    <n v="294689947.54000002"/>
    <n v="107.69566500000001"/>
    <n v="22.427572000000001"/>
    <n v="96.508313999999999"/>
    <m/>
    <n v="210095464.94084701"/>
    <n v="71.293733191333075"/>
  </r>
  <r>
    <x v="1098"/>
    <n v="312.77480000000003"/>
    <n v="66.191199999999995"/>
    <n v="258.30419999999998"/>
    <m/>
    <n v="293574144.18000001"/>
    <n v="106.54030899999999"/>
    <n v="22.546672000000001"/>
    <n v="87.986018000000001"/>
    <m/>
    <n v="209080745.47890601"/>
    <n v="71.219059860636662"/>
  </r>
  <r>
    <x v="1099"/>
    <n v="316.34769999999997"/>
    <n v="67.171400000000006"/>
    <n v="257.93950000000001"/>
    <m/>
    <n v="293705378.97000003"/>
    <n v="107.70919499999999"/>
    <n v="22.870334"/>
    <n v="87.822531999999995"/>
    <m/>
    <n v="208704130.76302299"/>
    <n v="71.059008689228222"/>
  </r>
  <r>
    <x v="1100"/>
    <n v="318.6155"/>
    <n v="66.9589"/>
    <n v="258.12720000000002"/>
    <m/>
    <n v="294058550.61000001"/>
    <n v="108.351041"/>
    <n v="22.770600999999999"/>
    <n v="87.780885999999995"/>
    <m/>
    <n v="208996613.69283399"/>
    <n v="71.07312923201448"/>
  </r>
  <r>
    <x v="1101"/>
    <n v="313.4384"/>
    <n v="66.289000000000001"/>
    <n v="258.24419999999998"/>
    <m/>
    <n v="293852227.91000003"/>
    <n v="106.665313"/>
    <n v="22.558617000000002"/>
    <n v="87.882334999999998"/>
    <m/>
    <n v="208696776.762272"/>
    <n v="71.02099522831962"/>
  </r>
  <r>
    <x v="1102"/>
    <n v="315.8125"/>
    <n v="66.4756"/>
    <n v="258.2593"/>
    <m/>
    <n v="294110462.72000003"/>
    <n v="107.378873"/>
    <n v="22.602256000000001"/>
    <n v="87.810306999999995"/>
    <m/>
    <n v="209277528.749127"/>
    <n v="71.156097887059545"/>
  </r>
  <r>
    <x v="1103"/>
    <n v="315.00869999999998"/>
    <n v="66.1357"/>
    <n v="258.01490000000001"/>
    <m/>
    <n v="294179843.63999999"/>
    <n v="107.080314"/>
    <n v="22.481383999999998"/>
    <n v="87.706519"/>
    <m/>
    <n v="209240040.67243901"/>
    <n v="71.126572807787156"/>
  </r>
  <r>
    <x v="1104"/>
    <n v="317.05369999999999"/>
    <n v="66.343199999999996"/>
    <n v="258.4221"/>
    <m/>
    <n v="294745642.80000001"/>
    <n v="107.568579"/>
    <n v="22.508628000000002"/>
    <n v="87.676309000000003"/>
    <m/>
    <n v="209566039.99738899"/>
    <n v="71.100640540966452"/>
  </r>
  <r>
    <x v="1105"/>
    <n v="317.1576"/>
    <n v="66.391400000000004"/>
    <n v="258.63119999999998"/>
    <m/>
    <n v="295051871.44"/>
    <n v="107.49215"/>
    <n v="22.501602999999999"/>
    <n v="87.656180000000006"/>
    <m/>
    <n v="209678038.128492"/>
    <n v="71.064805352753339"/>
  </r>
  <r>
    <x v="1106"/>
    <n v="320.05040000000002"/>
    <n v="66.673699999999997"/>
    <n v="259.8612"/>
    <m/>
    <n v="295905317.67000002"/>
    <n v="108.15973200000001"/>
    <n v="22.532105999999999"/>
    <n v="87.819036999999994"/>
    <m/>
    <n v="209769872.57283801"/>
    <n v="70.890876252105045"/>
  </r>
  <r>
    <x v="1107"/>
    <n v="317.80380000000002"/>
    <n v="66.582899999999995"/>
    <n v="259.3963"/>
    <m/>
    <n v="295568950.87"/>
    <n v="107.522728"/>
    <n v="22.527028000000001"/>
    <n v="87.761688000000007"/>
    <m/>
    <n v="209871612.22430199"/>
    <n v="71.005973938246896"/>
  </r>
  <r>
    <x v="1108"/>
    <n v="315.15629999999999"/>
    <n v="66.005899999999997"/>
    <n v="259.35379999999998"/>
    <m/>
    <n v="295560440.54000002"/>
    <n v="106.63006799999999"/>
    <n v="22.332453999999998"/>
    <n v="87.749835000000004"/>
    <m/>
    <n v="209552783.783986"/>
    <n v="70.900145973908153"/>
  </r>
  <r>
    <x v="1109"/>
    <n v="315.27820000000003"/>
    <n v="64.700800000000001"/>
    <n v="259.90960000000001"/>
    <m/>
    <n v="295396756.19999999"/>
    <n v="106.73042"/>
    <n v="21.903016000000001"/>
    <n v="87.986613000000006"/>
    <m/>
    <n v="207774312.07562399"/>
    <n v="70.337370913764957"/>
  </r>
  <r>
    <x v="1110"/>
    <n v="315.27820000000003"/>
    <n v="64.6691"/>
    <n v="260.14769999999999"/>
    <m/>
    <n v="295561636.23000002"/>
    <n v="106.67088099999999"/>
    <n v="21.880071999999998"/>
    <n v="88.018088000000006"/>
    <m/>
    <n v="207997225.46427801"/>
    <n v="70.373553251822855"/>
  </r>
  <r>
    <x v="1111"/>
    <n v="315.27820000000003"/>
    <n v="64.275800000000004"/>
    <n v="260.20740000000001"/>
    <m/>
    <n v="295488406.47000003"/>
    <n v="106.697316"/>
    <n v="21.752393000000001"/>
    <n v="88.060104999999993"/>
    <m/>
    <n v="207969553.840628"/>
    <n v="70.381628952925595"/>
  </r>
  <r>
    <x v="1112"/>
    <n v="315.27820000000003"/>
    <n v="64.197199999999995"/>
    <n v="260.25029999999998"/>
    <m/>
    <n v="295850378.92000002"/>
    <n v="106.566772"/>
    <n v="21.699211999999999"/>
    <n v="87.966864000000001"/>
    <m/>
    <n v="207908482.58836401"/>
    <n v="70.274874531961956"/>
  </r>
  <r>
    <x v="1113"/>
    <n v="315.27820000000003"/>
    <n v="63.721699999999998"/>
    <n v="260.52190000000002"/>
    <m/>
    <n v="295805136.76999998"/>
    <n v="106.583071"/>
    <n v="21.541782999999999"/>
    <n v="88.072135000000003"/>
    <m/>
    <n v="207820702.08083001"/>
    <n v="70.255947665445277"/>
  </r>
  <r>
    <x v="1114"/>
    <n v="315.27820000000003"/>
    <n v="63.063600000000001"/>
    <n v="260.41109999999998"/>
    <m/>
    <n v="295404570.31999999"/>
    <n v="106.727597"/>
    <n v="21.348213999999999"/>
    <n v="88.154053000000005"/>
    <m/>
    <n v="207202691.57267201"/>
    <n v="70.142006045545472"/>
  </r>
  <r>
    <x v="1115"/>
    <n v="315.27820000000003"/>
    <n v="62.966900000000003"/>
    <n v="258.5154"/>
    <m/>
    <n v="293957788.38999999"/>
    <n v="107.252882"/>
    <n v="21.420387999999999"/>
    <n v="87.943034999999995"/>
    <m/>
    <n v="207817754.22878399"/>
    <n v="70.696461341268417"/>
  </r>
  <r>
    <x v="1116"/>
    <n v="315.27820000000003"/>
    <n v="62.528300000000002"/>
    <n v="257.87349999999998"/>
    <m/>
    <n v="294520207.44999999"/>
    <n v="107.04807099999999"/>
    <n v="21.230564000000001"/>
    <n v="87.557149999999993"/>
    <m/>
    <n v="207440056.34661701"/>
    <n v="70.433216838553818"/>
  </r>
  <r>
    <x v="1117"/>
    <n v="315.27820000000003"/>
    <n v="63.394599999999997"/>
    <n v="259.78089999999997"/>
    <m/>
    <n v="295006710.44999999"/>
    <n v="106.87153499999999"/>
    <n v="21.489205999999999"/>
    <n v="88.059319000000002"/>
    <m/>
    <n v="207153486.90464699"/>
    <n v="70.219923671789488"/>
  </r>
  <r>
    <x v="1118"/>
    <n v="315.27820000000003"/>
    <n v="62.287599999999998"/>
    <n v="259.8252"/>
    <m/>
    <n v="294185739.11000001"/>
    <n v="107.169777"/>
    <n v="21.172882000000001"/>
    <n v="88.320121"/>
    <m/>
    <n v="206529480.00792801"/>
    <n v="70.203770119089242"/>
  </r>
  <r>
    <x v="1119"/>
    <n v="315.27820000000003"/>
    <n v="62.604700000000001"/>
    <n v="259.72300000000001"/>
    <m/>
    <n v="294288381.81"/>
    <n v="107.13239799999999"/>
    <n v="21.273249"/>
    <n v="88.254587999999998"/>
    <m/>
    <n v="205841220.882112"/>
    <n v="69.945411917419236"/>
  </r>
  <r>
    <x v="1120"/>
    <n v="315.27820000000003"/>
    <n v="61.972799999999999"/>
    <n v="258.87520000000001"/>
    <m/>
    <n v="293666114.23000002"/>
    <n v="107.359407"/>
    <n v="21.103149999999999"/>
    <n v="88.152901"/>
    <m/>
    <n v="205575108.470557"/>
    <n v="70.003006308569212"/>
  </r>
  <r>
    <x v="1121"/>
    <n v="315.27820000000003"/>
    <n v="52.498699999999999"/>
    <n v="256.5573"/>
    <m/>
    <n v="292591397"/>
    <n v="107.753749"/>
    <n v="17.942667"/>
    <n v="87.684499000000002"/>
    <m/>
    <n v="188296556.78789899"/>
    <n v="64.354782375197104"/>
  </r>
  <r>
    <x v="1122"/>
    <n v="315.27820000000003"/>
    <n v="53.418300000000002"/>
    <n v="255.51339999999999"/>
    <m/>
    <n v="292077224.98000002"/>
    <n v="107.943439"/>
    <n v="18.289100999999999"/>
    <n v="87.481453000000002"/>
    <m/>
    <n v="188855923.21732101"/>
    <n v="64.65958557030693"/>
  </r>
  <r>
    <x v="1123"/>
    <n v="315.27820000000003"/>
    <n v="53.3399"/>
    <n v="254.88630000000001"/>
    <m/>
    <n v="291682883.82999998"/>
    <n v="108.08937299999999"/>
    <n v="18.286949"/>
    <n v="87.384730000000005"/>
    <m/>
    <n v="188578093.20776501"/>
    <n v="64.65175149518646"/>
  </r>
  <r>
    <x v="1124"/>
    <n v="315.27820000000003"/>
    <n v="52.930300000000003"/>
    <n v="254.5789"/>
    <m/>
    <n v="291567096.01999998"/>
    <n v="108.13229800000001"/>
    <n v="18.153728999999998"/>
    <n v="87.314002000000002"/>
    <m/>
    <n v="187920651.304102"/>
    <n v="64.451940520480278"/>
  </r>
  <r>
    <x v="1125"/>
    <n v="315.27820000000003"/>
    <n v="52.7301"/>
    <n v="255.64830000000001"/>
    <m/>
    <n v="292386146.18000001"/>
    <n v="107.829391"/>
    <n v="18.034403999999999"/>
    <n v="87.435162000000005"/>
    <m/>
    <n v="187754547.46449101"/>
    <n v="64.214584007309554"/>
  </r>
  <r>
    <x v="1126"/>
    <n v="315.27820000000003"/>
    <n v="52.288699999999999"/>
    <n v="256.06479999999999"/>
    <m/>
    <n v="292655423.94"/>
    <n v="107.730175"/>
    <n v="17.866985"/>
    <n v="87.497028999999998"/>
    <m/>
    <n v="187553629.93755099"/>
    <n v="64.086845687849987"/>
  </r>
  <r>
    <x v="1127"/>
    <n v="315.27820000000003"/>
    <n v="51.880299999999998"/>
    <n v="255.61429999999999"/>
    <m/>
    <n v="292316114.18000001"/>
    <n v="107.85522400000001"/>
    <n v="17.748011999999999"/>
    <n v="87.444478000000004"/>
    <m/>
    <n v="186843777.48525301"/>
    <n v="63.918398070316393"/>
  </r>
  <r>
    <x v="1128"/>
    <n v="315.27820000000003"/>
    <n v="51.941899999999997"/>
    <n v="255.07830000000001"/>
    <m/>
    <n v="291742145.64999998"/>
    <n v="108.06741700000001"/>
    <n v="17.804044000000001"/>
    <n v="87.432790999999995"/>
    <m/>
    <n v="186795425.99863201"/>
    <n v="64.027576674755977"/>
  </r>
  <r>
    <x v="1129"/>
    <n v="315.27820000000003"/>
    <n v="51.698599999999999"/>
    <n v="254.65629999999999"/>
    <m/>
    <n v="291059393.24000001"/>
    <n v="108.320916"/>
    <n v="17.762217"/>
    <n v="87.492898999999994"/>
    <m/>
    <n v="186405911.89646399"/>
    <n v="64.043942997832929"/>
  </r>
  <r>
    <x v="1130"/>
    <n v="315.27820000000003"/>
    <n v="52.0002"/>
    <n v="255.06"/>
    <m/>
    <n v="291631667.02999997"/>
    <n v="108.108356"/>
    <n v="17.830780000000001"/>
    <n v="87.459637999999998"/>
    <m/>
    <n v="186724122.05461001"/>
    <n v="64.027382196255729"/>
  </r>
  <r>
    <x v="1131"/>
    <n v="315.27820000000003"/>
    <n v="50.736499999999999"/>
    <n v="256.06830000000002"/>
    <m/>
    <n v="292094392.81999999"/>
    <n v="107.937094"/>
    <n v="17.369899"/>
    <n v="87.666284000000005"/>
    <m/>
    <n v="185159962.27575499"/>
    <n v="63.390454191244203"/>
  </r>
  <r>
    <x v="1132"/>
    <n v="315.27820000000003"/>
    <n v="50.467300000000002"/>
    <n v="254.82660000000001"/>
    <m/>
    <n v="291112562.98000002"/>
    <n v="108.301132"/>
    <n v="17.336009000000001"/>
    <n v="87.535418000000007"/>
    <m/>
    <n v="184386014.80047399"/>
    <n v="63.338391484376324"/>
  </r>
  <r>
    <x v="1133"/>
    <n v="315.27820000000003"/>
    <n v="50.385800000000003"/>
    <n v="255.30090000000001"/>
    <m/>
    <n v="291410927.08999997"/>
    <n v="108.190246"/>
    <n v="17.290292000000001"/>
    <n v="87.608553999999998"/>
    <m/>
    <n v="184644088.837926"/>
    <n v="63.362101991769215"/>
  </r>
  <r>
    <x v="1134"/>
    <n v="315.27820000000003"/>
    <n v="48.876600000000003"/>
    <n v="231.58869999999999"/>
    <m/>
    <n v="291734001.44999999"/>
    <n v="108.07043299999999"/>
    <n v="16.753824000000002"/>
    <n v="79.383512999999994"/>
    <m/>
    <n v="184422809.70974699"/>
    <n v="63.2160834160960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9" applyNumberFormats="0" applyBorderFormats="0" applyFontFormats="0" applyPatternFormats="0" applyAlignmentFormats="0" applyWidthHeightFormats="1" dataCaption="Values" updatedVersion="4" minRefreshableVersion="3" rowGrandTotals="0" colGrandTotals="0" itemPrintTitles="1" createdVersion="4" indent="0" outline="1" outlineData="1" multipleFieldFilters="0" chartFormat="9" rowHeaderCaption="Date">
  <location ref="A3:C814" firstHeaderRow="0" firstDataRow="1" firstDataCol="1"/>
  <pivotFields count="12">
    <pivotField axis="axisRow" compact="0" numFmtId="164" subtotalTop="0" showAll="0">
      <items count="113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 defaultSubtotal="0"/>
    <pivotField dataField="1" showAll="0" defaultSubtotal="0"/>
  </pivotFields>
  <rowFields count="1">
    <field x="0"/>
  </rowFields>
  <rowItems count="811"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</rowItems>
  <colFields count="1">
    <field x="-2"/>
  </colFields>
  <colItems count="2">
    <i>
      <x/>
    </i>
    <i i="1">
      <x v="1"/>
    </i>
  </colItems>
  <dataFields count="2">
    <dataField name="Net IO Market Value (% of NAV)" fld="7" baseField="0" baseItem="0" numFmtId="2"/>
    <dataField name="CMO Market Value (% of NAV)" fld="11" baseField="0" baseItem="0" numFmtId="2"/>
  </dataFields>
  <formats count="8">
    <format dxfId="12">
      <pivotArea field="0" type="button" dataOnly="0" labelOnly="1" outline="0" axis="axisRow" fieldPosition="0"/>
    </format>
    <format dxfId="1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0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9">
      <pivotArea field="0" type="button" dataOnly="0" labelOnly="1" outline="0" axis="axisRow" fieldPosition="0"/>
    </format>
    <format dxfId="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">
      <pivotArea collapsedLevelsAreSubtotals="1" fieldPosition="0">
        <references count="2">
          <reference field="4294967294" count="1" selected="0">
            <x v="0"/>
          </reference>
          <reference field="0" count="1">
            <x v="2"/>
          </reference>
        </references>
      </pivotArea>
    </format>
    <format dxfId="6">
      <pivotArea outline="0" fieldPosition="0">
        <references count="1">
          <reference field="4294967294" count="1">
            <x v="1"/>
          </reference>
        </references>
      </pivotArea>
    </format>
    <format dxfId="5">
      <pivotArea outline="0" fieldPosition="0">
        <references count="1">
          <reference field="4294967294" count="1">
            <x v="0"/>
          </reference>
        </references>
      </pivotArea>
    </format>
  </formats>
  <chartFormats count="4"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9" showRowHeaders="1" showColHeaders="1" showRowStripes="1" showColStripes="1" showLastColumn="1"/>
  <filters count="1">
    <filter fld="0" type="dateNewerThan" evalOrder="-1" id="1">
      <autoFilter ref="A1">
        <filterColumn colId="0">
          <customFilters>
            <customFilter operator="greaterThan" val="4118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Query from Cello SQL Server" backgroundRefresh="0" connectionId="2" autoFormatId="16" applyNumberFormats="0" applyBorderFormats="0" applyFontFormats="0" applyPatternFormats="0" applyAlignmentFormats="0" applyWidthHeightFormats="0">
  <queryTableRefresh nextId="13" unboundColumnsRight="2">
    <queryTableFields count="12">
      <queryTableField id="1" name="AsOfDate" tableColumnId="1"/>
      <queryTableField id="2" name="NetIOPar" tableColumnId="2"/>
      <queryTableField id="3" name="NetIOMarketValue" tableColumnId="3"/>
      <queryTableField id="4" name="NetTBAPar" tableColumnId="4"/>
      <queryTableField id="5" name="NetTBAMarketValue" tableColumnId="5"/>
      <queryTableField id="6" name="NAV" tableColumnId="6"/>
      <queryTableField id="7" name="NetIOPar_over_Nav" tableColumnId="7"/>
      <queryTableField id="8" name="NetIOMarketValue_over_Nav" tableColumnId="8"/>
      <queryTableField id="9" name="NetTBAPar_over_Nav" tableColumnId="9"/>
      <queryTableField id="10" name="NetTBAMarketValue_over_Nav" tableColumnId="10"/>
      <queryTableField id="11" dataBound="0" tableColumnId="11"/>
      <queryTableField id="12" dataBound="0" tableColumnId="12"/>
    </queryTableFields>
  </queryTableRefresh>
</queryTable>
</file>

<file path=xl/queryTables/queryTable2.xml><?xml version="1.0" encoding="utf-8"?>
<queryTable xmlns="http://schemas.openxmlformats.org/spreadsheetml/2006/main" name="Query from Agency" backgroundRefresh="0" connectionId="1" autoFormatId="16" applyNumberFormats="0" applyBorderFormats="0" applyFontFormats="0" applyPatternFormats="0" applyAlignmentFormats="0" applyWidthHeightFormats="0">
  <queryTableRefresh nextId="3">
    <queryTableFields count="2">
      <queryTableField id="1" name="asOf" tableColumnId="1"/>
      <queryTableField id="2" name="Sum(CD_Portfolio.marketValue)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1" name="Table_Query_from_Cello_SQL_Server" displayName="Table_Query_from_Cello_SQL_Server" ref="A1:L1136" tableType="queryTable" totalsRowShown="0">
  <autoFilter ref="A1:L1136"/>
  <tableColumns count="12">
    <tableColumn id="1" uniqueName="1" name="AsOfDate" queryTableFieldId="1" dataDxfId="4"/>
    <tableColumn id="2" uniqueName="2" name="NetIOPar" queryTableFieldId="2"/>
    <tableColumn id="3" uniqueName="3" name="NetIOMarketValue" queryTableFieldId="3"/>
    <tableColumn id="4" uniqueName="4" name="NetTBAPar" queryTableFieldId="4"/>
    <tableColumn id="5" uniqueName="5" name="NetTBAMarketValue" queryTableFieldId="5"/>
    <tableColumn id="6" uniqueName="6" name="NAV" queryTableFieldId="6"/>
    <tableColumn id="7" uniqueName="7" name="NetIOPar_over_Nav" queryTableFieldId="7"/>
    <tableColumn id="8" uniqueName="8" name="NetIOMarketValue_over_Nav" queryTableFieldId="8"/>
    <tableColumn id="9" uniqueName="9" name="NetTBAPar_over_Nav" queryTableFieldId="9"/>
    <tableColumn id="10" uniqueName="10" name="NetTBAMarketValue_over_Nav" queryTableFieldId="10"/>
    <tableColumn id="11" uniqueName="11" name="CMO MV" queryTableFieldId="11" dataDxfId="3" dataCellStyle="Comma">
      <calculatedColumnFormula>VLOOKUP(Table_Query_from_Cello_SQL_Server[[#This Row],[AsOfDate]], 'CMO MV Raw'!$A:$B,2,FALSE)</calculatedColumnFormula>
    </tableColumn>
    <tableColumn id="12" uniqueName="12" name="% NAV CMO" queryTableFieldId="12" dataDxfId="2" dataCellStyle="Percent">
      <calculatedColumnFormula>Table_Query_from_Cello_SQL_Server[[#This Row],[CMO MV]]/Table_Query_from_Cello_SQL_Server[[#This Row],[NAV]]*100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_Query_from_Agency" displayName="Table_Query_from_Agency" ref="A1:B1145" tableType="queryTable" totalsRowShown="0">
  <autoFilter ref="A1:B1145"/>
  <tableColumns count="2">
    <tableColumn id="1" uniqueName="1" name="asOf" queryTableFieldId="1" dataDxfId="1"/>
    <tableColumn id="2" uniqueName="2" name="Sum(CD_Portfolio.marketValue)" queryTableFieldId="2" dataDxfId="0" dataCellStyle="Comm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 tint="0.79998168889431442"/>
    <pageSetUpPr fitToPage="1"/>
  </sheetPr>
  <dimension ref="A2:Z814"/>
  <sheetViews>
    <sheetView tabSelected="1" topLeftCell="A753" zoomScaleNormal="100" workbookViewId="0">
      <selection activeCell="O792" sqref="O792"/>
    </sheetView>
  </sheetViews>
  <sheetFormatPr defaultRowHeight="12.75" x14ac:dyDescent="0.2"/>
  <cols>
    <col min="1" max="1" width="9.28515625" customWidth="1"/>
    <col min="2" max="2" width="18" customWidth="1"/>
    <col min="3" max="3" width="19.7109375" customWidth="1"/>
    <col min="4" max="557" width="8.7109375" customWidth="1"/>
  </cols>
  <sheetData>
    <row r="2" spans="1:26" ht="38.25" customHeight="1" x14ac:dyDescent="0.5"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</row>
    <row r="3" spans="1:26" ht="25.5" x14ac:dyDescent="0.2">
      <c r="A3" s="6" t="s">
        <v>10</v>
      </c>
      <c r="B3" s="7" t="s">
        <v>16</v>
      </c>
      <c r="C3" s="7" t="s">
        <v>15</v>
      </c>
    </row>
    <row r="4" spans="1:26" x14ac:dyDescent="0.2">
      <c r="A4" s="2">
        <v>41184</v>
      </c>
      <c r="B4" s="8">
        <v>25.883645999999999</v>
      </c>
      <c r="C4" s="8">
        <v>36.682991776618138</v>
      </c>
    </row>
    <row r="5" spans="1:26" x14ac:dyDescent="0.2">
      <c r="A5" s="2">
        <v>41185</v>
      </c>
      <c r="B5" s="8">
        <v>26.831116000000002</v>
      </c>
      <c r="C5" s="8">
        <v>36.922118878484305</v>
      </c>
    </row>
    <row r="6" spans="1:26" x14ac:dyDescent="0.2">
      <c r="A6" s="2">
        <v>41186</v>
      </c>
      <c r="B6" s="8">
        <v>28.309221999999998</v>
      </c>
      <c r="C6" s="8">
        <v>37.37303119752238</v>
      </c>
    </row>
    <row r="7" spans="1:26" x14ac:dyDescent="0.2">
      <c r="A7" s="2">
        <v>41187</v>
      </c>
      <c r="B7" s="8">
        <v>28.816966000000001</v>
      </c>
      <c r="C7" s="8">
        <v>37.496253369290919</v>
      </c>
    </row>
    <row r="8" spans="1:26" x14ac:dyDescent="0.2">
      <c r="A8" s="2">
        <v>41191</v>
      </c>
      <c r="B8" s="8">
        <v>29.056712000000001</v>
      </c>
      <c r="C8" s="8">
        <v>37.760229946414313</v>
      </c>
    </row>
    <row r="9" spans="1:26" x14ac:dyDescent="0.2">
      <c r="A9" s="2">
        <v>41192</v>
      </c>
      <c r="B9" s="8">
        <v>28.313753999999999</v>
      </c>
      <c r="C9" s="8">
        <v>37.334114580581321</v>
      </c>
    </row>
    <row r="10" spans="1:26" x14ac:dyDescent="0.2">
      <c r="A10" s="2">
        <v>41193</v>
      </c>
      <c r="B10" s="8">
        <v>27.167952</v>
      </c>
      <c r="C10" s="8">
        <v>36.015121053243881</v>
      </c>
    </row>
    <row r="11" spans="1:26" x14ac:dyDescent="0.2">
      <c r="A11" s="2">
        <v>41194</v>
      </c>
      <c r="B11" s="8">
        <v>26.142544999999998</v>
      </c>
      <c r="C11" s="8">
        <v>35.855868269296707</v>
      </c>
    </row>
    <row r="12" spans="1:26" x14ac:dyDescent="0.2">
      <c r="A12" s="2">
        <v>41197</v>
      </c>
      <c r="B12" s="8">
        <v>26.367825</v>
      </c>
      <c r="C12" s="8">
        <v>36.041637186035231</v>
      </c>
    </row>
    <row r="13" spans="1:26" x14ac:dyDescent="0.2">
      <c r="A13" s="2">
        <v>41198</v>
      </c>
      <c r="B13" s="8">
        <v>28.947092999999999</v>
      </c>
      <c r="C13" s="8">
        <v>37.302311984356471</v>
      </c>
    </row>
    <row r="14" spans="1:26" x14ac:dyDescent="0.2">
      <c r="A14" s="2">
        <v>41199</v>
      </c>
      <c r="B14" s="8">
        <v>30.622824999999999</v>
      </c>
      <c r="C14" s="8">
        <v>37.861461076665506</v>
      </c>
    </row>
    <row r="15" spans="1:26" x14ac:dyDescent="0.2">
      <c r="A15" s="2">
        <v>41200</v>
      </c>
      <c r="B15" s="8">
        <v>31.085387000000001</v>
      </c>
      <c r="C15" s="8">
        <v>38.142088707151785</v>
      </c>
    </row>
    <row r="16" spans="1:26" x14ac:dyDescent="0.2">
      <c r="A16" s="2">
        <v>41201</v>
      </c>
      <c r="B16" s="8">
        <v>30.200389000000001</v>
      </c>
      <c r="C16" s="8">
        <v>37.425769529901558</v>
      </c>
    </row>
    <row r="17" spans="1:3" x14ac:dyDescent="0.2">
      <c r="A17" s="2">
        <v>41204</v>
      </c>
      <c r="B17" s="8">
        <v>31.086841</v>
      </c>
      <c r="C17" s="8">
        <v>37.549864748425819</v>
      </c>
    </row>
    <row r="18" spans="1:3" x14ac:dyDescent="0.2">
      <c r="A18" s="2">
        <v>41205</v>
      </c>
      <c r="B18" s="8">
        <v>30.412296999999999</v>
      </c>
      <c r="C18" s="8">
        <v>37.43000950892398</v>
      </c>
    </row>
    <row r="19" spans="1:3" x14ac:dyDescent="0.2">
      <c r="A19" s="2">
        <v>41206</v>
      </c>
      <c r="B19" s="8">
        <v>30.788242</v>
      </c>
      <c r="C19" s="8">
        <v>37.72792627419296</v>
      </c>
    </row>
    <row r="20" spans="1:3" x14ac:dyDescent="0.2">
      <c r="A20" s="2">
        <v>41207</v>
      </c>
      <c r="B20" s="8">
        <v>31.372575999999999</v>
      </c>
      <c r="C20" s="8">
        <v>37.884955429547126</v>
      </c>
    </row>
    <row r="21" spans="1:3" x14ac:dyDescent="0.2">
      <c r="A21" s="2">
        <v>41208</v>
      </c>
      <c r="B21" s="8">
        <v>29.850722000000001</v>
      </c>
      <c r="C21" s="8">
        <v>37.017421104737224</v>
      </c>
    </row>
    <row r="22" spans="1:3" x14ac:dyDescent="0.2">
      <c r="A22" s="2">
        <v>41211</v>
      </c>
      <c r="B22" s="8">
        <v>29.407878</v>
      </c>
      <c r="C22" s="8">
        <v>36.877949043616745</v>
      </c>
    </row>
    <row r="23" spans="1:3" x14ac:dyDescent="0.2">
      <c r="A23" s="2">
        <v>41213</v>
      </c>
      <c r="B23" s="8">
        <v>28.520900999999999</v>
      </c>
      <c r="C23" s="8">
        <v>36.759935647866904</v>
      </c>
    </row>
    <row r="24" spans="1:3" x14ac:dyDescent="0.2">
      <c r="A24" s="2">
        <v>41214</v>
      </c>
      <c r="B24" s="8">
        <v>29.970516</v>
      </c>
      <c r="C24" s="8">
        <v>36.968204738595908</v>
      </c>
    </row>
    <row r="25" spans="1:3" x14ac:dyDescent="0.2">
      <c r="A25" s="2">
        <v>41215</v>
      </c>
      <c r="B25" s="8">
        <v>29.378712</v>
      </c>
      <c r="C25" s="8">
        <v>36.72381927154278</v>
      </c>
    </row>
    <row r="26" spans="1:3" x14ac:dyDescent="0.2">
      <c r="A26" s="2">
        <v>41218</v>
      </c>
      <c r="B26" s="8">
        <v>28.706379999999999</v>
      </c>
      <c r="C26" s="8">
        <v>36.46607434335197</v>
      </c>
    </row>
    <row r="27" spans="1:3" x14ac:dyDescent="0.2">
      <c r="A27" s="2">
        <v>41219</v>
      </c>
      <c r="B27" s="8">
        <v>29.422011000000001</v>
      </c>
      <c r="C27" s="8">
        <v>36.973279647277998</v>
      </c>
    </row>
    <row r="28" spans="1:3" x14ac:dyDescent="0.2">
      <c r="A28" s="2">
        <v>41220</v>
      </c>
      <c r="B28" s="8">
        <v>29.135427</v>
      </c>
      <c r="C28" s="8">
        <v>36.302066285256259</v>
      </c>
    </row>
    <row r="29" spans="1:3" x14ac:dyDescent="0.2">
      <c r="A29" s="2">
        <v>41221</v>
      </c>
      <c r="B29" s="8">
        <v>27.911749</v>
      </c>
      <c r="C29" s="8">
        <v>35.774287465618656</v>
      </c>
    </row>
    <row r="30" spans="1:3" x14ac:dyDescent="0.2">
      <c r="A30" s="2">
        <v>41222</v>
      </c>
      <c r="B30" s="8">
        <v>26.509743</v>
      </c>
      <c r="C30" s="8">
        <v>35.808624756997432</v>
      </c>
    </row>
    <row r="31" spans="1:3" x14ac:dyDescent="0.2">
      <c r="A31" s="2">
        <v>41226</v>
      </c>
      <c r="B31" s="8">
        <v>27.83314</v>
      </c>
      <c r="C31" s="8">
        <v>40.137753675464189</v>
      </c>
    </row>
    <row r="32" spans="1:3" x14ac:dyDescent="0.2">
      <c r="A32" s="2">
        <v>41227</v>
      </c>
      <c r="B32" s="8">
        <v>28.587439</v>
      </c>
      <c r="C32" s="8">
        <v>40.345640269398629</v>
      </c>
    </row>
    <row r="33" spans="1:3" x14ac:dyDescent="0.2">
      <c r="A33" s="2">
        <v>41228</v>
      </c>
      <c r="B33" s="8">
        <v>27.722311000000001</v>
      </c>
      <c r="C33" s="8">
        <v>42.390994285575267</v>
      </c>
    </row>
    <row r="34" spans="1:3" x14ac:dyDescent="0.2">
      <c r="A34" s="2">
        <v>41229</v>
      </c>
      <c r="B34" s="8">
        <v>27.565147</v>
      </c>
      <c r="C34" s="8">
        <v>42.123770228191646</v>
      </c>
    </row>
    <row r="35" spans="1:3" x14ac:dyDescent="0.2">
      <c r="A35" s="2">
        <v>41232</v>
      </c>
      <c r="B35" s="8">
        <v>28.060596</v>
      </c>
      <c r="C35" s="8">
        <v>42.094647536122658</v>
      </c>
    </row>
    <row r="36" spans="1:3" x14ac:dyDescent="0.2">
      <c r="A36" s="2">
        <v>41233</v>
      </c>
      <c r="B36" s="8">
        <v>26.693218999999999</v>
      </c>
      <c r="C36" s="8">
        <v>39.678803635211651</v>
      </c>
    </row>
    <row r="37" spans="1:3" x14ac:dyDescent="0.2">
      <c r="A37" s="2">
        <v>41234</v>
      </c>
      <c r="B37" s="8">
        <v>27.073944000000001</v>
      </c>
      <c r="C37" s="8">
        <v>39.758736726453435</v>
      </c>
    </row>
    <row r="38" spans="1:3" x14ac:dyDescent="0.2">
      <c r="A38" s="2">
        <v>41236</v>
      </c>
      <c r="B38" s="8">
        <v>27.109318999999999</v>
      </c>
      <c r="C38" s="8">
        <v>39.770486464818674</v>
      </c>
    </row>
    <row r="39" spans="1:3" x14ac:dyDescent="0.2">
      <c r="A39" s="2">
        <v>41239</v>
      </c>
      <c r="B39" s="8">
        <v>26.221747000000001</v>
      </c>
      <c r="C39" s="8">
        <v>39.643355238323643</v>
      </c>
    </row>
    <row r="40" spans="1:3" x14ac:dyDescent="0.2">
      <c r="A40" s="2">
        <v>41240</v>
      </c>
      <c r="B40" s="8">
        <v>24.928211000000001</v>
      </c>
      <c r="C40" s="8">
        <v>38.980060209375047</v>
      </c>
    </row>
    <row r="41" spans="1:3" x14ac:dyDescent="0.2">
      <c r="A41" s="2">
        <v>41241</v>
      </c>
      <c r="B41" s="8">
        <v>25.059723000000002</v>
      </c>
      <c r="C41" s="8">
        <v>39.164499799457317</v>
      </c>
    </row>
    <row r="42" spans="1:3" x14ac:dyDescent="0.2">
      <c r="A42" s="2">
        <v>41242</v>
      </c>
      <c r="B42" s="8">
        <v>25.284609</v>
      </c>
      <c r="C42" s="8">
        <v>39.243559677462521</v>
      </c>
    </row>
    <row r="43" spans="1:3" x14ac:dyDescent="0.2">
      <c r="A43" s="2">
        <v>41243</v>
      </c>
      <c r="B43" s="8">
        <v>25.508417999999999</v>
      </c>
      <c r="C43" s="8">
        <v>39.215085214125942</v>
      </c>
    </row>
    <row r="44" spans="1:3" x14ac:dyDescent="0.2">
      <c r="A44" s="2">
        <v>41246</v>
      </c>
      <c r="B44" s="8">
        <v>25.825151000000002</v>
      </c>
      <c r="C44" s="8">
        <v>40.033075143830473</v>
      </c>
    </row>
    <row r="45" spans="1:3" x14ac:dyDescent="0.2">
      <c r="A45" s="2">
        <v>41247</v>
      </c>
      <c r="B45" s="8">
        <v>27.553262</v>
      </c>
      <c r="C45" s="8">
        <v>41.668078264383936</v>
      </c>
    </row>
    <row r="46" spans="1:3" x14ac:dyDescent="0.2">
      <c r="A46" s="2">
        <v>41248</v>
      </c>
      <c r="B46" s="8">
        <v>27.733855999999999</v>
      </c>
      <c r="C46" s="8">
        <v>41.690824503500821</v>
      </c>
    </row>
    <row r="47" spans="1:3" x14ac:dyDescent="0.2">
      <c r="A47" s="2">
        <v>41249</v>
      </c>
      <c r="B47" s="8">
        <v>28.179123000000001</v>
      </c>
      <c r="C47" s="8">
        <v>41.893436959084738</v>
      </c>
    </row>
    <row r="48" spans="1:3" x14ac:dyDescent="0.2">
      <c r="A48" s="2">
        <v>41250</v>
      </c>
      <c r="B48" s="8">
        <v>29.816201</v>
      </c>
      <c r="C48" s="8">
        <v>42.080252009462043</v>
      </c>
    </row>
    <row r="49" spans="1:3" x14ac:dyDescent="0.2">
      <c r="A49" s="2">
        <v>41253</v>
      </c>
      <c r="B49" s="8">
        <v>31.194579999999998</v>
      </c>
      <c r="C49" s="8">
        <v>43.643391831149373</v>
      </c>
    </row>
    <row r="50" spans="1:3" x14ac:dyDescent="0.2">
      <c r="A50" s="2">
        <v>41254</v>
      </c>
      <c r="B50" s="8">
        <v>30.092714000000001</v>
      </c>
      <c r="C50" s="8">
        <v>44.070993558281927</v>
      </c>
    </row>
    <row r="51" spans="1:3" x14ac:dyDescent="0.2">
      <c r="A51" s="2">
        <v>41255</v>
      </c>
      <c r="B51" s="8">
        <v>31.177085000000002</v>
      </c>
      <c r="C51" s="8">
        <v>44.76881619014668</v>
      </c>
    </row>
    <row r="52" spans="1:3" x14ac:dyDescent="0.2">
      <c r="A52" s="2">
        <v>41256</v>
      </c>
      <c r="B52" s="8">
        <v>31.307652999999998</v>
      </c>
      <c r="C52" s="8">
        <v>44.772780322551448</v>
      </c>
    </row>
    <row r="53" spans="1:3" x14ac:dyDescent="0.2">
      <c r="A53" s="2">
        <v>41257</v>
      </c>
      <c r="B53" s="8">
        <v>31.287519</v>
      </c>
      <c r="C53" s="8">
        <v>44.497428042720315</v>
      </c>
    </row>
    <row r="54" spans="1:3" x14ac:dyDescent="0.2">
      <c r="A54" s="2">
        <v>41260</v>
      </c>
      <c r="B54" s="8">
        <v>34.835250000000002</v>
      </c>
      <c r="C54" s="8">
        <v>47.267367115333805</v>
      </c>
    </row>
    <row r="55" spans="1:3" x14ac:dyDescent="0.2">
      <c r="A55" s="2">
        <v>41261</v>
      </c>
      <c r="B55" s="8">
        <v>35.688836999999999</v>
      </c>
      <c r="C55" s="8">
        <v>47.495357954412093</v>
      </c>
    </row>
    <row r="56" spans="1:3" x14ac:dyDescent="0.2">
      <c r="A56" s="2">
        <v>41262</v>
      </c>
      <c r="B56" s="8">
        <v>34.987439999999999</v>
      </c>
      <c r="C56" s="8">
        <v>46.981126016146412</v>
      </c>
    </row>
    <row r="57" spans="1:3" x14ac:dyDescent="0.2">
      <c r="A57" s="2">
        <v>41263</v>
      </c>
      <c r="B57" s="8">
        <v>34.692906000000001</v>
      </c>
      <c r="C57" s="8">
        <v>46.901885578560226</v>
      </c>
    </row>
    <row r="58" spans="1:3" x14ac:dyDescent="0.2">
      <c r="A58" s="2">
        <v>41264</v>
      </c>
      <c r="B58" s="8">
        <v>34.304803999999997</v>
      </c>
      <c r="C58" s="8">
        <v>46.695441607803048</v>
      </c>
    </row>
    <row r="59" spans="1:3" x14ac:dyDescent="0.2">
      <c r="A59" s="2">
        <v>41267</v>
      </c>
      <c r="B59" s="8">
        <v>34.631424000000003</v>
      </c>
      <c r="C59" s="8">
        <v>46.737805478397007</v>
      </c>
    </row>
    <row r="60" spans="1:3" x14ac:dyDescent="0.2">
      <c r="A60" s="2">
        <v>41269</v>
      </c>
      <c r="B60" s="8">
        <v>33.837757000000003</v>
      </c>
      <c r="C60" s="8">
        <v>46.020195972931404</v>
      </c>
    </row>
    <row r="61" spans="1:3" x14ac:dyDescent="0.2">
      <c r="A61" s="2">
        <v>41270</v>
      </c>
      <c r="B61" s="8">
        <v>33.528222999999997</v>
      </c>
      <c r="C61" s="8">
        <v>45.983469912454048</v>
      </c>
    </row>
    <row r="62" spans="1:3" x14ac:dyDescent="0.2">
      <c r="A62" s="2">
        <v>41271</v>
      </c>
      <c r="B62" s="8">
        <v>33.803725</v>
      </c>
      <c r="C62" s="8">
        <v>46.090365589479809</v>
      </c>
    </row>
    <row r="63" spans="1:3" x14ac:dyDescent="0.2">
      <c r="A63" s="2">
        <v>41274</v>
      </c>
      <c r="B63" s="8">
        <v>34.593195000000001</v>
      </c>
      <c r="C63" s="8">
        <v>45.934869335080627</v>
      </c>
    </row>
    <row r="64" spans="1:3" x14ac:dyDescent="0.2">
      <c r="A64" s="2">
        <v>41276</v>
      </c>
      <c r="B64" s="8">
        <v>36.347472000000003</v>
      </c>
      <c r="C64" s="8">
        <v>48.588768708833712</v>
      </c>
    </row>
    <row r="65" spans="1:3" x14ac:dyDescent="0.2">
      <c r="A65" s="2">
        <v>41277</v>
      </c>
      <c r="B65" s="8">
        <v>39.057251999999998</v>
      </c>
      <c r="C65" s="8">
        <v>50.111946064205362</v>
      </c>
    </row>
    <row r="66" spans="1:3" x14ac:dyDescent="0.2">
      <c r="A66" s="2">
        <v>41278</v>
      </c>
      <c r="B66" s="8">
        <v>39.157913000000001</v>
      </c>
      <c r="C66" s="8">
        <v>50.278779579702203</v>
      </c>
    </row>
    <row r="67" spans="1:3" x14ac:dyDescent="0.2">
      <c r="A67" s="2">
        <v>41281</v>
      </c>
      <c r="B67" s="8">
        <v>37.634211000000001</v>
      </c>
      <c r="C67" s="8">
        <v>50.099796565585706</v>
      </c>
    </row>
    <row r="68" spans="1:3" x14ac:dyDescent="0.2">
      <c r="A68" s="2">
        <v>41282</v>
      </c>
      <c r="B68" s="8">
        <v>42.168261000000001</v>
      </c>
      <c r="C68" s="8">
        <v>52.51177094603208</v>
      </c>
    </row>
    <row r="69" spans="1:3" x14ac:dyDescent="0.2">
      <c r="A69" s="2">
        <v>41283</v>
      </c>
      <c r="B69" s="8">
        <v>43.234597000000001</v>
      </c>
      <c r="C69" s="8">
        <v>52.79841219073618</v>
      </c>
    </row>
    <row r="70" spans="1:3" x14ac:dyDescent="0.2">
      <c r="A70" s="2">
        <v>41284</v>
      </c>
      <c r="B70" s="8">
        <v>43.346341000000002</v>
      </c>
      <c r="C70" s="8">
        <v>52.742613600616295</v>
      </c>
    </row>
    <row r="71" spans="1:3" x14ac:dyDescent="0.2">
      <c r="A71" s="2">
        <v>41285</v>
      </c>
      <c r="B71" s="8">
        <v>43.586559999999999</v>
      </c>
      <c r="C71" s="8">
        <v>54.646850770263541</v>
      </c>
    </row>
    <row r="72" spans="1:3" x14ac:dyDescent="0.2">
      <c r="A72" s="2">
        <v>41288</v>
      </c>
      <c r="B72" s="8">
        <v>42.989204999999998</v>
      </c>
      <c r="C72" s="8">
        <v>54.66479972389272</v>
      </c>
    </row>
    <row r="73" spans="1:3" x14ac:dyDescent="0.2">
      <c r="A73" s="2">
        <v>41289</v>
      </c>
      <c r="B73" s="8">
        <v>43.891651000000003</v>
      </c>
      <c r="C73" s="8">
        <v>55.81027821659147</v>
      </c>
    </row>
    <row r="74" spans="1:3" x14ac:dyDescent="0.2">
      <c r="A74" s="2">
        <v>41290</v>
      </c>
      <c r="B74" s="8">
        <v>43.723843000000002</v>
      </c>
      <c r="C74" s="8">
        <v>55.861916957052848</v>
      </c>
    </row>
    <row r="75" spans="1:3" x14ac:dyDescent="0.2">
      <c r="A75" s="2">
        <v>41291</v>
      </c>
      <c r="B75" s="8">
        <v>47.773071000000002</v>
      </c>
      <c r="C75" s="8">
        <v>58.851030870523701</v>
      </c>
    </row>
    <row r="76" spans="1:3" x14ac:dyDescent="0.2">
      <c r="A76" s="2">
        <v>41292</v>
      </c>
      <c r="B76" s="8">
        <v>47.313130999999998</v>
      </c>
      <c r="C76" s="8">
        <v>58.429165596286211</v>
      </c>
    </row>
    <row r="77" spans="1:3" x14ac:dyDescent="0.2">
      <c r="A77" s="2">
        <v>41296</v>
      </c>
      <c r="B77" s="8">
        <v>46.146949999999997</v>
      </c>
      <c r="C77" s="8">
        <v>56.734131557457822</v>
      </c>
    </row>
    <row r="78" spans="1:3" x14ac:dyDescent="0.2">
      <c r="A78" s="2">
        <v>41297</v>
      </c>
      <c r="B78" s="8">
        <v>46.540143999999998</v>
      </c>
      <c r="C78" s="8">
        <v>57.654946998101231</v>
      </c>
    </row>
    <row r="79" spans="1:3" x14ac:dyDescent="0.2">
      <c r="A79" s="2">
        <v>41298</v>
      </c>
      <c r="B79" s="8">
        <v>47.063384999999997</v>
      </c>
      <c r="C79" s="8">
        <v>58.991827760946215</v>
      </c>
    </row>
    <row r="80" spans="1:3" x14ac:dyDescent="0.2">
      <c r="A80" s="2">
        <v>41299</v>
      </c>
      <c r="B80" s="8">
        <v>49.127246999999997</v>
      </c>
      <c r="C80" s="8">
        <v>59.893384485443178</v>
      </c>
    </row>
    <row r="81" spans="1:3" x14ac:dyDescent="0.2">
      <c r="A81" s="2">
        <v>41302</v>
      </c>
      <c r="B81" s="8">
        <v>48.829557000000001</v>
      </c>
      <c r="C81" s="8">
        <v>59.137739092076878</v>
      </c>
    </row>
    <row r="82" spans="1:3" x14ac:dyDescent="0.2">
      <c r="A82" s="2">
        <v>41303</v>
      </c>
      <c r="B82" s="8">
        <v>49.134377000000001</v>
      </c>
      <c r="C82" s="8">
        <v>59.357505369650895</v>
      </c>
    </row>
    <row r="83" spans="1:3" x14ac:dyDescent="0.2">
      <c r="A83" s="2">
        <v>41304</v>
      </c>
      <c r="B83" s="8">
        <v>48.165674000000003</v>
      </c>
      <c r="C83" s="8">
        <v>58.100510436440388</v>
      </c>
    </row>
    <row r="84" spans="1:3" x14ac:dyDescent="0.2">
      <c r="A84" s="2">
        <v>41305</v>
      </c>
      <c r="B84" s="8">
        <v>48.321429000000002</v>
      </c>
      <c r="C84" s="8">
        <v>57.984530696144475</v>
      </c>
    </row>
    <row r="85" spans="1:3" x14ac:dyDescent="0.2">
      <c r="A85" s="2">
        <v>41306</v>
      </c>
      <c r="B85" s="8">
        <v>47.168300000000002</v>
      </c>
      <c r="C85" s="8">
        <v>57.009419992752122</v>
      </c>
    </row>
    <row r="86" spans="1:3" x14ac:dyDescent="0.2">
      <c r="A86" s="2">
        <v>41309</v>
      </c>
      <c r="B86" s="8">
        <v>46.627797999999999</v>
      </c>
      <c r="C86" s="8">
        <v>56.776701139197129</v>
      </c>
    </row>
    <row r="87" spans="1:3" x14ac:dyDescent="0.2">
      <c r="A87" s="2">
        <v>41310</v>
      </c>
      <c r="B87" s="8">
        <v>47.222549000000001</v>
      </c>
      <c r="C87" s="8">
        <v>57.163085498971512</v>
      </c>
    </row>
    <row r="88" spans="1:3" x14ac:dyDescent="0.2">
      <c r="A88" s="2">
        <v>41311</v>
      </c>
      <c r="B88" s="8">
        <v>45.690207999999998</v>
      </c>
      <c r="C88" s="8">
        <v>57.16416188271689</v>
      </c>
    </row>
    <row r="89" spans="1:3" x14ac:dyDescent="0.2">
      <c r="A89" s="2">
        <v>41312</v>
      </c>
      <c r="B89" s="8">
        <v>49.407378999999999</v>
      </c>
      <c r="C89" s="8">
        <v>57.146364899496191</v>
      </c>
    </row>
    <row r="90" spans="1:3" x14ac:dyDescent="0.2">
      <c r="A90" s="2">
        <v>41313</v>
      </c>
      <c r="B90" s="8">
        <v>42.844585000000002</v>
      </c>
      <c r="C90" s="8">
        <v>57.509773624727359</v>
      </c>
    </row>
    <row r="91" spans="1:3" x14ac:dyDescent="0.2">
      <c r="A91" s="2">
        <v>41316</v>
      </c>
      <c r="B91" s="8">
        <v>40.609003999999999</v>
      </c>
      <c r="C91" s="8">
        <v>57.02246097538022</v>
      </c>
    </row>
    <row r="92" spans="1:3" x14ac:dyDescent="0.2">
      <c r="A92" s="2">
        <v>41317</v>
      </c>
      <c r="B92" s="8">
        <v>41.449627999999997</v>
      </c>
      <c r="C92" s="8">
        <v>57.341701790291047</v>
      </c>
    </row>
    <row r="93" spans="1:3" x14ac:dyDescent="0.2">
      <c r="A93" s="2">
        <v>41318</v>
      </c>
      <c r="B93" s="8">
        <v>65.828106000000005</v>
      </c>
      <c r="C93" s="8">
        <v>58.578125716380249</v>
      </c>
    </row>
    <row r="94" spans="1:3" x14ac:dyDescent="0.2">
      <c r="A94" s="2">
        <v>41319</v>
      </c>
      <c r="B94" s="8">
        <v>65.387304999999998</v>
      </c>
      <c r="C94" s="8">
        <v>58.292119663618728</v>
      </c>
    </row>
    <row r="95" spans="1:3" x14ac:dyDescent="0.2">
      <c r="A95" s="2">
        <v>41320</v>
      </c>
      <c r="B95" s="8">
        <v>67.953301999999994</v>
      </c>
      <c r="C95" s="8">
        <v>61.448539189646077</v>
      </c>
    </row>
    <row r="96" spans="1:3" x14ac:dyDescent="0.2">
      <c r="A96" s="2">
        <v>41324</v>
      </c>
      <c r="B96" s="8">
        <v>68.165518000000006</v>
      </c>
      <c r="C96" s="8">
        <v>61.234637410216031</v>
      </c>
    </row>
    <row r="97" spans="1:3" x14ac:dyDescent="0.2">
      <c r="A97" s="2">
        <v>41325</v>
      </c>
      <c r="B97" s="8">
        <v>64.800155000000004</v>
      </c>
      <c r="C97" s="8">
        <v>61.267498475700258</v>
      </c>
    </row>
    <row r="98" spans="1:3" x14ac:dyDescent="0.2">
      <c r="A98" s="2">
        <v>41326</v>
      </c>
      <c r="B98" s="8">
        <v>64.810102999999998</v>
      </c>
      <c r="C98" s="8">
        <v>61.246678731303646</v>
      </c>
    </row>
    <row r="99" spans="1:3" x14ac:dyDescent="0.2">
      <c r="A99" s="2">
        <v>41327</v>
      </c>
      <c r="B99" s="8">
        <v>64.619253999999998</v>
      </c>
      <c r="C99" s="8">
        <v>61.327359401998869</v>
      </c>
    </row>
    <row r="100" spans="1:3" x14ac:dyDescent="0.2">
      <c r="A100" s="2">
        <v>41330</v>
      </c>
      <c r="B100" s="8">
        <v>62.871428000000002</v>
      </c>
      <c r="C100" s="8">
        <v>60.035253375118003</v>
      </c>
    </row>
    <row r="101" spans="1:3" x14ac:dyDescent="0.2">
      <c r="A101" s="2">
        <v>41331</v>
      </c>
      <c r="B101" s="8">
        <v>62.790764000000003</v>
      </c>
      <c r="C101" s="8">
        <v>59.893430511847257</v>
      </c>
    </row>
    <row r="102" spans="1:3" x14ac:dyDescent="0.2">
      <c r="A102" s="2">
        <v>41332</v>
      </c>
      <c r="B102" s="8">
        <v>62.134633999999998</v>
      </c>
      <c r="C102" s="8">
        <v>58.784640120176036</v>
      </c>
    </row>
    <row r="103" spans="1:3" x14ac:dyDescent="0.2">
      <c r="A103" s="2">
        <v>41333</v>
      </c>
      <c r="B103" s="8">
        <v>59.868664000000003</v>
      </c>
      <c r="C103" s="8">
        <v>56.757903499719376</v>
      </c>
    </row>
    <row r="104" spans="1:3" x14ac:dyDescent="0.2">
      <c r="A104" s="2">
        <v>41334</v>
      </c>
      <c r="B104" s="8">
        <v>59.564087999999998</v>
      </c>
      <c r="C104" s="8">
        <v>56.802134194739807</v>
      </c>
    </row>
    <row r="105" spans="1:3" x14ac:dyDescent="0.2">
      <c r="A105" s="2">
        <v>41337</v>
      </c>
      <c r="B105" s="8">
        <v>59.818306</v>
      </c>
      <c r="C105" s="8">
        <v>56.870877376548847</v>
      </c>
    </row>
    <row r="106" spans="1:3" x14ac:dyDescent="0.2">
      <c r="A106" s="2">
        <v>41338</v>
      </c>
      <c r="B106" s="8">
        <v>59.967585999999997</v>
      </c>
      <c r="C106" s="8">
        <v>57.04327145352012</v>
      </c>
    </row>
    <row r="107" spans="1:3" x14ac:dyDescent="0.2">
      <c r="A107" s="2">
        <v>41339</v>
      </c>
      <c r="B107" s="8">
        <v>60.611643000000001</v>
      </c>
      <c r="C107" s="8">
        <v>57.581620751536889</v>
      </c>
    </row>
    <row r="108" spans="1:3" x14ac:dyDescent="0.2">
      <c r="A108" s="2">
        <v>41340</v>
      </c>
      <c r="B108" s="8">
        <v>60.876894999999998</v>
      </c>
      <c r="C108" s="8">
        <v>57.808489218891779</v>
      </c>
    </row>
    <row r="109" spans="1:3" x14ac:dyDescent="0.2">
      <c r="A109" s="2">
        <v>41341</v>
      </c>
      <c r="B109" s="8">
        <v>61.664349000000001</v>
      </c>
      <c r="C109" s="8">
        <v>58.526758505036256</v>
      </c>
    </row>
    <row r="110" spans="1:3" x14ac:dyDescent="0.2">
      <c r="A110" s="2">
        <v>41344</v>
      </c>
      <c r="B110" s="8">
        <v>60.715960000000003</v>
      </c>
      <c r="C110" s="8">
        <v>58.184284299618461</v>
      </c>
    </row>
    <row r="111" spans="1:3" x14ac:dyDescent="0.2">
      <c r="A111" s="2">
        <v>41345</v>
      </c>
      <c r="B111" s="8">
        <v>60.699499000000003</v>
      </c>
      <c r="C111" s="8">
        <v>58.000351352662364</v>
      </c>
    </row>
    <row r="112" spans="1:3" x14ac:dyDescent="0.2">
      <c r="A112" s="2">
        <v>41346</v>
      </c>
      <c r="B112" s="8">
        <v>60.395955999999998</v>
      </c>
      <c r="C112" s="8">
        <v>57.952901325696239</v>
      </c>
    </row>
    <row r="113" spans="1:3" x14ac:dyDescent="0.2">
      <c r="A113" s="2">
        <v>41347</v>
      </c>
      <c r="B113" s="8">
        <v>60.358972000000001</v>
      </c>
      <c r="C113" s="8">
        <v>57.729638562352612</v>
      </c>
    </row>
    <row r="114" spans="1:3" x14ac:dyDescent="0.2">
      <c r="A114" s="2">
        <v>41348</v>
      </c>
      <c r="B114" s="8">
        <v>60.814912999999997</v>
      </c>
      <c r="C114" s="8">
        <v>57.502229967951948</v>
      </c>
    </row>
    <row r="115" spans="1:3" x14ac:dyDescent="0.2">
      <c r="A115" s="2">
        <v>41351</v>
      </c>
      <c r="B115" s="8">
        <v>60.120562</v>
      </c>
      <c r="C115" s="8">
        <v>57.161035689045036</v>
      </c>
    </row>
    <row r="116" spans="1:3" x14ac:dyDescent="0.2">
      <c r="A116" s="2">
        <v>41352</v>
      </c>
      <c r="B116" s="8">
        <v>59.852291999999998</v>
      </c>
      <c r="C116" s="8">
        <v>56.683974491997255</v>
      </c>
    </row>
    <row r="117" spans="1:3" x14ac:dyDescent="0.2">
      <c r="A117" s="2">
        <v>41353</v>
      </c>
      <c r="B117" s="8">
        <v>63.409419</v>
      </c>
      <c r="C117" s="8">
        <v>60.345153379877658</v>
      </c>
    </row>
    <row r="118" spans="1:3" x14ac:dyDescent="0.2">
      <c r="A118" s="2">
        <v>41354</v>
      </c>
      <c r="B118" s="8">
        <v>67.250783999999996</v>
      </c>
      <c r="C118" s="8">
        <v>65.031702711180102</v>
      </c>
    </row>
    <row r="119" spans="1:3" x14ac:dyDescent="0.2">
      <c r="A119" s="2">
        <v>41355</v>
      </c>
      <c r="B119" s="8">
        <v>67.584835999999996</v>
      </c>
      <c r="C119" s="8">
        <v>65.383637026301827</v>
      </c>
    </row>
    <row r="120" spans="1:3" x14ac:dyDescent="0.2">
      <c r="A120" s="2">
        <v>41358</v>
      </c>
      <c r="B120" s="8">
        <v>66.743146999999993</v>
      </c>
      <c r="C120" s="8">
        <v>64.595852019357025</v>
      </c>
    </row>
    <row r="121" spans="1:3" x14ac:dyDescent="0.2">
      <c r="A121" s="2">
        <v>41359</v>
      </c>
      <c r="B121" s="8">
        <v>66.949445999999995</v>
      </c>
      <c r="C121" s="8">
        <v>64.633281893341362</v>
      </c>
    </row>
    <row r="122" spans="1:3" x14ac:dyDescent="0.2">
      <c r="A122" s="2">
        <v>41360</v>
      </c>
      <c r="B122" s="8">
        <v>66.600047000000004</v>
      </c>
      <c r="C122" s="8">
        <v>64.478493019066178</v>
      </c>
    </row>
    <row r="123" spans="1:3" x14ac:dyDescent="0.2">
      <c r="A123" s="2">
        <v>41361</v>
      </c>
      <c r="B123" s="8">
        <v>66.393694999999994</v>
      </c>
      <c r="C123" s="8">
        <v>64.512354002478389</v>
      </c>
    </row>
    <row r="124" spans="1:3" x14ac:dyDescent="0.2">
      <c r="A124" s="2">
        <v>41365</v>
      </c>
      <c r="B124" s="8">
        <v>69.893056000000001</v>
      </c>
      <c r="C124" s="8">
        <v>67.371502901385895</v>
      </c>
    </row>
    <row r="125" spans="1:3" x14ac:dyDescent="0.2">
      <c r="A125" s="2">
        <v>41366</v>
      </c>
      <c r="B125" s="8">
        <v>70.275383000000005</v>
      </c>
      <c r="C125" s="8">
        <v>67.417027045879465</v>
      </c>
    </row>
    <row r="126" spans="1:3" x14ac:dyDescent="0.2">
      <c r="A126" s="2">
        <v>41367</v>
      </c>
      <c r="B126" s="8">
        <v>69.766484000000005</v>
      </c>
      <c r="C126" s="8">
        <v>67.077180925886481</v>
      </c>
    </row>
    <row r="127" spans="1:3" x14ac:dyDescent="0.2">
      <c r="A127" s="2">
        <v>41368</v>
      </c>
      <c r="B127" s="8">
        <v>67.631274000000005</v>
      </c>
      <c r="C127" s="8">
        <v>66.108616533078418</v>
      </c>
    </row>
    <row r="128" spans="1:3" x14ac:dyDescent="0.2">
      <c r="A128" s="2">
        <v>41369</v>
      </c>
      <c r="B128" s="8">
        <v>66.282979999999995</v>
      </c>
      <c r="C128" s="8">
        <v>65.384106343283165</v>
      </c>
    </row>
    <row r="129" spans="1:3" x14ac:dyDescent="0.2">
      <c r="A129" s="2">
        <v>41372</v>
      </c>
      <c r="B129" s="8">
        <v>66.708984000000001</v>
      </c>
      <c r="C129" s="8">
        <v>65.817593990245612</v>
      </c>
    </row>
    <row r="130" spans="1:3" x14ac:dyDescent="0.2">
      <c r="A130" s="2">
        <v>41373</v>
      </c>
      <c r="B130" s="8">
        <v>66.767028999999994</v>
      </c>
      <c r="C130" s="8">
        <v>65.709102433224643</v>
      </c>
    </row>
    <row r="131" spans="1:3" x14ac:dyDescent="0.2">
      <c r="A131" s="2">
        <v>41374</v>
      </c>
      <c r="B131" s="8">
        <v>67.131136999999995</v>
      </c>
      <c r="C131" s="8">
        <v>66.071693347729607</v>
      </c>
    </row>
    <row r="132" spans="1:3" x14ac:dyDescent="0.2">
      <c r="A132" s="2">
        <v>41375</v>
      </c>
      <c r="B132" s="8">
        <v>64.572042999999994</v>
      </c>
      <c r="C132" s="8">
        <v>65.628426476050478</v>
      </c>
    </row>
    <row r="133" spans="1:3" x14ac:dyDescent="0.2">
      <c r="A133" s="2">
        <v>41376</v>
      </c>
      <c r="B133" s="8">
        <v>63.413784</v>
      </c>
      <c r="C133" s="8">
        <v>65.210958695830143</v>
      </c>
    </row>
    <row r="134" spans="1:3" x14ac:dyDescent="0.2">
      <c r="A134" s="2">
        <v>41379</v>
      </c>
      <c r="B134" s="8">
        <v>63.045102</v>
      </c>
      <c r="C134" s="8">
        <v>64.774106910146799</v>
      </c>
    </row>
    <row r="135" spans="1:3" x14ac:dyDescent="0.2">
      <c r="A135" s="2">
        <v>41380</v>
      </c>
      <c r="B135" s="8">
        <v>63.345151999999999</v>
      </c>
      <c r="C135" s="8">
        <v>64.734877447688987</v>
      </c>
    </row>
    <row r="136" spans="1:3" x14ac:dyDescent="0.2">
      <c r="A136" s="2">
        <v>41381</v>
      </c>
      <c r="B136" s="8">
        <v>60.871693</v>
      </c>
      <c r="C136" s="8">
        <v>61.587468134015367</v>
      </c>
    </row>
    <row r="137" spans="1:3" x14ac:dyDescent="0.2">
      <c r="A137" s="2">
        <v>41382</v>
      </c>
      <c r="B137" s="8">
        <v>60.416758999999999</v>
      </c>
      <c r="C137" s="8">
        <v>61.43258771382699</v>
      </c>
    </row>
    <row r="138" spans="1:3" x14ac:dyDescent="0.2">
      <c r="A138" s="2">
        <v>41383</v>
      </c>
      <c r="B138" s="8">
        <v>60.248125999999999</v>
      </c>
      <c r="C138" s="8">
        <v>61.247000203818992</v>
      </c>
    </row>
    <row r="139" spans="1:3" x14ac:dyDescent="0.2">
      <c r="A139" s="2">
        <v>41386</v>
      </c>
      <c r="B139" s="8">
        <v>60.1372</v>
      </c>
      <c r="C139" s="8">
        <v>61.232443592521633</v>
      </c>
    </row>
    <row r="140" spans="1:3" x14ac:dyDescent="0.2">
      <c r="A140" s="2">
        <v>41387</v>
      </c>
      <c r="B140" s="8">
        <v>59.930745999999999</v>
      </c>
      <c r="C140" s="8">
        <v>61.14867114461746</v>
      </c>
    </row>
    <row r="141" spans="1:3" x14ac:dyDescent="0.2">
      <c r="A141" s="2">
        <v>41388</v>
      </c>
      <c r="B141" s="8">
        <v>59.687466999999998</v>
      </c>
      <c r="C141" s="8">
        <v>61.140816494311892</v>
      </c>
    </row>
    <row r="142" spans="1:3" x14ac:dyDescent="0.2">
      <c r="A142" s="2">
        <v>41389</v>
      </c>
      <c r="B142" s="8">
        <v>57.749872000000003</v>
      </c>
      <c r="C142" s="8">
        <v>59.905636335893576</v>
      </c>
    </row>
    <row r="143" spans="1:3" x14ac:dyDescent="0.2">
      <c r="A143" s="2">
        <v>41390</v>
      </c>
      <c r="B143" s="8">
        <v>56.507595000000002</v>
      </c>
      <c r="C143" s="8">
        <v>59.526292835236227</v>
      </c>
    </row>
    <row r="144" spans="1:3" x14ac:dyDescent="0.2">
      <c r="A144" s="2">
        <v>41393</v>
      </c>
      <c r="B144" s="8">
        <v>56.777628</v>
      </c>
      <c r="C144" s="8">
        <v>59.572557184530972</v>
      </c>
    </row>
    <row r="145" spans="1:3" x14ac:dyDescent="0.2">
      <c r="A145" s="2">
        <v>41394</v>
      </c>
      <c r="B145" s="8">
        <v>56.800508999999998</v>
      </c>
      <c r="C145" s="8">
        <v>59.376644326652382</v>
      </c>
    </row>
    <row r="146" spans="1:3" x14ac:dyDescent="0.2">
      <c r="A146" s="2">
        <v>41395</v>
      </c>
      <c r="B146" s="8">
        <v>54.563146000000003</v>
      </c>
      <c r="C146" s="8">
        <v>57.638855489797848</v>
      </c>
    </row>
    <row r="147" spans="1:3" x14ac:dyDescent="0.2">
      <c r="A147" s="2">
        <v>41396</v>
      </c>
      <c r="B147" s="8">
        <v>55.188963999999999</v>
      </c>
      <c r="C147" s="8">
        <v>58.065869199324013</v>
      </c>
    </row>
    <row r="148" spans="1:3" x14ac:dyDescent="0.2">
      <c r="A148" s="2">
        <v>41397</v>
      </c>
      <c r="B148" s="8">
        <v>57.165964000000002</v>
      </c>
      <c r="C148" s="8">
        <v>58.936300465530209</v>
      </c>
    </row>
    <row r="149" spans="1:3" x14ac:dyDescent="0.2">
      <c r="A149" s="2">
        <v>41400</v>
      </c>
      <c r="B149" s="8">
        <v>56.469363000000001</v>
      </c>
      <c r="C149" s="8">
        <v>58.992591322544655</v>
      </c>
    </row>
    <row r="150" spans="1:3" x14ac:dyDescent="0.2">
      <c r="A150" s="2">
        <v>41401</v>
      </c>
      <c r="B150" s="8">
        <v>55.975219000000003</v>
      </c>
      <c r="C150" s="8">
        <v>59.176569341486427</v>
      </c>
    </row>
    <row r="151" spans="1:3" x14ac:dyDescent="0.2">
      <c r="A151" s="2">
        <v>41402</v>
      </c>
      <c r="B151" s="8">
        <v>56.687035999999999</v>
      </c>
      <c r="C151" s="8">
        <v>59.820584978167169</v>
      </c>
    </row>
    <row r="152" spans="1:3" x14ac:dyDescent="0.2">
      <c r="A152" s="2">
        <v>41403</v>
      </c>
      <c r="B152" s="8">
        <v>57.719728000000003</v>
      </c>
      <c r="C152" s="8">
        <v>60.737459265998183</v>
      </c>
    </row>
    <row r="153" spans="1:3" x14ac:dyDescent="0.2">
      <c r="A153" s="2">
        <v>41404</v>
      </c>
      <c r="B153" s="8">
        <v>56.788426000000001</v>
      </c>
      <c r="C153" s="8">
        <v>60.946195679800383</v>
      </c>
    </row>
    <row r="154" spans="1:3" x14ac:dyDescent="0.2">
      <c r="A154" s="2">
        <v>41407</v>
      </c>
      <c r="B154" s="8">
        <v>55.586041999999999</v>
      </c>
      <c r="C154" s="8">
        <v>60.810419985459973</v>
      </c>
    </row>
    <row r="155" spans="1:3" x14ac:dyDescent="0.2">
      <c r="A155" s="2">
        <v>41408</v>
      </c>
      <c r="B155" s="8">
        <v>56.040086000000002</v>
      </c>
      <c r="C155" s="8">
        <v>61.491503764698138</v>
      </c>
    </row>
    <row r="156" spans="1:3" x14ac:dyDescent="0.2">
      <c r="A156" s="2">
        <v>41409</v>
      </c>
      <c r="B156" s="8">
        <v>56.965344999999999</v>
      </c>
      <c r="C156" s="8">
        <v>63.511298551494143</v>
      </c>
    </row>
    <row r="157" spans="1:3" x14ac:dyDescent="0.2">
      <c r="A157" s="2">
        <v>41410</v>
      </c>
      <c r="B157" s="8">
        <v>58.197434999999999</v>
      </c>
      <c r="C157" s="8">
        <v>65.05347466987935</v>
      </c>
    </row>
    <row r="158" spans="1:3" x14ac:dyDescent="0.2">
      <c r="A158" s="2">
        <v>41411</v>
      </c>
      <c r="B158" s="8">
        <v>58.332585999999999</v>
      </c>
      <c r="C158" s="8">
        <v>65.160613354861951</v>
      </c>
    </row>
    <row r="159" spans="1:3" x14ac:dyDescent="0.2">
      <c r="A159" s="2">
        <v>41414</v>
      </c>
      <c r="B159" s="8">
        <v>58.042374000000002</v>
      </c>
      <c r="C159" s="8">
        <v>65.123120100768247</v>
      </c>
    </row>
    <row r="160" spans="1:3" x14ac:dyDescent="0.2">
      <c r="A160" s="2">
        <v>41415</v>
      </c>
      <c r="B160" s="8">
        <v>58.025821000000001</v>
      </c>
      <c r="C160" s="8">
        <v>64.766882808850795</v>
      </c>
    </row>
    <row r="161" spans="1:3" x14ac:dyDescent="0.2">
      <c r="A161" s="2">
        <v>41416</v>
      </c>
      <c r="B161" s="8">
        <v>57.724510000000002</v>
      </c>
      <c r="C161" s="8">
        <v>65.23903796035296</v>
      </c>
    </row>
    <row r="162" spans="1:3" x14ac:dyDescent="0.2">
      <c r="A162" s="2">
        <v>41417</v>
      </c>
      <c r="B162" s="8">
        <v>57.950381999999998</v>
      </c>
      <c r="C162" s="8">
        <v>65.464167070885509</v>
      </c>
    </row>
    <row r="163" spans="1:3" x14ac:dyDescent="0.2">
      <c r="A163" s="2">
        <v>41418</v>
      </c>
      <c r="B163" s="8">
        <v>58.124040999999998</v>
      </c>
      <c r="C163" s="8">
        <v>65.41214288911516</v>
      </c>
    </row>
    <row r="164" spans="1:3" x14ac:dyDescent="0.2">
      <c r="A164" s="2">
        <v>41422</v>
      </c>
      <c r="B164" s="8">
        <v>56.964587000000002</v>
      </c>
      <c r="C164" s="8">
        <v>64.61269371980579</v>
      </c>
    </row>
    <row r="165" spans="1:3" x14ac:dyDescent="0.2">
      <c r="A165" s="2">
        <v>41423</v>
      </c>
      <c r="B165" s="8">
        <v>56.932226</v>
      </c>
      <c r="C165" s="8">
        <v>64.463718060838175</v>
      </c>
    </row>
    <row r="166" spans="1:3" x14ac:dyDescent="0.2">
      <c r="A166" s="2">
        <v>41424</v>
      </c>
      <c r="B166" s="8">
        <v>57.561641000000002</v>
      </c>
      <c r="C166" s="8">
        <v>65.261256394187711</v>
      </c>
    </row>
    <row r="167" spans="1:3" x14ac:dyDescent="0.2">
      <c r="A167" s="2">
        <v>41425</v>
      </c>
      <c r="B167" s="8">
        <v>57.754069999999999</v>
      </c>
      <c r="C167" s="8">
        <v>65.917435859245941</v>
      </c>
    </row>
    <row r="168" spans="1:3" x14ac:dyDescent="0.2">
      <c r="A168" s="2">
        <v>41428</v>
      </c>
      <c r="B168" s="8">
        <v>57.243749999999999</v>
      </c>
      <c r="C168" s="8">
        <v>65.858941030389929</v>
      </c>
    </row>
    <row r="169" spans="1:3" x14ac:dyDescent="0.2">
      <c r="A169" s="2">
        <v>41429</v>
      </c>
      <c r="B169" s="8">
        <v>57.772742999999998</v>
      </c>
      <c r="C169" s="8">
        <v>66.219225909159078</v>
      </c>
    </row>
    <row r="170" spans="1:3" x14ac:dyDescent="0.2">
      <c r="A170" s="2">
        <v>41430</v>
      </c>
      <c r="B170" s="8">
        <v>58.068523999999996</v>
      </c>
      <c r="C170" s="8">
        <v>65.991906238183532</v>
      </c>
    </row>
    <row r="171" spans="1:3" x14ac:dyDescent="0.2">
      <c r="A171" s="2">
        <v>41431</v>
      </c>
      <c r="B171" s="8">
        <v>58.469776000000003</v>
      </c>
      <c r="C171" s="8">
        <v>65.560770055205495</v>
      </c>
    </row>
    <row r="172" spans="1:3" x14ac:dyDescent="0.2">
      <c r="A172" s="2">
        <v>41432</v>
      </c>
      <c r="B172" s="8">
        <v>59.249456000000002</v>
      </c>
      <c r="C172" s="8">
        <v>66.221444671034419</v>
      </c>
    </row>
    <row r="173" spans="1:3" x14ac:dyDescent="0.2">
      <c r="A173" s="2">
        <v>41435</v>
      </c>
      <c r="B173" s="8">
        <v>59.144154</v>
      </c>
      <c r="C173" s="8">
        <v>66.331742999821046</v>
      </c>
    </row>
    <row r="174" spans="1:3" x14ac:dyDescent="0.2">
      <c r="A174" s="2">
        <v>41436</v>
      </c>
      <c r="B174" s="8">
        <v>57.951126000000002</v>
      </c>
      <c r="C174" s="8">
        <v>65.718702197997175</v>
      </c>
    </row>
    <row r="175" spans="1:3" x14ac:dyDescent="0.2">
      <c r="A175" s="2">
        <v>41437</v>
      </c>
      <c r="B175" s="8">
        <v>58.281210999999999</v>
      </c>
      <c r="C175" s="8">
        <v>66.103570533241907</v>
      </c>
    </row>
    <row r="176" spans="1:3" x14ac:dyDescent="0.2">
      <c r="A176" s="2">
        <v>41438</v>
      </c>
      <c r="B176" s="8">
        <v>58.183438000000002</v>
      </c>
      <c r="C176" s="8">
        <v>65.683834127265925</v>
      </c>
    </row>
    <row r="177" spans="1:3" x14ac:dyDescent="0.2">
      <c r="A177" s="2">
        <v>41439</v>
      </c>
      <c r="B177" s="8">
        <v>62.280101999999999</v>
      </c>
      <c r="C177" s="8">
        <v>68.413988697500386</v>
      </c>
    </row>
    <row r="178" spans="1:3" x14ac:dyDescent="0.2">
      <c r="A178" s="2">
        <v>41442</v>
      </c>
      <c r="B178" s="8">
        <v>64.379101000000006</v>
      </c>
      <c r="C178" s="8">
        <v>69.125010049969944</v>
      </c>
    </row>
    <row r="179" spans="1:3" x14ac:dyDescent="0.2">
      <c r="A179" s="2">
        <v>41443</v>
      </c>
      <c r="B179" s="8">
        <v>64.478070000000002</v>
      </c>
      <c r="C179" s="8">
        <v>69.166066685194522</v>
      </c>
    </row>
    <row r="180" spans="1:3" x14ac:dyDescent="0.2">
      <c r="A180" s="2">
        <v>41444</v>
      </c>
      <c r="B180" s="8">
        <v>65.519375999999994</v>
      </c>
      <c r="C180" s="8">
        <v>70.323230963208161</v>
      </c>
    </row>
    <row r="181" spans="1:3" x14ac:dyDescent="0.2">
      <c r="A181" s="2">
        <v>41445</v>
      </c>
      <c r="B181" s="8">
        <v>67.336873999999995</v>
      </c>
      <c r="C181" s="8">
        <v>71.6991228995753</v>
      </c>
    </row>
    <row r="182" spans="1:3" x14ac:dyDescent="0.2">
      <c r="A182" s="2">
        <v>41446</v>
      </c>
      <c r="B182" s="8">
        <v>68.599971999999994</v>
      </c>
      <c r="C182" s="8">
        <v>73.044666860407645</v>
      </c>
    </row>
    <row r="183" spans="1:3" x14ac:dyDescent="0.2">
      <c r="A183" s="2">
        <v>41449</v>
      </c>
      <c r="B183" s="8">
        <v>68.932473999999999</v>
      </c>
      <c r="C183" s="8">
        <v>73.368945843997778</v>
      </c>
    </row>
    <row r="184" spans="1:3" x14ac:dyDescent="0.2">
      <c r="A184" s="2">
        <v>41450</v>
      </c>
      <c r="B184" s="8">
        <v>64.053338999999994</v>
      </c>
      <c r="C184" s="8">
        <v>71.19266776230333</v>
      </c>
    </row>
    <row r="185" spans="1:3" x14ac:dyDescent="0.2">
      <c r="A185" s="2">
        <v>41451</v>
      </c>
      <c r="B185" s="8">
        <v>63.755265000000001</v>
      </c>
      <c r="C185" s="8">
        <v>70.696268981692057</v>
      </c>
    </row>
    <row r="186" spans="1:3" x14ac:dyDescent="0.2">
      <c r="A186" s="2">
        <v>41452</v>
      </c>
      <c r="B186" s="8">
        <v>63.584060999999998</v>
      </c>
      <c r="C186" s="8">
        <v>69.594697434741647</v>
      </c>
    </row>
    <row r="187" spans="1:3" x14ac:dyDescent="0.2">
      <c r="A187" s="2">
        <v>41453</v>
      </c>
      <c r="B187" s="8">
        <v>62.939588999999998</v>
      </c>
      <c r="C187" s="8">
        <v>75.741268699495407</v>
      </c>
    </row>
    <row r="188" spans="1:3" x14ac:dyDescent="0.2">
      <c r="A188" s="2">
        <v>41456</v>
      </c>
      <c r="B188" s="8">
        <v>70.716013000000004</v>
      </c>
      <c r="C188" s="8">
        <v>77.436525984119669</v>
      </c>
    </row>
    <row r="189" spans="1:3" x14ac:dyDescent="0.2">
      <c r="A189" s="2">
        <v>41457</v>
      </c>
      <c r="B189" s="8">
        <v>70.498501000000005</v>
      </c>
      <c r="C189" s="8">
        <v>77.557790782095694</v>
      </c>
    </row>
    <row r="190" spans="1:3" x14ac:dyDescent="0.2">
      <c r="A190" s="2">
        <v>41458</v>
      </c>
      <c r="B190" s="8">
        <v>70.660617999999999</v>
      </c>
      <c r="C190" s="8">
        <v>78.103936103955462</v>
      </c>
    </row>
    <row r="191" spans="1:3" x14ac:dyDescent="0.2">
      <c r="A191" s="2">
        <v>41460</v>
      </c>
      <c r="B191" s="8">
        <v>74.302012000000005</v>
      </c>
      <c r="C191" s="8">
        <v>81.850433899197924</v>
      </c>
    </row>
    <row r="192" spans="1:3" x14ac:dyDescent="0.2">
      <c r="A192" s="2">
        <v>41463</v>
      </c>
      <c r="B192" s="8">
        <v>73.945970000000003</v>
      </c>
      <c r="C192" s="8">
        <v>80.566809790110099</v>
      </c>
    </row>
    <row r="193" spans="1:3" x14ac:dyDescent="0.2">
      <c r="A193" s="2">
        <v>41464</v>
      </c>
      <c r="B193" s="8">
        <v>73.568414000000004</v>
      </c>
      <c r="C193" s="8">
        <v>79.891917146844406</v>
      </c>
    </row>
    <row r="194" spans="1:3" x14ac:dyDescent="0.2">
      <c r="A194" s="2">
        <v>41465</v>
      </c>
      <c r="B194" s="8">
        <v>73.827483000000001</v>
      </c>
      <c r="C194" s="8">
        <v>81.022125266827643</v>
      </c>
    </row>
    <row r="195" spans="1:3" x14ac:dyDescent="0.2">
      <c r="A195" s="2">
        <v>41466</v>
      </c>
      <c r="B195" s="8">
        <v>74.328433000000004</v>
      </c>
      <c r="C195" s="8">
        <v>81.428754250825435</v>
      </c>
    </row>
    <row r="196" spans="1:3" x14ac:dyDescent="0.2">
      <c r="A196" s="2">
        <v>41467</v>
      </c>
      <c r="B196" s="8">
        <v>66.658314000000004</v>
      </c>
      <c r="C196" s="8">
        <v>73.540568504522071</v>
      </c>
    </row>
    <row r="197" spans="1:3" x14ac:dyDescent="0.2">
      <c r="A197" s="2">
        <v>41470</v>
      </c>
      <c r="B197" s="8">
        <v>64.911169999999998</v>
      </c>
      <c r="C197" s="8">
        <v>71.535115563523917</v>
      </c>
    </row>
    <row r="198" spans="1:3" x14ac:dyDescent="0.2">
      <c r="A198" s="2">
        <v>41471</v>
      </c>
      <c r="B198" s="8">
        <v>70.437516000000002</v>
      </c>
      <c r="C198" s="8">
        <v>77.018640546294719</v>
      </c>
    </row>
    <row r="199" spans="1:3" x14ac:dyDescent="0.2">
      <c r="A199" s="2">
        <v>41472</v>
      </c>
      <c r="B199" s="8">
        <v>69.516081999999997</v>
      </c>
      <c r="C199" s="8">
        <v>76.44932704511389</v>
      </c>
    </row>
    <row r="200" spans="1:3" x14ac:dyDescent="0.2">
      <c r="A200" s="2">
        <v>41473</v>
      </c>
      <c r="B200" s="8">
        <v>63.819885999999997</v>
      </c>
      <c r="C200" s="8">
        <v>72.091027082941565</v>
      </c>
    </row>
    <row r="201" spans="1:3" x14ac:dyDescent="0.2">
      <c r="A201" s="2">
        <v>41474</v>
      </c>
      <c r="B201" s="8">
        <v>63.273704000000002</v>
      </c>
      <c r="C201" s="8">
        <v>71.133925361608959</v>
      </c>
    </row>
    <row r="202" spans="1:3" x14ac:dyDescent="0.2">
      <c r="A202" s="2">
        <v>41477</v>
      </c>
      <c r="B202" s="8">
        <v>63.277498999999999</v>
      </c>
      <c r="C202" s="8">
        <v>70.996176526919598</v>
      </c>
    </row>
    <row r="203" spans="1:3" x14ac:dyDescent="0.2">
      <c r="A203" s="2">
        <v>41478</v>
      </c>
      <c r="B203" s="8">
        <v>63.742539999999998</v>
      </c>
      <c r="C203" s="8">
        <v>71.661759989335408</v>
      </c>
    </row>
    <row r="204" spans="1:3" x14ac:dyDescent="0.2">
      <c r="A204" s="2">
        <v>41479</v>
      </c>
      <c r="B204" s="8">
        <v>63.893228000000001</v>
      </c>
      <c r="C204" s="8">
        <v>72.356193089470125</v>
      </c>
    </row>
    <row r="205" spans="1:3" x14ac:dyDescent="0.2">
      <c r="A205" s="2">
        <v>41480</v>
      </c>
      <c r="B205" s="8">
        <v>63.790481</v>
      </c>
      <c r="C205" s="8">
        <v>72.473835376186855</v>
      </c>
    </row>
    <row r="206" spans="1:3" x14ac:dyDescent="0.2">
      <c r="A206" s="2">
        <v>41481</v>
      </c>
      <c r="B206" s="8">
        <v>61.231321000000001</v>
      </c>
      <c r="C206" s="8">
        <v>70.840771235974927</v>
      </c>
    </row>
    <row r="207" spans="1:3" x14ac:dyDescent="0.2">
      <c r="A207" s="2">
        <v>41484</v>
      </c>
      <c r="B207" s="8">
        <v>61.156213999999999</v>
      </c>
      <c r="C207" s="8">
        <v>70.882790746270359</v>
      </c>
    </row>
    <row r="208" spans="1:3" x14ac:dyDescent="0.2">
      <c r="A208" s="2">
        <v>41485</v>
      </c>
      <c r="B208" s="8">
        <v>61.206162999999997</v>
      </c>
      <c r="C208" s="8">
        <v>71.340758689138084</v>
      </c>
    </row>
    <row r="209" spans="1:3" x14ac:dyDescent="0.2">
      <c r="A209" s="2">
        <v>41486</v>
      </c>
      <c r="B209" s="8">
        <v>61.89987</v>
      </c>
      <c r="C209" s="8">
        <v>71.474660005615078</v>
      </c>
    </row>
    <row r="210" spans="1:3" x14ac:dyDescent="0.2">
      <c r="A210" s="2">
        <v>41487</v>
      </c>
      <c r="B210" s="8">
        <v>56.572657</v>
      </c>
      <c r="C210" s="8">
        <v>66.002737160202926</v>
      </c>
    </row>
    <row r="211" spans="1:3" x14ac:dyDescent="0.2">
      <c r="A211" s="2">
        <v>41488</v>
      </c>
      <c r="B211" s="8">
        <v>56.423268</v>
      </c>
      <c r="C211" s="8">
        <v>65.078964562232215</v>
      </c>
    </row>
    <row r="212" spans="1:3" x14ac:dyDescent="0.2">
      <c r="A212" s="2">
        <v>41491</v>
      </c>
      <c r="B212" s="8">
        <v>56.394632000000001</v>
      </c>
      <c r="C212" s="8">
        <v>65.125019189466428</v>
      </c>
    </row>
    <row r="213" spans="1:3" x14ac:dyDescent="0.2">
      <c r="A213" s="2">
        <v>41492</v>
      </c>
      <c r="B213" s="8">
        <v>56.937209000000003</v>
      </c>
      <c r="C213" s="8">
        <v>65.652736619351586</v>
      </c>
    </row>
    <row r="214" spans="1:3" x14ac:dyDescent="0.2">
      <c r="A214" s="2">
        <v>41493</v>
      </c>
      <c r="B214" s="8">
        <v>57.490360000000003</v>
      </c>
      <c r="C214" s="8">
        <v>64.993544130526033</v>
      </c>
    </row>
    <row r="215" spans="1:3" x14ac:dyDescent="0.2">
      <c r="A215" s="2">
        <v>41494</v>
      </c>
      <c r="B215" s="8">
        <v>57.141716000000002</v>
      </c>
      <c r="C215" s="8">
        <v>67.299117130511377</v>
      </c>
    </row>
    <row r="216" spans="1:3" x14ac:dyDescent="0.2">
      <c r="A216" s="2">
        <v>41495</v>
      </c>
      <c r="B216" s="8">
        <v>56.229284</v>
      </c>
      <c r="C216" s="8">
        <v>66.910589687024526</v>
      </c>
    </row>
    <row r="217" spans="1:3" x14ac:dyDescent="0.2">
      <c r="A217" s="2">
        <v>41498</v>
      </c>
      <c r="B217" s="8">
        <v>57.391039999999997</v>
      </c>
      <c r="C217" s="8">
        <v>68.358874750559806</v>
      </c>
    </row>
    <row r="218" spans="1:3" x14ac:dyDescent="0.2">
      <c r="A218" s="2">
        <v>41499</v>
      </c>
      <c r="B218" s="8">
        <v>60.119183</v>
      </c>
      <c r="C218" s="8">
        <v>71.812023706130731</v>
      </c>
    </row>
    <row r="219" spans="1:3" x14ac:dyDescent="0.2">
      <c r="A219" s="2">
        <v>41500</v>
      </c>
      <c r="B219" s="8">
        <v>60.154262000000003</v>
      </c>
      <c r="C219" s="8">
        <v>71.505967698400426</v>
      </c>
    </row>
    <row r="220" spans="1:3" x14ac:dyDescent="0.2">
      <c r="A220" s="2">
        <v>41501</v>
      </c>
      <c r="B220" s="8">
        <v>60.182876999999998</v>
      </c>
      <c r="C220" s="8">
        <v>71.830509545254557</v>
      </c>
    </row>
    <row r="221" spans="1:3" x14ac:dyDescent="0.2">
      <c r="A221" s="2">
        <v>41502</v>
      </c>
      <c r="B221" s="8">
        <v>60.540908999999999</v>
      </c>
      <c r="C221" s="8">
        <v>72.450687521770902</v>
      </c>
    </row>
    <row r="222" spans="1:3" x14ac:dyDescent="0.2">
      <c r="A222" s="2">
        <v>41505</v>
      </c>
      <c r="B222" s="8">
        <v>60.608260000000001</v>
      </c>
      <c r="C222" s="8">
        <v>72.664982468104995</v>
      </c>
    </row>
    <row r="223" spans="1:3" x14ac:dyDescent="0.2">
      <c r="A223" s="2">
        <v>41506</v>
      </c>
      <c r="B223" s="8">
        <v>60.615938</v>
      </c>
      <c r="C223" s="8">
        <v>72.249735723282669</v>
      </c>
    </row>
    <row r="224" spans="1:3" x14ac:dyDescent="0.2">
      <c r="A224" s="2">
        <v>41507</v>
      </c>
      <c r="B224" s="8">
        <v>62.379413</v>
      </c>
      <c r="C224" s="8">
        <v>74.435883646174261</v>
      </c>
    </row>
    <row r="225" spans="1:3" x14ac:dyDescent="0.2">
      <c r="A225" s="2">
        <v>41508</v>
      </c>
      <c r="B225" s="8">
        <v>62.490746000000001</v>
      </c>
      <c r="C225" s="8">
        <v>74.291052484316822</v>
      </c>
    </row>
    <row r="226" spans="1:3" x14ac:dyDescent="0.2">
      <c r="A226" s="2">
        <v>41509</v>
      </c>
      <c r="B226" s="8">
        <v>64.291068999999993</v>
      </c>
      <c r="C226" s="8">
        <v>76.174325987154347</v>
      </c>
    </row>
    <row r="227" spans="1:3" x14ac:dyDescent="0.2">
      <c r="A227" s="2">
        <v>41512</v>
      </c>
      <c r="B227" s="8">
        <v>62.615879999999997</v>
      </c>
      <c r="C227" s="8">
        <v>73.946061333500424</v>
      </c>
    </row>
    <row r="228" spans="1:3" x14ac:dyDescent="0.2">
      <c r="A228" s="2">
        <v>41513</v>
      </c>
      <c r="B228" s="8">
        <v>61.359377000000002</v>
      </c>
      <c r="C228" s="8">
        <v>73.497751024200213</v>
      </c>
    </row>
    <row r="229" spans="1:3" x14ac:dyDescent="0.2">
      <c r="A229" s="2">
        <v>41514</v>
      </c>
      <c r="B229" s="8">
        <v>61.431305000000002</v>
      </c>
      <c r="C229" s="8">
        <v>73.625251537912874</v>
      </c>
    </row>
    <row r="230" spans="1:3" x14ac:dyDescent="0.2">
      <c r="A230" s="2">
        <v>41515</v>
      </c>
      <c r="B230" s="8">
        <v>61.488182000000002</v>
      </c>
      <c r="C230" s="8">
        <v>73.485850885923654</v>
      </c>
    </row>
    <row r="231" spans="1:3" x14ac:dyDescent="0.2">
      <c r="A231" s="2">
        <v>41516</v>
      </c>
      <c r="B231" s="8">
        <v>65.075316999999998</v>
      </c>
      <c r="C231" s="8">
        <v>76.13327241418726</v>
      </c>
    </row>
    <row r="232" spans="1:3" x14ac:dyDescent="0.2">
      <c r="A232" s="2">
        <v>41520</v>
      </c>
      <c r="B232" s="8">
        <v>62.004412000000002</v>
      </c>
      <c r="C232" s="8">
        <v>74.850705412863178</v>
      </c>
    </row>
    <row r="233" spans="1:3" x14ac:dyDescent="0.2">
      <c r="A233" s="2">
        <v>41521</v>
      </c>
      <c r="B233" s="8">
        <v>61.637523000000002</v>
      </c>
      <c r="C233" s="8">
        <v>74.928907945689119</v>
      </c>
    </row>
    <row r="234" spans="1:3" x14ac:dyDescent="0.2">
      <c r="A234" s="2">
        <v>41522</v>
      </c>
      <c r="B234" s="8">
        <v>61.318717999999997</v>
      </c>
      <c r="C234" s="8">
        <v>75.102771472968783</v>
      </c>
    </row>
    <row r="235" spans="1:3" x14ac:dyDescent="0.2">
      <c r="A235" s="2">
        <v>41523</v>
      </c>
      <c r="B235" s="8">
        <v>62.512858999999999</v>
      </c>
      <c r="C235" s="8">
        <v>75.261855984877172</v>
      </c>
    </row>
    <row r="236" spans="1:3" x14ac:dyDescent="0.2">
      <c r="A236" s="2">
        <v>41526</v>
      </c>
      <c r="B236" s="8">
        <v>62.707304000000001</v>
      </c>
      <c r="C236" s="8">
        <v>75.374308946042419</v>
      </c>
    </row>
    <row r="237" spans="1:3" x14ac:dyDescent="0.2">
      <c r="A237" s="2">
        <v>41527</v>
      </c>
      <c r="B237" s="8">
        <v>62.584806999999998</v>
      </c>
      <c r="C237" s="8">
        <v>75.120576198185489</v>
      </c>
    </row>
    <row r="238" spans="1:3" x14ac:dyDescent="0.2">
      <c r="A238" s="2">
        <v>41528</v>
      </c>
      <c r="B238" s="8">
        <v>61.813595999999997</v>
      </c>
      <c r="C238" s="8">
        <v>75.121682175606949</v>
      </c>
    </row>
    <row r="239" spans="1:3" x14ac:dyDescent="0.2">
      <c r="A239" s="2">
        <v>41529</v>
      </c>
      <c r="B239" s="8">
        <v>71.069348000000005</v>
      </c>
      <c r="C239" s="8">
        <v>86.440190779496049</v>
      </c>
    </row>
    <row r="240" spans="1:3" x14ac:dyDescent="0.2">
      <c r="A240" s="2">
        <v>41530</v>
      </c>
      <c r="B240" s="8">
        <v>71.020647999999994</v>
      </c>
      <c r="C240" s="8">
        <v>86.357207191506831</v>
      </c>
    </row>
    <row r="241" spans="1:3" x14ac:dyDescent="0.2">
      <c r="A241" s="2">
        <v>41533</v>
      </c>
      <c r="B241" s="8">
        <v>70.934499000000002</v>
      </c>
      <c r="C241" s="8">
        <v>86.121707606255555</v>
      </c>
    </row>
    <row r="242" spans="1:3" x14ac:dyDescent="0.2">
      <c r="A242" s="2">
        <v>41534</v>
      </c>
      <c r="B242" s="8">
        <v>71.097533999999996</v>
      </c>
      <c r="C242" s="8">
        <v>86.166071714831617</v>
      </c>
    </row>
    <row r="243" spans="1:3" x14ac:dyDescent="0.2">
      <c r="A243" s="2">
        <v>41535</v>
      </c>
      <c r="B243" s="8">
        <v>71.434814000000003</v>
      </c>
      <c r="C243" s="8">
        <v>85.874242020090293</v>
      </c>
    </row>
    <row r="244" spans="1:3" x14ac:dyDescent="0.2">
      <c r="A244" s="2">
        <v>41536</v>
      </c>
      <c r="B244" s="8">
        <v>71.290189999999996</v>
      </c>
      <c r="C244" s="8">
        <v>85.579879166619932</v>
      </c>
    </row>
    <row r="245" spans="1:3" x14ac:dyDescent="0.2">
      <c r="A245" s="2">
        <v>41537</v>
      </c>
      <c r="B245" s="8">
        <v>71.273122999999998</v>
      </c>
      <c r="C245" s="8">
        <v>85.69896287812017</v>
      </c>
    </row>
    <row r="246" spans="1:3" x14ac:dyDescent="0.2">
      <c r="A246" s="2">
        <v>41540</v>
      </c>
      <c r="B246" s="8">
        <v>71.395280999999997</v>
      </c>
      <c r="C246" s="8">
        <v>85.600554215195501</v>
      </c>
    </row>
    <row r="247" spans="1:3" x14ac:dyDescent="0.2">
      <c r="A247" s="2">
        <v>41541</v>
      </c>
      <c r="B247" s="8">
        <v>71.297011999999995</v>
      </c>
      <c r="C247" s="8">
        <v>85.145896677446885</v>
      </c>
    </row>
    <row r="248" spans="1:3" x14ac:dyDescent="0.2">
      <c r="A248" s="2">
        <v>41542</v>
      </c>
      <c r="B248" s="8">
        <v>70.575892999999994</v>
      </c>
      <c r="C248" s="8">
        <v>83.787090879547918</v>
      </c>
    </row>
    <row r="249" spans="1:3" x14ac:dyDescent="0.2">
      <c r="A249" s="2">
        <v>41543</v>
      </c>
      <c r="B249" s="8">
        <v>70.699555000000004</v>
      </c>
      <c r="C249" s="8">
        <v>84.07689786677804</v>
      </c>
    </row>
    <row r="250" spans="1:3" x14ac:dyDescent="0.2">
      <c r="A250" s="2">
        <v>41544</v>
      </c>
      <c r="B250" s="8">
        <v>67.651399999999995</v>
      </c>
      <c r="C250" s="8">
        <v>80.461570852842328</v>
      </c>
    </row>
    <row r="251" spans="1:3" x14ac:dyDescent="0.2">
      <c r="A251" s="2">
        <v>41547</v>
      </c>
      <c r="B251" s="8">
        <v>68.287344000000004</v>
      </c>
      <c r="C251" s="8">
        <v>80.776662713867466</v>
      </c>
    </row>
    <row r="252" spans="1:3" x14ac:dyDescent="0.2">
      <c r="A252" s="2">
        <v>41548</v>
      </c>
      <c r="B252" s="8">
        <v>67.989165999999997</v>
      </c>
      <c r="C252" s="8">
        <v>81.35290436146586</v>
      </c>
    </row>
    <row r="253" spans="1:3" x14ac:dyDescent="0.2">
      <c r="A253" s="2">
        <v>41549</v>
      </c>
      <c r="B253" s="8">
        <v>68.024238999999994</v>
      </c>
      <c r="C253" s="8">
        <v>81.387555274441354</v>
      </c>
    </row>
    <row r="254" spans="1:3" x14ac:dyDescent="0.2">
      <c r="A254" s="2">
        <v>41550</v>
      </c>
      <c r="B254" s="8">
        <v>67.862758999999997</v>
      </c>
      <c r="C254" s="8">
        <v>81.154662534080472</v>
      </c>
    </row>
    <row r="255" spans="1:3" x14ac:dyDescent="0.2">
      <c r="A255" s="2">
        <v>41551</v>
      </c>
      <c r="B255" s="8">
        <v>68.090152000000003</v>
      </c>
      <c r="C255" s="8">
        <v>81.665444208748937</v>
      </c>
    </row>
    <row r="256" spans="1:3" x14ac:dyDescent="0.2">
      <c r="A256" s="2">
        <v>41554</v>
      </c>
      <c r="B256" s="8">
        <v>68.895077000000001</v>
      </c>
      <c r="C256" s="8">
        <v>81.556824804684354</v>
      </c>
    </row>
    <row r="257" spans="1:3" x14ac:dyDescent="0.2">
      <c r="A257" s="2">
        <v>41555</v>
      </c>
      <c r="B257" s="8">
        <v>69.344746000000001</v>
      </c>
      <c r="C257" s="8">
        <v>81.413430627773167</v>
      </c>
    </row>
    <row r="258" spans="1:3" x14ac:dyDescent="0.2">
      <c r="A258" s="2">
        <v>41556</v>
      </c>
      <c r="B258" s="8">
        <v>65.800475000000006</v>
      </c>
      <c r="C258" s="8">
        <v>78.153146249942708</v>
      </c>
    </row>
    <row r="259" spans="1:3" x14ac:dyDescent="0.2">
      <c r="A259" s="2">
        <v>41557</v>
      </c>
      <c r="B259" s="8">
        <v>66.033693</v>
      </c>
      <c r="C259" s="8">
        <v>78.351346854345465</v>
      </c>
    </row>
    <row r="260" spans="1:3" x14ac:dyDescent="0.2">
      <c r="A260" s="2">
        <v>41558</v>
      </c>
      <c r="B260" s="8">
        <v>65.264104000000003</v>
      </c>
      <c r="C260" s="8">
        <v>78.471981539371598</v>
      </c>
    </row>
    <row r="261" spans="1:3" x14ac:dyDescent="0.2">
      <c r="A261" s="2">
        <v>41562</v>
      </c>
      <c r="B261" s="8">
        <v>65.477868000000001</v>
      </c>
      <c r="C261" s="8">
        <v>78.587545093885979</v>
      </c>
    </row>
    <row r="262" spans="1:3" x14ac:dyDescent="0.2">
      <c r="A262" s="2">
        <v>41563</v>
      </c>
      <c r="B262" s="8">
        <v>65.121253999999993</v>
      </c>
      <c r="C262" s="8">
        <v>78.188571267279045</v>
      </c>
    </row>
    <row r="263" spans="1:3" x14ac:dyDescent="0.2">
      <c r="A263" s="2">
        <v>41564</v>
      </c>
      <c r="B263" s="8">
        <v>59.814079999999997</v>
      </c>
      <c r="C263" s="8">
        <v>72.555920173921322</v>
      </c>
    </row>
    <row r="264" spans="1:3" x14ac:dyDescent="0.2">
      <c r="A264" s="2">
        <v>41565</v>
      </c>
      <c r="B264" s="8">
        <v>59.529283999999997</v>
      </c>
      <c r="C264" s="8">
        <v>72.538150096474979</v>
      </c>
    </row>
    <row r="265" spans="1:3" x14ac:dyDescent="0.2">
      <c r="A265" s="2">
        <v>41568</v>
      </c>
      <c r="B265" s="8">
        <v>59.728282999999998</v>
      </c>
      <c r="C265" s="8">
        <v>72.425688463935359</v>
      </c>
    </row>
    <row r="266" spans="1:3" x14ac:dyDescent="0.2">
      <c r="A266" s="2">
        <v>41569</v>
      </c>
      <c r="B266" s="8">
        <v>57.772592000000003</v>
      </c>
      <c r="C266" s="8">
        <v>69.313535626370765</v>
      </c>
    </row>
    <row r="267" spans="1:3" x14ac:dyDescent="0.2">
      <c r="A267" s="2">
        <v>41570</v>
      </c>
      <c r="B267" s="8">
        <v>56.646447999999999</v>
      </c>
      <c r="C267" s="8">
        <v>67.83323208034021</v>
      </c>
    </row>
    <row r="268" spans="1:3" x14ac:dyDescent="0.2">
      <c r="A268" s="2">
        <v>41571</v>
      </c>
      <c r="B268" s="8">
        <v>42.942802</v>
      </c>
      <c r="C268" s="8">
        <v>68.049073095406612</v>
      </c>
    </row>
    <row r="269" spans="1:3" x14ac:dyDescent="0.2">
      <c r="A269" s="2">
        <v>41572</v>
      </c>
      <c r="B269" s="8">
        <v>42.009731000000002</v>
      </c>
      <c r="C269" s="8">
        <v>67.804147403794687</v>
      </c>
    </row>
    <row r="270" spans="1:3" x14ac:dyDescent="0.2">
      <c r="A270" s="2">
        <v>41575</v>
      </c>
      <c r="B270" s="8">
        <v>54.648521000000002</v>
      </c>
      <c r="C270" s="8">
        <v>66.978906297985844</v>
      </c>
    </row>
    <row r="271" spans="1:3" x14ac:dyDescent="0.2">
      <c r="A271" s="2">
        <v>41576</v>
      </c>
      <c r="B271" s="8">
        <v>55.287103999999999</v>
      </c>
      <c r="C271" s="8">
        <v>66.928864789212099</v>
      </c>
    </row>
    <row r="272" spans="1:3" x14ac:dyDescent="0.2">
      <c r="A272" s="2">
        <v>41577</v>
      </c>
      <c r="B272" s="8">
        <v>55.298473000000001</v>
      </c>
      <c r="C272" s="8">
        <v>66.991473456105126</v>
      </c>
    </row>
    <row r="273" spans="1:3" x14ac:dyDescent="0.2">
      <c r="A273" s="2">
        <v>41578</v>
      </c>
      <c r="B273" s="8">
        <v>55.411499999999997</v>
      </c>
      <c r="C273" s="8">
        <v>66.824339195583264</v>
      </c>
    </row>
    <row r="274" spans="1:3" x14ac:dyDescent="0.2">
      <c r="A274" s="2">
        <v>41579</v>
      </c>
      <c r="B274" s="8">
        <v>53.764192000000001</v>
      </c>
      <c r="C274" s="8">
        <v>65.797227747948838</v>
      </c>
    </row>
    <row r="275" spans="1:3" x14ac:dyDescent="0.2">
      <c r="A275" s="2">
        <v>41582</v>
      </c>
      <c r="B275" s="8">
        <v>53.539994</v>
      </c>
      <c r="C275" s="8">
        <v>65.661067371945663</v>
      </c>
    </row>
    <row r="276" spans="1:3" x14ac:dyDescent="0.2">
      <c r="A276" s="2">
        <v>41583</v>
      </c>
      <c r="B276" s="8">
        <v>53.869109000000002</v>
      </c>
      <c r="C276" s="8">
        <v>66.478183601271425</v>
      </c>
    </row>
    <row r="277" spans="1:3" x14ac:dyDescent="0.2">
      <c r="A277" s="2">
        <v>41584</v>
      </c>
      <c r="B277" s="8">
        <v>54.948681999999998</v>
      </c>
      <c r="C277" s="8">
        <v>66.742431404951503</v>
      </c>
    </row>
    <row r="278" spans="1:3" x14ac:dyDescent="0.2">
      <c r="A278" s="2">
        <v>41585</v>
      </c>
      <c r="B278" s="8">
        <v>55.082335999999998</v>
      </c>
      <c r="C278" s="8">
        <v>66.775381427338132</v>
      </c>
    </row>
    <row r="279" spans="1:3" x14ac:dyDescent="0.2">
      <c r="A279" s="2">
        <v>41586</v>
      </c>
      <c r="B279" s="8">
        <v>55.010379</v>
      </c>
      <c r="C279" s="8">
        <v>67.614222631520775</v>
      </c>
    </row>
    <row r="280" spans="1:3" x14ac:dyDescent="0.2">
      <c r="A280" s="2">
        <v>41590</v>
      </c>
      <c r="B280" s="8">
        <v>55.174190000000003</v>
      </c>
      <c r="C280" s="8" t="e">
        <v>#N/A</v>
      </c>
    </row>
    <row r="281" spans="1:3" x14ac:dyDescent="0.2">
      <c r="A281" s="2">
        <v>41591</v>
      </c>
      <c r="B281" s="8">
        <v>55.021974999999998</v>
      </c>
      <c r="C281" s="8">
        <v>67.316434278490931</v>
      </c>
    </row>
    <row r="282" spans="1:3" x14ac:dyDescent="0.2">
      <c r="A282" s="2">
        <v>41592</v>
      </c>
      <c r="B282" s="8">
        <v>54.877487000000002</v>
      </c>
      <c r="C282" s="8">
        <v>66.829971172754256</v>
      </c>
    </row>
    <row r="283" spans="1:3" x14ac:dyDescent="0.2">
      <c r="A283" s="2">
        <v>41593</v>
      </c>
      <c r="B283" s="8">
        <v>58.431387000000001</v>
      </c>
      <c r="C283" s="8">
        <v>69.630636260804096</v>
      </c>
    </row>
    <row r="284" spans="1:3" x14ac:dyDescent="0.2">
      <c r="A284" s="2">
        <v>41596</v>
      </c>
      <c r="B284" s="8">
        <v>57.612555</v>
      </c>
      <c r="C284" s="8">
        <v>69.331308917827627</v>
      </c>
    </row>
    <row r="285" spans="1:3" x14ac:dyDescent="0.2">
      <c r="A285" s="2">
        <v>41597</v>
      </c>
      <c r="B285" s="8">
        <v>57.838059000000001</v>
      </c>
      <c r="C285" s="8">
        <v>69.454996744516663</v>
      </c>
    </row>
    <row r="286" spans="1:3" x14ac:dyDescent="0.2">
      <c r="A286" s="2">
        <v>41598</v>
      </c>
      <c r="B286" s="8">
        <v>58.231577000000001</v>
      </c>
      <c r="C286" s="8">
        <v>70.276917038616588</v>
      </c>
    </row>
    <row r="287" spans="1:3" x14ac:dyDescent="0.2">
      <c r="A287" s="2">
        <v>41599</v>
      </c>
      <c r="B287" s="8">
        <v>57.220615000000002</v>
      </c>
      <c r="C287" s="8">
        <v>69.975931084637594</v>
      </c>
    </row>
    <row r="288" spans="1:3" x14ac:dyDescent="0.2">
      <c r="A288" s="2">
        <v>41600</v>
      </c>
      <c r="B288" s="8">
        <v>50.827021000000002</v>
      </c>
      <c r="C288" s="8">
        <v>64.960603441221579</v>
      </c>
    </row>
    <row r="289" spans="1:3" x14ac:dyDescent="0.2">
      <c r="A289" s="2">
        <v>41603</v>
      </c>
      <c r="B289" s="8">
        <v>49.963712000000001</v>
      </c>
      <c r="C289" s="8">
        <v>64.197618109331117</v>
      </c>
    </row>
    <row r="290" spans="1:3" x14ac:dyDescent="0.2">
      <c r="A290" s="2">
        <v>41604</v>
      </c>
      <c r="B290" s="8">
        <v>49.472805999999999</v>
      </c>
      <c r="C290" s="8">
        <v>65.269358190325406</v>
      </c>
    </row>
    <row r="291" spans="1:3" x14ac:dyDescent="0.2">
      <c r="A291" s="2">
        <v>41605</v>
      </c>
      <c r="B291" s="8">
        <v>49.737166000000002</v>
      </c>
      <c r="C291" s="8">
        <v>65.643957026699312</v>
      </c>
    </row>
    <row r="292" spans="1:3" x14ac:dyDescent="0.2">
      <c r="A292" s="2">
        <v>41607</v>
      </c>
      <c r="B292" s="8">
        <v>50.381131000000003</v>
      </c>
      <c r="C292" s="8">
        <v>65.775180218886788</v>
      </c>
    </row>
    <row r="293" spans="1:3" x14ac:dyDescent="0.2">
      <c r="A293" s="2">
        <v>41610</v>
      </c>
      <c r="B293" s="8">
        <v>50.098744000000003</v>
      </c>
      <c r="C293" s="8">
        <v>66.149311087064405</v>
      </c>
    </row>
    <row r="294" spans="1:3" x14ac:dyDescent="0.2">
      <c r="A294" s="2">
        <v>41611</v>
      </c>
      <c r="B294" s="8">
        <v>50.251460000000002</v>
      </c>
      <c r="C294" s="8">
        <v>66.241690825312475</v>
      </c>
    </row>
    <row r="295" spans="1:3" x14ac:dyDescent="0.2">
      <c r="A295" s="2">
        <v>41612</v>
      </c>
      <c r="B295" s="8">
        <v>50.700547999999998</v>
      </c>
      <c r="C295" s="8">
        <v>66.608929778331245</v>
      </c>
    </row>
    <row r="296" spans="1:3" x14ac:dyDescent="0.2">
      <c r="A296" s="2">
        <v>41613</v>
      </c>
      <c r="B296" s="8">
        <v>51.337299000000002</v>
      </c>
      <c r="C296" s="8">
        <v>66.827728141689136</v>
      </c>
    </row>
    <row r="297" spans="1:3" x14ac:dyDescent="0.2">
      <c r="A297" s="2">
        <v>41614</v>
      </c>
      <c r="B297" s="8">
        <v>48.549647999999998</v>
      </c>
      <c r="C297" s="8">
        <v>64.03181262593381</v>
      </c>
    </row>
    <row r="298" spans="1:3" x14ac:dyDescent="0.2">
      <c r="A298" s="2">
        <v>41617</v>
      </c>
      <c r="B298" s="8">
        <v>48.355781</v>
      </c>
      <c r="C298" s="8">
        <v>63.849549284868047</v>
      </c>
    </row>
    <row r="299" spans="1:3" x14ac:dyDescent="0.2">
      <c r="A299" s="2">
        <v>41618</v>
      </c>
      <c r="B299" s="8">
        <v>48.582273000000001</v>
      </c>
      <c r="C299" s="8">
        <v>63.56102610888572</v>
      </c>
    </row>
    <row r="300" spans="1:3" x14ac:dyDescent="0.2">
      <c r="A300" s="2">
        <v>41619</v>
      </c>
      <c r="B300" s="8">
        <v>48.368968000000002</v>
      </c>
      <c r="C300" s="8">
        <v>63.787758752009374</v>
      </c>
    </row>
    <row r="301" spans="1:3" x14ac:dyDescent="0.2">
      <c r="A301" s="2">
        <v>41620</v>
      </c>
      <c r="B301" s="8">
        <v>52.256067999999999</v>
      </c>
      <c r="C301" s="8">
        <v>66.897759628801353</v>
      </c>
    </row>
    <row r="302" spans="1:3" x14ac:dyDescent="0.2">
      <c r="A302" s="2">
        <v>41621</v>
      </c>
      <c r="B302" s="8">
        <v>54.009511000000003</v>
      </c>
      <c r="C302" s="8">
        <v>69.360761447171839</v>
      </c>
    </row>
    <row r="303" spans="1:3" x14ac:dyDescent="0.2">
      <c r="A303" s="2">
        <v>41624</v>
      </c>
      <c r="B303" s="8">
        <v>53.975915000000001</v>
      </c>
      <c r="C303" s="8">
        <v>69.33398695607292</v>
      </c>
    </row>
    <row r="304" spans="1:3" x14ac:dyDescent="0.2">
      <c r="A304" s="2">
        <v>41625</v>
      </c>
      <c r="B304" s="8">
        <v>53.493518000000002</v>
      </c>
      <c r="C304" s="8">
        <v>68.905797970954808</v>
      </c>
    </row>
    <row r="305" spans="1:3" x14ac:dyDescent="0.2">
      <c r="A305" s="2">
        <v>41626</v>
      </c>
      <c r="B305" s="8">
        <v>53.464241000000001</v>
      </c>
      <c r="C305" s="8">
        <v>68.80374085395718</v>
      </c>
    </row>
    <row r="306" spans="1:3" x14ac:dyDescent="0.2">
      <c r="A306" s="2">
        <v>41627</v>
      </c>
      <c r="B306" s="8">
        <v>53.505420999999998</v>
      </c>
      <c r="C306" s="8">
        <v>68.584055173983955</v>
      </c>
    </row>
    <row r="307" spans="1:3" x14ac:dyDescent="0.2">
      <c r="A307" s="2">
        <v>41628</v>
      </c>
      <c r="B307" s="8">
        <v>53.034998999999999</v>
      </c>
      <c r="C307" s="8" t="e">
        <v>#N/A</v>
      </c>
    </row>
    <row r="308" spans="1:3" x14ac:dyDescent="0.2">
      <c r="A308" s="2">
        <v>41631</v>
      </c>
      <c r="B308" s="8">
        <v>52.637850999999998</v>
      </c>
      <c r="C308" s="8">
        <v>68.0824939300728</v>
      </c>
    </row>
    <row r="309" spans="1:3" x14ac:dyDescent="0.2">
      <c r="A309" s="2">
        <v>41632</v>
      </c>
      <c r="B309" s="8">
        <v>53.223835000000001</v>
      </c>
      <c r="C309" s="8">
        <v>68.204430971819789</v>
      </c>
    </row>
    <row r="310" spans="1:3" x14ac:dyDescent="0.2">
      <c r="A310" s="2">
        <v>41634</v>
      </c>
      <c r="B310" s="8">
        <v>52.261254000000001</v>
      </c>
      <c r="C310" s="8">
        <v>67.454403856415411</v>
      </c>
    </row>
    <row r="311" spans="1:3" x14ac:dyDescent="0.2">
      <c r="A311" s="2">
        <v>41635</v>
      </c>
      <c r="B311" s="8">
        <v>52.145192999999999</v>
      </c>
      <c r="C311" s="8">
        <v>67.526705603939959</v>
      </c>
    </row>
    <row r="312" spans="1:3" x14ac:dyDescent="0.2">
      <c r="A312" s="2">
        <v>41638</v>
      </c>
      <c r="B312" s="8">
        <v>52.223820000000003</v>
      </c>
      <c r="C312" s="8">
        <v>67.362440859302453</v>
      </c>
    </row>
    <row r="313" spans="1:3" x14ac:dyDescent="0.2">
      <c r="A313" s="2">
        <v>41639</v>
      </c>
      <c r="B313" s="8">
        <v>52.416381000000001</v>
      </c>
      <c r="C313" s="8">
        <v>67.541834572247609</v>
      </c>
    </row>
    <row r="314" spans="1:3" x14ac:dyDescent="0.2">
      <c r="A314" s="2">
        <v>41641</v>
      </c>
      <c r="B314" s="8">
        <v>56.533535000000001</v>
      </c>
      <c r="C314" s="8">
        <v>72.852163831212621</v>
      </c>
    </row>
    <row r="315" spans="1:3" x14ac:dyDescent="0.2">
      <c r="A315" s="2">
        <v>41642</v>
      </c>
      <c r="B315" s="8">
        <v>56.444325999999997</v>
      </c>
      <c r="C315" s="8">
        <v>72.821091850669958</v>
      </c>
    </row>
    <row r="316" spans="1:3" x14ac:dyDescent="0.2">
      <c r="A316" s="2">
        <v>41645</v>
      </c>
      <c r="B316" s="8">
        <v>55.408236000000002</v>
      </c>
      <c r="C316" s="8">
        <v>72.70706668824532</v>
      </c>
    </row>
    <row r="317" spans="1:3" x14ac:dyDescent="0.2">
      <c r="A317" s="2">
        <v>41646</v>
      </c>
      <c r="B317" s="8">
        <v>55.501009000000003</v>
      </c>
      <c r="C317" s="8">
        <v>72.686194997311929</v>
      </c>
    </row>
    <row r="318" spans="1:3" x14ac:dyDescent="0.2">
      <c r="A318" s="2">
        <v>41647</v>
      </c>
      <c r="B318" s="8">
        <v>56.073627999999999</v>
      </c>
      <c r="C318" s="8">
        <v>72.735834254956927</v>
      </c>
    </row>
    <row r="319" spans="1:3" x14ac:dyDescent="0.2">
      <c r="A319" s="2">
        <v>41648</v>
      </c>
      <c r="B319" s="8">
        <v>53.319037000000002</v>
      </c>
      <c r="C319" s="8">
        <v>77.9610939320673</v>
      </c>
    </row>
    <row r="320" spans="1:3" x14ac:dyDescent="0.2">
      <c r="A320" s="2">
        <v>41649</v>
      </c>
      <c r="B320" s="8">
        <v>53.149175</v>
      </c>
      <c r="C320" s="8">
        <v>77.831588850337823</v>
      </c>
    </row>
    <row r="321" spans="1:3" x14ac:dyDescent="0.2">
      <c r="A321" s="2">
        <v>41652</v>
      </c>
      <c r="B321" s="8">
        <v>52.981791999999999</v>
      </c>
      <c r="C321" s="8">
        <v>77.739100644484154</v>
      </c>
    </row>
    <row r="322" spans="1:3" x14ac:dyDescent="0.2">
      <c r="A322" s="2">
        <v>41653</v>
      </c>
      <c r="B322" s="8">
        <v>53.028435000000002</v>
      </c>
      <c r="C322" s="8">
        <v>77.861158259955246</v>
      </c>
    </row>
    <row r="323" spans="1:3" x14ac:dyDescent="0.2">
      <c r="A323" s="2">
        <v>41654</v>
      </c>
      <c r="B323" s="8">
        <v>52.862585000000003</v>
      </c>
      <c r="C323" s="8">
        <v>77.487741389175184</v>
      </c>
    </row>
    <row r="324" spans="1:3" x14ac:dyDescent="0.2">
      <c r="A324" s="2">
        <v>41655</v>
      </c>
      <c r="B324" s="8">
        <v>52.814532</v>
      </c>
      <c r="C324" s="8">
        <v>77.356955661237151</v>
      </c>
    </row>
    <row r="325" spans="1:3" x14ac:dyDescent="0.2">
      <c r="A325" s="2">
        <v>41656</v>
      </c>
      <c r="B325" s="8">
        <v>52.739392000000002</v>
      </c>
      <c r="C325" s="8">
        <v>77.272326712711219</v>
      </c>
    </row>
    <row r="326" spans="1:3" x14ac:dyDescent="0.2">
      <c r="A326" s="2">
        <v>41660</v>
      </c>
      <c r="B326" s="8">
        <v>52.692515</v>
      </c>
      <c r="C326" s="8">
        <v>76.95956922609048</v>
      </c>
    </row>
    <row r="327" spans="1:3" x14ac:dyDescent="0.2">
      <c r="A327" s="2">
        <v>41661</v>
      </c>
      <c r="B327" s="8">
        <v>53.058459999999997</v>
      </c>
      <c r="C327" s="8">
        <v>77.117738764512239</v>
      </c>
    </row>
    <row r="328" spans="1:3" x14ac:dyDescent="0.2">
      <c r="A328" s="2">
        <v>41662</v>
      </c>
      <c r="B328" s="8">
        <v>53.395498000000003</v>
      </c>
      <c r="C328" s="8">
        <v>77.212359290534266</v>
      </c>
    </row>
    <row r="329" spans="1:3" x14ac:dyDescent="0.2">
      <c r="A329" s="2">
        <v>41663</v>
      </c>
      <c r="B329" s="8">
        <v>53.167281000000003</v>
      </c>
      <c r="C329" s="8">
        <v>77.043144753067764</v>
      </c>
    </row>
    <row r="330" spans="1:3" x14ac:dyDescent="0.2">
      <c r="A330" s="2">
        <v>41666</v>
      </c>
      <c r="B330" s="8">
        <v>53.447501000000003</v>
      </c>
      <c r="C330" s="8">
        <v>77.179118556281395</v>
      </c>
    </row>
    <row r="331" spans="1:3" x14ac:dyDescent="0.2">
      <c r="A331" s="2">
        <v>41667</v>
      </c>
      <c r="B331" s="8">
        <v>52.665855999999998</v>
      </c>
      <c r="C331" s="8">
        <v>76.462867497866682</v>
      </c>
    </row>
    <row r="332" spans="1:3" x14ac:dyDescent="0.2">
      <c r="A332" s="2">
        <v>41668</v>
      </c>
      <c r="B332" s="8">
        <v>52.498151</v>
      </c>
      <c r="C332" s="8">
        <v>76.347253396515015</v>
      </c>
    </row>
    <row r="333" spans="1:3" x14ac:dyDescent="0.2">
      <c r="A333" s="2">
        <v>41669</v>
      </c>
      <c r="B333" s="8">
        <v>52.219152999999999</v>
      </c>
      <c r="C333" s="8">
        <v>80.942454709754514</v>
      </c>
    </row>
    <row r="334" spans="1:3" x14ac:dyDescent="0.2">
      <c r="A334" s="2">
        <v>41670</v>
      </c>
      <c r="B334" s="8">
        <v>52.092371999999997</v>
      </c>
      <c r="C334" s="8">
        <v>80.704735018944376</v>
      </c>
    </row>
    <row r="335" spans="1:3" x14ac:dyDescent="0.2">
      <c r="A335" s="2">
        <v>41673</v>
      </c>
      <c r="B335" s="8">
        <v>51.744028</v>
      </c>
      <c r="C335" s="8">
        <v>80.615088696811682</v>
      </c>
    </row>
    <row r="336" spans="1:3" x14ac:dyDescent="0.2">
      <c r="A336" s="2">
        <v>41674</v>
      </c>
      <c r="B336" s="8">
        <v>51.711184000000003</v>
      </c>
      <c r="C336" s="8">
        <v>80.702809346085118</v>
      </c>
    </row>
    <row r="337" spans="1:3" x14ac:dyDescent="0.2">
      <c r="A337" s="2">
        <v>41675</v>
      </c>
      <c r="B337" s="8">
        <v>51.890960999999997</v>
      </c>
      <c r="C337" s="8">
        <v>80.897100474989728</v>
      </c>
    </row>
    <row r="338" spans="1:3" x14ac:dyDescent="0.2">
      <c r="A338" s="2">
        <v>41676</v>
      </c>
      <c r="B338" s="8">
        <v>51.883679999999998</v>
      </c>
      <c r="C338" s="8">
        <v>80.904531284356608</v>
      </c>
    </row>
    <row r="339" spans="1:3" x14ac:dyDescent="0.2">
      <c r="A339" s="2">
        <v>41677</v>
      </c>
      <c r="B339" s="8">
        <v>52.377161000000001</v>
      </c>
      <c r="C339" s="8">
        <v>83.852005266922447</v>
      </c>
    </row>
    <row r="340" spans="1:3" x14ac:dyDescent="0.2">
      <c r="A340" s="2">
        <v>41680</v>
      </c>
      <c r="B340" s="8">
        <v>52.365839999999999</v>
      </c>
      <c r="C340" s="8">
        <v>83.863102893879116</v>
      </c>
    </row>
    <row r="341" spans="1:3" x14ac:dyDescent="0.2">
      <c r="A341" s="2">
        <v>41681</v>
      </c>
      <c r="B341" s="8">
        <v>52.057139999999997</v>
      </c>
      <c r="C341" s="8">
        <v>83.599948845299721</v>
      </c>
    </row>
    <row r="342" spans="1:3" x14ac:dyDescent="0.2">
      <c r="A342" s="2">
        <v>41682</v>
      </c>
      <c r="B342" s="8">
        <v>52.639864000000003</v>
      </c>
      <c r="C342" s="8">
        <v>83.766549975500411</v>
      </c>
    </row>
    <row r="343" spans="1:3" x14ac:dyDescent="0.2">
      <c r="A343" s="2">
        <v>41683</v>
      </c>
      <c r="B343" s="8">
        <v>52.603679999999997</v>
      </c>
      <c r="C343" s="8">
        <v>83.613886449770433</v>
      </c>
    </row>
    <row r="344" spans="1:3" x14ac:dyDescent="0.2">
      <c r="A344" s="2">
        <v>41684</v>
      </c>
      <c r="B344" s="8">
        <v>52.738160000000001</v>
      </c>
      <c r="C344" s="8">
        <v>83.726832494247333</v>
      </c>
    </row>
    <row r="345" spans="1:3" x14ac:dyDescent="0.2">
      <c r="A345" s="2">
        <v>41688</v>
      </c>
      <c r="B345" s="8">
        <v>52.676257</v>
      </c>
      <c r="C345" s="8">
        <v>83.747999725761531</v>
      </c>
    </row>
    <row r="346" spans="1:3" x14ac:dyDescent="0.2">
      <c r="A346" s="2">
        <v>41689</v>
      </c>
      <c r="B346" s="8">
        <v>52.745148999999998</v>
      </c>
      <c r="C346" s="8">
        <v>83.507489535478982</v>
      </c>
    </row>
    <row r="347" spans="1:3" x14ac:dyDescent="0.2">
      <c r="A347" s="2">
        <v>41690</v>
      </c>
      <c r="B347" s="8">
        <v>52.743105999999997</v>
      </c>
      <c r="C347" s="8">
        <v>89.939948729516615</v>
      </c>
    </row>
    <row r="348" spans="1:3" x14ac:dyDescent="0.2">
      <c r="A348" s="2">
        <v>41691</v>
      </c>
      <c r="B348" s="8">
        <v>52.721632999999997</v>
      </c>
      <c r="C348" s="8">
        <v>89.925019603178683</v>
      </c>
    </row>
    <row r="349" spans="1:3" x14ac:dyDescent="0.2">
      <c r="A349" s="2">
        <v>41694</v>
      </c>
      <c r="B349" s="8">
        <v>50.896503000000003</v>
      </c>
      <c r="C349" s="8">
        <v>88.07190421226548</v>
      </c>
    </row>
    <row r="350" spans="1:3" x14ac:dyDescent="0.2">
      <c r="A350" s="2">
        <v>41695</v>
      </c>
      <c r="B350" s="8">
        <v>51.529214000000003</v>
      </c>
      <c r="C350" s="8">
        <v>95.196878798484946</v>
      </c>
    </row>
    <row r="351" spans="1:3" x14ac:dyDescent="0.2">
      <c r="A351" s="2">
        <v>41696</v>
      </c>
      <c r="B351" s="8">
        <v>51.598103999999999</v>
      </c>
      <c r="C351" s="8">
        <v>95.246151375144024</v>
      </c>
    </row>
    <row r="352" spans="1:3" x14ac:dyDescent="0.2">
      <c r="A352" s="2">
        <v>41697</v>
      </c>
      <c r="B352" s="8">
        <v>47.118907</v>
      </c>
      <c r="C352" s="8">
        <v>90.328185731723735</v>
      </c>
    </row>
    <row r="353" spans="1:3" x14ac:dyDescent="0.2">
      <c r="A353" s="2">
        <v>41698</v>
      </c>
      <c r="B353" s="8">
        <v>46.909489999999998</v>
      </c>
      <c r="C353" s="8">
        <v>89.957982607779215</v>
      </c>
    </row>
    <row r="354" spans="1:3" x14ac:dyDescent="0.2">
      <c r="A354" s="2">
        <v>41701</v>
      </c>
      <c r="B354" s="8">
        <v>46.982404000000002</v>
      </c>
      <c r="C354" s="8">
        <v>89.993649835419518</v>
      </c>
    </row>
    <row r="355" spans="1:3" x14ac:dyDescent="0.2">
      <c r="A355" s="2">
        <v>41702</v>
      </c>
      <c r="B355" s="8">
        <v>47.337933999999997</v>
      </c>
      <c r="C355" s="8">
        <v>90.13514657939028</v>
      </c>
    </row>
    <row r="356" spans="1:3" x14ac:dyDescent="0.2">
      <c r="A356" s="2">
        <v>41703</v>
      </c>
      <c r="B356" s="8">
        <v>47.354891000000002</v>
      </c>
      <c r="C356" s="8">
        <v>90.142461013500949</v>
      </c>
    </row>
    <row r="357" spans="1:3" x14ac:dyDescent="0.2">
      <c r="A357" s="2">
        <v>41704</v>
      </c>
      <c r="B357" s="8">
        <v>48.481968999999999</v>
      </c>
      <c r="C357" s="8">
        <v>89.790134428287075</v>
      </c>
    </row>
    <row r="358" spans="1:3" x14ac:dyDescent="0.2">
      <c r="A358" s="2">
        <v>41705</v>
      </c>
      <c r="B358" s="8">
        <v>48.204934000000002</v>
      </c>
      <c r="C358" s="8">
        <v>94.294870516941046</v>
      </c>
    </row>
    <row r="359" spans="1:3" x14ac:dyDescent="0.2">
      <c r="A359" s="2">
        <v>41708</v>
      </c>
      <c r="B359" s="8">
        <v>47.918309000000001</v>
      </c>
      <c r="C359" s="8">
        <v>94.259072682511658</v>
      </c>
    </row>
    <row r="360" spans="1:3" x14ac:dyDescent="0.2">
      <c r="A360" s="2">
        <v>41709</v>
      </c>
      <c r="B360" s="8">
        <v>47.746862</v>
      </c>
      <c r="C360" s="8">
        <v>93.948975490073678</v>
      </c>
    </row>
    <row r="361" spans="1:3" x14ac:dyDescent="0.2">
      <c r="A361" s="2">
        <v>41710</v>
      </c>
      <c r="B361" s="8">
        <v>47.748506999999996</v>
      </c>
      <c r="C361" s="8">
        <v>93.610576778620796</v>
      </c>
    </row>
    <row r="362" spans="1:3" x14ac:dyDescent="0.2">
      <c r="A362" s="2">
        <v>41711</v>
      </c>
      <c r="B362" s="8">
        <v>47.451563</v>
      </c>
      <c r="C362" s="8">
        <v>93.633428046746431</v>
      </c>
    </row>
    <row r="363" spans="1:3" x14ac:dyDescent="0.2">
      <c r="A363" s="2">
        <v>41712</v>
      </c>
      <c r="B363" s="8">
        <v>48.982194999999997</v>
      </c>
      <c r="C363" s="8">
        <v>94.916372289214507</v>
      </c>
    </row>
    <row r="364" spans="1:3" x14ac:dyDescent="0.2">
      <c r="A364" s="2">
        <v>41715</v>
      </c>
      <c r="B364" s="8">
        <v>48.919355000000003</v>
      </c>
      <c r="C364" s="8">
        <v>95.687808833083636</v>
      </c>
    </row>
    <row r="365" spans="1:3" x14ac:dyDescent="0.2">
      <c r="A365" s="2">
        <v>41716</v>
      </c>
      <c r="B365" s="8">
        <v>48.822704999999999</v>
      </c>
      <c r="C365" s="8">
        <v>95.692596953750424</v>
      </c>
    </row>
    <row r="366" spans="1:3" x14ac:dyDescent="0.2">
      <c r="A366" s="2">
        <v>41717</v>
      </c>
      <c r="B366" s="8">
        <v>49.138879000000003</v>
      </c>
      <c r="C366" s="8">
        <v>95.33683576771088</v>
      </c>
    </row>
    <row r="367" spans="1:3" x14ac:dyDescent="0.2">
      <c r="A367" s="2">
        <v>41718</v>
      </c>
      <c r="B367" s="8">
        <v>49.136457</v>
      </c>
      <c r="C367" s="8">
        <v>95.259369862692267</v>
      </c>
    </row>
    <row r="368" spans="1:3" x14ac:dyDescent="0.2">
      <c r="A368" s="2">
        <v>41719</v>
      </c>
      <c r="B368" s="8">
        <v>49.065589000000003</v>
      </c>
      <c r="C368" s="8">
        <v>95.299083328216014</v>
      </c>
    </row>
    <row r="369" spans="1:3" x14ac:dyDescent="0.2">
      <c r="A369" s="2">
        <v>41722</v>
      </c>
      <c r="B369" s="8">
        <v>49.027346999999999</v>
      </c>
      <c r="C369" s="8">
        <v>95.198202131296242</v>
      </c>
    </row>
    <row r="370" spans="1:3" x14ac:dyDescent="0.2">
      <c r="A370" s="2">
        <v>41723</v>
      </c>
      <c r="B370" s="8">
        <v>49.117635999999997</v>
      </c>
      <c r="C370" s="8">
        <v>95.259909611370446</v>
      </c>
    </row>
    <row r="371" spans="1:3" x14ac:dyDescent="0.2">
      <c r="A371" s="2">
        <v>41724</v>
      </c>
      <c r="B371" s="8">
        <v>48.160637000000001</v>
      </c>
      <c r="C371" s="8">
        <v>94.608908408779996</v>
      </c>
    </row>
    <row r="372" spans="1:3" x14ac:dyDescent="0.2">
      <c r="A372" s="2">
        <v>41725</v>
      </c>
      <c r="B372" s="8">
        <v>48.099418</v>
      </c>
      <c r="C372" s="8">
        <v>94.601331690009587</v>
      </c>
    </row>
    <row r="373" spans="1:3" x14ac:dyDescent="0.2">
      <c r="A373" s="2">
        <v>41726</v>
      </c>
      <c r="B373" s="8">
        <v>48.144905999999999</v>
      </c>
      <c r="C373" s="8">
        <v>94.549773524363616</v>
      </c>
    </row>
    <row r="374" spans="1:3" x14ac:dyDescent="0.2">
      <c r="A374" s="2">
        <v>41729</v>
      </c>
      <c r="B374" s="8">
        <v>47.847835000000003</v>
      </c>
      <c r="C374" s="8">
        <v>94.032127447021367</v>
      </c>
    </row>
    <row r="375" spans="1:3" x14ac:dyDescent="0.2">
      <c r="A375" s="2">
        <v>41730</v>
      </c>
      <c r="B375" s="8">
        <v>50.595534000000001</v>
      </c>
      <c r="C375" s="8">
        <v>98.997284096675997</v>
      </c>
    </row>
    <row r="376" spans="1:3" x14ac:dyDescent="0.2">
      <c r="A376" s="2">
        <v>41731</v>
      </c>
      <c r="B376" s="8">
        <v>50.895130999999999</v>
      </c>
      <c r="C376" s="8">
        <v>98.01139715754357</v>
      </c>
    </row>
    <row r="377" spans="1:3" x14ac:dyDescent="0.2">
      <c r="A377" s="2">
        <v>41732</v>
      </c>
      <c r="B377" s="8">
        <v>50.793574</v>
      </c>
      <c r="C377" s="8">
        <v>98.005651368827941</v>
      </c>
    </row>
    <row r="378" spans="1:3" x14ac:dyDescent="0.2">
      <c r="A378" s="2">
        <v>41733</v>
      </c>
      <c r="B378" s="8">
        <v>50.471682999999999</v>
      </c>
      <c r="C378" s="8">
        <v>98.178012185327319</v>
      </c>
    </row>
    <row r="379" spans="1:3" x14ac:dyDescent="0.2">
      <c r="A379" s="2">
        <v>41736</v>
      </c>
      <c r="B379" s="8">
        <v>50.963334000000003</v>
      </c>
      <c r="C379" s="8">
        <v>98.355546782587737</v>
      </c>
    </row>
    <row r="380" spans="1:3" x14ac:dyDescent="0.2">
      <c r="A380" s="2">
        <v>41737</v>
      </c>
      <c r="B380" s="8">
        <v>50.920878000000002</v>
      </c>
      <c r="C380" s="8">
        <v>98.370025142527069</v>
      </c>
    </row>
    <row r="381" spans="1:3" x14ac:dyDescent="0.2">
      <c r="A381" s="2">
        <v>41738</v>
      </c>
      <c r="B381" s="8">
        <v>51.091974</v>
      </c>
      <c r="C381" s="8">
        <v>98.05883737131866</v>
      </c>
    </row>
    <row r="382" spans="1:3" x14ac:dyDescent="0.2">
      <c r="A382" s="2">
        <v>41739</v>
      </c>
      <c r="B382" s="8">
        <v>53.127245000000002</v>
      </c>
      <c r="C382" s="8">
        <v>100.95814553946443</v>
      </c>
    </row>
    <row r="383" spans="1:3" x14ac:dyDescent="0.2">
      <c r="A383" s="2">
        <v>41740</v>
      </c>
      <c r="B383" s="8">
        <v>51.085472000000003</v>
      </c>
      <c r="C383" s="8">
        <v>99.738383813539471</v>
      </c>
    </row>
    <row r="384" spans="1:3" x14ac:dyDescent="0.2">
      <c r="A384" s="2">
        <v>41743</v>
      </c>
      <c r="B384" s="8">
        <v>51.112825000000001</v>
      </c>
      <c r="C384" s="8">
        <v>99.398883001533036</v>
      </c>
    </row>
    <row r="385" spans="1:3" x14ac:dyDescent="0.2">
      <c r="A385" s="2">
        <v>41744</v>
      </c>
      <c r="B385" s="8">
        <v>51.097385000000003</v>
      </c>
      <c r="C385" s="8">
        <v>99.439534447087283</v>
      </c>
    </row>
    <row r="386" spans="1:3" x14ac:dyDescent="0.2">
      <c r="A386" s="2">
        <v>41745</v>
      </c>
      <c r="B386" s="8">
        <v>51.206270000000004</v>
      </c>
      <c r="C386" s="8">
        <v>99.435315914493245</v>
      </c>
    </row>
    <row r="387" spans="1:3" x14ac:dyDescent="0.2">
      <c r="A387" s="2">
        <v>41746</v>
      </c>
      <c r="B387" s="8">
        <v>51.262672999999999</v>
      </c>
      <c r="C387" s="8">
        <v>99.187815800977006</v>
      </c>
    </row>
    <row r="388" spans="1:3" x14ac:dyDescent="0.2">
      <c r="A388" s="2">
        <v>41750</v>
      </c>
      <c r="B388" s="8">
        <v>51.465035</v>
      </c>
      <c r="C388" s="8">
        <v>99.109589554870908</v>
      </c>
    </row>
    <row r="389" spans="1:3" x14ac:dyDescent="0.2">
      <c r="A389" s="2">
        <v>41751</v>
      </c>
      <c r="B389" s="8">
        <v>51.297876000000002</v>
      </c>
      <c r="C389" s="8">
        <v>99.012915269483656</v>
      </c>
    </row>
    <row r="390" spans="1:3" x14ac:dyDescent="0.2">
      <c r="A390" s="2">
        <v>41752</v>
      </c>
      <c r="B390" s="8">
        <v>51.223745999999998</v>
      </c>
      <c r="C390" s="8">
        <v>99.102575379425289</v>
      </c>
    </row>
    <row r="391" spans="1:3" x14ac:dyDescent="0.2">
      <c r="A391" s="2">
        <v>41753</v>
      </c>
      <c r="B391" s="8">
        <v>51.137749999999997</v>
      </c>
      <c r="C391" s="8">
        <v>99.089304962017366</v>
      </c>
    </row>
    <row r="392" spans="1:3" x14ac:dyDescent="0.2">
      <c r="A392" s="2">
        <v>41754</v>
      </c>
      <c r="B392" s="8">
        <v>50.290194</v>
      </c>
      <c r="C392" s="8">
        <v>98.472705976490275</v>
      </c>
    </row>
    <row r="393" spans="1:3" x14ac:dyDescent="0.2">
      <c r="A393" s="2">
        <v>41757</v>
      </c>
      <c r="B393" s="8">
        <v>50.069603000000001</v>
      </c>
      <c r="C393" s="8">
        <v>98.420285480339658</v>
      </c>
    </row>
    <row r="394" spans="1:3" x14ac:dyDescent="0.2">
      <c r="A394" s="2">
        <v>41758</v>
      </c>
      <c r="B394" s="8">
        <v>50.139727999999998</v>
      </c>
      <c r="C394" s="8">
        <v>98.368168128282989</v>
      </c>
    </row>
    <row r="395" spans="1:3" x14ac:dyDescent="0.2">
      <c r="A395" s="2">
        <v>41759</v>
      </c>
      <c r="B395" s="8">
        <v>50.968625000000003</v>
      </c>
      <c r="C395" s="8">
        <v>98.534787033042619</v>
      </c>
    </row>
    <row r="396" spans="1:3" x14ac:dyDescent="0.2">
      <c r="A396" s="2">
        <v>41760</v>
      </c>
      <c r="B396" s="8">
        <v>50.036799000000002</v>
      </c>
      <c r="C396" s="8">
        <v>96.341992558989233</v>
      </c>
    </row>
    <row r="397" spans="1:3" x14ac:dyDescent="0.2">
      <c r="A397" s="2">
        <v>41761</v>
      </c>
      <c r="B397" s="8">
        <v>50.036636999999999</v>
      </c>
      <c r="C397" s="8">
        <v>96.364505857064771</v>
      </c>
    </row>
    <row r="398" spans="1:3" x14ac:dyDescent="0.2">
      <c r="A398" s="2">
        <v>41764</v>
      </c>
      <c r="B398" s="8">
        <v>49.923226999999997</v>
      </c>
      <c r="C398" s="8">
        <v>96.236768924574505</v>
      </c>
    </row>
    <row r="399" spans="1:3" x14ac:dyDescent="0.2">
      <c r="A399" s="2">
        <v>41765</v>
      </c>
      <c r="B399" s="8">
        <v>49.884222999999999</v>
      </c>
      <c r="C399" s="8">
        <v>96.263311107945029</v>
      </c>
    </row>
    <row r="400" spans="1:3" x14ac:dyDescent="0.2">
      <c r="A400" s="2">
        <v>41766</v>
      </c>
      <c r="B400" s="8">
        <v>48.339491000000002</v>
      </c>
      <c r="C400" s="8">
        <v>94.623013453219826</v>
      </c>
    </row>
    <row r="401" spans="1:3" x14ac:dyDescent="0.2">
      <c r="A401" s="2">
        <v>41767</v>
      </c>
      <c r="B401" s="8">
        <v>48.358232000000001</v>
      </c>
      <c r="C401" s="8">
        <v>94.725899439675445</v>
      </c>
    </row>
    <row r="402" spans="1:3" x14ac:dyDescent="0.2">
      <c r="A402" s="2">
        <v>41768</v>
      </c>
      <c r="B402" s="8">
        <v>47.933866000000002</v>
      </c>
      <c r="C402" s="8">
        <v>94.323489185912564</v>
      </c>
    </row>
    <row r="403" spans="1:3" x14ac:dyDescent="0.2">
      <c r="A403" s="2">
        <v>41771</v>
      </c>
      <c r="B403" s="8">
        <v>48.043004000000003</v>
      </c>
      <c r="C403" s="8">
        <v>94.263397126662511</v>
      </c>
    </row>
    <row r="404" spans="1:3" x14ac:dyDescent="0.2">
      <c r="A404" s="2">
        <v>41772</v>
      </c>
      <c r="B404" s="8">
        <v>48.099243000000001</v>
      </c>
      <c r="C404" s="8">
        <v>91.859224595102191</v>
      </c>
    </row>
    <row r="405" spans="1:3" x14ac:dyDescent="0.2">
      <c r="A405" s="2">
        <v>41773</v>
      </c>
      <c r="B405" s="8">
        <v>47.270097</v>
      </c>
      <c r="C405" s="8">
        <v>90.353277520517764</v>
      </c>
    </row>
    <row r="406" spans="1:3" x14ac:dyDescent="0.2">
      <c r="A406" s="2">
        <v>41774</v>
      </c>
      <c r="B406" s="8">
        <v>47.003115000000001</v>
      </c>
      <c r="C406" s="8">
        <v>89.762678111634713</v>
      </c>
    </row>
    <row r="407" spans="1:3" x14ac:dyDescent="0.2">
      <c r="A407" s="2">
        <v>41775</v>
      </c>
      <c r="B407" s="8">
        <v>46.639932000000002</v>
      </c>
      <c r="C407" s="8">
        <v>85.849582705965801</v>
      </c>
    </row>
    <row r="408" spans="1:3" x14ac:dyDescent="0.2">
      <c r="A408" s="2">
        <v>41778</v>
      </c>
      <c r="B408" s="8">
        <v>46.511127000000002</v>
      </c>
      <c r="C408" s="8">
        <v>85.886078364622591</v>
      </c>
    </row>
    <row r="409" spans="1:3" x14ac:dyDescent="0.2">
      <c r="A409" s="2">
        <v>41779</v>
      </c>
      <c r="B409" s="8">
        <v>46.585970000000003</v>
      </c>
      <c r="C409" s="8">
        <v>85.717616763395029</v>
      </c>
    </row>
    <row r="410" spans="1:3" x14ac:dyDescent="0.2">
      <c r="A410" s="2">
        <v>41780</v>
      </c>
      <c r="B410" s="8">
        <v>44.588214999999998</v>
      </c>
      <c r="C410" s="8">
        <v>83.905050934152499</v>
      </c>
    </row>
    <row r="411" spans="1:3" x14ac:dyDescent="0.2">
      <c r="A411" s="2">
        <v>41781</v>
      </c>
      <c r="B411" s="8">
        <v>44.543615000000003</v>
      </c>
      <c r="C411" s="8">
        <v>83.91182249426987</v>
      </c>
    </row>
    <row r="412" spans="1:3" x14ac:dyDescent="0.2">
      <c r="A412" s="2">
        <v>41782</v>
      </c>
      <c r="B412" s="8">
        <v>44.687925</v>
      </c>
      <c r="C412" s="8">
        <v>83.961043123636884</v>
      </c>
    </row>
    <row r="413" spans="1:3" x14ac:dyDescent="0.2">
      <c r="A413" s="2">
        <v>41786</v>
      </c>
      <c r="B413" s="8">
        <v>44.099077999999999</v>
      </c>
      <c r="C413" s="8">
        <v>83.358099840655086</v>
      </c>
    </row>
    <row r="414" spans="1:3" x14ac:dyDescent="0.2">
      <c r="A414" s="2">
        <v>41787</v>
      </c>
      <c r="B414" s="8">
        <v>43.878888000000003</v>
      </c>
      <c r="C414" s="8">
        <v>83.246117482804621</v>
      </c>
    </row>
    <row r="415" spans="1:3" x14ac:dyDescent="0.2">
      <c r="A415" s="2">
        <v>41788</v>
      </c>
      <c r="B415" s="8">
        <v>43.926591000000002</v>
      </c>
      <c r="C415" s="8">
        <v>83.27415504414563</v>
      </c>
    </row>
    <row r="416" spans="1:3" x14ac:dyDescent="0.2">
      <c r="A416" s="2">
        <v>41789</v>
      </c>
      <c r="B416" s="8">
        <v>43.844726000000001</v>
      </c>
      <c r="C416" s="8">
        <v>83.473078340235602</v>
      </c>
    </row>
    <row r="417" spans="1:3" x14ac:dyDescent="0.2">
      <c r="A417" s="2">
        <v>41792</v>
      </c>
      <c r="B417" s="8">
        <v>44.044916999999998</v>
      </c>
      <c r="C417" s="8">
        <v>83.364102211807776</v>
      </c>
    </row>
    <row r="418" spans="1:3" x14ac:dyDescent="0.2">
      <c r="A418" s="2">
        <v>41793</v>
      </c>
      <c r="B418" s="8">
        <v>44.128644999999999</v>
      </c>
      <c r="C418" s="8">
        <v>83.415875500815119</v>
      </c>
    </row>
    <row r="419" spans="1:3" x14ac:dyDescent="0.2">
      <c r="A419" s="2">
        <v>41794</v>
      </c>
      <c r="B419" s="8">
        <v>44.056277000000001</v>
      </c>
      <c r="C419" s="8">
        <v>83.413222352813349</v>
      </c>
    </row>
    <row r="420" spans="1:3" x14ac:dyDescent="0.2">
      <c r="A420" s="2">
        <v>41795</v>
      </c>
      <c r="B420" s="8">
        <v>44.040140000000001</v>
      </c>
      <c r="C420" s="8">
        <v>83.524961022760223</v>
      </c>
    </row>
    <row r="421" spans="1:3" x14ac:dyDescent="0.2">
      <c r="A421" s="2">
        <v>41796</v>
      </c>
      <c r="B421" s="8">
        <v>44.551096000000001</v>
      </c>
      <c r="C421" s="8">
        <v>83.333748907394252</v>
      </c>
    </row>
    <row r="422" spans="1:3" x14ac:dyDescent="0.2">
      <c r="A422" s="2">
        <v>41799</v>
      </c>
      <c r="B422" s="8">
        <v>44.516894000000001</v>
      </c>
      <c r="C422" s="8">
        <v>83.275308724348619</v>
      </c>
    </row>
    <row r="423" spans="1:3" x14ac:dyDescent="0.2">
      <c r="A423" s="2">
        <v>41800</v>
      </c>
      <c r="B423" s="8">
        <v>44.702595000000002</v>
      </c>
      <c r="C423" s="8">
        <v>82.855780174790723</v>
      </c>
    </row>
    <row r="424" spans="1:3" x14ac:dyDescent="0.2">
      <c r="A424" s="2">
        <v>41801</v>
      </c>
      <c r="B424" s="8">
        <v>44.108190999999998</v>
      </c>
      <c r="C424" s="8">
        <v>82.848932242253099</v>
      </c>
    </row>
    <row r="425" spans="1:3" x14ac:dyDescent="0.2">
      <c r="A425" s="2">
        <v>41802</v>
      </c>
      <c r="B425" s="8">
        <v>44.195762999999999</v>
      </c>
      <c r="C425" s="8">
        <v>82.93343383168164</v>
      </c>
    </row>
    <row r="426" spans="1:3" x14ac:dyDescent="0.2">
      <c r="A426" s="2">
        <v>41803</v>
      </c>
      <c r="B426" s="8">
        <v>42.010008999999997</v>
      </c>
      <c r="C426" s="8">
        <v>82.89385337062059</v>
      </c>
    </row>
    <row r="427" spans="1:3" x14ac:dyDescent="0.2">
      <c r="A427" s="2">
        <v>41806</v>
      </c>
      <c r="B427" s="8">
        <v>41.903322000000003</v>
      </c>
      <c r="C427" s="8">
        <v>82.444161797222634</v>
      </c>
    </row>
    <row r="428" spans="1:3" x14ac:dyDescent="0.2">
      <c r="A428" s="2">
        <v>41807</v>
      </c>
      <c r="B428" s="8">
        <v>42.141368999999997</v>
      </c>
      <c r="C428" s="8">
        <v>82.445662237716917</v>
      </c>
    </row>
    <row r="429" spans="1:3" x14ac:dyDescent="0.2">
      <c r="A429" s="2">
        <v>41808</v>
      </c>
      <c r="B429" s="8">
        <v>41.965865000000001</v>
      </c>
      <c r="C429" s="8">
        <v>82.425605343862856</v>
      </c>
    </row>
    <row r="430" spans="1:3" x14ac:dyDescent="0.2">
      <c r="A430" s="2">
        <v>41809</v>
      </c>
      <c r="B430" s="8">
        <v>41.820298999999999</v>
      </c>
      <c r="C430" s="8">
        <v>82.284984363432983</v>
      </c>
    </row>
    <row r="431" spans="1:3" x14ac:dyDescent="0.2">
      <c r="A431" s="2">
        <v>41810</v>
      </c>
      <c r="B431" s="8">
        <v>41.896994999999997</v>
      </c>
      <c r="C431" s="8">
        <v>82.283477044880669</v>
      </c>
    </row>
    <row r="432" spans="1:3" x14ac:dyDescent="0.2">
      <c r="A432" s="2">
        <v>41813</v>
      </c>
      <c r="B432" s="8">
        <v>41.98386</v>
      </c>
      <c r="C432" s="8">
        <v>82.349824232398632</v>
      </c>
    </row>
    <row r="433" spans="1:3" x14ac:dyDescent="0.2">
      <c r="A433" s="2">
        <v>41814</v>
      </c>
      <c r="B433" s="8">
        <v>41.962549000000003</v>
      </c>
      <c r="C433" s="8">
        <v>82.35459667653933</v>
      </c>
    </row>
    <row r="434" spans="1:3" x14ac:dyDescent="0.2">
      <c r="A434" s="2">
        <v>41815</v>
      </c>
      <c r="B434" s="8">
        <v>41.277723999999999</v>
      </c>
      <c r="C434" s="8">
        <v>81.847934151224351</v>
      </c>
    </row>
    <row r="435" spans="1:3" x14ac:dyDescent="0.2">
      <c r="A435" s="2">
        <v>41816</v>
      </c>
      <c r="B435" s="8">
        <v>41.355662000000002</v>
      </c>
      <c r="C435" s="8">
        <v>81.923785780323684</v>
      </c>
    </row>
    <row r="436" spans="1:3" x14ac:dyDescent="0.2">
      <c r="A436" s="2">
        <v>41817</v>
      </c>
      <c r="B436" s="8">
        <v>41.282846999999997</v>
      </c>
      <c r="C436" s="8">
        <v>81.907791643162923</v>
      </c>
    </row>
    <row r="437" spans="1:3" x14ac:dyDescent="0.2">
      <c r="A437" s="2">
        <v>41820</v>
      </c>
      <c r="B437" s="8">
        <v>42.028753999999999</v>
      </c>
      <c r="C437" s="8">
        <v>82.147115499672836</v>
      </c>
    </row>
    <row r="438" spans="1:3" x14ac:dyDescent="0.2">
      <c r="A438" s="2">
        <v>41821</v>
      </c>
      <c r="B438" s="8">
        <v>40.035829</v>
      </c>
      <c r="C438" s="8">
        <v>79.038884801818369</v>
      </c>
    </row>
    <row r="439" spans="1:3" x14ac:dyDescent="0.2">
      <c r="A439" s="2">
        <v>41822</v>
      </c>
      <c r="B439" s="8">
        <v>40.111871999999998</v>
      </c>
      <c r="C439" s="8">
        <v>79.047006768259322</v>
      </c>
    </row>
    <row r="440" spans="1:3" x14ac:dyDescent="0.2">
      <c r="A440" s="2">
        <v>41823</v>
      </c>
      <c r="B440" s="8">
        <v>40.245792999999999</v>
      </c>
      <c r="C440" s="8">
        <v>79.032569322763592</v>
      </c>
    </row>
    <row r="441" spans="1:3" x14ac:dyDescent="0.2">
      <c r="A441" s="2">
        <v>41827</v>
      </c>
      <c r="B441" s="8">
        <v>40.286324</v>
      </c>
      <c r="C441" s="8">
        <v>79.013543311233505</v>
      </c>
    </row>
    <row r="442" spans="1:3" x14ac:dyDescent="0.2">
      <c r="A442" s="2">
        <v>41828</v>
      </c>
      <c r="B442" s="8">
        <v>40.855649999999997</v>
      </c>
      <c r="C442" s="8">
        <v>78.997298951009981</v>
      </c>
    </row>
    <row r="443" spans="1:3" x14ac:dyDescent="0.2">
      <c r="A443" s="2">
        <v>41829</v>
      </c>
      <c r="B443" s="8">
        <v>40.913541000000002</v>
      </c>
      <c r="C443" s="8">
        <v>78.694981893210652</v>
      </c>
    </row>
    <row r="444" spans="1:3" x14ac:dyDescent="0.2">
      <c r="A444" s="2">
        <v>41830</v>
      </c>
      <c r="B444" s="8">
        <v>39.953684000000003</v>
      </c>
      <c r="C444" s="8">
        <v>77.856106542264797</v>
      </c>
    </row>
    <row r="445" spans="1:3" x14ac:dyDescent="0.2">
      <c r="A445" s="2">
        <v>41831</v>
      </c>
      <c r="B445" s="8">
        <v>39.450527000000001</v>
      </c>
      <c r="C445" s="8">
        <v>77.839732441932014</v>
      </c>
    </row>
    <row r="446" spans="1:3" x14ac:dyDescent="0.2">
      <c r="A446" s="2">
        <v>41834</v>
      </c>
      <c r="B446" s="8">
        <v>40.814388000000001</v>
      </c>
      <c r="C446" s="8">
        <v>74.977133816227678</v>
      </c>
    </row>
    <row r="447" spans="1:3" x14ac:dyDescent="0.2">
      <c r="A447" s="2">
        <v>41835</v>
      </c>
      <c r="B447" s="8">
        <v>40.856226999999997</v>
      </c>
      <c r="C447" s="8">
        <v>74.562952005660733</v>
      </c>
    </row>
    <row r="448" spans="1:3" x14ac:dyDescent="0.2">
      <c r="A448" s="2">
        <v>41836</v>
      </c>
      <c r="B448" s="8">
        <v>40.875433000000001</v>
      </c>
      <c r="C448" s="8">
        <v>74.553790314780031</v>
      </c>
    </row>
    <row r="449" spans="1:3" x14ac:dyDescent="0.2">
      <c r="A449" s="2">
        <v>41837</v>
      </c>
      <c r="B449" s="8">
        <v>41.043092000000001</v>
      </c>
      <c r="C449" s="8">
        <v>74.478603108113376</v>
      </c>
    </row>
    <row r="450" spans="1:3" x14ac:dyDescent="0.2">
      <c r="A450" s="2">
        <v>41838</v>
      </c>
      <c r="B450" s="8">
        <v>40.951194999999998</v>
      </c>
      <c r="C450" s="8">
        <v>74.428025396309934</v>
      </c>
    </row>
    <row r="451" spans="1:3" x14ac:dyDescent="0.2">
      <c r="A451" s="2">
        <v>41841</v>
      </c>
      <c r="B451" s="8">
        <v>40.863089000000002</v>
      </c>
      <c r="C451" s="8">
        <v>74.184643804543811</v>
      </c>
    </row>
    <row r="452" spans="1:3" x14ac:dyDescent="0.2">
      <c r="A452" s="2">
        <v>41842</v>
      </c>
      <c r="B452" s="8">
        <v>40.903024000000002</v>
      </c>
      <c r="C452" s="8">
        <v>74.198206469920095</v>
      </c>
    </row>
    <row r="453" spans="1:3" x14ac:dyDescent="0.2">
      <c r="A453" s="2">
        <v>41843</v>
      </c>
      <c r="B453" s="8">
        <v>40.900393999999999</v>
      </c>
      <c r="C453" s="8">
        <v>74.254708138643068</v>
      </c>
    </row>
    <row r="454" spans="1:3" x14ac:dyDescent="0.2">
      <c r="A454" s="2">
        <v>41844</v>
      </c>
      <c r="B454" s="8">
        <v>40.649140000000003</v>
      </c>
      <c r="C454" s="8">
        <v>74.316946931982997</v>
      </c>
    </row>
    <row r="455" spans="1:3" x14ac:dyDescent="0.2">
      <c r="A455" s="2">
        <v>41845</v>
      </c>
      <c r="B455" s="8">
        <v>40.766047</v>
      </c>
      <c r="C455" s="8">
        <v>74.222164096718117</v>
      </c>
    </row>
    <row r="456" spans="1:3" x14ac:dyDescent="0.2">
      <c r="A456" s="2">
        <v>41848</v>
      </c>
      <c r="B456" s="8">
        <v>39.826053000000002</v>
      </c>
      <c r="C456" s="8">
        <v>73.604210507858696</v>
      </c>
    </row>
    <row r="457" spans="1:3" x14ac:dyDescent="0.2">
      <c r="A457" s="2">
        <v>41849</v>
      </c>
      <c r="B457" s="8">
        <v>39.809353000000002</v>
      </c>
      <c r="C457" s="8">
        <v>73.538493543240463</v>
      </c>
    </row>
    <row r="458" spans="1:3" x14ac:dyDescent="0.2">
      <c r="A458" s="2">
        <v>41850</v>
      </c>
      <c r="B458" s="8">
        <v>39.927231999999997</v>
      </c>
      <c r="C458" s="8">
        <v>73.735341961301444</v>
      </c>
    </row>
    <row r="459" spans="1:3" x14ac:dyDescent="0.2">
      <c r="A459" s="2">
        <v>41851</v>
      </c>
      <c r="B459" s="8">
        <v>40.420197000000002</v>
      </c>
      <c r="C459" s="8">
        <v>73.951025599528393</v>
      </c>
    </row>
    <row r="460" spans="1:3" x14ac:dyDescent="0.2">
      <c r="A460" s="2">
        <v>41852</v>
      </c>
      <c r="B460" s="8">
        <v>39.536158999999998</v>
      </c>
      <c r="C460" s="8">
        <v>72.482604497179281</v>
      </c>
    </row>
    <row r="461" spans="1:3" x14ac:dyDescent="0.2">
      <c r="A461" s="2">
        <v>41855</v>
      </c>
      <c r="B461" s="8">
        <v>37.754443000000002</v>
      </c>
      <c r="C461" s="8">
        <v>71.067977359663175</v>
      </c>
    </row>
    <row r="462" spans="1:3" x14ac:dyDescent="0.2">
      <c r="A462" s="2">
        <v>41856</v>
      </c>
      <c r="B462" s="8">
        <v>37.734363000000002</v>
      </c>
      <c r="C462" s="8">
        <v>71.054891718952348</v>
      </c>
    </row>
    <row r="463" spans="1:3" x14ac:dyDescent="0.2">
      <c r="A463" s="2">
        <v>41857</v>
      </c>
      <c r="B463" s="8">
        <v>37.890143999999999</v>
      </c>
      <c r="C463" s="8">
        <v>71.037336107329239</v>
      </c>
    </row>
    <row r="464" spans="1:3" x14ac:dyDescent="0.2">
      <c r="A464" s="2">
        <v>41858</v>
      </c>
      <c r="B464" s="8">
        <v>38.244450999999998</v>
      </c>
      <c r="C464" s="8">
        <v>71.034032609029268</v>
      </c>
    </row>
    <row r="465" spans="1:3" x14ac:dyDescent="0.2">
      <c r="A465" s="2">
        <v>41859</v>
      </c>
      <c r="B465" s="8">
        <v>38.240577000000002</v>
      </c>
      <c r="C465" s="8">
        <v>70.975418511688034</v>
      </c>
    </row>
    <row r="466" spans="1:3" x14ac:dyDescent="0.2">
      <c r="A466" s="2">
        <v>41862</v>
      </c>
      <c r="B466" s="8">
        <v>37.705460000000002</v>
      </c>
      <c r="C466" s="8">
        <v>70.663652297640837</v>
      </c>
    </row>
    <row r="467" spans="1:3" x14ac:dyDescent="0.2">
      <c r="A467" s="2">
        <v>41863</v>
      </c>
      <c r="B467" s="8">
        <v>37.714447</v>
      </c>
      <c r="C467" s="8">
        <v>70.705305714338706</v>
      </c>
    </row>
    <row r="468" spans="1:3" x14ac:dyDescent="0.2">
      <c r="A468" s="2">
        <v>41864</v>
      </c>
      <c r="B468" s="8">
        <v>37.610568000000001</v>
      </c>
      <c r="C468" s="8">
        <v>70.695757727462933</v>
      </c>
    </row>
    <row r="469" spans="1:3" x14ac:dyDescent="0.2">
      <c r="A469" s="2">
        <v>41865</v>
      </c>
      <c r="B469" s="8">
        <v>37.680956999999999</v>
      </c>
      <c r="C469" s="8">
        <v>70.295461336300519</v>
      </c>
    </row>
    <row r="470" spans="1:3" x14ac:dyDescent="0.2">
      <c r="A470" s="2">
        <v>41866</v>
      </c>
      <c r="B470" s="8">
        <v>37.670495000000003</v>
      </c>
      <c r="C470" s="8">
        <v>70.202920781117811</v>
      </c>
    </row>
    <row r="471" spans="1:3" x14ac:dyDescent="0.2">
      <c r="A471" s="2">
        <v>41869</v>
      </c>
      <c r="B471" s="8">
        <v>37.712415999999997</v>
      </c>
      <c r="C471" s="8">
        <v>70.258924175821605</v>
      </c>
    </row>
    <row r="472" spans="1:3" x14ac:dyDescent="0.2">
      <c r="A472" s="2">
        <v>41870</v>
      </c>
      <c r="B472" s="8">
        <v>37.747622999999997</v>
      </c>
      <c r="C472" s="8">
        <v>70.190587051177275</v>
      </c>
    </row>
    <row r="473" spans="1:3" x14ac:dyDescent="0.2">
      <c r="A473" s="2">
        <v>41871</v>
      </c>
      <c r="B473" s="8">
        <v>38.784253</v>
      </c>
      <c r="C473" s="8">
        <v>71.685568491721838</v>
      </c>
    </row>
    <row r="474" spans="1:3" x14ac:dyDescent="0.2">
      <c r="A474" s="2">
        <v>41872</v>
      </c>
      <c r="B474" s="8">
        <v>38.837899</v>
      </c>
      <c r="C474" s="8">
        <v>71.6501111054055</v>
      </c>
    </row>
    <row r="475" spans="1:3" x14ac:dyDescent="0.2">
      <c r="A475" s="2">
        <v>41873</v>
      </c>
      <c r="B475" s="8">
        <v>38.965231000000003</v>
      </c>
      <c r="C475" s="8">
        <v>71.6249202014058</v>
      </c>
    </row>
    <row r="476" spans="1:3" x14ac:dyDescent="0.2">
      <c r="A476" s="2">
        <v>41876</v>
      </c>
      <c r="B476" s="8">
        <v>38.865957999999999</v>
      </c>
      <c r="C476" s="8">
        <v>71.544706599338852</v>
      </c>
    </row>
    <row r="477" spans="1:3" x14ac:dyDescent="0.2">
      <c r="A477" s="2">
        <v>41877</v>
      </c>
      <c r="B477" s="8">
        <v>38.185913999999997</v>
      </c>
      <c r="C477" s="8">
        <v>71.042886928637316</v>
      </c>
    </row>
    <row r="478" spans="1:3" x14ac:dyDescent="0.2">
      <c r="A478" s="2">
        <v>41878</v>
      </c>
      <c r="B478" s="8">
        <v>38.057440999999997</v>
      </c>
      <c r="C478" s="8">
        <v>70.965590052317594</v>
      </c>
    </row>
    <row r="479" spans="1:3" x14ac:dyDescent="0.2">
      <c r="A479" s="2">
        <v>41879</v>
      </c>
      <c r="B479" s="8">
        <v>38.025314000000002</v>
      </c>
      <c r="C479" s="8">
        <v>70.934310395288207</v>
      </c>
    </row>
    <row r="480" spans="1:3" x14ac:dyDescent="0.2">
      <c r="A480" s="2">
        <v>41880</v>
      </c>
      <c r="B480" s="8">
        <v>37.793849999999999</v>
      </c>
      <c r="C480" s="8">
        <v>70.896898105228033</v>
      </c>
    </row>
    <row r="481" spans="1:3" x14ac:dyDescent="0.2">
      <c r="A481" s="2">
        <v>41884</v>
      </c>
      <c r="B481" s="8">
        <v>37.908819999999999</v>
      </c>
      <c r="C481" s="8">
        <v>71.160474827307013</v>
      </c>
    </row>
    <row r="482" spans="1:3" x14ac:dyDescent="0.2">
      <c r="A482" s="2">
        <v>41885</v>
      </c>
      <c r="B482" s="8">
        <v>38.032879000000001</v>
      </c>
      <c r="C482" s="8">
        <v>71.219694251478685</v>
      </c>
    </row>
    <row r="483" spans="1:3" x14ac:dyDescent="0.2">
      <c r="A483" s="2">
        <v>41886</v>
      </c>
      <c r="B483" s="8">
        <v>38.063471999999997</v>
      </c>
      <c r="C483" s="8">
        <v>71.363900761157097</v>
      </c>
    </row>
    <row r="484" spans="1:3" x14ac:dyDescent="0.2">
      <c r="A484" s="2">
        <v>41887</v>
      </c>
      <c r="B484" s="8">
        <v>38.223022999999998</v>
      </c>
      <c r="C484" s="8">
        <v>71.416219830621856</v>
      </c>
    </row>
    <row r="485" spans="1:3" x14ac:dyDescent="0.2">
      <c r="A485" s="2">
        <v>41890</v>
      </c>
      <c r="B485" s="8">
        <v>39.515255000000003</v>
      </c>
      <c r="C485" s="8">
        <v>70.134764801019216</v>
      </c>
    </row>
    <row r="486" spans="1:3" x14ac:dyDescent="0.2">
      <c r="A486" s="2">
        <v>41891</v>
      </c>
      <c r="B486" s="8">
        <v>39.647956999999998</v>
      </c>
      <c r="C486" s="8">
        <v>69.840303541359589</v>
      </c>
    </row>
    <row r="487" spans="1:3" x14ac:dyDescent="0.2">
      <c r="A487" s="2">
        <v>41892</v>
      </c>
      <c r="B487" s="8">
        <v>39.610039</v>
      </c>
      <c r="C487" s="8">
        <v>69.823405212092922</v>
      </c>
    </row>
    <row r="488" spans="1:3" x14ac:dyDescent="0.2">
      <c r="A488" s="2">
        <v>41893</v>
      </c>
      <c r="B488" s="8">
        <v>39.04786</v>
      </c>
      <c r="C488" s="8">
        <v>69.793464878957934</v>
      </c>
    </row>
    <row r="489" spans="1:3" x14ac:dyDescent="0.2">
      <c r="A489" s="2">
        <v>41894</v>
      </c>
      <c r="B489" s="8">
        <v>39.226993</v>
      </c>
      <c r="C489" s="8">
        <v>69.899401537746456</v>
      </c>
    </row>
    <row r="490" spans="1:3" x14ac:dyDescent="0.2">
      <c r="A490" s="2">
        <v>41897</v>
      </c>
      <c r="B490" s="8">
        <v>39.125861999999998</v>
      </c>
      <c r="C490" s="8">
        <v>69.892582848267622</v>
      </c>
    </row>
    <row r="491" spans="1:3" x14ac:dyDescent="0.2">
      <c r="A491" s="2">
        <v>41898</v>
      </c>
      <c r="B491" s="8">
        <v>39.102445000000003</v>
      </c>
      <c r="C491" s="8">
        <v>69.642568705272978</v>
      </c>
    </row>
    <row r="492" spans="1:3" x14ac:dyDescent="0.2">
      <c r="A492" s="2">
        <v>41899</v>
      </c>
      <c r="B492" s="8">
        <v>38.89479</v>
      </c>
      <c r="C492" s="8">
        <v>69.61551213571407</v>
      </c>
    </row>
    <row r="493" spans="1:3" x14ac:dyDescent="0.2">
      <c r="A493" s="2">
        <v>41900</v>
      </c>
      <c r="B493" s="8">
        <v>38.891173000000002</v>
      </c>
      <c r="C493" s="8">
        <v>69.605968899778432</v>
      </c>
    </row>
    <row r="494" spans="1:3" x14ac:dyDescent="0.2">
      <c r="A494" s="2">
        <v>41901</v>
      </c>
      <c r="B494" s="8">
        <v>39.028233</v>
      </c>
      <c r="C494" s="8">
        <v>69.419002340786804</v>
      </c>
    </row>
    <row r="495" spans="1:3" x14ac:dyDescent="0.2">
      <c r="A495" s="2">
        <v>41904</v>
      </c>
      <c r="B495" s="8">
        <v>38.982008</v>
      </c>
      <c r="C495" s="8">
        <v>69.460239647347862</v>
      </c>
    </row>
    <row r="496" spans="1:3" x14ac:dyDescent="0.2">
      <c r="A496" s="2">
        <v>41905</v>
      </c>
      <c r="B496" s="8">
        <v>39.020493000000002</v>
      </c>
      <c r="C496" s="8">
        <v>69.4773847194665</v>
      </c>
    </row>
    <row r="497" spans="1:3" x14ac:dyDescent="0.2">
      <c r="A497" s="2">
        <v>41906</v>
      </c>
      <c r="B497" s="8">
        <v>39.145038999999997</v>
      </c>
      <c r="C497" s="8">
        <v>69.51214462724036</v>
      </c>
    </row>
    <row r="498" spans="1:3" x14ac:dyDescent="0.2">
      <c r="A498" s="2">
        <v>41907</v>
      </c>
      <c r="B498" s="8">
        <v>38.511271999999998</v>
      </c>
      <c r="C498" s="8">
        <v>69.028707502950809</v>
      </c>
    </row>
    <row r="499" spans="1:3" x14ac:dyDescent="0.2">
      <c r="A499" s="2">
        <v>41908</v>
      </c>
      <c r="B499" s="8">
        <v>38.595934999999997</v>
      </c>
      <c r="C499" s="8">
        <v>68.982965121107242</v>
      </c>
    </row>
    <row r="500" spans="1:3" x14ac:dyDescent="0.2">
      <c r="A500" s="2">
        <v>41911</v>
      </c>
      <c r="B500" s="8">
        <v>38.485596000000001</v>
      </c>
      <c r="C500" s="8">
        <v>68.907864032978367</v>
      </c>
    </row>
    <row r="501" spans="1:3" x14ac:dyDescent="0.2">
      <c r="A501" s="2">
        <v>41912</v>
      </c>
      <c r="B501" s="8">
        <v>38.233576999999997</v>
      </c>
      <c r="C501" s="8">
        <v>68.964051546859437</v>
      </c>
    </row>
    <row r="502" spans="1:3" x14ac:dyDescent="0.2">
      <c r="A502" s="2">
        <v>41913</v>
      </c>
      <c r="B502" s="8">
        <v>38.960200999999998</v>
      </c>
      <c r="C502" s="8">
        <v>70.863546855453734</v>
      </c>
    </row>
    <row r="503" spans="1:3" x14ac:dyDescent="0.2">
      <c r="A503" s="2">
        <v>41914</v>
      </c>
      <c r="B503" s="8">
        <v>38.989356999999998</v>
      </c>
      <c r="C503" s="8">
        <v>70.911876102746163</v>
      </c>
    </row>
    <row r="504" spans="1:3" x14ac:dyDescent="0.2">
      <c r="A504" s="2">
        <v>41915</v>
      </c>
      <c r="B504" s="8">
        <v>39.151091000000001</v>
      </c>
      <c r="C504" s="8">
        <v>70.881553020528898</v>
      </c>
    </row>
    <row r="505" spans="1:3" x14ac:dyDescent="0.2">
      <c r="A505" s="2">
        <v>41918</v>
      </c>
      <c r="B505" s="8">
        <v>38.972614</v>
      </c>
      <c r="C505" s="8">
        <v>70.920123878399281</v>
      </c>
    </row>
    <row r="506" spans="1:3" x14ac:dyDescent="0.2">
      <c r="A506" s="2">
        <v>41919</v>
      </c>
      <c r="B506" s="8">
        <v>38.807817</v>
      </c>
      <c r="C506" s="8">
        <v>70.974932986005641</v>
      </c>
    </row>
    <row r="507" spans="1:3" x14ac:dyDescent="0.2">
      <c r="A507" s="2">
        <v>41920</v>
      </c>
      <c r="B507" s="8">
        <v>38.730106999999997</v>
      </c>
      <c r="C507" s="8">
        <v>70.711779390651557</v>
      </c>
    </row>
    <row r="508" spans="1:3" x14ac:dyDescent="0.2">
      <c r="A508" s="2">
        <v>41921</v>
      </c>
      <c r="B508" s="8">
        <v>38.789544999999997</v>
      </c>
      <c r="C508" s="8">
        <v>70.677256034415706</v>
      </c>
    </row>
    <row r="509" spans="1:3" x14ac:dyDescent="0.2">
      <c r="A509" s="2">
        <v>41922</v>
      </c>
      <c r="B509" s="8">
        <v>38.298971000000002</v>
      </c>
      <c r="C509" s="8">
        <v>70.550248459569445</v>
      </c>
    </row>
    <row r="510" spans="1:3" x14ac:dyDescent="0.2">
      <c r="A510" s="2">
        <v>41926</v>
      </c>
      <c r="B510" s="8">
        <v>37.603299999999997</v>
      </c>
      <c r="C510" s="8">
        <v>70.147889740216286</v>
      </c>
    </row>
    <row r="511" spans="1:3" x14ac:dyDescent="0.2">
      <c r="A511" s="2">
        <v>41927</v>
      </c>
      <c r="B511" s="8">
        <v>27.347971000000001</v>
      </c>
      <c r="C511" s="8">
        <v>61.092524640721344</v>
      </c>
    </row>
    <row r="512" spans="1:3" x14ac:dyDescent="0.2">
      <c r="A512" s="2">
        <v>41928</v>
      </c>
      <c r="B512" s="8">
        <v>27.755631999999999</v>
      </c>
      <c r="C512" s="8">
        <v>61.158792964190688</v>
      </c>
    </row>
    <row r="513" spans="1:3" x14ac:dyDescent="0.2">
      <c r="A513" s="2">
        <v>41929</v>
      </c>
      <c r="B513" s="8">
        <v>27.823595000000001</v>
      </c>
      <c r="C513" s="8">
        <v>61.191527548276035</v>
      </c>
    </row>
    <row r="514" spans="1:3" x14ac:dyDescent="0.2">
      <c r="A514" s="2">
        <v>41932</v>
      </c>
      <c r="B514" s="8">
        <v>27.640373</v>
      </c>
      <c r="C514" s="8">
        <v>61.244721619464372</v>
      </c>
    </row>
    <row r="515" spans="1:3" x14ac:dyDescent="0.2">
      <c r="A515" s="2">
        <v>41933</v>
      </c>
      <c r="B515" s="8">
        <v>27.691331999999999</v>
      </c>
      <c r="C515" s="8">
        <v>61.135314697961483</v>
      </c>
    </row>
    <row r="516" spans="1:3" x14ac:dyDescent="0.2">
      <c r="A516" s="2">
        <v>41934</v>
      </c>
      <c r="B516" s="8">
        <v>27.769732999999999</v>
      </c>
      <c r="C516" s="8">
        <v>61.156191873651181</v>
      </c>
    </row>
    <row r="517" spans="1:3" x14ac:dyDescent="0.2">
      <c r="A517" s="2">
        <v>41935</v>
      </c>
      <c r="B517" s="8">
        <v>28.133389000000001</v>
      </c>
      <c r="C517" s="8">
        <v>61.248080537529638</v>
      </c>
    </row>
    <row r="518" spans="1:3" x14ac:dyDescent="0.2">
      <c r="A518" s="2">
        <v>41936</v>
      </c>
      <c r="B518" s="8">
        <v>28.404527999999999</v>
      </c>
      <c r="C518" s="8">
        <v>61.343802850229146</v>
      </c>
    </row>
    <row r="519" spans="1:3" x14ac:dyDescent="0.2">
      <c r="A519" s="2">
        <v>41939</v>
      </c>
      <c r="B519" s="8">
        <v>28.401108000000001</v>
      </c>
      <c r="C519" s="8">
        <v>61.413339581380633</v>
      </c>
    </row>
    <row r="520" spans="1:3" x14ac:dyDescent="0.2">
      <c r="A520" s="2">
        <v>41940</v>
      </c>
      <c r="B520" s="8">
        <v>28.368948</v>
      </c>
      <c r="C520" s="8">
        <v>61.103814061859183</v>
      </c>
    </row>
    <row r="521" spans="1:3" x14ac:dyDescent="0.2">
      <c r="A521" s="2">
        <v>41941</v>
      </c>
      <c r="B521" s="8">
        <v>28.536877</v>
      </c>
      <c r="C521" s="8">
        <v>60.971034270868387</v>
      </c>
    </row>
    <row r="522" spans="1:3" x14ac:dyDescent="0.2">
      <c r="A522" s="2">
        <v>41942</v>
      </c>
      <c r="B522" s="8">
        <v>28.451484000000001</v>
      </c>
      <c r="C522" s="8">
        <v>61.046311461001537</v>
      </c>
    </row>
    <row r="523" spans="1:3" x14ac:dyDescent="0.2">
      <c r="A523" s="2">
        <v>41943</v>
      </c>
      <c r="B523" s="8">
        <v>28.74878</v>
      </c>
      <c r="C523" s="8">
        <v>61.24402143001798</v>
      </c>
    </row>
    <row r="524" spans="1:3" x14ac:dyDescent="0.2">
      <c r="A524" s="2">
        <v>41946</v>
      </c>
      <c r="B524" s="8">
        <v>28.860157000000001</v>
      </c>
      <c r="C524" s="8">
        <v>61.230165131465327</v>
      </c>
    </row>
    <row r="525" spans="1:3" x14ac:dyDescent="0.2">
      <c r="A525" s="2">
        <v>41947</v>
      </c>
      <c r="B525" s="8">
        <v>28.887346999999998</v>
      </c>
      <c r="C525" s="8">
        <v>61.234265334800938</v>
      </c>
    </row>
    <row r="526" spans="1:3" x14ac:dyDescent="0.2">
      <c r="A526" s="2">
        <v>41948</v>
      </c>
      <c r="B526" s="8">
        <v>28.867260000000002</v>
      </c>
      <c r="C526" s="8">
        <v>61.231345588985228</v>
      </c>
    </row>
    <row r="527" spans="1:3" x14ac:dyDescent="0.2">
      <c r="A527" s="2">
        <v>41949</v>
      </c>
      <c r="B527" s="8">
        <v>28.823931000000002</v>
      </c>
      <c r="C527" s="8">
        <v>61.221936972613456</v>
      </c>
    </row>
    <row r="528" spans="1:3" x14ac:dyDescent="0.2">
      <c r="A528" s="2">
        <v>41950</v>
      </c>
      <c r="B528" s="8">
        <v>28.900106999999998</v>
      </c>
      <c r="C528" s="8">
        <v>61.280500301413596</v>
      </c>
    </row>
    <row r="529" spans="1:3" x14ac:dyDescent="0.2">
      <c r="A529" s="2">
        <v>41953</v>
      </c>
      <c r="B529" s="8">
        <v>28.511167</v>
      </c>
      <c r="C529" s="8">
        <v>60.918072178543447</v>
      </c>
    </row>
    <row r="530" spans="1:3" x14ac:dyDescent="0.2">
      <c r="A530" s="2">
        <v>41955</v>
      </c>
      <c r="B530" s="8">
        <v>28.522055000000002</v>
      </c>
      <c r="C530" s="8">
        <v>60.93292339812303</v>
      </c>
    </row>
    <row r="531" spans="1:3" x14ac:dyDescent="0.2">
      <c r="A531" s="2">
        <v>41956</v>
      </c>
      <c r="B531" s="8">
        <v>28.499202</v>
      </c>
      <c r="C531" s="8">
        <v>60.991024895055425</v>
      </c>
    </row>
    <row r="532" spans="1:3" x14ac:dyDescent="0.2">
      <c r="A532" s="2">
        <v>41957</v>
      </c>
      <c r="B532" s="8">
        <v>28.426062999999999</v>
      </c>
      <c r="C532" s="8">
        <v>60.906932235728192</v>
      </c>
    </row>
    <row r="533" spans="1:3" x14ac:dyDescent="0.2">
      <c r="A533" s="2">
        <v>41960</v>
      </c>
      <c r="B533" s="8">
        <v>27.307727</v>
      </c>
      <c r="C533" s="8">
        <v>60.22395045118396</v>
      </c>
    </row>
    <row r="534" spans="1:3" x14ac:dyDescent="0.2">
      <c r="A534" s="2">
        <v>41961</v>
      </c>
      <c r="B534" s="8">
        <v>27.370865999999999</v>
      </c>
      <c r="C534" s="8">
        <v>60.257565305612218</v>
      </c>
    </row>
    <row r="535" spans="1:3" x14ac:dyDescent="0.2">
      <c r="A535" s="2">
        <v>41962</v>
      </c>
      <c r="B535" s="8">
        <v>27.50704</v>
      </c>
      <c r="C535" s="8">
        <v>60.121690749708911</v>
      </c>
    </row>
    <row r="536" spans="1:3" x14ac:dyDescent="0.2">
      <c r="A536" s="2">
        <v>41963</v>
      </c>
      <c r="B536" s="8">
        <v>27.392507999999999</v>
      </c>
      <c r="C536" s="8">
        <v>60.134252595196436</v>
      </c>
    </row>
    <row r="537" spans="1:3" x14ac:dyDescent="0.2">
      <c r="A537" s="2">
        <v>41964</v>
      </c>
      <c r="B537" s="8">
        <v>27.426454</v>
      </c>
      <c r="C537" s="8">
        <v>60.145743407573406</v>
      </c>
    </row>
    <row r="538" spans="1:3" x14ac:dyDescent="0.2">
      <c r="A538" s="2">
        <v>41967</v>
      </c>
      <c r="B538" s="8">
        <v>27.033594000000001</v>
      </c>
      <c r="C538" s="8">
        <v>59.841924554928397</v>
      </c>
    </row>
    <row r="539" spans="1:3" x14ac:dyDescent="0.2">
      <c r="A539" s="2">
        <v>41968</v>
      </c>
      <c r="B539" s="8">
        <v>26.678274999999999</v>
      </c>
      <c r="C539" s="8">
        <v>59.781103956955704</v>
      </c>
    </row>
    <row r="540" spans="1:3" x14ac:dyDescent="0.2">
      <c r="A540" s="2">
        <v>41969</v>
      </c>
      <c r="B540" s="8">
        <v>26.645821999999999</v>
      </c>
      <c r="C540" s="8">
        <v>59.753961057029947</v>
      </c>
    </row>
    <row r="541" spans="1:3" x14ac:dyDescent="0.2">
      <c r="A541" s="2">
        <v>41971</v>
      </c>
      <c r="B541" s="8">
        <v>25.990769</v>
      </c>
      <c r="C541" s="8">
        <v>59.7034382203936</v>
      </c>
    </row>
    <row r="542" spans="1:3" x14ac:dyDescent="0.2">
      <c r="A542" s="2">
        <v>41974</v>
      </c>
      <c r="B542" s="8">
        <v>25.899387999999998</v>
      </c>
      <c r="C542" s="8">
        <v>59.738493107393033</v>
      </c>
    </row>
    <row r="543" spans="1:3" x14ac:dyDescent="0.2">
      <c r="A543" s="2">
        <v>41975</v>
      </c>
      <c r="B543" s="8">
        <v>26.269362000000001</v>
      </c>
      <c r="C543" s="8">
        <v>59.724798512721733</v>
      </c>
    </row>
    <row r="544" spans="1:3" x14ac:dyDescent="0.2">
      <c r="A544" s="2">
        <v>41976</v>
      </c>
      <c r="B544" s="8">
        <v>26.469963</v>
      </c>
      <c r="C544" s="8">
        <v>59.686502019494014</v>
      </c>
    </row>
    <row r="545" spans="1:3" x14ac:dyDescent="0.2">
      <c r="A545" s="2">
        <v>41977</v>
      </c>
      <c r="B545" s="8">
        <v>26.366738000000002</v>
      </c>
      <c r="C545" s="8">
        <v>59.726966618220132</v>
      </c>
    </row>
    <row r="546" spans="1:3" x14ac:dyDescent="0.2">
      <c r="A546" s="2">
        <v>41978</v>
      </c>
      <c r="B546" s="8">
        <v>26.988807999999999</v>
      </c>
      <c r="C546" s="8">
        <v>59.562479455829411</v>
      </c>
    </row>
    <row r="547" spans="1:3" x14ac:dyDescent="0.2">
      <c r="A547" s="2">
        <v>41981</v>
      </c>
      <c r="B547" s="8">
        <v>26.705466000000001</v>
      </c>
      <c r="C547" s="8">
        <v>59.462300660080501</v>
      </c>
    </row>
    <row r="548" spans="1:3" x14ac:dyDescent="0.2">
      <c r="A548" s="2">
        <v>41982</v>
      </c>
      <c r="B548" s="8">
        <v>26.024478999999999</v>
      </c>
      <c r="C548" s="8">
        <v>62.062144194450056</v>
      </c>
    </row>
    <row r="549" spans="1:3" x14ac:dyDescent="0.2">
      <c r="A549" s="2">
        <v>41983</v>
      </c>
      <c r="B549" s="8">
        <v>25.880379999999999</v>
      </c>
      <c r="C549" s="8">
        <v>62.096516841799662</v>
      </c>
    </row>
    <row r="550" spans="1:3" x14ac:dyDescent="0.2">
      <c r="A550" s="2">
        <v>41984</v>
      </c>
      <c r="B550" s="8">
        <v>25.502655000000001</v>
      </c>
      <c r="C550" s="8">
        <v>61.918019694353724</v>
      </c>
    </row>
    <row r="551" spans="1:3" x14ac:dyDescent="0.2">
      <c r="A551" s="2">
        <v>41985</v>
      </c>
      <c r="B551" s="8">
        <v>25.131264999999999</v>
      </c>
      <c r="C551" s="8">
        <v>61.956846049959339</v>
      </c>
    </row>
    <row r="552" spans="1:3" x14ac:dyDescent="0.2">
      <c r="A552" s="2">
        <v>41988</v>
      </c>
      <c r="B552" s="8">
        <v>25.328071000000001</v>
      </c>
      <c r="C552" s="8">
        <v>61.782066745178469</v>
      </c>
    </row>
    <row r="553" spans="1:3" x14ac:dyDescent="0.2">
      <c r="A553" s="2">
        <v>41989</v>
      </c>
      <c r="B553" s="8">
        <v>25.148904999999999</v>
      </c>
      <c r="C553" s="8">
        <v>61.72253388498622</v>
      </c>
    </row>
    <row r="554" spans="1:3" x14ac:dyDescent="0.2">
      <c r="A554" s="2">
        <v>41990</v>
      </c>
      <c r="B554" s="8">
        <v>25.344905000000001</v>
      </c>
      <c r="C554" s="8">
        <v>61.721581625815404</v>
      </c>
    </row>
    <row r="555" spans="1:3" x14ac:dyDescent="0.2">
      <c r="A555" s="2">
        <v>41991</v>
      </c>
      <c r="B555" s="8">
        <v>25.466612000000001</v>
      </c>
      <c r="C555" s="8">
        <v>61.803102616254336</v>
      </c>
    </row>
    <row r="556" spans="1:3" x14ac:dyDescent="0.2">
      <c r="A556" s="2">
        <v>41992</v>
      </c>
      <c r="B556" s="8">
        <v>24.069006999999999</v>
      </c>
      <c r="C556" s="8">
        <v>61.544682511043582</v>
      </c>
    </row>
    <row r="557" spans="1:3" x14ac:dyDescent="0.2">
      <c r="A557" s="2">
        <v>41995</v>
      </c>
      <c r="B557" s="8">
        <v>24.144452000000001</v>
      </c>
      <c r="C557" s="8">
        <v>61.537790475962893</v>
      </c>
    </row>
    <row r="558" spans="1:3" x14ac:dyDescent="0.2">
      <c r="A558" s="2">
        <v>41996</v>
      </c>
      <c r="B558" s="8">
        <v>24.324396</v>
      </c>
      <c r="C558" s="8">
        <v>61.569274596690896</v>
      </c>
    </row>
    <row r="559" spans="1:3" x14ac:dyDescent="0.2">
      <c r="A559" s="2">
        <v>41997</v>
      </c>
      <c r="B559" s="8">
        <v>24.435092999999998</v>
      </c>
      <c r="C559" s="8">
        <v>61.573027144072633</v>
      </c>
    </row>
    <row r="560" spans="1:3" x14ac:dyDescent="0.2">
      <c r="A560" s="2">
        <v>41999</v>
      </c>
      <c r="B560" s="8">
        <v>24.024979999999999</v>
      </c>
      <c r="C560" s="8">
        <v>61.275567830054023</v>
      </c>
    </row>
    <row r="561" spans="1:3" x14ac:dyDescent="0.2">
      <c r="A561" s="2">
        <v>42002</v>
      </c>
      <c r="B561" s="8">
        <v>23.926565</v>
      </c>
      <c r="C561" s="8">
        <v>61.32385509911343</v>
      </c>
    </row>
    <row r="562" spans="1:3" x14ac:dyDescent="0.2">
      <c r="A562" s="2">
        <v>42003</v>
      </c>
      <c r="B562" s="8">
        <v>23.947399000000001</v>
      </c>
      <c r="C562" s="8">
        <v>61.358894326386128</v>
      </c>
    </row>
    <row r="563" spans="1:3" x14ac:dyDescent="0.2">
      <c r="A563" s="2">
        <v>42004</v>
      </c>
      <c r="B563" s="8">
        <v>23.951056000000001</v>
      </c>
      <c r="C563" s="8">
        <v>61.587815371182067</v>
      </c>
    </row>
    <row r="564" spans="1:3" x14ac:dyDescent="0.2">
      <c r="A564" s="2">
        <v>42006</v>
      </c>
      <c r="B564" s="8">
        <v>24.686389999999999</v>
      </c>
      <c r="C564" s="8">
        <v>63.593626022873238</v>
      </c>
    </row>
    <row r="565" spans="1:3" x14ac:dyDescent="0.2">
      <c r="A565" s="2">
        <v>42009</v>
      </c>
      <c r="B565" s="8">
        <v>24.312279</v>
      </c>
      <c r="C565" s="8">
        <v>63.453718890583666</v>
      </c>
    </row>
    <row r="566" spans="1:3" x14ac:dyDescent="0.2">
      <c r="A566" s="2">
        <v>42010</v>
      </c>
      <c r="B566" s="8">
        <v>26.748937999999999</v>
      </c>
      <c r="C566" s="8">
        <v>63.390658931563571</v>
      </c>
    </row>
    <row r="567" spans="1:3" x14ac:dyDescent="0.2">
      <c r="A567" s="2">
        <v>42011</v>
      </c>
      <c r="B567" s="8">
        <v>26.687895000000001</v>
      </c>
      <c r="C567" s="8">
        <v>63.320045871604833</v>
      </c>
    </row>
    <row r="568" spans="1:3" x14ac:dyDescent="0.2">
      <c r="A568" s="2">
        <v>42012</v>
      </c>
      <c r="B568" s="8">
        <v>26.707581000000001</v>
      </c>
      <c r="C568" s="8">
        <v>63.421392324563442</v>
      </c>
    </row>
    <row r="569" spans="1:3" x14ac:dyDescent="0.2">
      <c r="A569" s="2">
        <v>42013</v>
      </c>
      <c r="B569" s="8">
        <v>26.313776000000001</v>
      </c>
      <c r="C569" s="8">
        <v>63.108486230869154</v>
      </c>
    </row>
    <row r="570" spans="1:3" x14ac:dyDescent="0.2">
      <c r="A570" s="2">
        <v>42016</v>
      </c>
      <c r="B570" s="8">
        <v>25.841097000000001</v>
      </c>
      <c r="C570" s="8">
        <v>62.943482180848932</v>
      </c>
    </row>
    <row r="571" spans="1:3" x14ac:dyDescent="0.2">
      <c r="A571" s="2">
        <v>42017</v>
      </c>
      <c r="B571" s="8">
        <v>25.540937</v>
      </c>
      <c r="C571" s="8">
        <v>62.713587058197952</v>
      </c>
    </row>
    <row r="572" spans="1:3" x14ac:dyDescent="0.2">
      <c r="A572" s="2">
        <v>42018</v>
      </c>
      <c r="B572" s="8">
        <v>24.913245</v>
      </c>
      <c r="C572" s="8">
        <v>62.679572688268905</v>
      </c>
    </row>
    <row r="573" spans="1:3" x14ac:dyDescent="0.2">
      <c r="A573" s="2">
        <v>42019</v>
      </c>
      <c r="B573" s="8">
        <v>24.936067999999999</v>
      </c>
      <c r="C573" s="8">
        <v>62.588766450316847</v>
      </c>
    </row>
    <row r="574" spans="1:3" x14ac:dyDescent="0.2">
      <c r="A574" s="2">
        <v>42020</v>
      </c>
      <c r="B574" s="8">
        <v>25.971854</v>
      </c>
      <c r="C574" s="8">
        <v>62.679969775862475</v>
      </c>
    </row>
    <row r="575" spans="1:3" x14ac:dyDescent="0.2">
      <c r="A575" s="2">
        <v>42024</v>
      </c>
      <c r="B575" s="8">
        <v>25.988593999999999</v>
      </c>
      <c r="C575" s="8">
        <v>62.378871031627845</v>
      </c>
    </row>
    <row r="576" spans="1:3" x14ac:dyDescent="0.2">
      <c r="A576" s="2">
        <v>42025</v>
      </c>
      <c r="B576" s="8">
        <v>26.246426</v>
      </c>
      <c r="C576" s="8">
        <v>62.442583620758697</v>
      </c>
    </row>
    <row r="577" spans="1:3" x14ac:dyDescent="0.2">
      <c r="A577" s="2">
        <v>42026</v>
      </c>
      <c r="B577" s="8">
        <v>26.349426999999999</v>
      </c>
      <c r="C577" s="8">
        <v>62.560620706747251</v>
      </c>
    </row>
    <row r="578" spans="1:3" x14ac:dyDescent="0.2">
      <c r="A578" s="2">
        <v>42027</v>
      </c>
      <c r="B578" s="8">
        <v>25.784669999999998</v>
      </c>
      <c r="C578" s="8">
        <v>62.367841191804587</v>
      </c>
    </row>
    <row r="579" spans="1:3" x14ac:dyDescent="0.2">
      <c r="A579" s="2">
        <v>42030</v>
      </c>
      <c r="B579" s="8">
        <v>25.990003999999999</v>
      </c>
      <c r="C579" s="8">
        <v>62.352269377912364</v>
      </c>
    </row>
    <row r="580" spans="1:3" x14ac:dyDescent="0.2">
      <c r="A580" s="2">
        <v>42031</v>
      </c>
      <c r="B580" s="8">
        <v>25.567751000000001</v>
      </c>
      <c r="C580" s="8">
        <v>62.060259586159027</v>
      </c>
    </row>
    <row r="581" spans="1:3" x14ac:dyDescent="0.2">
      <c r="A581" s="2">
        <v>42032</v>
      </c>
      <c r="B581" s="8">
        <v>25.326937999999998</v>
      </c>
      <c r="C581" s="8">
        <v>64.15594019738316</v>
      </c>
    </row>
    <row r="582" spans="1:3" x14ac:dyDescent="0.2">
      <c r="A582" s="2">
        <v>42033</v>
      </c>
      <c r="B582" s="8">
        <v>25.653328999999999</v>
      </c>
      <c r="C582" s="8">
        <v>64.334878803374323</v>
      </c>
    </row>
    <row r="583" spans="1:3" x14ac:dyDescent="0.2">
      <c r="A583" s="2">
        <v>42034</v>
      </c>
      <c r="B583" s="8">
        <v>24.914301999999999</v>
      </c>
      <c r="C583" s="8">
        <v>64.158272518829747</v>
      </c>
    </row>
    <row r="584" spans="1:3" x14ac:dyDescent="0.2">
      <c r="A584" s="2">
        <v>42037</v>
      </c>
      <c r="B584" s="8">
        <v>24.428550999999999</v>
      </c>
      <c r="C584" s="8">
        <v>62.878110279544963</v>
      </c>
    </row>
    <row r="585" spans="1:3" x14ac:dyDescent="0.2">
      <c r="A585" s="2">
        <v>42038</v>
      </c>
      <c r="B585" s="8">
        <v>24.294481000000001</v>
      </c>
      <c r="C585" s="8">
        <v>62.527762281700738</v>
      </c>
    </row>
    <row r="586" spans="1:3" x14ac:dyDescent="0.2">
      <c r="A586" s="2">
        <v>42039</v>
      </c>
      <c r="B586" s="8">
        <v>24.47655</v>
      </c>
      <c r="C586" s="8">
        <v>62.516578831103729</v>
      </c>
    </row>
    <row r="587" spans="1:3" x14ac:dyDescent="0.2">
      <c r="A587" s="2">
        <v>42040</v>
      </c>
      <c r="B587" s="8">
        <v>24.602784</v>
      </c>
      <c r="C587" s="8">
        <v>62.681030707277216</v>
      </c>
    </row>
    <row r="588" spans="1:3" x14ac:dyDescent="0.2">
      <c r="A588" s="2">
        <v>42041</v>
      </c>
      <c r="B588" s="8">
        <v>25.427002000000002</v>
      </c>
      <c r="C588" s="8">
        <v>62.761246147597426</v>
      </c>
    </row>
    <row r="589" spans="1:3" x14ac:dyDescent="0.2">
      <c r="A589" s="2">
        <v>42044</v>
      </c>
      <c r="B589" s="8">
        <v>25.262957</v>
      </c>
      <c r="C589" s="8">
        <v>62.75666574276466</v>
      </c>
    </row>
    <row r="590" spans="1:3" x14ac:dyDescent="0.2">
      <c r="A590" s="2">
        <v>42045</v>
      </c>
      <c r="B590" s="8">
        <v>25.397372000000001</v>
      </c>
      <c r="C590" s="8">
        <v>62.518711029466914</v>
      </c>
    </row>
    <row r="591" spans="1:3" x14ac:dyDescent="0.2">
      <c r="A591" s="2">
        <v>42046</v>
      </c>
      <c r="B591" s="8">
        <v>25.212502000000001</v>
      </c>
      <c r="C591" s="8">
        <v>62.542061253306983</v>
      </c>
    </row>
    <row r="592" spans="1:3" x14ac:dyDescent="0.2">
      <c r="A592" s="2">
        <v>42047</v>
      </c>
      <c r="B592" s="8">
        <v>23.900863000000001</v>
      </c>
      <c r="C592" s="8">
        <v>61.063276986665095</v>
      </c>
    </row>
    <row r="593" spans="1:3" x14ac:dyDescent="0.2">
      <c r="A593" s="2">
        <v>42048</v>
      </c>
      <c r="B593" s="8">
        <v>23.897000999999999</v>
      </c>
      <c r="C593" s="8">
        <v>61.115881195223054</v>
      </c>
    </row>
    <row r="594" spans="1:3" x14ac:dyDescent="0.2">
      <c r="A594" s="2">
        <v>42052</v>
      </c>
      <c r="B594" s="8">
        <v>24.633299000000001</v>
      </c>
      <c r="C594" s="8">
        <v>61.301867578418786</v>
      </c>
    </row>
    <row r="595" spans="1:3" x14ac:dyDescent="0.2">
      <c r="A595" s="2">
        <v>42053</v>
      </c>
      <c r="B595" s="8">
        <v>24.510556999999999</v>
      </c>
      <c r="C595" s="8">
        <v>61.375877607775351</v>
      </c>
    </row>
    <row r="596" spans="1:3" x14ac:dyDescent="0.2">
      <c r="A596" s="2">
        <v>42054</v>
      </c>
      <c r="B596" s="8">
        <v>24.76435</v>
      </c>
      <c r="C596" s="8">
        <v>61.287251329438377</v>
      </c>
    </row>
    <row r="597" spans="1:3" x14ac:dyDescent="0.2">
      <c r="A597" s="2">
        <v>42055</v>
      </c>
      <c r="B597" s="8">
        <v>24.851103999999999</v>
      </c>
      <c r="C597" s="8">
        <v>61.280685954803005</v>
      </c>
    </row>
    <row r="598" spans="1:3" x14ac:dyDescent="0.2">
      <c r="A598" s="2">
        <v>42058</v>
      </c>
      <c r="B598" s="8">
        <v>24.710740000000001</v>
      </c>
      <c r="C598" s="8">
        <v>61.172591460692303</v>
      </c>
    </row>
    <row r="599" spans="1:3" x14ac:dyDescent="0.2">
      <c r="A599" s="2">
        <v>42059</v>
      </c>
      <c r="B599" s="8">
        <v>24.057383000000002</v>
      </c>
      <c r="C599" s="8">
        <v>60.756824873909807</v>
      </c>
    </row>
    <row r="600" spans="1:3" x14ac:dyDescent="0.2">
      <c r="A600" s="2">
        <v>42060</v>
      </c>
      <c r="B600" s="8">
        <v>24.095192000000001</v>
      </c>
      <c r="C600" s="8">
        <v>60.705964293295253</v>
      </c>
    </row>
    <row r="601" spans="1:3" x14ac:dyDescent="0.2">
      <c r="A601" s="2">
        <v>42061</v>
      </c>
      <c r="B601" s="8">
        <v>24.295635999999998</v>
      </c>
      <c r="C601" s="8">
        <v>60.683887321230046</v>
      </c>
    </row>
    <row r="602" spans="1:3" x14ac:dyDescent="0.2">
      <c r="A602" s="2">
        <v>42062</v>
      </c>
      <c r="B602" s="8">
        <v>24.411673</v>
      </c>
      <c r="C602" s="8">
        <v>61.124093983729551</v>
      </c>
    </row>
    <row r="603" spans="1:3" x14ac:dyDescent="0.2">
      <c r="A603" s="2">
        <v>42065</v>
      </c>
      <c r="B603" s="8">
        <v>24.420725000000001</v>
      </c>
      <c r="C603" s="8">
        <v>61.044156261941318</v>
      </c>
    </row>
    <row r="604" spans="1:3" x14ac:dyDescent="0.2">
      <c r="A604" s="2">
        <v>42066</v>
      </c>
      <c r="B604" s="8">
        <v>24.560172000000001</v>
      </c>
      <c r="C604" s="8">
        <v>61.038821771945607</v>
      </c>
    </row>
    <row r="605" spans="1:3" x14ac:dyDescent="0.2">
      <c r="A605" s="2">
        <v>42067</v>
      </c>
      <c r="B605" s="8">
        <v>24.491312000000001</v>
      </c>
      <c r="C605" s="8">
        <v>61.110062997389846</v>
      </c>
    </row>
    <row r="606" spans="1:3" x14ac:dyDescent="0.2">
      <c r="A606" s="2">
        <v>42068</v>
      </c>
      <c r="B606" s="8">
        <v>24.437802000000001</v>
      </c>
      <c r="C606" s="8">
        <v>61.184710687696651</v>
      </c>
    </row>
    <row r="607" spans="1:3" x14ac:dyDescent="0.2">
      <c r="A607" s="2">
        <v>42069</v>
      </c>
      <c r="B607" s="8">
        <v>24.872610000000002</v>
      </c>
      <c r="C607" s="8">
        <v>61.31411649136583</v>
      </c>
    </row>
    <row r="608" spans="1:3" x14ac:dyDescent="0.2">
      <c r="A608" s="2">
        <v>42072</v>
      </c>
      <c r="B608" s="8">
        <v>24.862012</v>
      </c>
      <c r="C608" s="8">
        <v>61.33038502774528</v>
      </c>
    </row>
    <row r="609" spans="1:3" x14ac:dyDescent="0.2">
      <c r="A609" s="2">
        <v>42073</v>
      </c>
      <c r="B609" s="8">
        <v>24.728276000000001</v>
      </c>
      <c r="C609" s="8">
        <v>60.872920633816108</v>
      </c>
    </row>
    <row r="610" spans="1:3" x14ac:dyDescent="0.2">
      <c r="A610" s="2">
        <v>42074</v>
      </c>
      <c r="B610" s="8">
        <v>24.387999000000001</v>
      </c>
      <c r="C610" s="8">
        <v>60.769118646547035</v>
      </c>
    </row>
    <row r="611" spans="1:3" x14ac:dyDescent="0.2">
      <c r="A611" s="2">
        <v>42075</v>
      </c>
      <c r="B611" s="8">
        <v>23.491606000000001</v>
      </c>
      <c r="C611" s="8">
        <v>60.856223449191184</v>
      </c>
    </row>
    <row r="612" spans="1:3" x14ac:dyDescent="0.2">
      <c r="A612" s="2">
        <v>42076</v>
      </c>
      <c r="B612" s="8">
        <v>23.386626</v>
      </c>
      <c r="C612" s="8">
        <v>60.834177819562399</v>
      </c>
    </row>
    <row r="613" spans="1:3" x14ac:dyDescent="0.2">
      <c r="A613" s="2">
        <v>42079</v>
      </c>
      <c r="B613" s="8">
        <v>23.326072</v>
      </c>
      <c r="C613" s="8">
        <v>60.742137396640381</v>
      </c>
    </row>
    <row r="614" spans="1:3" x14ac:dyDescent="0.2">
      <c r="A614" s="2">
        <v>42080</v>
      </c>
      <c r="B614" s="8">
        <v>23.313966000000001</v>
      </c>
      <c r="C614" s="8">
        <v>60.600143405502124</v>
      </c>
    </row>
    <row r="615" spans="1:3" x14ac:dyDescent="0.2">
      <c r="A615" s="2">
        <v>42081</v>
      </c>
      <c r="B615" s="8">
        <v>22.859414999999998</v>
      </c>
      <c r="C615" s="8">
        <v>60.668404998069036</v>
      </c>
    </row>
    <row r="616" spans="1:3" x14ac:dyDescent="0.2">
      <c r="A616" s="2">
        <v>42082</v>
      </c>
      <c r="B616" s="8">
        <v>17.056695999999999</v>
      </c>
      <c r="C616" s="8">
        <v>58.312281476774928</v>
      </c>
    </row>
    <row r="617" spans="1:3" x14ac:dyDescent="0.2">
      <c r="A617" s="2">
        <v>42083</v>
      </c>
      <c r="B617" s="8">
        <v>16.956160000000001</v>
      </c>
      <c r="C617" s="8">
        <v>58.317304612235652</v>
      </c>
    </row>
    <row r="618" spans="1:3" x14ac:dyDescent="0.2">
      <c r="A618" s="2">
        <v>42086</v>
      </c>
      <c r="B618" s="8">
        <v>16.915507000000002</v>
      </c>
      <c r="C618" s="8">
        <v>58.385802245673389</v>
      </c>
    </row>
    <row r="619" spans="1:3" x14ac:dyDescent="0.2">
      <c r="A619" s="2">
        <v>42087</v>
      </c>
      <c r="B619" s="8">
        <v>16.841317</v>
      </c>
      <c r="C619" s="8">
        <v>58.354802188394338</v>
      </c>
    </row>
    <row r="620" spans="1:3" x14ac:dyDescent="0.2">
      <c r="A620" s="2">
        <v>42088</v>
      </c>
      <c r="B620" s="8">
        <v>17.049430000000001</v>
      </c>
      <c r="C620" s="8">
        <v>58.392354465093241</v>
      </c>
    </row>
    <row r="621" spans="1:3" x14ac:dyDescent="0.2">
      <c r="A621" s="2">
        <v>42089</v>
      </c>
      <c r="B621" s="8">
        <v>16.305211</v>
      </c>
      <c r="C621" s="8">
        <v>58.022198985707497</v>
      </c>
    </row>
    <row r="622" spans="1:3" x14ac:dyDescent="0.2">
      <c r="A622" s="2">
        <v>42090</v>
      </c>
      <c r="B622" s="8">
        <v>16.347833999999999</v>
      </c>
      <c r="C622" s="8">
        <v>58.029017123871128</v>
      </c>
    </row>
    <row r="623" spans="1:3" x14ac:dyDescent="0.2">
      <c r="A623" s="2">
        <v>42093</v>
      </c>
      <c r="B623" s="8">
        <v>16.364796999999999</v>
      </c>
      <c r="C623" s="8">
        <v>58.120337526498425</v>
      </c>
    </row>
    <row r="624" spans="1:3" x14ac:dyDescent="0.2">
      <c r="A624" s="2">
        <v>42094</v>
      </c>
      <c r="B624" s="8">
        <v>16.052406999999999</v>
      </c>
      <c r="C624" s="8">
        <v>58.11822815179837</v>
      </c>
    </row>
    <row r="625" spans="1:3" x14ac:dyDescent="0.2">
      <c r="A625" s="2">
        <v>42095</v>
      </c>
      <c r="B625" s="8">
        <v>17.12931</v>
      </c>
      <c r="C625" s="8">
        <v>62.372277403946043</v>
      </c>
    </row>
    <row r="626" spans="1:3" x14ac:dyDescent="0.2">
      <c r="A626" s="2">
        <v>42096</v>
      </c>
      <c r="B626" s="8">
        <v>17.455293999999999</v>
      </c>
      <c r="C626" s="8">
        <v>62.485922242410297</v>
      </c>
    </row>
    <row r="627" spans="1:3" x14ac:dyDescent="0.2">
      <c r="A627" s="2">
        <v>42097</v>
      </c>
      <c r="B627" s="8">
        <v>17.186525</v>
      </c>
      <c r="C627" s="8">
        <v>62.530452604390462</v>
      </c>
    </row>
    <row r="628" spans="1:3" x14ac:dyDescent="0.2">
      <c r="A628" s="2">
        <v>42100</v>
      </c>
      <c r="B628" s="8">
        <v>17.18056</v>
      </c>
      <c r="C628" s="8">
        <v>62.663505895862983</v>
      </c>
    </row>
    <row r="629" spans="1:3" x14ac:dyDescent="0.2">
      <c r="A629" s="2">
        <v>42101</v>
      </c>
      <c r="B629" s="8">
        <v>16.810623</v>
      </c>
      <c r="C629" s="8">
        <v>62.50842160460838</v>
      </c>
    </row>
    <row r="630" spans="1:3" x14ac:dyDescent="0.2">
      <c r="A630" s="2">
        <v>42102</v>
      </c>
      <c r="B630" s="8">
        <v>13.695944000000001</v>
      </c>
      <c r="C630" s="8">
        <v>66.915980613446806</v>
      </c>
    </row>
    <row r="631" spans="1:3" x14ac:dyDescent="0.2">
      <c r="A631" s="2">
        <v>42103</v>
      </c>
      <c r="B631" s="8">
        <v>13.595838000000001</v>
      </c>
      <c r="C631" s="8">
        <v>66.667430171509167</v>
      </c>
    </row>
    <row r="632" spans="1:3" x14ac:dyDescent="0.2">
      <c r="A632" s="2">
        <v>42104</v>
      </c>
      <c r="B632" s="8">
        <v>13.42234</v>
      </c>
      <c r="C632" s="8">
        <v>66.559249665519218</v>
      </c>
    </row>
    <row r="633" spans="1:3" x14ac:dyDescent="0.2">
      <c r="A633" s="2">
        <v>42107</v>
      </c>
      <c r="B633" s="8">
        <v>12.738417</v>
      </c>
      <c r="C633" s="8">
        <v>66.773240580193786</v>
      </c>
    </row>
    <row r="634" spans="1:3" x14ac:dyDescent="0.2">
      <c r="A634" s="2">
        <v>42108</v>
      </c>
      <c r="B634" s="8">
        <v>12.402900000000001</v>
      </c>
      <c r="C634" s="8">
        <v>66.57500802412973</v>
      </c>
    </row>
    <row r="635" spans="1:3" x14ac:dyDescent="0.2">
      <c r="A635" s="2">
        <v>42109</v>
      </c>
      <c r="B635" s="8">
        <v>12.328512999999999</v>
      </c>
      <c r="C635" s="8">
        <v>66.648462805097395</v>
      </c>
    </row>
    <row r="636" spans="1:3" x14ac:dyDescent="0.2">
      <c r="A636" s="2">
        <v>42110</v>
      </c>
      <c r="B636" s="8">
        <v>12.433062</v>
      </c>
      <c r="C636" s="8">
        <v>66.765495510163859</v>
      </c>
    </row>
    <row r="637" spans="1:3" x14ac:dyDescent="0.2">
      <c r="A637" s="2">
        <v>42111</v>
      </c>
      <c r="B637" s="8">
        <v>12.759219</v>
      </c>
      <c r="C637" s="8">
        <v>66.587352961820812</v>
      </c>
    </row>
    <row r="638" spans="1:3" x14ac:dyDescent="0.2">
      <c r="A638" s="2">
        <v>42114</v>
      </c>
      <c r="B638" s="8">
        <v>13.000508</v>
      </c>
      <c r="C638" s="8">
        <v>66.815998770469903</v>
      </c>
    </row>
    <row r="639" spans="1:3" x14ac:dyDescent="0.2">
      <c r="A639" s="2">
        <v>42115</v>
      </c>
      <c r="B639" s="8">
        <v>13.412314</v>
      </c>
      <c r="C639" s="8">
        <v>66.843774411820078</v>
      </c>
    </row>
    <row r="640" spans="1:3" x14ac:dyDescent="0.2">
      <c r="A640" s="2">
        <v>42116</v>
      </c>
      <c r="B640" s="8">
        <v>15.850439</v>
      </c>
      <c r="C640" s="8">
        <v>67.094747723543421</v>
      </c>
    </row>
    <row r="641" spans="1:3" x14ac:dyDescent="0.2">
      <c r="A641" s="2">
        <v>42117</v>
      </c>
      <c r="B641" s="8">
        <v>15.777777</v>
      </c>
      <c r="C641" s="8">
        <v>67.126937107939327</v>
      </c>
    </row>
    <row r="642" spans="1:3" x14ac:dyDescent="0.2">
      <c r="A642" s="2">
        <v>42118</v>
      </c>
      <c r="B642" s="8">
        <v>15.441689</v>
      </c>
      <c r="C642" s="8">
        <v>67.143955669419555</v>
      </c>
    </row>
    <row r="643" spans="1:3" x14ac:dyDescent="0.2">
      <c r="A643" s="2">
        <v>42121</v>
      </c>
      <c r="B643" s="8">
        <v>15.796950000000001</v>
      </c>
      <c r="C643" s="8">
        <v>67.354353171231168</v>
      </c>
    </row>
    <row r="644" spans="1:3" x14ac:dyDescent="0.2">
      <c r="A644" s="2">
        <v>42122</v>
      </c>
      <c r="B644" s="8">
        <v>16.241992</v>
      </c>
      <c r="C644" s="8">
        <v>67.491298182832864</v>
      </c>
    </row>
    <row r="645" spans="1:3" x14ac:dyDescent="0.2">
      <c r="A645" s="2">
        <v>42123</v>
      </c>
      <c r="B645" s="8">
        <v>16.603883</v>
      </c>
      <c r="C645" s="8">
        <v>67.667503536800595</v>
      </c>
    </row>
    <row r="646" spans="1:3" x14ac:dyDescent="0.2">
      <c r="A646" s="2">
        <v>42124</v>
      </c>
      <c r="B646" s="8">
        <v>16.165697000000002</v>
      </c>
      <c r="C646" s="8">
        <v>67.717261065386936</v>
      </c>
    </row>
    <row r="647" spans="1:3" x14ac:dyDescent="0.2">
      <c r="A647" s="2">
        <v>42125</v>
      </c>
      <c r="B647" s="8">
        <v>15.29172</v>
      </c>
      <c r="C647" s="8">
        <v>67.01529638161108</v>
      </c>
    </row>
    <row r="648" spans="1:3" x14ac:dyDescent="0.2">
      <c r="A648" s="2">
        <v>42128</v>
      </c>
      <c r="B648" s="8">
        <v>16.375736</v>
      </c>
      <c r="C648" s="8">
        <v>68.508489586963421</v>
      </c>
    </row>
    <row r="649" spans="1:3" x14ac:dyDescent="0.2">
      <c r="A649" s="2">
        <v>42129</v>
      </c>
      <c r="B649" s="8">
        <v>18.733643000000001</v>
      </c>
      <c r="C649" s="8">
        <v>71.418983819750338</v>
      </c>
    </row>
    <row r="650" spans="1:3" x14ac:dyDescent="0.2">
      <c r="A650" s="2">
        <v>42130</v>
      </c>
      <c r="B650" s="8">
        <v>18.845994999999998</v>
      </c>
      <c r="C650" s="8">
        <v>71.617010612596218</v>
      </c>
    </row>
    <row r="651" spans="1:3" x14ac:dyDescent="0.2">
      <c r="A651" s="2">
        <v>42131</v>
      </c>
      <c r="B651" s="8">
        <v>22.604413000000001</v>
      </c>
      <c r="C651" s="8">
        <v>75.524890394622076</v>
      </c>
    </row>
    <row r="652" spans="1:3" x14ac:dyDescent="0.2">
      <c r="A652" s="2">
        <v>42132</v>
      </c>
      <c r="B652" s="8">
        <v>21.973448000000001</v>
      </c>
      <c r="C652" s="8">
        <v>75.714553891315063</v>
      </c>
    </row>
    <row r="653" spans="1:3" x14ac:dyDescent="0.2">
      <c r="A653" s="2">
        <v>42135</v>
      </c>
      <c r="B653" s="8">
        <v>22.236910000000002</v>
      </c>
      <c r="C653" s="8">
        <v>75.456773101226574</v>
      </c>
    </row>
    <row r="654" spans="1:3" x14ac:dyDescent="0.2">
      <c r="A654" s="2">
        <v>42136</v>
      </c>
      <c r="B654" s="8">
        <v>22.444506000000001</v>
      </c>
      <c r="C654" s="8">
        <v>75.417045968552515</v>
      </c>
    </row>
    <row r="655" spans="1:3" x14ac:dyDescent="0.2">
      <c r="A655" s="2">
        <v>42137</v>
      </c>
      <c r="B655" s="8">
        <v>23.502922999999999</v>
      </c>
      <c r="C655" s="8">
        <v>76.415597611962895</v>
      </c>
    </row>
    <row r="656" spans="1:3" x14ac:dyDescent="0.2">
      <c r="A656" s="2">
        <v>42138</v>
      </c>
      <c r="B656" s="8">
        <v>22.895842999999999</v>
      </c>
      <c r="C656" s="8">
        <v>76.366855687337193</v>
      </c>
    </row>
    <row r="657" spans="1:3" x14ac:dyDescent="0.2">
      <c r="A657" s="2">
        <v>42139</v>
      </c>
      <c r="B657" s="8">
        <v>22.716847999999999</v>
      </c>
      <c r="C657" s="8">
        <v>76.394713205471618</v>
      </c>
    </row>
    <row r="658" spans="1:3" x14ac:dyDescent="0.2">
      <c r="A658" s="2">
        <v>42142</v>
      </c>
      <c r="B658" s="8">
        <v>22.911014000000002</v>
      </c>
      <c r="C658" s="8">
        <v>76.328409329394788</v>
      </c>
    </row>
    <row r="659" spans="1:3" x14ac:dyDescent="0.2">
      <c r="A659" s="2">
        <v>42143</v>
      </c>
      <c r="B659" s="8">
        <v>23.599184999999999</v>
      </c>
      <c r="C659" s="8">
        <v>76.089804246562792</v>
      </c>
    </row>
    <row r="660" spans="1:3" x14ac:dyDescent="0.2">
      <c r="A660" s="2">
        <v>42144</v>
      </c>
      <c r="B660" s="8">
        <v>24.292452000000001</v>
      </c>
      <c r="C660" s="8">
        <v>72.410403470729221</v>
      </c>
    </row>
    <row r="661" spans="1:3" x14ac:dyDescent="0.2">
      <c r="A661" s="2">
        <v>42145</v>
      </c>
      <c r="B661" s="8">
        <v>23.806778000000001</v>
      </c>
      <c r="C661" s="8">
        <v>72.370063248038207</v>
      </c>
    </row>
    <row r="662" spans="1:3" x14ac:dyDescent="0.2">
      <c r="A662" s="2">
        <v>42146</v>
      </c>
      <c r="B662" s="8">
        <v>24.067810999999999</v>
      </c>
      <c r="C662" s="8">
        <v>72.288089248639281</v>
      </c>
    </row>
    <row r="663" spans="1:3" x14ac:dyDescent="0.2">
      <c r="A663" s="2">
        <v>42150</v>
      </c>
      <c r="B663" s="8">
        <v>25.268988</v>
      </c>
      <c r="C663" s="8">
        <v>71.790114932406766</v>
      </c>
    </row>
    <row r="664" spans="1:3" x14ac:dyDescent="0.2">
      <c r="A664" s="2">
        <v>42151</v>
      </c>
      <c r="B664" s="8">
        <v>25.242948999999999</v>
      </c>
      <c r="C664" s="8">
        <v>71.786977563434334</v>
      </c>
    </row>
    <row r="665" spans="1:3" x14ac:dyDescent="0.2">
      <c r="A665" s="2">
        <v>42152</v>
      </c>
      <c r="B665" s="8">
        <v>25.208311999999999</v>
      </c>
      <c r="C665" s="8">
        <v>71.866944438721958</v>
      </c>
    </row>
    <row r="666" spans="1:3" x14ac:dyDescent="0.2">
      <c r="A666" s="2">
        <v>42153</v>
      </c>
      <c r="B666" s="8">
        <v>25.214618999999999</v>
      </c>
      <c r="C666" s="8">
        <v>72.538198389841085</v>
      </c>
    </row>
    <row r="667" spans="1:3" x14ac:dyDescent="0.2">
      <c r="A667" s="2">
        <v>42156</v>
      </c>
      <c r="B667" s="8">
        <v>25.727784</v>
      </c>
      <c r="C667" s="8">
        <v>72.619700311912894</v>
      </c>
    </row>
    <row r="668" spans="1:3" x14ac:dyDescent="0.2">
      <c r="A668" s="2">
        <v>42157</v>
      </c>
      <c r="B668" s="8">
        <v>27.767641999999999</v>
      </c>
      <c r="C668" s="8">
        <v>73.655321466325105</v>
      </c>
    </row>
    <row r="669" spans="1:3" x14ac:dyDescent="0.2">
      <c r="A669" s="2">
        <v>42158</v>
      </c>
      <c r="B669" s="8">
        <v>28.452314999999999</v>
      </c>
      <c r="C669" s="8">
        <v>73.486395777846425</v>
      </c>
    </row>
    <row r="670" spans="1:3" x14ac:dyDescent="0.2">
      <c r="A670" s="2">
        <v>42159</v>
      </c>
      <c r="B670" s="8">
        <v>30.097602999999999</v>
      </c>
      <c r="C670" s="8">
        <v>73.547724114472146</v>
      </c>
    </row>
    <row r="671" spans="1:3" x14ac:dyDescent="0.2">
      <c r="A671" s="2">
        <v>42160</v>
      </c>
      <c r="B671" s="8">
        <v>31.385162000000001</v>
      </c>
      <c r="C671" s="8">
        <v>73.375495332767741</v>
      </c>
    </row>
    <row r="672" spans="1:3" x14ac:dyDescent="0.2">
      <c r="A672" s="2">
        <v>42163</v>
      </c>
      <c r="B672" s="8">
        <v>31.167054</v>
      </c>
      <c r="C672" s="8">
        <v>73.530639144922333</v>
      </c>
    </row>
    <row r="673" spans="1:3" x14ac:dyDescent="0.2">
      <c r="A673" s="2">
        <v>42164</v>
      </c>
      <c r="B673" s="8">
        <v>31.801929000000001</v>
      </c>
      <c r="C673" s="8">
        <v>67.261212410481036</v>
      </c>
    </row>
    <row r="674" spans="1:3" x14ac:dyDescent="0.2">
      <c r="A674" s="2">
        <v>42165</v>
      </c>
      <c r="B674" s="8">
        <v>32.244399999999999</v>
      </c>
      <c r="C674" s="8">
        <v>67.15902912436475</v>
      </c>
    </row>
    <row r="675" spans="1:3" x14ac:dyDescent="0.2">
      <c r="A675" s="2">
        <v>42166</v>
      </c>
      <c r="B675" s="8">
        <v>30.864605999999998</v>
      </c>
      <c r="C675" s="8">
        <v>67.211272774745368</v>
      </c>
    </row>
    <row r="676" spans="1:3" x14ac:dyDescent="0.2">
      <c r="A676" s="2">
        <v>42167</v>
      </c>
      <c r="B676" s="8">
        <v>31.386768</v>
      </c>
      <c r="C676" s="8">
        <v>67.191052016071822</v>
      </c>
    </row>
    <row r="677" spans="1:3" x14ac:dyDescent="0.2">
      <c r="A677" s="2">
        <v>42170</v>
      </c>
      <c r="B677" s="8">
        <v>31.355350999999999</v>
      </c>
      <c r="C677" s="8">
        <v>67.253475262307091</v>
      </c>
    </row>
    <row r="678" spans="1:3" x14ac:dyDescent="0.2">
      <c r="A678" s="2">
        <v>42171</v>
      </c>
      <c r="B678" s="8">
        <v>32.022348999999998</v>
      </c>
      <c r="C678" s="8">
        <v>63.831134240152096</v>
      </c>
    </row>
    <row r="679" spans="1:3" x14ac:dyDescent="0.2">
      <c r="A679" s="2">
        <v>42172</v>
      </c>
      <c r="B679" s="8">
        <v>31.949795999999999</v>
      </c>
      <c r="C679" s="8">
        <v>63.954147964776041</v>
      </c>
    </row>
    <row r="680" spans="1:3" x14ac:dyDescent="0.2">
      <c r="A680" s="2">
        <v>42173</v>
      </c>
      <c r="B680" s="8">
        <v>31.948723999999999</v>
      </c>
      <c r="C680" s="8">
        <v>63.982177634558738</v>
      </c>
    </row>
    <row r="681" spans="1:3" x14ac:dyDescent="0.2">
      <c r="A681" s="2">
        <v>42174</v>
      </c>
      <c r="B681" s="8">
        <v>31.615005</v>
      </c>
      <c r="C681" s="8">
        <v>63.936225545083921</v>
      </c>
    </row>
    <row r="682" spans="1:3" x14ac:dyDescent="0.2">
      <c r="A682" s="2">
        <v>42177</v>
      </c>
      <c r="B682" s="8">
        <v>32.144841999999997</v>
      </c>
      <c r="C682" s="8">
        <v>63.929465773888126</v>
      </c>
    </row>
    <row r="683" spans="1:3" x14ac:dyDescent="0.2">
      <c r="A683" s="2">
        <v>42178</v>
      </c>
      <c r="B683" s="8">
        <v>31.975221999999999</v>
      </c>
      <c r="C683" s="8">
        <v>63.870849995233883</v>
      </c>
    </row>
    <row r="684" spans="1:3" x14ac:dyDescent="0.2">
      <c r="A684" s="2">
        <v>42179</v>
      </c>
      <c r="B684" s="8">
        <v>31.847280000000001</v>
      </c>
      <c r="C684" s="8">
        <v>63.938486473238441</v>
      </c>
    </row>
    <row r="685" spans="1:3" x14ac:dyDescent="0.2">
      <c r="A685" s="2">
        <v>42180</v>
      </c>
      <c r="B685" s="8">
        <v>31.531331999999999</v>
      </c>
      <c r="C685" s="8">
        <v>63.509782117505353</v>
      </c>
    </row>
    <row r="686" spans="1:3" x14ac:dyDescent="0.2">
      <c r="A686" s="2">
        <v>42181</v>
      </c>
      <c r="B686" s="8">
        <v>31.296254999999999</v>
      </c>
      <c r="C686" s="8">
        <v>63.101653860189813</v>
      </c>
    </row>
    <row r="687" spans="1:3" x14ac:dyDescent="0.2">
      <c r="A687" s="2">
        <v>42184</v>
      </c>
      <c r="B687" s="8">
        <v>30.77317</v>
      </c>
      <c r="C687" s="8">
        <v>63.385294544012481</v>
      </c>
    </row>
    <row r="688" spans="1:3" x14ac:dyDescent="0.2">
      <c r="A688" s="2">
        <v>42185</v>
      </c>
      <c r="B688" s="8">
        <v>30.174624000000001</v>
      </c>
      <c r="C688" s="8">
        <v>63.140874087531394</v>
      </c>
    </row>
    <row r="689" spans="1:3" x14ac:dyDescent="0.2">
      <c r="A689" s="2">
        <v>42186</v>
      </c>
      <c r="B689" s="8">
        <v>32.557284000000003</v>
      </c>
      <c r="C689" s="8">
        <v>67.419840849817362</v>
      </c>
    </row>
    <row r="690" spans="1:3" x14ac:dyDescent="0.2">
      <c r="A690" s="2">
        <v>42187</v>
      </c>
      <c r="B690" s="8">
        <v>32.325108999999998</v>
      </c>
      <c r="C690" s="8">
        <v>67.545901629644817</v>
      </c>
    </row>
    <row r="691" spans="1:3" x14ac:dyDescent="0.2">
      <c r="A691" s="2">
        <v>42191</v>
      </c>
      <c r="B691" s="8">
        <v>32.108787</v>
      </c>
      <c r="C691" s="8">
        <v>67.831367204623902</v>
      </c>
    </row>
    <row r="692" spans="1:3" x14ac:dyDescent="0.2">
      <c r="A692" s="2">
        <v>42192</v>
      </c>
      <c r="B692" s="8">
        <v>31.797304</v>
      </c>
      <c r="C692" s="8">
        <v>68.01327169801489</v>
      </c>
    </row>
    <row r="693" spans="1:3" x14ac:dyDescent="0.2">
      <c r="A693" s="2">
        <v>42193</v>
      </c>
      <c r="B693" s="8">
        <v>32.594478000000002</v>
      </c>
      <c r="C693" s="8">
        <v>68.100516886562787</v>
      </c>
    </row>
    <row r="694" spans="1:3" x14ac:dyDescent="0.2">
      <c r="A694" s="2">
        <v>42194</v>
      </c>
      <c r="B694" s="8">
        <v>33.009135000000001</v>
      </c>
      <c r="C694" s="8">
        <v>67.496757574070372</v>
      </c>
    </row>
    <row r="695" spans="1:3" x14ac:dyDescent="0.2">
      <c r="A695" s="2">
        <v>42195</v>
      </c>
      <c r="B695" s="8">
        <v>32.672434000000003</v>
      </c>
      <c r="C695" s="8">
        <v>67.14345382885476</v>
      </c>
    </row>
    <row r="696" spans="1:3" x14ac:dyDescent="0.2">
      <c r="A696" s="2">
        <v>42198</v>
      </c>
      <c r="B696" s="8">
        <v>32.726613999999998</v>
      </c>
      <c r="C696" s="8">
        <v>67.10861740437592</v>
      </c>
    </row>
    <row r="697" spans="1:3" x14ac:dyDescent="0.2">
      <c r="A697" s="2">
        <v>42199</v>
      </c>
      <c r="B697" s="8">
        <v>32.417301000000002</v>
      </c>
      <c r="C697" s="8">
        <v>67.157007821268138</v>
      </c>
    </row>
    <row r="698" spans="1:3" x14ac:dyDescent="0.2">
      <c r="A698" s="2">
        <v>42200</v>
      </c>
      <c r="B698" s="8">
        <v>32.199837000000002</v>
      </c>
      <c r="C698" s="8">
        <v>67.286711385074454</v>
      </c>
    </row>
    <row r="699" spans="1:3" x14ac:dyDescent="0.2">
      <c r="A699" s="2">
        <v>42201</v>
      </c>
      <c r="B699" s="8">
        <v>32.248536999999999</v>
      </c>
      <c r="C699" s="8">
        <v>67.264408045906393</v>
      </c>
    </row>
    <row r="700" spans="1:3" x14ac:dyDescent="0.2">
      <c r="A700" s="2">
        <v>42202</v>
      </c>
      <c r="B700" s="8">
        <v>36.139722999999996</v>
      </c>
      <c r="C700" s="8">
        <v>71.053986850746341</v>
      </c>
    </row>
    <row r="701" spans="1:3" x14ac:dyDescent="0.2">
      <c r="A701" s="2">
        <v>42205</v>
      </c>
      <c r="B701" s="8">
        <v>36.261702</v>
      </c>
      <c r="C701" s="8">
        <v>70.968625190465644</v>
      </c>
    </row>
    <row r="702" spans="1:3" x14ac:dyDescent="0.2">
      <c r="A702" s="2">
        <v>42206</v>
      </c>
      <c r="B702" s="8">
        <v>39.670369999999998</v>
      </c>
      <c r="C702" s="8">
        <v>73.64430941483721</v>
      </c>
    </row>
    <row r="703" spans="1:3" x14ac:dyDescent="0.2">
      <c r="A703" s="2">
        <v>42207</v>
      </c>
      <c r="B703" s="8">
        <v>39.683793999999999</v>
      </c>
      <c r="C703" s="8">
        <v>73.654205227629802</v>
      </c>
    </row>
    <row r="704" spans="1:3" x14ac:dyDescent="0.2">
      <c r="A704" s="2">
        <v>42208</v>
      </c>
      <c r="B704" s="8">
        <v>39.891679000000003</v>
      </c>
      <c r="C704" s="8">
        <v>73.754145386662742</v>
      </c>
    </row>
    <row r="705" spans="1:3" x14ac:dyDescent="0.2">
      <c r="A705" s="2">
        <v>42209</v>
      </c>
      <c r="B705" s="8">
        <v>38.335419999999999</v>
      </c>
      <c r="C705" s="8">
        <v>71.859315131352005</v>
      </c>
    </row>
    <row r="706" spans="1:3" x14ac:dyDescent="0.2">
      <c r="A706" s="2">
        <v>42212</v>
      </c>
      <c r="B706" s="8">
        <v>37.851098999999998</v>
      </c>
      <c r="C706" s="8">
        <v>71.770262515109224</v>
      </c>
    </row>
    <row r="707" spans="1:3" x14ac:dyDescent="0.2">
      <c r="A707" s="2">
        <v>42213</v>
      </c>
      <c r="B707" s="8">
        <v>37.270462000000002</v>
      </c>
      <c r="C707" s="8">
        <v>71.065499141035275</v>
      </c>
    </row>
    <row r="708" spans="1:3" x14ac:dyDescent="0.2">
      <c r="A708" s="2">
        <v>42214</v>
      </c>
      <c r="B708" s="8">
        <v>37.256267000000001</v>
      </c>
      <c r="C708" s="8">
        <v>71.052674942148059</v>
      </c>
    </row>
    <row r="709" spans="1:3" x14ac:dyDescent="0.2">
      <c r="A709" s="2">
        <v>42215</v>
      </c>
      <c r="B709" s="8">
        <v>38.750767000000003</v>
      </c>
      <c r="C709" s="8">
        <v>79.614382396373117</v>
      </c>
    </row>
    <row r="710" spans="1:3" x14ac:dyDescent="0.2">
      <c r="A710" s="2">
        <v>42216</v>
      </c>
      <c r="B710" s="8">
        <v>35.112510999999998</v>
      </c>
      <c r="C710" s="8">
        <v>79.350161641645684</v>
      </c>
    </row>
    <row r="711" spans="1:3" x14ac:dyDescent="0.2">
      <c r="A711" s="2">
        <v>42219</v>
      </c>
      <c r="B711" s="8">
        <v>35.142457</v>
      </c>
      <c r="C711" s="8">
        <v>79.665096822054366</v>
      </c>
    </row>
    <row r="712" spans="1:3" x14ac:dyDescent="0.2">
      <c r="A712" s="2">
        <v>42220</v>
      </c>
      <c r="B712" s="8">
        <v>33.080829999999999</v>
      </c>
      <c r="C712" s="8">
        <v>77.299901227545462</v>
      </c>
    </row>
    <row r="713" spans="1:3" x14ac:dyDescent="0.2">
      <c r="A713" s="2">
        <v>42221</v>
      </c>
      <c r="B713" s="8">
        <v>30.454118999999999</v>
      </c>
      <c r="C713" s="8">
        <v>77.381915794651974</v>
      </c>
    </row>
    <row r="714" spans="1:3" x14ac:dyDescent="0.2">
      <c r="A714" s="2">
        <v>42222</v>
      </c>
      <c r="B714" s="8">
        <v>30.704830000000001</v>
      </c>
      <c r="C714" s="8">
        <v>73.823492647518393</v>
      </c>
    </row>
    <row r="715" spans="1:3" x14ac:dyDescent="0.2">
      <c r="A715" s="2">
        <v>42223</v>
      </c>
      <c r="B715" s="8">
        <v>27.854158999999999</v>
      </c>
      <c r="C715" s="8">
        <v>71.104445957000024</v>
      </c>
    </row>
    <row r="716" spans="1:3" x14ac:dyDescent="0.2">
      <c r="A716" s="2">
        <v>42226</v>
      </c>
      <c r="B716" s="8">
        <v>28.195124</v>
      </c>
      <c r="C716" s="8">
        <v>71.294107844916169</v>
      </c>
    </row>
    <row r="717" spans="1:3" x14ac:dyDescent="0.2">
      <c r="A717" s="2">
        <v>42227</v>
      </c>
      <c r="B717" s="8">
        <v>27.781725000000002</v>
      </c>
      <c r="C717" s="8">
        <v>70.720816002626776</v>
      </c>
    </row>
    <row r="718" spans="1:3" x14ac:dyDescent="0.2">
      <c r="A718" s="2">
        <v>42228</v>
      </c>
      <c r="B718" s="8">
        <v>27.718935999999999</v>
      </c>
      <c r="C718" s="8">
        <v>70.788210249193355</v>
      </c>
    </row>
    <row r="719" spans="1:3" x14ac:dyDescent="0.2">
      <c r="A719" s="2">
        <v>42229</v>
      </c>
      <c r="B719" s="8">
        <v>28.118852</v>
      </c>
      <c r="C719" s="8">
        <v>70.860015614196158</v>
      </c>
    </row>
    <row r="720" spans="1:3" x14ac:dyDescent="0.2">
      <c r="A720" s="2">
        <v>42230</v>
      </c>
      <c r="B720" s="8">
        <v>28.337869000000001</v>
      </c>
      <c r="C720" s="8">
        <v>70.917693446359252</v>
      </c>
    </row>
    <row r="721" spans="1:3" x14ac:dyDescent="0.2">
      <c r="A721" s="2">
        <v>42233</v>
      </c>
      <c r="B721" s="8">
        <v>28.110789</v>
      </c>
      <c r="C721" s="8">
        <v>70.924895508614654</v>
      </c>
    </row>
    <row r="722" spans="1:3" x14ac:dyDescent="0.2">
      <c r="A722" s="2">
        <v>42234</v>
      </c>
      <c r="B722" s="8">
        <v>28.238064999999999</v>
      </c>
      <c r="C722" s="8">
        <v>71.003314878074278</v>
      </c>
    </row>
    <row r="723" spans="1:3" x14ac:dyDescent="0.2">
      <c r="A723" s="2">
        <v>42235</v>
      </c>
      <c r="B723" s="8">
        <v>27.354559999999999</v>
      </c>
      <c r="C723" s="8">
        <v>70.765242912707933</v>
      </c>
    </row>
    <row r="724" spans="1:3" x14ac:dyDescent="0.2">
      <c r="A724" s="2">
        <v>42236</v>
      </c>
      <c r="B724" s="8">
        <v>27.147328999999999</v>
      </c>
      <c r="C724" s="8">
        <v>70.586965363452407</v>
      </c>
    </row>
    <row r="725" spans="1:3" x14ac:dyDescent="0.2">
      <c r="A725" s="2">
        <v>42237</v>
      </c>
      <c r="B725" s="8">
        <v>27.078589999999998</v>
      </c>
      <c r="C725" s="8">
        <v>70.616094438629929</v>
      </c>
    </row>
    <row r="726" spans="1:3" x14ac:dyDescent="0.2">
      <c r="A726" s="2">
        <v>42240</v>
      </c>
      <c r="B726" s="8">
        <v>27.052021</v>
      </c>
      <c r="C726" s="8">
        <v>70.695503226609674</v>
      </c>
    </row>
    <row r="727" spans="1:3" x14ac:dyDescent="0.2">
      <c r="A727" s="2">
        <v>42241</v>
      </c>
      <c r="B727" s="8">
        <v>24.737276999999999</v>
      </c>
      <c r="C727" s="8">
        <v>69.179204662790085</v>
      </c>
    </row>
    <row r="728" spans="1:3" x14ac:dyDescent="0.2">
      <c r="A728" s="2">
        <v>42242</v>
      </c>
      <c r="B728" s="8">
        <v>24.441004</v>
      </c>
      <c r="C728" s="8">
        <v>68.784378004154789</v>
      </c>
    </row>
    <row r="729" spans="1:3" x14ac:dyDescent="0.2">
      <c r="A729" s="2">
        <v>42243</v>
      </c>
      <c r="B729" s="8">
        <v>24.263403</v>
      </c>
      <c r="C729" s="8">
        <v>68.691386999058082</v>
      </c>
    </row>
    <row r="730" spans="1:3" x14ac:dyDescent="0.2">
      <c r="A730" s="2">
        <v>42244</v>
      </c>
      <c r="B730" s="8">
        <v>24.167273999999999</v>
      </c>
      <c r="C730" s="8">
        <v>68.552608689784066</v>
      </c>
    </row>
    <row r="731" spans="1:3" x14ac:dyDescent="0.2">
      <c r="A731" s="2">
        <v>42247</v>
      </c>
      <c r="B731" s="8">
        <v>24.377569000000001</v>
      </c>
      <c r="C731" s="8">
        <v>68.447250888795253</v>
      </c>
    </row>
    <row r="732" spans="1:3" x14ac:dyDescent="0.2">
      <c r="A732" s="2">
        <v>42248</v>
      </c>
      <c r="B732" s="8">
        <v>24.430669999999999</v>
      </c>
      <c r="C732" s="8">
        <v>68.829743980932463</v>
      </c>
    </row>
    <row r="733" spans="1:3" x14ac:dyDescent="0.2">
      <c r="A733" s="2">
        <v>42249</v>
      </c>
      <c r="B733" s="8">
        <v>24.56129</v>
      </c>
      <c r="C733" s="8">
        <v>68.898650425001279</v>
      </c>
    </row>
    <row r="734" spans="1:3" x14ac:dyDescent="0.2">
      <c r="A734" s="2">
        <v>42250</v>
      </c>
      <c r="B734" s="8">
        <v>24.220457</v>
      </c>
      <c r="C734" s="8">
        <v>68.759920713755236</v>
      </c>
    </row>
    <row r="735" spans="1:3" x14ac:dyDescent="0.2">
      <c r="A735" s="2">
        <v>42251</v>
      </c>
      <c r="B735" s="8">
        <v>24.25253</v>
      </c>
      <c r="C735" s="8">
        <v>68.778403939802118</v>
      </c>
    </row>
    <row r="736" spans="1:3" x14ac:dyDescent="0.2">
      <c r="A736" s="2">
        <v>42255</v>
      </c>
      <c r="B736" s="8">
        <v>24.85322</v>
      </c>
      <c r="C736" s="8">
        <v>68.862450592322475</v>
      </c>
    </row>
    <row r="737" spans="1:11" x14ac:dyDescent="0.2">
      <c r="A737" s="2">
        <v>42256</v>
      </c>
      <c r="B737" s="8">
        <v>24.867251</v>
      </c>
      <c r="C737" s="8">
        <v>68.532428842648159</v>
      </c>
    </row>
    <row r="738" spans="1:11" x14ac:dyDescent="0.2">
      <c r="A738" s="2">
        <v>42257</v>
      </c>
      <c r="B738" s="8">
        <v>25.140364000000002</v>
      </c>
      <c r="C738" s="8">
        <v>68.650207900740199</v>
      </c>
    </row>
    <row r="739" spans="1:11" x14ac:dyDescent="0.2">
      <c r="A739" s="2">
        <v>42258</v>
      </c>
      <c r="B739" s="8">
        <v>24.572292000000001</v>
      </c>
      <c r="C739" s="8">
        <v>68.659691672289739</v>
      </c>
    </row>
    <row r="740" spans="1:11" x14ac:dyDescent="0.2">
      <c r="A740" s="2">
        <v>42261</v>
      </c>
      <c r="B740" s="8">
        <v>24.281293999999999</v>
      </c>
      <c r="C740" s="8">
        <v>68.571880761753661</v>
      </c>
    </row>
    <row r="741" spans="1:11" x14ac:dyDescent="0.2">
      <c r="A741" s="2">
        <v>42262</v>
      </c>
      <c r="B741" s="8">
        <v>24.498837000000002</v>
      </c>
      <c r="C741" s="8">
        <v>68.699200585670823</v>
      </c>
    </row>
    <row r="742" spans="1:11" x14ac:dyDescent="0.2">
      <c r="A742" s="2">
        <v>42263</v>
      </c>
      <c r="B742" s="8">
        <v>24.320478000000001</v>
      </c>
      <c r="C742" s="8">
        <v>68.648799714640433</v>
      </c>
      <c r="H742">
        <f>50%*11845.19+(250)</f>
        <v>6172.5950000000003</v>
      </c>
    </row>
    <row r="743" spans="1:11" x14ac:dyDescent="0.2">
      <c r="A743" s="2">
        <v>42264</v>
      </c>
      <c r="B743" s="8">
        <v>23.984722999999999</v>
      </c>
      <c r="C743" s="8">
        <v>68.679783066561569</v>
      </c>
    </row>
    <row r="744" spans="1:11" x14ac:dyDescent="0.2">
      <c r="A744" s="2">
        <v>42265</v>
      </c>
      <c r="B744" s="8">
        <v>23.870604</v>
      </c>
      <c r="C744" s="8">
        <v>68.637065877335274</v>
      </c>
    </row>
    <row r="745" spans="1:11" x14ac:dyDescent="0.2">
      <c r="A745" s="2">
        <v>42268</v>
      </c>
      <c r="B745" s="8">
        <v>24.301946999999998</v>
      </c>
      <c r="C745" s="8">
        <v>68.701979666185053</v>
      </c>
    </row>
    <row r="746" spans="1:11" x14ac:dyDescent="0.2">
      <c r="A746" s="2">
        <v>42269</v>
      </c>
      <c r="B746" s="8">
        <v>24.216577000000001</v>
      </c>
      <c r="C746" s="8">
        <v>68.764449860422147</v>
      </c>
    </row>
    <row r="747" spans="1:11" x14ac:dyDescent="0.2">
      <c r="A747" s="2">
        <v>42270</v>
      </c>
      <c r="B747" s="8">
        <v>24.828164000000001</v>
      </c>
      <c r="C747" s="8">
        <v>69.372047908218576</v>
      </c>
    </row>
    <row r="748" spans="1:11" x14ac:dyDescent="0.2">
      <c r="A748" s="2">
        <v>42271</v>
      </c>
      <c r="B748" s="8">
        <v>25.020309000000001</v>
      </c>
      <c r="C748" s="8">
        <v>69.460961518643813</v>
      </c>
    </row>
    <row r="749" spans="1:11" x14ac:dyDescent="0.2">
      <c r="A749" s="2">
        <v>42272</v>
      </c>
      <c r="B749" s="8">
        <v>24.757963</v>
      </c>
      <c r="C749" s="8">
        <v>68.983633340168097</v>
      </c>
    </row>
    <row r="750" spans="1:11" x14ac:dyDescent="0.2">
      <c r="A750" s="2">
        <v>42275</v>
      </c>
      <c r="B750" s="8">
        <v>25.192608</v>
      </c>
      <c r="C750" s="8">
        <v>69.595530070258434</v>
      </c>
    </row>
    <row r="751" spans="1:11" x14ac:dyDescent="0.2">
      <c r="A751" s="2">
        <v>42276</v>
      </c>
      <c r="B751" s="8">
        <v>24.966442000000001</v>
      </c>
      <c r="C751" s="8">
        <v>69.488419762348528</v>
      </c>
      <c r="K751">
        <f>122.5/2.54</f>
        <v>48.228346456692911</v>
      </c>
    </row>
    <row r="752" spans="1:11" x14ac:dyDescent="0.2">
      <c r="A752" s="2">
        <v>42277</v>
      </c>
      <c r="B752" s="8">
        <v>24.290308</v>
      </c>
      <c r="C752" s="8">
        <v>69.167827605744705</v>
      </c>
      <c r="D752" s="8">
        <f>AVERAGE(B689:B752)</f>
        <v>29.260401937499996</v>
      </c>
    </row>
    <row r="753" spans="1:11" x14ac:dyDescent="0.2">
      <c r="A753" s="2">
        <v>42278</v>
      </c>
      <c r="B753" s="8">
        <v>25.515775000000001</v>
      </c>
      <c r="C753" s="8">
        <v>83.025706145950124</v>
      </c>
    </row>
    <row r="754" spans="1:11" x14ac:dyDescent="0.2">
      <c r="A754" s="2">
        <v>42279</v>
      </c>
      <c r="B754" s="8">
        <v>25.530944000000002</v>
      </c>
      <c r="C754" s="8">
        <v>83.099785773830277</v>
      </c>
      <c r="K754">
        <f>2.06-2.33</f>
        <v>-0.27</v>
      </c>
    </row>
    <row r="755" spans="1:11" x14ac:dyDescent="0.2">
      <c r="A755" s="2">
        <v>42282</v>
      </c>
      <c r="B755" s="8">
        <v>25.174538999999999</v>
      </c>
      <c r="C755" s="8">
        <v>83.122756650088007</v>
      </c>
    </row>
    <row r="756" spans="1:11" x14ac:dyDescent="0.2">
      <c r="A756" s="2">
        <v>42283</v>
      </c>
      <c r="B756" s="8">
        <v>22.894969</v>
      </c>
      <c r="C756" s="8">
        <v>79.027346937594203</v>
      </c>
    </row>
    <row r="757" spans="1:11" x14ac:dyDescent="0.2">
      <c r="A757" s="2">
        <v>42284</v>
      </c>
      <c r="B757" s="8">
        <v>23.6661</v>
      </c>
      <c r="C757" s="8">
        <v>78.987847433137034</v>
      </c>
    </row>
    <row r="758" spans="1:11" x14ac:dyDescent="0.2">
      <c r="A758" s="2">
        <v>42285</v>
      </c>
      <c r="B758" s="8">
        <v>22.798794000000001</v>
      </c>
      <c r="C758" s="8">
        <v>77.41795564977599</v>
      </c>
    </row>
    <row r="759" spans="1:11" x14ac:dyDescent="0.2">
      <c r="A759" s="2">
        <v>42286</v>
      </c>
      <c r="B759" s="8">
        <v>22.470815000000002</v>
      </c>
      <c r="C759" s="8">
        <v>77.349879112770083</v>
      </c>
    </row>
    <row r="760" spans="1:11" x14ac:dyDescent="0.2">
      <c r="A760" s="2">
        <v>42290</v>
      </c>
      <c r="B760" s="8">
        <v>22.528217000000001</v>
      </c>
      <c r="C760" s="8">
        <v>77.352017815040924</v>
      </c>
    </row>
    <row r="761" spans="1:11" x14ac:dyDescent="0.2">
      <c r="A761" s="2">
        <v>42291</v>
      </c>
      <c r="B761" s="8">
        <v>22.918931000000001</v>
      </c>
      <c r="C761" s="8">
        <v>77.414907154329697</v>
      </c>
    </row>
    <row r="762" spans="1:11" x14ac:dyDescent="0.2">
      <c r="A762" s="2">
        <v>42292</v>
      </c>
      <c r="B762" s="8">
        <v>22.697654</v>
      </c>
      <c r="C762" s="8">
        <v>77.257213127621227</v>
      </c>
    </row>
    <row r="763" spans="1:11" x14ac:dyDescent="0.2">
      <c r="A763" s="2">
        <v>42293</v>
      </c>
      <c r="B763" s="8">
        <v>22.701879999999999</v>
      </c>
      <c r="C763" s="8">
        <v>77.181213819688281</v>
      </c>
    </row>
    <row r="764" spans="1:11" x14ac:dyDescent="0.2">
      <c r="A764" s="2">
        <v>42296</v>
      </c>
      <c r="B764" s="8">
        <v>22.569219</v>
      </c>
      <c r="C764" s="8">
        <v>77.2099970632419</v>
      </c>
    </row>
    <row r="765" spans="1:11" x14ac:dyDescent="0.2">
      <c r="A765" s="2">
        <v>42297</v>
      </c>
      <c r="B765" s="8">
        <v>22.407056000000001</v>
      </c>
      <c r="C765" s="8">
        <v>77.073628454606009</v>
      </c>
    </row>
    <row r="766" spans="1:11" x14ac:dyDescent="0.2">
      <c r="A766" s="2">
        <v>42298</v>
      </c>
      <c r="B766" s="8">
        <v>22.571608999999999</v>
      </c>
      <c r="C766" s="8">
        <v>77.023267467950575</v>
      </c>
    </row>
    <row r="767" spans="1:11" x14ac:dyDescent="0.2">
      <c r="A767" s="2">
        <v>42299</v>
      </c>
      <c r="B767" s="8">
        <v>22.197309000000001</v>
      </c>
      <c r="C767" s="8">
        <v>76.890503706914501</v>
      </c>
    </row>
    <row r="768" spans="1:11" x14ac:dyDescent="0.2">
      <c r="A768" s="2">
        <v>42300</v>
      </c>
      <c r="B768" s="8">
        <v>22.118849999999998</v>
      </c>
      <c r="C768" s="8">
        <v>76.993692771612189</v>
      </c>
    </row>
    <row r="769" spans="1:3" x14ac:dyDescent="0.2">
      <c r="A769" s="2">
        <v>42303</v>
      </c>
      <c r="B769" s="8">
        <v>22.274989999999999</v>
      </c>
      <c r="C769" s="8">
        <v>77.000729653292382</v>
      </c>
    </row>
    <row r="770" spans="1:3" x14ac:dyDescent="0.2">
      <c r="A770" s="2">
        <v>42304</v>
      </c>
      <c r="B770" s="8">
        <v>22.009153999999999</v>
      </c>
      <c r="C770" s="8">
        <v>76.494144583699878</v>
      </c>
    </row>
    <row r="771" spans="1:3" x14ac:dyDescent="0.2">
      <c r="A771" s="2">
        <v>42305</v>
      </c>
      <c r="B771" s="8">
        <v>21.722355</v>
      </c>
      <c r="C771" s="8">
        <v>76.427647655922087</v>
      </c>
    </row>
    <row r="772" spans="1:3" x14ac:dyDescent="0.2">
      <c r="A772" s="2">
        <v>42306</v>
      </c>
      <c r="B772" s="8">
        <v>21.795521000000001</v>
      </c>
      <c r="C772" s="8">
        <v>76.639437699491936</v>
      </c>
    </row>
    <row r="773" spans="1:3" x14ac:dyDescent="0.2">
      <c r="A773" s="2">
        <v>42307</v>
      </c>
      <c r="B773" s="8">
        <v>21.101804999999999</v>
      </c>
      <c r="C773" s="8">
        <v>76.42863255778056</v>
      </c>
    </row>
    <row r="774" spans="1:3" x14ac:dyDescent="0.2">
      <c r="A774" s="2">
        <v>42310</v>
      </c>
      <c r="B774" s="8">
        <v>20.927879999999998</v>
      </c>
      <c r="C774" s="8">
        <v>76.566831939893561</v>
      </c>
    </row>
    <row r="775" spans="1:3" x14ac:dyDescent="0.2">
      <c r="A775" s="2">
        <v>42311</v>
      </c>
      <c r="B775" s="8">
        <v>21.188551</v>
      </c>
      <c r="C775" s="8">
        <v>76.763216422402408</v>
      </c>
    </row>
    <row r="776" spans="1:3" x14ac:dyDescent="0.2">
      <c r="A776" s="2">
        <v>42312</v>
      </c>
      <c r="B776" s="8">
        <v>22.326442</v>
      </c>
      <c r="C776" s="8">
        <v>71.217717553684707</v>
      </c>
    </row>
    <row r="777" spans="1:3" x14ac:dyDescent="0.2">
      <c r="A777" s="2">
        <v>42313</v>
      </c>
      <c r="B777" s="8">
        <v>22.427572000000001</v>
      </c>
      <c r="C777" s="8">
        <v>71.293733191333075</v>
      </c>
    </row>
    <row r="778" spans="1:3" x14ac:dyDescent="0.2">
      <c r="A778" s="2">
        <v>42314</v>
      </c>
      <c r="B778" s="8">
        <v>22.546672000000001</v>
      </c>
      <c r="C778" s="8">
        <v>71.219059860636662</v>
      </c>
    </row>
    <row r="779" spans="1:3" x14ac:dyDescent="0.2">
      <c r="A779" s="2">
        <v>42317</v>
      </c>
      <c r="B779" s="8">
        <v>22.870334</v>
      </c>
      <c r="C779" s="8">
        <v>71.059008689228222</v>
      </c>
    </row>
    <row r="780" spans="1:3" x14ac:dyDescent="0.2">
      <c r="A780" s="2">
        <v>42318</v>
      </c>
      <c r="B780" s="8">
        <v>22.770600999999999</v>
      </c>
      <c r="C780" s="8">
        <v>71.07312923201448</v>
      </c>
    </row>
    <row r="781" spans="1:3" x14ac:dyDescent="0.2">
      <c r="A781" s="2">
        <v>42320</v>
      </c>
      <c r="B781" s="8">
        <v>22.558617000000002</v>
      </c>
      <c r="C781" s="8">
        <v>71.02099522831962</v>
      </c>
    </row>
    <row r="782" spans="1:3" x14ac:dyDescent="0.2">
      <c r="A782" s="2">
        <v>42321</v>
      </c>
      <c r="B782" s="8">
        <v>22.602256000000001</v>
      </c>
      <c r="C782" s="8">
        <v>71.156097887059545</v>
      </c>
    </row>
    <row r="783" spans="1:3" x14ac:dyDescent="0.2">
      <c r="A783" s="2">
        <v>42324</v>
      </c>
      <c r="B783" s="8">
        <v>22.481383999999998</v>
      </c>
      <c r="C783" s="8">
        <v>71.126572807787156</v>
      </c>
    </row>
    <row r="784" spans="1:3" x14ac:dyDescent="0.2">
      <c r="A784" s="2">
        <v>42325</v>
      </c>
      <c r="B784" s="8">
        <v>22.508628000000002</v>
      </c>
      <c r="C784" s="8">
        <v>71.100640540966452</v>
      </c>
    </row>
    <row r="785" spans="1:3" x14ac:dyDescent="0.2">
      <c r="A785" s="2">
        <v>42326</v>
      </c>
      <c r="B785" s="8">
        <v>22.501602999999999</v>
      </c>
      <c r="C785" s="8">
        <v>71.064805352753339</v>
      </c>
    </row>
    <row r="786" spans="1:3" x14ac:dyDescent="0.2">
      <c r="A786" s="2">
        <v>42327</v>
      </c>
      <c r="B786" s="8">
        <v>22.532105999999999</v>
      </c>
      <c r="C786" s="8">
        <v>70.890876252105045</v>
      </c>
    </row>
    <row r="787" spans="1:3" x14ac:dyDescent="0.2">
      <c r="A787" s="2">
        <v>42328</v>
      </c>
      <c r="B787" s="8">
        <v>22.527028000000001</v>
      </c>
      <c r="C787" s="8">
        <v>71.005973938246896</v>
      </c>
    </row>
    <row r="788" spans="1:3" x14ac:dyDescent="0.2">
      <c r="A788" s="2">
        <v>42331</v>
      </c>
      <c r="B788" s="8">
        <v>22.332453999999998</v>
      </c>
      <c r="C788" s="8">
        <v>70.900145973908153</v>
      </c>
    </row>
    <row r="789" spans="1:3" x14ac:dyDescent="0.2">
      <c r="A789" s="2">
        <v>42332</v>
      </c>
      <c r="B789" s="8">
        <v>21.903016000000001</v>
      </c>
      <c r="C789" s="8">
        <v>70.337370913764957</v>
      </c>
    </row>
    <row r="790" spans="1:3" x14ac:dyDescent="0.2">
      <c r="A790" s="2">
        <v>42333</v>
      </c>
      <c r="B790" s="8">
        <v>21.880071999999998</v>
      </c>
      <c r="C790" s="8">
        <v>70.373553251822855</v>
      </c>
    </row>
    <row r="791" spans="1:3" x14ac:dyDescent="0.2">
      <c r="A791" s="2">
        <v>42335</v>
      </c>
      <c r="B791" s="8">
        <v>21.752393000000001</v>
      </c>
      <c r="C791" s="8">
        <v>70.381628952925595</v>
      </c>
    </row>
    <row r="792" spans="1:3" x14ac:dyDescent="0.2">
      <c r="A792" s="2">
        <v>42338</v>
      </c>
      <c r="B792" s="8">
        <v>21.699211999999999</v>
      </c>
      <c r="C792" s="8">
        <v>70.274874531961956</v>
      </c>
    </row>
    <row r="793" spans="1:3" x14ac:dyDescent="0.2">
      <c r="A793" s="2">
        <v>42339</v>
      </c>
      <c r="B793" s="8">
        <v>21.541782999999999</v>
      </c>
      <c r="C793" s="8">
        <v>70.255947665445277</v>
      </c>
    </row>
    <row r="794" spans="1:3" x14ac:dyDescent="0.2">
      <c r="A794" s="2">
        <v>42340</v>
      </c>
      <c r="B794" s="8">
        <v>21.348213999999999</v>
      </c>
      <c r="C794" s="8">
        <v>70.142006045545472</v>
      </c>
    </row>
    <row r="795" spans="1:3" x14ac:dyDescent="0.2">
      <c r="A795" s="2">
        <v>42341</v>
      </c>
      <c r="B795" s="8">
        <v>21.420387999999999</v>
      </c>
      <c r="C795" s="8">
        <v>70.696461341268417</v>
      </c>
    </row>
    <row r="796" spans="1:3" x14ac:dyDescent="0.2">
      <c r="A796" s="2">
        <v>42342</v>
      </c>
      <c r="B796" s="8">
        <v>21.230564000000001</v>
      </c>
      <c r="C796" s="8">
        <v>70.433216838553818</v>
      </c>
    </row>
    <row r="797" spans="1:3" x14ac:dyDescent="0.2">
      <c r="A797" s="2">
        <v>42345</v>
      </c>
      <c r="B797" s="8">
        <v>21.489205999999999</v>
      </c>
      <c r="C797" s="8">
        <v>70.219923671789488</v>
      </c>
    </row>
    <row r="798" spans="1:3" x14ac:dyDescent="0.2">
      <c r="A798" s="2">
        <v>42346</v>
      </c>
      <c r="B798" s="8">
        <v>21.172882000000001</v>
      </c>
      <c r="C798" s="8">
        <v>70.203770119089242</v>
      </c>
    </row>
    <row r="799" spans="1:3" x14ac:dyDescent="0.2">
      <c r="A799" s="2">
        <v>42347</v>
      </c>
      <c r="B799" s="8">
        <v>21.273249</v>
      </c>
      <c r="C799" s="8">
        <v>69.945411917419236</v>
      </c>
    </row>
    <row r="800" spans="1:3" x14ac:dyDescent="0.2">
      <c r="A800" s="2">
        <v>42348</v>
      </c>
      <c r="B800" s="8">
        <v>21.103149999999999</v>
      </c>
      <c r="C800" s="8">
        <v>70.003006308569212</v>
      </c>
    </row>
    <row r="801" spans="1:3" x14ac:dyDescent="0.2">
      <c r="A801" s="2">
        <v>42349</v>
      </c>
      <c r="B801" s="8">
        <v>17.942667</v>
      </c>
      <c r="C801" s="8">
        <v>64.354782375197104</v>
      </c>
    </row>
    <row r="802" spans="1:3" x14ac:dyDescent="0.2">
      <c r="A802" s="2">
        <v>42352</v>
      </c>
      <c r="B802" s="8">
        <v>18.289100999999999</v>
      </c>
      <c r="C802" s="8">
        <v>64.65958557030693</v>
      </c>
    </row>
    <row r="803" spans="1:3" x14ac:dyDescent="0.2">
      <c r="A803" s="2">
        <v>42353</v>
      </c>
      <c r="B803" s="8">
        <v>18.286949</v>
      </c>
      <c r="C803" s="8">
        <v>64.65175149518646</v>
      </c>
    </row>
    <row r="804" spans="1:3" x14ac:dyDescent="0.2">
      <c r="A804" s="2">
        <v>42354</v>
      </c>
      <c r="B804" s="8">
        <v>18.153728999999998</v>
      </c>
      <c r="C804" s="8">
        <v>64.451940520480278</v>
      </c>
    </row>
    <row r="805" spans="1:3" x14ac:dyDescent="0.2">
      <c r="A805" s="2">
        <v>42355</v>
      </c>
      <c r="B805" s="8">
        <v>18.034403999999999</v>
      </c>
      <c r="C805" s="8">
        <v>64.214584007309554</v>
      </c>
    </row>
    <row r="806" spans="1:3" x14ac:dyDescent="0.2">
      <c r="A806" s="2">
        <v>42356</v>
      </c>
      <c r="B806" s="8">
        <v>17.866985</v>
      </c>
      <c r="C806" s="8">
        <v>64.086845687849987</v>
      </c>
    </row>
    <row r="807" spans="1:3" x14ac:dyDescent="0.2">
      <c r="A807" s="2">
        <v>42359</v>
      </c>
      <c r="B807" s="8">
        <v>17.748011999999999</v>
      </c>
      <c r="C807" s="8">
        <v>63.918398070316393</v>
      </c>
    </row>
    <row r="808" spans="1:3" x14ac:dyDescent="0.2">
      <c r="A808" s="2">
        <v>42360</v>
      </c>
      <c r="B808" s="8">
        <v>17.804044000000001</v>
      </c>
      <c r="C808" s="8">
        <v>64.027576674755977</v>
      </c>
    </row>
    <row r="809" spans="1:3" x14ac:dyDescent="0.2">
      <c r="A809" s="2">
        <v>42361</v>
      </c>
      <c r="B809" s="8">
        <v>17.762217</v>
      </c>
      <c r="C809" s="8">
        <v>64.043942997832929</v>
      </c>
    </row>
    <row r="810" spans="1:3" x14ac:dyDescent="0.2">
      <c r="A810" s="2">
        <v>42362</v>
      </c>
      <c r="B810" s="8">
        <v>17.830780000000001</v>
      </c>
      <c r="C810" s="8">
        <v>64.027382196255729</v>
      </c>
    </row>
    <row r="811" spans="1:3" x14ac:dyDescent="0.2">
      <c r="A811" s="2">
        <v>42366</v>
      </c>
      <c r="B811" s="8">
        <v>17.369899</v>
      </c>
      <c r="C811" s="8">
        <v>63.390454191244203</v>
      </c>
    </row>
    <row r="812" spans="1:3" x14ac:dyDescent="0.2">
      <c r="A812" s="2">
        <v>42367</v>
      </c>
      <c r="B812" s="8">
        <v>17.336009000000001</v>
      </c>
      <c r="C812" s="8">
        <v>63.338391484376324</v>
      </c>
    </row>
    <row r="813" spans="1:3" x14ac:dyDescent="0.2">
      <c r="A813" s="2">
        <v>42368</v>
      </c>
      <c r="B813" s="8">
        <v>17.290292000000001</v>
      </c>
      <c r="C813" s="8">
        <v>63.362101991769215</v>
      </c>
    </row>
    <row r="814" spans="1:3" x14ac:dyDescent="0.2">
      <c r="A814" s="2">
        <v>42369</v>
      </c>
      <c r="B814" s="8">
        <v>16.753824000000002</v>
      </c>
      <c r="C814" s="8">
        <v>63.21608341609609</v>
      </c>
    </row>
  </sheetData>
  <printOptions horizontalCentered="1" verticalCentered="1"/>
  <pageMargins left="0.25" right="0.25" top="0.25" bottom="0.25" header="0.1" footer="0.1"/>
  <pageSetup scale="61" orientation="landscape" r:id="rId2"/>
  <headerFooter scaleWithDoc="0">
    <oddHeader>&amp;L&amp;G&amp;R&amp;"-,Bold"&amp;K2E398A
As of 12/04/2014</oddHeader>
  </headerFooter>
  <rowBreaks count="1" manualBreakCount="1">
    <brk id="72" max="16383" man="1"/>
  </rowBreaks>
  <drawing r:id="rId3"/>
  <legacyDrawingHF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6" tint="0.79998168889431442"/>
  </sheetPr>
  <dimension ref="A1:L1136"/>
  <sheetViews>
    <sheetView topLeftCell="A124" workbookViewId="0">
      <selection activeCell="K137" sqref="K137"/>
    </sheetView>
  </sheetViews>
  <sheetFormatPr defaultRowHeight="12.75" x14ac:dyDescent="0.2"/>
  <cols>
    <col min="1" max="1" width="14.42578125" bestFit="1" customWidth="1"/>
    <col min="2" max="2" width="10.5703125" bestFit="1" customWidth="1"/>
    <col min="3" max="3" width="18.28515625" bestFit="1" customWidth="1"/>
    <col min="4" max="4" width="11.85546875" bestFit="1" customWidth="1"/>
    <col min="5" max="5" width="19.7109375" bestFit="1" customWidth="1"/>
    <col min="6" max="6" width="12" bestFit="1" customWidth="1"/>
    <col min="7" max="7" width="19" bestFit="1" customWidth="1"/>
    <col min="8" max="8" width="26.85546875" bestFit="1" customWidth="1"/>
    <col min="9" max="9" width="20.42578125" bestFit="1" customWidth="1"/>
    <col min="10" max="10" width="28.28515625" bestFit="1" customWidth="1"/>
    <col min="11" max="11" width="14.5703125" style="4" bestFit="1" customWidth="1"/>
    <col min="12" max="12" width="12.85546875" bestFit="1" customWidth="1"/>
  </cols>
  <sheetData>
    <row r="1" spans="1:12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s="4" t="s">
        <v>13</v>
      </c>
      <c r="L1" t="s">
        <v>14</v>
      </c>
    </row>
    <row r="2" spans="1:12" x14ac:dyDescent="0.2">
      <c r="A2" s="1">
        <v>40710</v>
      </c>
      <c r="B2">
        <v>74.255799999999994</v>
      </c>
      <c r="C2">
        <v>19.490100000000002</v>
      </c>
      <c r="D2">
        <v>6.1276000000000002</v>
      </c>
      <c r="F2">
        <v>73803047.717199996</v>
      </c>
      <c r="G2">
        <v>100.61346</v>
      </c>
      <c r="H2">
        <v>26.408259000000001</v>
      </c>
      <c r="I2">
        <v>8.302638</v>
      </c>
      <c r="K2" s="4" t="e">
        <f>VLOOKUP(Table_Query_from_Cello_SQL_Server[[#This Row],[AsOfDate]], 'CMO MV Raw'!$A:$B,2,FALSE)</f>
        <v>#N/A</v>
      </c>
      <c r="L2" s="5" t="e">
        <f>Table_Query_from_Cello_SQL_Server[[#This Row],[CMO MV]]/Table_Query_from_Cello_SQL_Server[[#This Row],[NAV]]*100</f>
        <v>#N/A</v>
      </c>
    </row>
    <row r="3" spans="1:12" x14ac:dyDescent="0.2">
      <c r="A3" s="1">
        <v>40711</v>
      </c>
      <c r="B3">
        <v>73.775300000000001</v>
      </c>
      <c r="C3">
        <v>19.514800000000001</v>
      </c>
      <c r="D3">
        <v>6.1064999999999996</v>
      </c>
      <c r="F3">
        <v>73742685.564999998</v>
      </c>
      <c r="G3">
        <v>100.04422700000001</v>
      </c>
      <c r="H3">
        <v>26.463370000000001</v>
      </c>
      <c r="I3">
        <v>8.2808209999999995</v>
      </c>
      <c r="K3" s="4" t="e">
        <f>VLOOKUP(Table_Query_from_Cello_SQL_Server[[#This Row],[AsOfDate]], 'CMO MV Raw'!$A:$B,2,FALSE)</f>
        <v>#N/A</v>
      </c>
      <c r="L3" s="5" t="e">
        <f>Table_Query_from_Cello_SQL_Server[[#This Row],[CMO MV]]/Table_Query_from_Cello_SQL_Server[[#This Row],[NAV]]*100</f>
        <v>#N/A</v>
      </c>
    </row>
    <row r="4" spans="1:12" x14ac:dyDescent="0.2">
      <c r="A4" s="1">
        <v>40715</v>
      </c>
      <c r="B4">
        <v>57.271599999999999</v>
      </c>
      <c r="C4">
        <v>15.0806</v>
      </c>
      <c r="D4">
        <v>4.7408999999999999</v>
      </c>
      <c r="F4">
        <v>74175798.8398</v>
      </c>
      <c r="G4">
        <v>77.210628</v>
      </c>
      <c r="H4">
        <v>20.33089</v>
      </c>
      <c r="I4">
        <v>6.391438</v>
      </c>
      <c r="K4" s="4">
        <f>VLOOKUP(Table_Query_from_Cello_SQL_Server[[#This Row],[AsOfDate]], 'CMO MV Raw'!$A:$B,2,FALSE)</f>
        <v>29293150</v>
      </c>
      <c r="L4" s="5">
        <f>Table_Query_from_Cello_SQL_Server[[#This Row],[CMO MV]]/Table_Query_from_Cello_SQL_Server[[#This Row],[NAV]]*100</f>
        <v>39.491519414931297</v>
      </c>
    </row>
    <row r="5" spans="1:12" x14ac:dyDescent="0.2">
      <c r="A5" s="1">
        <v>40716</v>
      </c>
      <c r="B5">
        <v>55.561500000000002</v>
      </c>
      <c r="C5">
        <v>14.665900000000001</v>
      </c>
      <c r="D5">
        <v>4.7164999999999999</v>
      </c>
      <c r="F5">
        <v>74108557.650700003</v>
      </c>
      <c r="G5">
        <v>74.973123000000001</v>
      </c>
      <c r="H5">
        <v>19.789752</v>
      </c>
      <c r="I5">
        <v>6.364312</v>
      </c>
      <c r="K5" s="4" t="e">
        <f>VLOOKUP(Table_Query_from_Cello_SQL_Server[[#This Row],[AsOfDate]], 'CMO MV Raw'!$A:$B,2,FALSE)</f>
        <v>#N/A</v>
      </c>
      <c r="L5" s="5" t="e">
        <f>Table_Query_from_Cello_SQL_Server[[#This Row],[CMO MV]]/Table_Query_from_Cello_SQL_Server[[#This Row],[NAV]]*100</f>
        <v>#N/A</v>
      </c>
    </row>
    <row r="6" spans="1:12" x14ac:dyDescent="0.2">
      <c r="A6" s="1">
        <v>40717</v>
      </c>
      <c r="B6">
        <v>55.846499999999999</v>
      </c>
      <c r="C6">
        <v>14.4695</v>
      </c>
      <c r="D6">
        <v>4.8308</v>
      </c>
      <c r="F6">
        <v>74307142.841499999</v>
      </c>
      <c r="G6">
        <v>75.156300999999999</v>
      </c>
      <c r="H6">
        <v>19.472556000000001</v>
      </c>
      <c r="I6">
        <v>6.501125</v>
      </c>
      <c r="K6" s="4" t="e">
        <f>VLOOKUP(Table_Query_from_Cello_SQL_Server[[#This Row],[AsOfDate]], 'CMO MV Raw'!$A:$B,2,FALSE)</f>
        <v>#N/A</v>
      </c>
      <c r="L6" s="5" t="e">
        <f>Table_Query_from_Cello_SQL_Server[[#This Row],[CMO MV]]/Table_Query_from_Cello_SQL_Server[[#This Row],[NAV]]*100</f>
        <v>#N/A</v>
      </c>
    </row>
    <row r="7" spans="1:12" x14ac:dyDescent="0.2">
      <c r="A7" s="1">
        <v>40718</v>
      </c>
      <c r="B7">
        <v>56.717799999999997</v>
      </c>
      <c r="C7">
        <v>14.6051</v>
      </c>
      <c r="D7">
        <v>4.9191000000000003</v>
      </c>
      <c r="F7">
        <v>74489933.986900002</v>
      </c>
      <c r="G7">
        <v>76.141563000000005</v>
      </c>
      <c r="H7">
        <v>19.606809999999999</v>
      </c>
      <c r="I7">
        <v>6.6037109999999997</v>
      </c>
      <c r="K7" s="4">
        <f>VLOOKUP(Table_Query_from_Cello_SQL_Server[[#This Row],[AsOfDate]], 'CMO MV Raw'!$A:$B,2,FALSE)</f>
        <v>29940741.117991</v>
      </c>
      <c r="L7" s="5">
        <f>Table_Query_from_Cello_SQL_Server[[#This Row],[CMO MV]]/Table_Query_from_Cello_SQL_Server[[#This Row],[NAV]]*100</f>
        <v>40.194345081922691</v>
      </c>
    </row>
    <row r="8" spans="1:12" x14ac:dyDescent="0.2">
      <c r="A8" s="1">
        <v>40721</v>
      </c>
      <c r="B8">
        <v>57.035699999999999</v>
      </c>
      <c r="C8">
        <v>14.8001</v>
      </c>
      <c r="D8">
        <v>4.8063000000000002</v>
      </c>
      <c r="F8">
        <v>74382880.218999997</v>
      </c>
      <c r="G8">
        <v>76.678531000000007</v>
      </c>
      <c r="H8">
        <v>19.897186000000001</v>
      </c>
      <c r="I8">
        <v>6.4615669999999996</v>
      </c>
      <c r="K8" s="4">
        <f>VLOOKUP(Table_Query_from_Cello_SQL_Server[[#This Row],[AsOfDate]], 'CMO MV Raw'!$A:$B,2,FALSE)</f>
        <v>29510723.349114001</v>
      </c>
      <c r="L8" s="5">
        <f>Table_Query_from_Cello_SQL_Server[[#This Row],[CMO MV]]/Table_Query_from_Cello_SQL_Server[[#This Row],[NAV]]*100</f>
        <v>39.67407992568689</v>
      </c>
    </row>
    <row r="9" spans="1:12" x14ac:dyDescent="0.2">
      <c r="A9" s="1">
        <v>40722</v>
      </c>
      <c r="B9">
        <v>56.947200000000002</v>
      </c>
      <c r="C9">
        <v>14.9732</v>
      </c>
      <c r="D9">
        <v>4.5385999999999997</v>
      </c>
      <c r="F9">
        <v>74172420.869000003</v>
      </c>
      <c r="G9">
        <v>76.776785000000004</v>
      </c>
      <c r="H9">
        <v>20.187017999999998</v>
      </c>
      <c r="I9">
        <v>6.1189859999999996</v>
      </c>
      <c r="K9" s="4">
        <f>VLOOKUP(Table_Query_from_Cello_SQL_Server[[#This Row],[AsOfDate]], 'CMO MV Raw'!$A:$B,2,FALSE)</f>
        <v>29082142.039811</v>
      </c>
      <c r="L9" s="5">
        <f>Table_Query_from_Cello_SQL_Server[[#This Row],[CMO MV]]/Table_Query_from_Cello_SQL_Server[[#This Row],[NAV]]*100</f>
        <v>39.208834899934807</v>
      </c>
    </row>
    <row r="10" spans="1:12" x14ac:dyDescent="0.2">
      <c r="A10" s="1">
        <v>40723</v>
      </c>
      <c r="B10">
        <v>55.512799999999999</v>
      </c>
      <c r="C10">
        <v>14.8043</v>
      </c>
      <c r="D10">
        <v>4.4034000000000004</v>
      </c>
      <c r="F10">
        <v>73943695.364800006</v>
      </c>
      <c r="G10">
        <v>75.074419000000006</v>
      </c>
      <c r="H10">
        <v>20.021044</v>
      </c>
      <c r="I10">
        <v>5.9550720000000004</v>
      </c>
      <c r="K10" s="4">
        <f>VLOOKUP(Table_Query_from_Cello_SQL_Server[[#This Row],[AsOfDate]], 'CMO MV Raw'!$A:$B,2,FALSE)</f>
        <v>28880835.576292999</v>
      </c>
      <c r="L10" s="5">
        <f>Table_Query_from_Cello_SQL_Server[[#This Row],[CMO MV]]/Table_Query_from_Cello_SQL_Server[[#This Row],[NAV]]*100</f>
        <v>39.057874283682835</v>
      </c>
    </row>
    <row r="11" spans="1:12" x14ac:dyDescent="0.2">
      <c r="A11" s="1">
        <v>40724</v>
      </c>
      <c r="B11">
        <v>54.3521</v>
      </c>
      <c r="C11">
        <v>14.6435</v>
      </c>
      <c r="D11">
        <v>4.3093000000000004</v>
      </c>
      <c r="F11">
        <v>74083601.823899999</v>
      </c>
      <c r="G11">
        <v>73.365898000000001</v>
      </c>
      <c r="H11">
        <v>19.766183000000002</v>
      </c>
      <c r="I11">
        <v>5.8168069999999998</v>
      </c>
      <c r="K11" s="4">
        <f>VLOOKUP(Table_Query_from_Cello_SQL_Server[[#This Row],[AsOfDate]], 'CMO MV Raw'!$A:$B,2,FALSE)</f>
        <v>28992617.973283999</v>
      </c>
      <c r="L11" s="5">
        <f>Table_Query_from_Cello_SQL_Server[[#This Row],[CMO MV]]/Table_Query_from_Cello_SQL_Server[[#This Row],[NAV]]*100</f>
        <v>39.13500053925663</v>
      </c>
    </row>
    <row r="12" spans="1:12" x14ac:dyDescent="0.2">
      <c r="A12" s="1">
        <v>40725</v>
      </c>
      <c r="B12">
        <v>68.3172</v>
      </c>
      <c r="C12">
        <v>18.704899999999999</v>
      </c>
      <c r="D12">
        <v>4.4027000000000003</v>
      </c>
      <c r="F12">
        <v>83807395.944299996</v>
      </c>
      <c r="G12">
        <v>81.516910999999993</v>
      </c>
      <c r="H12">
        <v>22.318912999999998</v>
      </c>
      <c r="I12">
        <v>5.253355</v>
      </c>
      <c r="K12" s="4">
        <f>VLOOKUP(Table_Query_from_Cello_SQL_Server[[#This Row],[AsOfDate]], 'CMO MV Raw'!$A:$B,2,FALSE)</f>
        <v>31346013.419355001</v>
      </c>
      <c r="L12" s="5">
        <f>Table_Query_from_Cello_SQL_Server[[#This Row],[CMO MV]]/Table_Query_from_Cello_SQL_Server[[#This Row],[NAV]]*100</f>
        <v>37.402442906337484</v>
      </c>
    </row>
    <row r="13" spans="1:12" x14ac:dyDescent="0.2">
      <c r="A13" s="1">
        <v>40729</v>
      </c>
      <c r="B13">
        <v>82.787300000000002</v>
      </c>
      <c r="C13">
        <v>22.504100000000001</v>
      </c>
      <c r="D13">
        <v>6.7</v>
      </c>
      <c r="F13">
        <v>83905108.2271</v>
      </c>
      <c r="G13">
        <v>98.667771000000002</v>
      </c>
      <c r="H13">
        <v>26.820893999999999</v>
      </c>
      <c r="I13">
        <v>7.9852109999999996</v>
      </c>
      <c r="K13" s="4">
        <f>VLOOKUP(Table_Query_from_Cello_SQL_Server[[#This Row],[AsOfDate]], 'CMO MV Raw'!$A:$B,2,FALSE)</f>
        <v>42473475.248838998</v>
      </c>
      <c r="L13" s="5">
        <f>Table_Query_from_Cello_SQL_Server[[#This Row],[CMO MV]]/Table_Query_from_Cello_SQL_Server[[#This Row],[NAV]]*100</f>
        <v>50.620845555528106</v>
      </c>
    </row>
    <row r="14" spans="1:12" x14ac:dyDescent="0.2">
      <c r="A14" s="1">
        <v>40730</v>
      </c>
      <c r="B14">
        <v>94.043800000000005</v>
      </c>
      <c r="C14">
        <v>25.474</v>
      </c>
      <c r="D14">
        <v>6.8003</v>
      </c>
      <c r="F14">
        <v>84044606.523900002</v>
      </c>
      <c r="G14">
        <v>111.89748400000001</v>
      </c>
      <c r="H14">
        <v>30.310095</v>
      </c>
      <c r="I14">
        <v>8.0912989999999994</v>
      </c>
      <c r="K14" s="4">
        <f>VLOOKUP(Table_Query_from_Cello_SQL_Server[[#This Row],[AsOfDate]], 'CMO MV Raw'!$A:$B,2,FALSE)</f>
        <v>44505054.906465001</v>
      </c>
      <c r="L14" s="5">
        <f>Table_Query_from_Cello_SQL_Server[[#This Row],[CMO MV]]/Table_Query_from_Cello_SQL_Server[[#This Row],[NAV]]*100</f>
        <v>52.954088010167524</v>
      </c>
    </row>
    <row r="15" spans="1:12" x14ac:dyDescent="0.2">
      <c r="A15" s="1">
        <v>40731</v>
      </c>
      <c r="B15">
        <v>111.8976</v>
      </c>
      <c r="C15">
        <v>30.557300000000001</v>
      </c>
      <c r="D15">
        <v>5.4657</v>
      </c>
      <c r="F15">
        <v>83996787.593999997</v>
      </c>
      <c r="G15">
        <v>133.216523</v>
      </c>
      <c r="H15">
        <v>36.379128999999999</v>
      </c>
      <c r="I15">
        <v>6.5070350000000001</v>
      </c>
      <c r="K15" s="4">
        <f>VLOOKUP(Table_Query_from_Cello_SQL_Server[[#This Row],[AsOfDate]], 'CMO MV Raw'!$A:$B,2,FALSE)</f>
        <v>52015388.093102999</v>
      </c>
      <c r="L15" s="5">
        <f>Table_Query_from_Cello_SQL_Server[[#This Row],[CMO MV]]/Table_Query_from_Cello_SQL_Server[[#This Row],[NAV]]*100</f>
        <v>61.925449273751184</v>
      </c>
    </row>
    <row r="16" spans="1:12" x14ac:dyDescent="0.2">
      <c r="A16" s="1">
        <v>40732</v>
      </c>
      <c r="B16">
        <v>119.6644</v>
      </c>
      <c r="C16">
        <v>32.012799999999999</v>
      </c>
      <c r="D16">
        <v>5.7366999999999999</v>
      </c>
      <c r="F16">
        <v>84460690.330899999</v>
      </c>
      <c r="G16">
        <v>141.68058500000001</v>
      </c>
      <c r="H16">
        <v>37.902602999999999</v>
      </c>
      <c r="I16">
        <v>6.792154</v>
      </c>
      <c r="K16" s="4">
        <f>VLOOKUP(Table_Query_from_Cello_SQL_Server[[#This Row],[AsOfDate]], 'CMO MV Raw'!$A:$B,2,FALSE)</f>
        <v>53353771.865979001</v>
      </c>
      <c r="L16" s="5">
        <f>Table_Query_from_Cello_SQL_Server[[#This Row],[CMO MV]]/Table_Query_from_Cello_SQL_Server[[#This Row],[NAV]]*100</f>
        <v>63.169945280993623</v>
      </c>
    </row>
    <row r="17" spans="1:12" x14ac:dyDescent="0.2">
      <c r="A17" s="1">
        <v>40735</v>
      </c>
      <c r="B17">
        <v>150.52180000000001</v>
      </c>
      <c r="C17">
        <v>35.779299999999999</v>
      </c>
      <c r="D17">
        <v>6.3118999999999996</v>
      </c>
      <c r="F17">
        <v>84859618.5845</v>
      </c>
      <c r="G17">
        <v>177.37741800000001</v>
      </c>
      <c r="H17">
        <v>42.162928000000001</v>
      </c>
      <c r="I17">
        <v>7.4380490000000004</v>
      </c>
      <c r="K17" s="4">
        <f>VLOOKUP(Table_Query_from_Cello_SQL_Server[[#This Row],[AsOfDate]], 'CMO MV Raw'!$A:$B,2,FALSE)</f>
        <v>53624863.617063999</v>
      </c>
      <c r="L17" s="5">
        <f>Table_Query_from_Cello_SQL_Server[[#This Row],[CMO MV]]/Table_Query_from_Cello_SQL_Server[[#This Row],[NAV]]*100</f>
        <v>63.192440069320355</v>
      </c>
    </row>
    <row r="18" spans="1:12" x14ac:dyDescent="0.2">
      <c r="A18" s="1">
        <v>40736</v>
      </c>
      <c r="B18">
        <v>133.09129999999999</v>
      </c>
      <c r="C18">
        <v>34.921700000000001</v>
      </c>
      <c r="D18">
        <v>6.5959000000000003</v>
      </c>
      <c r="F18">
        <v>84868927.489299998</v>
      </c>
      <c r="G18">
        <v>156.81982099999999</v>
      </c>
      <c r="H18">
        <v>41.147804000000001</v>
      </c>
      <c r="I18">
        <v>7.7718670000000003</v>
      </c>
      <c r="K18" s="4">
        <f>VLOOKUP(Table_Query_from_Cello_SQL_Server[[#This Row],[AsOfDate]], 'CMO MV Raw'!$A:$B,2,FALSE)</f>
        <v>63164287.611651003</v>
      </c>
      <c r="L18" s="5">
        <f>Table_Query_from_Cello_SQL_Server[[#This Row],[CMO MV]]/Table_Query_from_Cello_SQL_Server[[#This Row],[NAV]]*100</f>
        <v>74.425693219246298</v>
      </c>
    </row>
    <row r="19" spans="1:12" x14ac:dyDescent="0.2">
      <c r="A19" s="1">
        <v>40737</v>
      </c>
      <c r="B19">
        <v>146.31139999999999</v>
      </c>
      <c r="C19">
        <v>38.103900000000003</v>
      </c>
      <c r="D19">
        <v>7.4212999999999996</v>
      </c>
      <c r="F19">
        <v>84852628.411300004</v>
      </c>
      <c r="G19">
        <v>172.430015</v>
      </c>
      <c r="H19">
        <v>44.905974999999998</v>
      </c>
      <c r="I19">
        <v>8.746105</v>
      </c>
      <c r="K19" s="4">
        <f>VLOOKUP(Table_Query_from_Cello_SQL_Server[[#This Row],[AsOfDate]], 'CMO MV Raw'!$A:$B,2,FALSE)</f>
        <v>66333973.543240003</v>
      </c>
      <c r="L19" s="5">
        <f>Table_Query_from_Cello_SQL_Server[[#This Row],[CMO MV]]/Table_Query_from_Cello_SQL_Server[[#This Row],[NAV]]*100</f>
        <v>78.175508272653786</v>
      </c>
    </row>
    <row r="20" spans="1:12" x14ac:dyDescent="0.2">
      <c r="A20" s="1">
        <v>40738</v>
      </c>
      <c r="B20">
        <v>117.84310000000001</v>
      </c>
      <c r="C20">
        <v>30.8842</v>
      </c>
      <c r="D20">
        <v>4.6749000000000001</v>
      </c>
      <c r="F20">
        <v>85184055.610300004</v>
      </c>
      <c r="G20">
        <v>138.33938699999999</v>
      </c>
      <c r="H20">
        <v>36.255845999999998</v>
      </c>
      <c r="I20">
        <v>5.4879990000000003</v>
      </c>
      <c r="K20" s="4">
        <f>VLOOKUP(Table_Query_from_Cello_SQL_Server[[#This Row],[AsOfDate]], 'CMO MV Raw'!$A:$B,2,FALSE)</f>
        <v>53457293.265657</v>
      </c>
      <c r="L20" s="5">
        <f>Table_Query_from_Cello_SQL_Server[[#This Row],[CMO MV]]/Table_Query_from_Cello_SQL_Server[[#This Row],[NAV]]*100</f>
        <v>62.755045979746967</v>
      </c>
    </row>
    <row r="21" spans="1:12" x14ac:dyDescent="0.2">
      <c r="A21" s="1">
        <v>40739</v>
      </c>
      <c r="B21">
        <v>117.5715</v>
      </c>
      <c r="C21">
        <v>30.695799999999998</v>
      </c>
      <c r="D21">
        <v>4.8346999999999998</v>
      </c>
      <c r="F21">
        <v>85360970.216999993</v>
      </c>
      <c r="G21">
        <v>137.73449400000001</v>
      </c>
      <c r="H21">
        <v>35.959994000000002</v>
      </c>
      <c r="I21">
        <v>5.6638299999999999</v>
      </c>
      <c r="K21" s="4">
        <f>VLOOKUP(Table_Query_from_Cello_SQL_Server[[#This Row],[AsOfDate]], 'CMO MV Raw'!$A:$B,2,FALSE)</f>
        <v>53052536.336402997</v>
      </c>
      <c r="L21" s="5">
        <f>Table_Query_from_Cello_SQL_Server[[#This Row],[CMO MV]]/Table_Query_from_Cello_SQL_Server[[#This Row],[NAV]]*100</f>
        <v>62.150812252409672</v>
      </c>
    </row>
    <row r="22" spans="1:12" x14ac:dyDescent="0.2">
      <c r="A22" s="1">
        <v>40742</v>
      </c>
      <c r="B22">
        <v>122.4622</v>
      </c>
      <c r="C22">
        <v>32.078800000000001</v>
      </c>
      <c r="D22">
        <v>5.0609999999999999</v>
      </c>
      <c r="F22">
        <v>85615747.9419</v>
      </c>
      <c r="G22">
        <v>143.037003</v>
      </c>
      <c r="H22">
        <v>37.468341000000002</v>
      </c>
      <c r="I22">
        <v>5.9112960000000001</v>
      </c>
      <c r="K22" s="4">
        <f>VLOOKUP(Table_Query_from_Cello_SQL_Server[[#This Row],[AsOfDate]], 'CMO MV Raw'!$A:$B,2,FALSE)</f>
        <v>54682433.380038001</v>
      </c>
      <c r="L22" s="5">
        <f>Table_Query_from_Cello_SQL_Server[[#This Row],[CMO MV]]/Table_Query_from_Cello_SQL_Server[[#This Row],[NAV]]*100</f>
        <v>63.869597234782361</v>
      </c>
    </row>
    <row r="23" spans="1:12" x14ac:dyDescent="0.2">
      <c r="A23" s="1">
        <v>40743</v>
      </c>
      <c r="B23">
        <v>107.806</v>
      </c>
      <c r="C23">
        <v>28.166599999999999</v>
      </c>
      <c r="D23">
        <v>4.5925000000000002</v>
      </c>
      <c r="F23">
        <v>86010726.443100005</v>
      </c>
      <c r="G23">
        <v>125.340181</v>
      </c>
      <c r="H23">
        <v>32.747776000000002</v>
      </c>
      <c r="I23">
        <v>5.3394500000000003</v>
      </c>
      <c r="K23" s="4">
        <f>VLOOKUP(Table_Query_from_Cello_SQL_Server[[#This Row],[AsOfDate]], 'CMO MV Raw'!$A:$B,2,FALSE)</f>
        <v>49994458.354813002</v>
      </c>
      <c r="L23" s="5">
        <f>Table_Query_from_Cello_SQL_Server[[#This Row],[CMO MV]]/Table_Query_from_Cello_SQL_Server[[#This Row],[NAV]]*100</f>
        <v>58.125841301766712</v>
      </c>
    </row>
    <row r="24" spans="1:12" x14ac:dyDescent="0.2">
      <c r="A24" s="1">
        <v>40744</v>
      </c>
      <c r="B24">
        <v>108.64100000000001</v>
      </c>
      <c r="C24">
        <v>28.4206</v>
      </c>
      <c r="D24">
        <v>4.5388000000000002</v>
      </c>
      <c r="F24">
        <v>85856309.639200002</v>
      </c>
      <c r="G24">
        <v>126.538166</v>
      </c>
      <c r="H24">
        <v>33.102518000000003</v>
      </c>
      <c r="I24">
        <v>5.2865070000000003</v>
      </c>
      <c r="K24" s="4">
        <f>VLOOKUP(Table_Query_from_Cello_SQL_Server[[#This Row],[AsOfDate]], 'CMO MV Raw'!$A:$B,2,FALSE)</f>
        <v>49682479.114413001</v>
      </c>
      <c r="L24" s="5">
        <f>Table_Query_from_Cello_SQL_Server[[#This Row],[CMO MV]]/Table_Query_from_Cello_SQL_Server[[#This Row],[NAV]]*100</f>
        <v>57.867009801838876</v>
      </c>
    </row>
    <row r="25" spans="1:12" x14ac:dyDescent="0.2">
      <c r="A25" s="1">
        <v>40745</v>
      </c>
      <c r="B25">
        <v>101.3124</v>
      </c>
      <c r="C25">
        <v>26.720400000000001</v>
      </c>
      <c r="D25">
        <v>3.6046</v>
      </c>
      <c r="F25">
        <v>85959184.410899997</v>
      </c>
      <c r="G25">
        <v>117.861053</v>
      </c>
      <c r="H25">
        <v>31.084985</v>
      </c>
      <c r="I25">
        <v>4.1933860000000003</v>
      </c>
      <c r="K25" s="4">
        <f>VLOOKUP(Table_Query_from_Cello_SQL_Server[[#This Row],[AsOfDate]], 'CMO MV Raw'!$A:$B,2,FALSE)</f>
        <v>45120022.790591002</v>
      </c>
      <c r="L25" s="5">
        <f>Table_Query_from_Cello_SQL_Server[[#This Row],[CMO MV]]/Table_Query_from_Cello_SQL_Server[[#This Row],[NAV]]*100</f>
        <v>52.490054552995026</v>
      </c>
    </row>
    <row r="26" spans="1:12" x14ac:dyDescent="0.2">
      <c r="A26" s="1">
        <v>40746</v>
      </c>
      <c r="B26">
        <v>100.9228</v>
      </c>
      <c r="C26">
        <v>26.517299999999999</v>
      </c>
      <c r="D26">
        <v>3.9561999999999999</v>
      </c>
      <c r="F26">
        <v>85974603.941</v>
      </c>
      <c r="G26">
        <v>117.386758</v>
      </c>
      <c r="H26">
        <v>30.843178000000002</v>
      </c>
      <c r="I26">
        <v>4.601591</v>
      </c>
      <c r="K26" s="4">
        <f>VLOOKUP(Table_Query_from_Cello_SQL_Server[[#This Row],[AsOfDate]], 'CMO MV Raw'!$A:$B,2,FALSE)</f>
        <v>45518890.781763002</v>
      </c>
      <c r="L26" s="5">
        <f>Table_Query_from_Cello_SQL_Server[[#This Row],[CMO MV]]/Table_Query_from_Cello_SQL_Server[[#This Row],[NAV]]*100</f>
        <v>52.944577462665954</v>
      </c>
    </row>
    <row r="27" spans="1:12" x14ac:dyDescent="0.2">
      <c r="A27" s="1">
        <v>40749</v>
      </c>
      <c r="B27">
        <v>102.18380000000001</v>
      </c>
      <c r="C27">
        <v>27.004799999999999</v>
      </c>
      <c r="D27">
        <v>3.7160000000000002</v>
      </c>
      <c r="F27">
        <v>86059393.542099997</v>
      </c>
      <c r="G27">
        <v>118.73636999999999</v>
      </c>
      <c r="H27">
        <v>31.379259000000001</v>
      </c>
      <c r="I27">
        <v>4.3179480000000003</v>
      </c>
      <c r="K27" s="4">
        <f>VLOOKUP(Table_Query_from_Cello_SQL_Server[[#This Row],[AsOfDate]], 'CMO MV Raw'!$A:$B,2,FALSE)</f>
        <v>45416634.243842997</v>
      </c>
      <c r="L27" s="5">
        <f>Table_Query_from_Cello_SQL_Server[[#This Row],[CMO MV]]/Table_Query_from_Cello_SQL_Server[[#This Row],[NAV]]*100</f>
        <v>52.773593183207034</v>
      </c>
    </row>
    <row r="28" spans="1:12" x14ac:dyDescent="0.2">
      <c r="A28" s="1">
        <v>40750</v>
      </c>
      <c r="B28">
        <v>101.28830000000001</v>
      </c>
      <c r="C28">
        <v>26.668700000000001</v>
      </c>
      <c r="D28">
        <v>3.9885999999999999</v>
      </c>
      <c r="F28">
        <v>86080857.4287</v>
      </c>
      <c r="G28">
        <v>117.66646299999999</v>
      </c>
      <c r="H28">
        <v>30.980988</v>
      </c>
      <c r="I28">
        <v>4.6335509999999998</v>
      </c>
      <c r="K28" s="4">
        <f>VLOOKUP(Table_Query_from_Cello_SQL_Server[[#This Row],[AsOfDate]], 'CMO MV Raw'!$A:$B,2,FALSE)</f>
        <v>45657601.787102997</v>
      </c>
      <c r="L28" s="5">
        <f>Table_Query_from_Cello_SQL_Server[[#This Row],[CMO MV]]/Table_Query_from_Cello_SQL_Server[[#This Row],[NAV]]*100</f>
        <v>53.040365943056244</v>
      </c>
    </row>
    <row r="29" spans="1:12" x14ac:dyDescent="0.2">
      <c r="A29" s="1">
        <v>40751</v>
      </c>
      <c r="B29">
        <v>101.5133</v>
      </c>
      <c r="C29">
        <v>27.034800000000001</v>
      </c>
      <c r="D29">
        <v>3.6737000000000002</v>
      </c>
      <c r="F29">
        <v>86174631.529699996</v>
      </c>
      <c r="G29">
        <v>117.79951699999999</v>
      </c>
      <c r="H29">
        <v>31.372109999999999</v>
      </c>
      <c r="I29">
        <v>4.2630879999999998</v>
      </c>
      <c r="K29" s="4">
        <f>VLOOKUP(Table_Query_from_Cello_SQL_Server[[#This Row],[AsOfDate]], 'CMO MV Raw'!$A:$B,2,FALSE)</f>
        <v>45556146.044761002</v>
      </c>
      <c r="L29" s="5">
        <f>Table_Query_from_Cello_SQL_Server[[#This Row],[CMO MV]]/Table_Query_from_Cello_SQL_Server[[#This Row],[NAV]]*100</f>
        <v>52.864915388770903</v>
      </c>
    </row>
    <row r="30" spans="1:12" x14ac:dyDescent="0.2">
      <c r="A30" s="1">
        <v>40752</v>
      </c>
      <c r="B30">
        <v>100.51730000000001</v>
      </c>
      <c r="C30">
        <v>26.5931</v>
      </c>
      <c r="D30">
        <v>3.9022999999999999</v>
      </c>
      <c r="F30">
        <v>86018809.143900007</v>
      </c>
      <c r="G30">
        <v>116.855024</v>
      </c>
      <c r="H30">
        <v>30.915448000000001</v>
      </c>
      <c r="I30">
        <v>4.5365659999999997</v>
      </c>
      <c r="K30" s="4">
        <f>VLOOKUP(Table_Query_from_Cello_SQL_Server[[#This Row],[AsOfDate]], 'CMO MV Raw'!$A:$B,2,FALSE)</f>
        <v>45559689.815745004</v>
      </c>
      <c r="L30" s="5">
        <f>Table_Query_from_Cello_SQL_Server[[#This Row],[CMO MV]]/Table_Query_from_Cello_SQL_Server[[#This Row],[NAV]]*100</f>
        <v>52.964799523704933</v>
      </c>
    </row>
    <row r="31" spans="1:12" x14ac:dyDescent="0.2">
      <c r="A31" s="1">
        <v>40753</v>
      </c>
      <c r="B31">
        <v>98.858599999999996</v>
      </c>
      <c r="C31">
        <v>25.454499999999999</v>
      </c>
      <c r="D31">
        <v>4.4587000000000003</v>
      </c>
      <c r="F31">
        <v>85582587.670499995</v>
      </c>
      <c r="G31">
        <v>115.51251600000001</v>
      </c>
      <c r="H31">
        <v>29.742616000000002</v>
      </c>
      <c r="I31">
        <v>5.2098209999999998</v>
      </c>
      <c r="K31" s="4">
        <f>VLOOKUP(Table_Query_from_Cello_SQL_Server[[#This Row],[AsOfDate]], 'CMO MV Raw'!$A:$B,2,FALSE)</f>
        <v>45960783.841651998</v>
      </c>
      <c r="L31" s="5">
        <f>Table_Query_from_Cello_SQL_Server[[#This Row],[CMO MV]]/Table_Query_from_Cello_SQL_Server[[#This Row],[NAV]]*100</f>
        <v>53.703428574285226</v>
      </c>
    </row>
    <row r="32" spans="1:12" x14ac:dyDescent="0.2">
      <c r="A32" s="1">
        <v>40756</v>
      </c>
      <c r="B32">
        <v>98.400300000000001</v>
      </c>
      <c r="C32">
        <v>25.146999999999998</v>
      </c>
      <c r="D32">
        <v>4.8506999999999998</v>
      </c>
      <c r="F32">
        <v>93190607.461799994</v>
      </c>
      <c r="G32">
        <v>105.590362</v>
      </c>
      <c r="H32">
        <v>26.984479</v>
      </c>
      <c r="I32">
        <v>5.2051379999999998</v>
      </c>
      <c r="K32" s="4" t="e">
        <f>VLOOKUP(Table_Query_from_Cello_SQL_Server[[#This Row],[AsOfDate]], 'CMO MV Raw'!$A:$B,2,FALSE)</f>
        <v>#N/A</v>
      </c>
      <c r="L32" s="5" t="e">
        <f>Table_Query_from_Cello_SQL_Server[[#This Row],[CMO MV]]/Table_Query_from_Cello_SQL_Server[[#This Row],[NAV]]*100</f>
        <v>#N/A</v>
      </c>
    </row>
    <row r="33" spans="1:12" x14ac:dyDescent="0.2">
      <c r="A33" s="1">
        <v>40757</v>
      </c>
      <c r="B33">
        <v>96.988900000000001</v>
      </c>
      <c r="C33">
        <v>24.131699999999999</v>
      </c>
      <c r="D33">
        <v>5.1706000000000003</v>
      </c>
      <c r="F33">
        <v>93295738.324499995</v>
      </c>
      <c r="G33">
        <v>103.95855299999999</v>
      </c>
      <c r="H33">
        <v>25.865811999999998</v>
      </c>
      <c r="I33">
        <v>5.5421610000000001</v>
      </c>
      <c r="K33" s="4">
        <f>VLOOKUP(Table_Query_from_Cello_SQL_Server[[#This Row],[AsOfDate]], 'CMO MV Raw'!$A:$B,2,FALSE)</f>
        <v>45993054.03215</v>
      </c>
      <c r="L33" s="5">
        <f>Table_Query_from_Cello_SQL_Server[[#This Row],[CMO MV]]/Table_Query_from_Cello_SQL_Server[[#This Row],[NAV]]*100</f>
        <v>49.298129644654907</v>
      </c>
    </row>
    <row r="34" spans="1:12" x14ac:dyDescent="0.2">
      <c r="A34" s="1">
        <v>40758</v>
      </c>
      <c r="B34">
        <v>94.603099999999998</v>
      </c>
      <c r="C34">
        <v>23.258600000000001</v>
      </c>
      <c r="D34">
        <v>5.194</v>
      </c>
      <c r="F34">
        <v>93137928.529699996</v>
      </c>
      <c r="G34">
        <v>101.57312</v>
      </c>
      <c r="H34">
        <v>24.972211000000001</v>
      </c>
      <c r="I34">
        <v>5.5766749999999998</v>
      </c>
      <c r="K34" s="4">
        <f>VLOOKUP(Table_Query_from_Cello_SQL_Server[[#This Row],[AsOfDate]], 'CMO MV Raw'!$A:$B,2,FALSE)</f>
        <v>45907146.394073002</v>
      </c>
      <c r="L34" s="5">
        <f>Table_Query_from_Cello_SQL_Server[[#This Row],[CMO MV]]/Table_Query_from_Cello_SQL_Server[[#This Row],[NAV]]*100</f>
        <v>49.289421741255545</v>
      </c>
    </row>
    <row r="35" spans="1:12" x14ac:dyDescent="0.2">
      <c r="A35" s="1">
        <v>40759</v>
      </c>
      <c r="B35">
        <v>67.503600000000006</v>
      </c>
      <c r="C35">
        <v>15.917999999999999</v>
      </c>
      <c r="D35">
        <v>7.0404</v>
      </c>
      <c r="F35">
        <v>93342028.453999996</v>
      </c>
      <c r="G35">
        <v>72.318548000000007</v>
      </c>
      <c r="H35">
        <v>17.053411000000001</v>
      </c>
      <c r="I35">
        <v>7.5425829999999996</v>
      </c>
      <c r="K35" s="4">
        <f>VLOOKUP(Table_Query_from_Cello_SQL_Server[[#This Row],[AsOfDate]], 'CMO MV Raw'!$A:$B,2,FALSE)</f>
        <v>37884544.215414003</v>
      </c>
      <c r="L35" s="5">
        <f>Table_Query_from_Cello_SQL_Server[[#This Row],[CMO MV]]/Table_Query_from_Cello_SQL_Server[[#This Row],[NAV]]*100</f>
        <v>40.586801940011334</v>
      </c>
    </row>
    <row r="36" spans="1:12" x14ac:dyDescent="0.2">
      <c r="A36" s="1">
        <v>40760</v>
      </c>
      <c r="B36">
        <v>71.708299999999994</v>
      </c>
      <c r="C36">
        <v>17.4666</v>
      </c>
      <c r="D36">
        <v>6.1551999999999998</v>
      </c>
      <c r="F36">
        <v>93050372.4278</v>
      </c>
      <c r="G36">
        <v>77.063958</v>
      </c>
      <c r="H36">
        <v>18.771122999999999</v>
      </c>
      <c r="I36">
        <v>6.6149120000000003</v>
      </c>
      <c r="K36" s="4">
        <f>VLOOKUP(Table_Query_from_Cello_SQL_Server[[#This Row],[AsOfDate]], 'CMO MV Raw'!$A:$B,2,FALSE)</f>
        <v>37746537.455539003</v>
      </c>
      <c r="L36" s="5">
        <f>Table_Query_from_Cello_SQL_Server[[#This Row],[CMO MV]]/Table_Query_from_Cello_SQL_Server[[#This Row],[NAV]]*100</f>
        <v>40.565702716372726</v>
      </c>
    </row>
    <row r="37" spans="1:12" x14ac:dyDescent="0.2">
      <c r="A37" s="1">
        <v>40763</v>
      </c>
      <c r="B37">
        <v>70.259900000000002</v>
      </c>
      <c r="C37">
        <v>16.445799999999998</v>
      </c>
      <c r="D37">
        <v>6.6897000000000002</v>
      </c>
      <c r="F37">
        <v>93838427.3301</v>
      </c>
      <c r="G37">
        <v>74.873271000000003</v>
      </c>
      <c r="H37">
        <v>17.525656000000001</v>
      </c>
      <c r="I37">
        <v>7.1289559999999996</v>
      </c>
      <c r="K37" s="4">
        <f>VLOOKUP(Table_Query_from_Cello_SQL_Server[[#This Row],[AsOfDate]], 'CMO MV Raw'!$A:$B,2,FALSE)</f>
        <v>37894172.874862999</v>
      </c>
      <c r="L37" s="5">
        <f>Table_Query_from_Cello_SQL_Server[[#This Row],[CMO MV]]/Table_Query_from_Cello_SQL_Server[[#This Row],[NAV]]*100</f>
        <v>40.38236141955025</v>
      </c>
    </row>
    <row r="38" spans="1:12" x14ac:dyDescent="0.2">
      <c r="A38" s="1">
        <v>40764</v>
      </c>
      <c r="B38">
        <v>65.173900000000003</v>
      </c>
      <c r="C38">
        <v>14.4107</v>
      </c>
      <c r="D38">
        <v>7.9964000000000004</v>
      </c>
      <c r="F38">
        <v>94124063.191499993</v>
      </c>
      <c r="G38">
        <v>69.242547999999999</v>
      </c>
      <c r="H38">
        <v>15.310325000000001</v>
      </c>
      <c r="I38">
        <v>8.4955960000000008</v>
      </c>
      <c r="K38" s="4">
        <f>VLOOKUP(Table_Query_from_Cello_SQL_Server[[#This Row],[AsOfDate]], 'CMO MV Raw'!$A:$B,2,FALSE)</f>
        <v>38483848.482095003</v>
      </c>
      <c r="L38" s="5">
        <f>Table_Query_from_Cello_SQL_Server[[#This Row],[CMO MV]]/Table_Query_from_Cello_SQL_Server[[#This Row],[NAV]]*100</f>
        <v>40.886301735399734</v>
      </c>
    </row>
    <row r="39" spans="1:12" x14ac:dyDescent="0.2">
      <c r="A39" s="1">
        <v>40765</v>
      </c>
      <c r="B39">
        <v>69.881799999999998</v>
      </c>
      <c r="C39">
        <v>14.1401</v>
      </c>
      <c r="D39">
        <v>9.0130999999999997</v>
      </c>
      <c r="F39">
        <v>93984173.947099999</v>
      </c>
      <c r="G39">
        <v>74.354859000000005</v>
      </c>
      <c r="H39">
        <v>15.045192999999999</v>
      </c>
      <c r="I39">
        <v>9.5900189999999998</v>
      </c>
      <c r="K39" s="4">
        <f>VLOOKUP(Table_Query_from_Cello_SQL_Server[[#This Row],[AsOfDate]], 'CMO MV Raw'!$A:$B,2,FALSE)</f>
        <v>37941067.898501001</v>
      </c>
      <c r="L39" s="5">
        <f>Table_Query_from_Cello_SQL_Server[[#This Row],[CMO MV]]/Table_Query_from_Cello_SQL_Server[[#This Row],[NAV]]*100</f>
        <v>40.369634913061574</v>
      </c>
    </row>
    <row r="40" spans="1:12" x14ac:dyDescent="0.2">
      <c r="A40" s="1">
        <v>40766</v>
      </c>
      <c r="B40">
        <v>97.724299999999999</v>
      </c>
      <c r="C40">
        <v>20.7942</v>
      </c>
      <c r="D40">
        <v>8.4663000000000004</v>
      </c>
      <c r="F40">
        <v>94075188.761899993</v>
      </c>
      <c r="G40">
        <v>103.87893099999999</v>
      </c>
      <c r="H40">
        <v>22.103808999999998</v>
      </c>
      <c r="I40">
        <v>8.9995039999999999</v>
      </c>
      <c r="K40" s="4">
        <f>VLOOKUP(Table_Query_from_Cello_SQL_Server[[#This Row],[AsOfDate]], 'CMO MV Raw'!$A:$B,2,FALSE)</f>
        <v>45868601.966596</v>
      </c>
      <c r="L40" s="5">
        <f>Table_Query_from_Cello_SQL_Server[[#This Row],[CMO MV]]/Table_Query_from_Cello_SQL_Server[[#This Row],[NAV]]*100</f>
        <v>48.75738499200606</v>
      </c>
    </row>
    <row r="41" spans="1:12" x14ac:dyDescent="0.2">
      <c r="A41" s="1">
        <v>40767</v>
      </c>
      <c r="B41">
        <v>106.2817</v>
      </c>
      <c r="C41">
        <v>21.946400000000001</v>
      </c>
      <c r="D41">
        <v>10.088699999999999</v>
      </c>
      <c r="F41">
        <v>94037485.090900004</v>
      </c>
      <c r="G41">
        <v>113.020568</v>
      </c>
      <c r="H41">
        <v>23.337927000000001</v>
      </c>
      <c r="I41">
        <v>10.728381000000001</v>
      </c>
      <c r="K41" s="4">
        <f>VLOOKUP(Table_Query_from_Cello_SQL_Server[[#This Row],[AsOfDate]], 'CMO MV Raw'!$A:$B,2,FALSE)</f>
        <v>50465447.898914002</v>
      </c>
      <c r="L41" s="5">
        <f>Table_Query_from_Cello_SQL_Server[[#This Row],[CMO MV]]/Table_Query_from_Cello_SQL_Server[[#This Row],[NAV]]*100</f>
        <v>53.66524620488552</v>
      </c>
    </row>
    <row r="42" spans="1:12" x14ac:dyDescent="0.2">
      <c r="A42" s="1">
        <v>40770</v>
      </c>
      <c r="B42">
        <v>105.2962</v>
      </c>
      <c r="C42">
        <v>22.199100000000001</v>
      </c>
      <c r="D42">
        <v>10.1168</v>
      </c>
      <c r="F42">
        <v>94026096.292899996</v>
      </c>
      <c r="G42">
        <v>111.986144</v>
      </c>
      <c r="H42">
        <v>23.609508999999999</v>
      </c>
      <c r="I42">
        <v>10.759566</v>
      </c>
      <c r="K42" s="4">
        <f>VLOOKUP(Table_Query_from_Cello_SQL_Server[[#This Row],[AsOfDate]], 'CMO MV Raw'!$A:$B,2,FALSE)</f>
        <v>49890260.768932</v>
      </c>
      <c r="L42" s="5">
        <f>Table_Query_from_Cello_SQL_Server[[#This Row],[CMO MV]]/Table_Query_from_Cello_SQL_Server[[#This Row],[NAV]]*100</f>
        <v>53.060014970226156</v>
      </c>
    </row>
    <row r="43" spans="1:12" x14ac:dyDescent="0.2">
      <c r="A43" s="1">
        <v>40771</v>
      </c>
      <c r="B43">
        <v>101.43049999999999</v>
      </c>
      <c r="C43">
        <v>21.144300000000001</v>
      </c>
      <c r="D43">
        <v>10.273199999999999</v>
      </c>
      <c r="F43">
        <v>94130477.779899999</v>
      </c>
      <c r="G43">
        <v>107.755216</v>
      </c>
      <c r="H43">
        <v>22.462755999999999</v>
      </c>
      <c r="I43">
        <v>10.913786999999999</v>
      </c>
      <c r="K43" s="4">
        <f>VLOOKUP(Table_Query_from_Cello_SQL_Server[[#This Row],[AsOfDate]], 'CMO MV Raw'!$A:$B,2,FALSE)</f>
        <v>49724629.717271999</v>
      </c>
      <c r="L43" s="5">
        <f>Table_Query_from_Cello_SQL_Server[[#This Row],[CMO MV]]/Table_Query_from_Cello_SQL_Server[[#This Row],[NAV]]*100</f>
        <v>52.82521760225238</v>
      </c>
    </row>
    <row r="44" spans="1:12" x14ac:dyDescent="0.2">
      <c r="A44" s="1">
        <v>40772</v>
      </c>
      <c r="B44">
        <v>100.01779999999999</v>
      </c>
      <c r="C44">
        <v>20.598299999999998</v>
      </c>
      <c r="D44">
        <v>10.415100000000001</v>
      </c>
      <c r="F44">
        <v>94145400.434100002</v>
      </c>
      <c r="G44">
        <v>106.237585</v>
      </c>
      <c r="H44">
        <v>21.879242000000001</v>
      </c>
      <c r="I44">
        <v>11.062782</v>
      </c>
      <c r="K44" s="4">
        <f>VLOOKUP(Table_Query_from_Cello_SQL_Server[[#This Row],[AsOfDate]], 'CMO MV Raw'!$A:$B,2,FALSE)</f>
        <v>49713124.947379999</v>
      </c>
      <c r="L44" s="5">
        <f>Table_Query_from_Cello_SQL_Server[[#This Row],[CMO MV]]/Table_Query_from_Cello_SQL_Server[[#This Row],[NAV]]*100</f>
        <v>52.804624249464261</v>
      </c>
    </row>
    <row r="45" spans="1:12" x14ac:dyDescent="0.2">
      <c r="A45" s="1">
        <v>40773</v>
      </c>
      <c r="B45">
        <v>110.5153</v>
      </c>
      <c r="C45">
        <v>22.3246</v>
      </c>
      <c r="D45">
        <v>10.453799999999999</v>
      </c>
      <c r="F45">
        <v>94339696.522300005</v>
      </c>
      <c r="G45">
        <v>117.146126</v>
      </c>
      <c r="H45">
        <v>23.664057</v>
      </c>
      <c r="I45">
        <v>11.081019</v>
      </c>
      <c r="K45" s="4">
        <f>VLOOKUP(Table_Query_from_Cello_SQL_Server[[#This Row],[AsOfDate]], 'CMO MV Raw'!$A:$B,2,FALSE)</f>
        <v>51415067.191618003</v>
      </c>
      <c r="L45" s="5">
        <f>Table_Query_from_Cello_SQL_Server[[#This Row],[CMO MV]]/Table_Query_from_Cello_SQL_Server[[#This Row],[NAV]]*100</f>
        <v>54.499928542238329</v>
      </c>
    </row>
    <row r="46" spans="1:12" x14ac:dyDescent="0.2">
      <c r="A46" s="1">
        <v>40774</v>
      </c>
      <c r="B46">
        <v>114.77549999999999</v>
      </c>
      <c r="C46">
        <v>23.09</v>
      </c>
      <c r="D46">
        <v>10.3447</v>
      </c>
      <c r="F46">
        <v>94333463.701499999</v>
      </c>
      <c r="G46">
        <v>121.669973</v>
      </c>
      <c r="H46">
        <v>24.476997999999998</v>
      </c>
      <c r="I46">
        <v>10.966098000000001</v>
      </c>
      <c r="K46" s="4">
        <f>VLOOKUP(Table_Query_from_Cello_SQL_Server[[#This Row],[AsOfDate]], 'CMO MV Raw'!$A:$B,2,FALSE)</f>
        <v>51326810.196699001</v>
      </c>
      <c r="L46" s="5">
        <f>Table_Query_from_Cello_SQL_Server[[#This Row],[CMO MV]]/Table_Query_from_Cello_SQL_Server[[#This Row],[NAV]]*100</f>
        <v>54.409970950619133</v>
      </c>
    </row>
    <row r="47" spans="1:12" x14ac:dyDescent="0.2">
      <c r="A47" s="1">
        <v>40777</v>
      </c>
      <c r="B47">
        <v>117.7105</v>
      </c>
      <c r="C47">
        <v>23.490400000000001</v>
      </c>
      <c r="D47">
        <v>10.2112</v>
      </c>
      <c r="F47">
        <v>94107107.899200007</v>
      </c>
      <c r="G47">
        <v>125.081413</v>
      </c>
      <c r="H47">
        <v>24.961345000000001</v>
      </c>
      <c r="I47">
        <v>10.850614999999999</v>
      </c>
      <c r="K47" s="4">
        <f>VLOOKUP(Table_Query_from_Cello_SQL_Server[[#This Row],[AsOfDate]], 'CMO MV Raw'!$A:$B,2,FALSE)</f>
        <v>50989712.872454002</v>
      </c>
      <c r="L47" s="5">
        <f>Table_Query_from_Cello_SQL_Server[[#This Row],[CMO MV]]/Table_Query_from_Cello_SQL_Server[[#This Row],[NAV]]*100</f>
        <v>54.18263722127142</v>
      </c>
    </row>
    <row r="48" spans="1:12" x14ac:dyDescent="0.2">
      <c r="A48" s="1">
        <v>40778</v>
      </c>
      <c r="B48">
        <v>121.76479999999999</v>
      </c>
      <c r="C48">
        <v>24.521599999999999</v>
      </c>
      <c r="D48">
        <v>9.9718</v>
      </c>
      <c r="F48">
        <v>94247006.097299993</v>
      </c>
      <c r="G48">
        <v>129.19752600000001</v>
      </c>
      <c r="H48">
        <v>26.018439000000001</v>
      </c>
      <c r="I48">
        <v>10.580495000000001</v>
      </c>
      <c r="K48" s="4">
        <f>VLOOKUP(Table_Query_from_Cello_SQL_Server[[#This Row],[AsOfDate]], 'CMO MV Raw'!$A:$B,2,FALSE)</f>
        <v>50991724.146489002</v>
      </c>
      <c r="L48" s="5">
        <f>Table_Query_from_Cello_SQL_Server[[#This Row],[CMO MV]]/Table_Query_from_Cello_SQL_Server[[#This Row],[NAV]]*100</f>
        <v>54.104343743126947</v>
      </c>
    </row>
    <row r="49" spans="1:12" x14ac:dyDescent="0.2">
      <c r="A49" s="1">
        <v>40779</v>
      </c>
      <c r="B49">
        <v>136.8451</v>
      </c>
      <c r="C49">
        <v>28.802299999999999</v>
      </c>
      <c r="D49">
        <v>7.6163999999999996</v>
      </c>
      <c r="F49">
        <v>94335013.825200006</v>
      </c>
      <c r="G49">
        <v>145.062893</v>
      </c>
      <c r="H49">
        <v>30.531929999999999</v>
      </c>
      <c r="I49">
        <v>8.0737780000000008</v>
      </c>
      <c r="K49" s="4">
        <f>VLOOKUP(Table_Query_from_Cello_SQL_Server[[#This Row],[AsOfDate]], 'CMO MV Raw'!$A:$B,2,FALSE)</f>
        <v>48931342.828294002</v>
      </c>
      <c r="L49" s="5">
        <f>Table_Query_from_Cello_SQL_Server[[#This Row],[CMO MV]]/Table_Query_from_Cello_SQL_Server[[#This Row],[NAV]]*100</f>
        <v>51.869757414741393</v>
      </c>
    </row>
    <row r="50" spans="1:12" x14ac:dyDescent="0.2">
      <c r="A50" s="1">
        <v>40780</v>
      </c>
      <c r="B50">
        <v>143.4742</v>
      </c>
      <c r="C50">
        <v>29.047999999999998</v>
      </c>
      <c r="D50">
        <v>4.9732000000000003</v>
      </c>
      <c r="F50">
        <v>94196688.782399997</v>
      </c>
      <c r="G50">
        <v>152.313422</v>
      </c>
      <c r="H50">
        <v>30.837602</v>
      </c>
      <c r="I50">
        <v>5.2795909999999999</v>
      </c>
      <c r="K50" s="4">
        <f>VLOOKUP(Table_Query_from_Cello_SQL_Server[[#This Row],[AsOfDate]], 'CMO MV Raw'!$A:$B,2,FALSE)</f>
        <v>41536747.848909996</v>
      </c>
      <c r="L50" s="5">
        <f>Table_Query_from_Cello_SQL_Server[[#This Row],[CMO MV]]/Table_Query_from_Cello_SQL_Server[[#This Row],[NAV]]*100</f>
        <v>44.095762160878479</v>
      </c>
    </row>
    <row r="51" spans="1:12" x14ac:dyDescent="0.2">
      <c r="A51" s="1">
        <v>40781</v>
      </c>
      <c r="B51">
        <v>140.0847</v>
      </c>
      <c r="C51">
        <v>28.3992</v>
      </c>
      <c r="D51">
        <v>4.923</v>
      </c>
      <c r="F51">
        <v>94141633.503600001</v>
      </c>
      <c r="G51">
        <v>148.80207100000001</v>
      </c>
      <c r="H51">
        <v>30.166461999999999</v>
      </c>
      <c r="I51">
        <v>5.229355</v>
      </c>
      <c r="K51" s="4">
        <f>VLOOKUP(Table_Query_from_Cello_SQL_Server[[#This Row],[AsOfDate]], 'CMO MV Raw'!$A:$B,2,FALSE)</f>
        <v>41552021.734495997</v>
      </c>
      <c r="L51" s="5">
        <f>Table_Query_from_Cello_SQL_Server[[#This Row],[CMO MV]]/Table_Query_from_Cello_SQL_Server[[#This Row],[NAV]]*100</f>
        <v>44.137774317360915</v>
      </c>
    </row>
    <row r="52" spans="1:12" x14ac:dyDescent="0.2">
      <c r="A52" s="1">
        <v>40784</v>
      </c>
      <c r="B52">
        <v>137.90860000000001</v>
      </c>
      <c r="C52">
        <v>29.0153</v>
      </c>
      <c r="D52">
        <v>5.0105000000000004</v>
      </c>
      <c r="F52">
        <v>94144258.746700004</v>
      </c>
      <c r="G52">
        <v>146.486469</v>
      </c>
      <c r="H52">
        <v>30.820042000000001</v>
      </c>
      <c r="I52">
        <v>5.3221509999999999</v>
      </c>
      <c r="K52" s="4">
        <f>VLOOKUP(Table_Query_from_Cello_SQL_Server[[#This Row],[AsOfDate]], 'CMO MV Raw'!$A:$B,2,FALSE)</f>
        <v>41651274.140623003</v>
      </c>
      <c r="L52" s="5">
        <f>Table_Query_from_Cello_SQL_Server[[#This Row],[CMO MV]]/Table_Query_from_Cello_SQL_Server[[#This Row],[NAV]]*100</f>
        <v>44.241969393681146</v>
      </c>
    </row>
    <row r="53" spans="1:12" x14ac:dyDescent="0.2">
      <c r="A53" s="1">
        <v>40785</v>
      </c>
      <c r="B53">
        <v>136.964</v>
      </c>
      <c r="C53">
        <v>28.1677</v>
      </c>
      <c r="D53">
        <v>4.7461000000000002</v>
      </c>
      <c r="F53">
        <v>94244599.257300004</v>
      </c>
      <c r="G53">
        <v>145.32822200000001</v>
      </c>
      <c r="H53">
        <v>29.887865999999999</v>
      </c>
      <c r="I53">
        <v>5.0359379999999998</v>
      </c>
      <c r="K53" s="4">
        <f>VLOOKUP(Table_Query_from_Cello_SQL_Server[[#This Row],[AsOfDate]], 'CMO MV Raw'!$A:$B,2,FALSE)</f>
        <v>41644052.342364997</v>
      </c>
      <c r="L53" s="5">
        <f>Table_Query_from_Cello_SQL_Server[[#This Row],[CMO MV]]/Table_Query_from_Cello_SQL_Server[[#This Row],[NAV]]*100</f>
        <v>44.187202949074376</v>
      </c>
    </row>
    <row r="54" spans="1:12" x14ac:dyDescent="0.2">
      <c r="A54" s="1">
        <v>40786</v>
      </c>
      <c r="B54">
        <v>130.8356</v>
      </c>
      <c r="C54">
        <v>27.904399999999999</v>
      </c>
      <c r="D54">
        <v>4.8074000000000003</v>
      </c>
      <c r="F54">
        <v>93984689.740500003</v>
      </c>
      <c r="G54">
        <v>139.20948200000001</v>
      </c>
      <c r="H54">
        <v>29.690367999999999</v>
      </c>
      <c r="I54">
        <v>5.1150880000000001</v>
      </c>
      <c r="K54" s="4">
        <f>VLOOKUP(Table_Query_from_Cello_SQL_Server[[#This Row],[AsOfDate]], 'CMO MV Raw'!$A:$B,2,FALSE)</f>
        <v>41934003.672518</v>
      </c>
      <c r="L54" s="5">
        <f>Table_Query_from_Cello_SQL_Server[[#This Row],[CMO MV]]/Table_Query_from_Cello_SQL_Server[[#This Row],[NAV]]*100</f>
        <v>44.617909351301236</v>
      </c>
    </row>
    <row r="55" spans="1:12" x14ac:dyDescent="0.2">
      <c r="A55" s="1">
        <v>40787</v>
      </c>
      <c r="B55">
        <v>134.11940000000001</v>
      </c>
      <c r="C55">
        <v>27.972200000000001</v>
      </c>
      <c r="D55">
        <v>4.7721999999999998</v>
      </c>
      <c r="F55">
        <v>105019654.9912</v>
      </c>
      <c r="G55">
        <v>127.708856</v>
      </c>
      <c r="H55">
        <v>26.635204999999999</v>
      </c>
      <c r="I55">
        <v>4.5441019999999996</v>
      </c>
      <c r="K55" s="4">
        <f>VLOOKUP(Table_Query_from_Cello_SQL_Server[[#This Row],[AsOfDate]], 'CMO MV Raw'!$A:$B,2,FALSE)</f>
        <v>41961353.648988999</v>
      </c>
      <c r="L55" s="5">
        <f>Table_Query_from_Cello_SQL_Server[[#This Row],[CMO MV]]/Table_Query_from_Cello_SQL_Server[[#This Row],[NAV]]*100</f>
        <v>39.955714625519484</v>
      </c>
    </row>
    <row r="56" spans="1:12" x14ac:dyDescent="0.2">
      <c r="A56" s="1">
        <v>40788</v>
      </c>
      <c r="B56">
        <v>134.41499999999999</v>
      </c>
      <c r="C56">
        <v>26.9404</v>
      </c>
      <c r="D56">
        <v>4.7839</v>
      </c>
      <c r="F56">
        <v>105049638.4773</v>
      </c>
      <c r="G56">
        <v>127.953796</v>
      </c>
      <c r="H56">
        <v>25.645399999999999</v>
      </c>
      <c r="I56">
        <v>4.5539420000000002</v>
      </c>
      <c r="K56" s="4">
        <f>VLOOKUP(Table_Query_from_Cello_SQL_Server[[#This Row],[AsOfDate]], 'CMO MV Raw'!$A:$B,2,FALSE)</f>
        <v>41770409.063474</v>
      </c>
      <c r="L56" s="5">
        <f>Table_Query_from_Cello_SQL_Server[[#This Row],[CMO MV]]/Table_Query_from_Cello_SQL_Server[[#This Row],[NAV]]*100</f>
        <v>39.762544325652385</v>
      </c>
    </row>
    <row r="57" spans="1:12" x14ac:dyDescent="0.2">
      <c r="A57" s="1">
        <v>40792</v>
      </c>
      <c r="B57">
        <v>138.15010000000001</v>
      </c>
      <c r="C57">
        <v>27.222999999999999</v>
      </c>
      <c r="D57">
        <v>4.7679</v>
      </c>
      <c r="F57">
        <v>104934556.92020001</v>
      </c>
      <c r="G57">
        <v>131.65357900000001</v>
      </c>
      <c r="H57">
        <v>25.942836</v>
      </c>
      <c r="I57">
        <v>4.5436889999999996</v>
      </c>
      <c r="K57" s="4">
        <f>VLOOKUP(Table_Query_from_Cello_SQL_Server[[#This Row],[AsOfDate]], 'CMO MV Raw'!$A:$B,2,FALSE)</f>
        <v>41682488.137169003</v>
      </c>
      <c r="L57" s="5">
        <f>Table_Query_from_Cello_SQL_Server[[#This Row],[CMO MV]]/Table_Query_from_Cello_SQL_Server[[#This Row],[NAV]]*100</f>
        <v>39.722365406152569</v>
      </c>
    </row>
    <row r="58" spans="1:12" x14ac:dyDescent="0.2">
      <c r="A58" s="1">
        <v>40793</v>
      </c>
      <c r="B58">
        <v>149.63120000000001</v>
      </c>
      <c r="C58">
        <v>30.117899999999999</v>
      </c>
      <c r="D58">
        <v>5.6193</v>
      </c>
      <c r="F58">
        <v>105072483.06559999</v>
      </c>
      <c r="G58">
        <v>142.407599</v>
      </c>
      <c r="H58">
        <v>28.663927000000001</v>
      </c>
      <c r="I58">
        <v>5.3480220000000003</v>
      </c>
      <c r="K58" s="4">
        <f>VLOOKUP(Table_Query_from_Cello_SQL_Server[[#This Row],[AsOfDate]], 'CMO MV Raw'!$A:$B,2,FALSE)</f>
        <v>48438165.543866001</v>
      </c>
      <c r="L58" s="5">
        <f>Table_Query_from_Cello_SQL_Server[[#This Row],[CMO MV]]/Table_Query_from_Cello_SQL_Server[[#This Row],[NAV]]*100</f>
        <v>46.099762878568846</v>
      </c>
    </row>
    <row r="59" spans="1:12" x14ac:dyDescent="0.2">
      <c r="A59" s="1">
        <v>40794</v>
      </c>
      <c r="B59">
        <v>156.0061</v>
      </c>
      <c r="C59">
        <v>30.741</v>
      </c>
      <c r="D59">
        <v>6.4432</v>
      </c>
      <c r="F59">
        <v>105156248.21950001</v>
      </c>
      <c r="G59">
        <v>148.356472</v>
      </c>
      <c r="H59">
        <v>29.233640999999999</v>
      </c>
      <c r="I59">
        <v>6.1272630000000001</v>
      </c>
      <c r="K59" s="4">
        <f>VLOOKUP(Table_Query_from_Cello_SQL_Server[[#This Row],[AsOfDate]], 'CMO MV Raw'!$A:$B,2,FALSE)</f>
        <v>54213749.521674</v>
      </c>
      <c r="L59" s="5">
        <f>Table_Query_from_Cello_SQL_Server[[#This Row],[CMO MV]]/Table_Query_from_Cello_SQL_Server[[#This Row],[NAV]]*100</f>
        <v>51.555423895030792</v>
      </c>
    </row>
    <row r="60" spans="1:12" x14ac:dyDescent="0.2">
      <c r="A60" s="1">
        <v>40795</v>
      </c>
      <c r="B60">
        <v>147.191</v>
      </c>
      <c r="C60">
        <v>28.849499999999999</v>
      </c>
      <c r="D60">
        <v>5.6936999999999998</v>
      </c>
      <c r="F60">
        <v>105134912.2809</v>
      </c>
      <c r="G60">
        <v>140.00201899999999</v>
      </c>
      <c r="H60">
        <v>27.440456999999999</v>
      </c>
      <c r="I60">
        <v>5.4156129999999996</v>
      </c>
      <c r="K60" s="4">
        <f>VLOOKUP(Table_Query_from_Cello_SQL_Server[[#This Row],[AsOfDate]], 'CMO MV Raw'!$A:$B,2,FALSE)</f>
        <v>53577510.567557998</v>
      </c>
      <c r="L60" s="5">
        <f>Table_Query_from_Cello_SQL_Server[[#This Row],[CMO MV]]/Table_Query_from_Cello_SQL_Server[[#This Row],[NAV]]*100</f>
        <v>50.960722185613591</v>
      </c>
    </row>
    <row r="61" spans="1:12" x14ac:dyDescent="0.2">
      <c r="A61" s="1">
        <v>40798</v>
      </c>
      <c r="B61">
        <v>145.0394</v>
      </c>
      <c r="C61">
        <v>29.101500000000001</v>
      </c>
      <c r="D61">
        <v>6.1547999999999998</v>
      </c>
      <c r="F61">
        <v>105179567.2958</v>
      </c>
      <c r="G61">
        <v>137.89693500000001</v>
      </c>
      <c r="H61">
        <v>27.668396999999999</v>
      </c>
      <c r="I61">
        <v>5.8517070000000002</v>
      </c>
      <c r="K61" s="4">
        <f>VLOOKUP(Table_Query_from_Cello_SQL_Server[[#This Row],[AsOfDate]], 'CMO MV Raw'!$A:$B,2,FALSE)</f>
        <v>53669138.064260997</v>
      </c>
      <c r="L61" s="5">
        <f>Table_Query_from_Cello_SQL_Server[[#This Row],[CMO MV]]/Table_Query_from_Cello_SQL_Server[[#This Row],[NAV]]*100</f>
        <v>51.026201613213992</v>
      </c>
    </row>
    <row r="62" spans="1:12" x14ac:dyDescent="0.2">
      <c r="A62" s="1">
        <v>40799</v>
      </c>
      <c r="B62">
        <v>151.6079</v>
      </c>
      <c r="C62">
        <v>30.5307</v>
      </c>
      <c r="D62">
        <v>5.8864999999999998</v>
      </c>
      <c r="F62">
        <v>105131350.903</v>
      </c>
      <c r="G62">
        <v>144.208078</v>
      </c>
      <c r="H62">
        <v>29.040528999999999</v>
      </c>
      <c r="I62">
        <v>5.5991860000000004</v>
      </c>
      <c r="K62" s="4">
        <f>VLOOKUP(Table_Query_from_Cello_SQL_Server[[#This Row],[AsOfDate]], 'CMO MV Raw'!$A:$B,2,FALSE)</f>
        <v>55463736.388342001</v>
      </c>
      <c r="L62" s="5">
        <f>Table_Query_from_Cello_SQL_Server[[#This Row],[CMO MV]]/Table_Query_from_Cello_SQL_Server[[#This Row],[NAV]]*100</f>
        <v>52.756609624008263</v>
      </c>
    </row>
    <row r="63" spans="1:12" x14ac:dyDescent="0.2">
      <c r="A63" s="1">
        <v>40800</v>
      </c>
      <c r="B63">
        <v>198.09800000000001</v>
      </c>
      <c r="C63">
        <v>39.710999999999999</v>
      </c>
      <c r="D63">
        <v>4.0205000000000002</v>
      </c>
      <c r="F63">
        <v>105083218.7289</v>
      </c>
      <c r="G63">
        <v>188.51535200000001</v>
      </c>
      <c r="H63">
        <v>37.790049000000003</v>
      </c>
      <c r="I63">
        <v>3.8260149999999999</v>
      </c>
      <c r="K63" s="4">
        <f>VLOOKUP(Table_Query_from_Cello_SQL_Server[[#This Row],[AsOfDate]], 'CMO MV Raw'!$A:$B,2,FALSE)</f>
        <v>66241951.472445004</v>
      </c>
      <c r="L63" s="5">
        <f>Table_Query_from_Cello_SQL_Server[[#This Row],[CMO MV]]/Table_Query_from_Cello_SQL_Server[[#This Row],[NAV]]*100</f>
        <v>63.037611783989952</v>
      </c>
    </row>
    <row r="64" spans="1:12" x14ac:dyDescent="0.2">
      <c r="A64" s="1">
        <v>40801</v>
      </c>
      <c r="B64">
        <v>194.11959999999999</v>
      </c>
      <c r="C64">
        <v>39.753799999999998</v>
      </c>
      <c r="D64">
        <v>4.5216000000000003</v>
      </c>
      <c r="F64">
        <v>105289794.96070001</v>
      </c>
      <c r="G64">
        <v>184.36696599999999</v>
      </c>
      <c r="H64">
        <v>37.756556000000003</v>
      </c>
      <c r="I64">
        <v>4.2944329999999997</v>
      </c>
      <c r="K64" s="4">
        <f>VLOOKUP(Table_Query_from_Cello_SQL_Server[[#This Row],[AsOfDate]], 'CMO MV Raw'!$A:$B,2,FALSE)</f>
        <v>66339266.992219001</v>
      </c>
      <c r="L64" s="5">
        <f>Table_Query_from_Cello_SQL_Server[[#This Row],[CMO MV]]/Table_Query_from_Cello_SQL_Server[[#This Row],[NAV]]*100</f>
        <v>63.006359749281017</v>
      </c>
    </row>
    <row r="65" spans="1:12" x14ac:dyDescent="0.2">
      <c r="A65" s="1">
        <v>40802</v>
      </c>
      <c r="B65">
        <v>191.3604</v>
      </c>
      <c r="C65">
        <v>39.421500000000002</v>
      </c>
      <c r="D65">
        <v>4.3574000000000002</v>
      </c>
      <c r="F65">
        <v>105156535.3496</v>
      </c>
      <c r="G65">
        <v>181.976707</v>
      </c>
      <c r="H65">
        <v>37.488397999999997</v>
      </c>
      <c r="I65">
        <v>4.1437270000000002</v>
      </c>
      <c r="K65" s="4">
        <f>VLOOKUP(Table_Query_from_Cello_SQL_Server[[#This Row],[AsOfDate]], 'CMO MV Raw'!$A:$B,2,FALSE)</f>
        <v>66118196.485643998</v>
      </c>
      <c r="L65" s="5">
        <f>Table_Query_from_Cello_SQL_Server[[#This Row],[CMO MV]]/Table_Query_from_Cello_SQL_Server[[#This Row],[NAV]]*100</f>
        <v>62.875974627567935</v>
      </c>
    </row>
    <row r="66" spans="1:12" x14ac:dyDescent="0.2">
      <c r="A66" s="1">
        <v>40805</v>
      </c>
      <c r="B66">
        <v>178.51679999999999</v>
      </c>
      <c r="C66">
        <v>34.9255</v>
      </c>
      <c r="D66">
        <v>5.8928000000000003</v>
      </c>
      <c r="F66">
        <v>105309678.9445</v>
      </c>
      <c r="G66">
        <v>169.516042</v>
      </c>
      <c r="H66">
        <v>33.164568000000003</v>
      </c>
      <c r="I66">
        <v>5.5956869999999999</v>
      </c>
      <c r="K66" s="4">
        <f>VLOOKUP(Table_Query_from_Cello_SQL_Server[[#This Row],[AsOfDate]], 'CMO MV Raw'!$A:$B,2,FALSE)</f>
        <v>61751889.821085997</v>
      </c>
      <c r="L66" s="5">
        <f>Table_Query_from_Cello_SQL_Server[[#This Row],[CMO MV]]/Table_Query_from_Cello_SQL_Server[[#This Row],[NAV]]*100</f>
        <v>58.638380099544598</v>
      </c>
    </row>
    <row r="67" spans="1:12" x14ac:dyDescent="0.2">
      <c r="A67" s="1">
        <v>40806</v>
      </c>
      <c r="B67">
        <v>175.38319999999999</v>
      </c>
      <c r="C67">
        <v>34.305500000000002</v>
      </c>
      <c r="D67">
        <v>5.9747000000000003</v>
      </c>
      <c r="F67">
        <v>105406221.0387</v>
      </c>
      <c r="G67">
        <v>166.387902</v>
      </c>
      <c r="H67">
        <v>32.545991999999998</v>
      </c>
      <c r="I67">
        <v>5.6682610000000002</v>
      </c>
      <c r="K67" s="4">
        <f>VLOOKUP(Table_Query_from_Cello_SQL_Server[[#This Row],[AsOfDate]], 'CMO MV Raw'!$A:$B,2,FALSE)</f>
        <v>61389188.394851997</v>
      </c>
      <c r="L67" s="5">
        <f>Table_Query_from_Cello_SQL_Server[[#This Row],[CMO MV]]/Table_Query_from_Cello_SQL_Server[[#This Row],[NAV]]*100</f>
        <v>58.240574218397313</v>
      </c>
    </row>
    <row r="68" spans="1:12" x14ac:dyDescent="0.2">
      <c r="A68" s="1">
        <v>40807</v>
      </c>
      <c r="B68">
        <v>174.20009999999999</v>
      </c>
      <c r="C68">
        <v>31.0014</v>
      </c>
      <c r="D68">
        <v>5.0868000000000002</v>
      </c>
      <c r="F68">
        <v>104198838.06820001</v>
      </c>
      <c r="G68">
        <v>167.180463</v>
      </c>
      <c r="H68">
        <v>29.752154999999998</v>
      </c>
      <c r="I68">
        <v>4.8818200000000003</v>
      </c>
      <c r="K68" s="4">
        <f>VLOOKUP(Table_Query_from_Cello_SQL_Server[[#This Row],[AsOfDate]], 'CMO MV Raw'!$A:$B,2,FALSE)</f>
        <v>60070576.341495998</v>
      </c>
      <c r="L68" s="5">
        <f>Table_Query_from_Cello_SQL_Server[[#This Row],[CMO MV]]/Table_Query_from_Cello_SQL_Server[[#This Row],[NAV]]*100</f>
        <v>57.649948363319304</v>
      </c>
    </row>
    <row r="69" spans="1:12" x14ac:dyDescent="0.2">
      <c r="A69" s="1">
        <v>40808</v>
      </c>
      <c r="B69">
        <v>203.43049999999999</v>
      </c>
      <c r="C69">
        <v>31.523499999999999</v>
      </c>
      <c r="D69">
        <v>4.0426000000000002</v>
      </c>
      <c r="F69">
        <v>103480751.3504</v>
      </c>
      <c r="G69">
        <v>196.58776900000001</v>
      </c>
      <c r="H69">
        <v>30.463152999999998</v>
      </c>
      <c r="I69">
        <v>3.9066200000000002</v>
      </c>
      <c r="K69" s="4">
        <f>VLOOKUP(Table_Query_from_Cello_SQL_Server[[#This Row],[AsOfDate]], 'CMO MV Raw'!$A:$B,2,FALSE)</f>
        <v>59129400.411362998</v>
      </c>
      <c r="L69" s="5">
        <f>Table_Query_from_Cello_SQL_Server[[#This Row],[CMO MV]]/Table_Query_from_Cello_SQL_Server[[#This Row],[NAV]]*100</f>
        <v>57.140482302010689</v>
      </c>
    </row>
    <row r="70" spans="1:12" x14ac:dyDescent="0.2">
      <c r="A70" s="1">
        <v>40809</v>
      </c>
      <c r="B70">
        <v>193.4606</v>
      </c>
      <c r="C70">
        <v>32.6873</v>
      </c>
      <c r="D70">
        <v>5.3113999999999999</v>
      </c>
      <c r="F70">
        <v>104094385.8594</v>
      </c>
      <c r="G70">
        <v>185.85113699999999</v>
      </c>
      <c r="H70">
        <v>31.401596999999999</v>
      </c>
      <c r="I70">
        <v>5.1024849999999997</v>
      </c>
      <c r="K70" s="4">
        <f>VLOOKUP(Table_Query_from_Cello_SQL_Server[[#This Row],[AsOfDate]], 'CMO MV Raw'!$A:$B,2,FALSE)</f>
        <v>59881304.990694001</v>
      </c>
      <c r="L70" s="5">
        <f>Table_Query_from_Cello_SQL_Server[[#This Row],[CMO MV]]/Table_Query_from_Cello_SQL_Server[[#This Row],[NAV]]*100</f>
        <v>57.525969817023096</v>
      </c>
    </row>
    <row r="71" spans="1:12" x14ac:dyDescent="0.2">
      <c r="A71" s="1">
        <v>40812</v>
      </c>
      <c r="B71">
        <v>197.02860000000001</v>
      </c>
      <c r="C71">
        <v>33.776400000000002</v>
      </c>
      <c r="D71">
        <v>4.9969000000000001</v>
      </c>
      <c r="F71">
        <v>104122968.41949999</v>
      </c>
      <c r="G71">
        <v>189.22683699999999</v>
      </c>
      <c r="H71">
        <v>32.438952</v>
      </c>
      <c r="I71">
        <v>4.7990370000000002</v>
      </c>
      <c r="K71" s="4">
        <f>VLOOKUP(Table_Query_from_Cello_SQL_Server[[#This Row],[AsOfDate]], 'CMO MV Raw'!$A:$B,2,FALSE)</f>
        <v>59944269.177933</v>
      </c>
      <c r="L71" s="5">
        <f>Table_Query_from_Cello_SQL_Server[[#This Row],[CMO MV]]/Table_Query_from_Cello_SQL_Server[[#This Row],[NAV]]*100</f>
        <v>57.570649480933092</v>
      </c>
    </row>
    <row r="72" spans="1:12" x14ac:dyDescent="0.2">
      <c r="A72" s="1">
        <v>40813</v>
      </c>
      <c r="B72">
        <v>196.62100000000001</v>
      </c>
      <c r="C72">
        <v>35.140099999999997</v>
      </c>
      <c r="D72">
        <v>5.3444000000000003</v>
      </c>
      <c r="F72">
        <v>104380155.45649999</v>
      </c>
      <c r="G72">
        <v>188.37009699999999</v>
      </c>
      <c r="H72">
        <v>33.665498999999997</v>
      </c>
      <c r="I72">
        <v>5.1201299999999996</v>
      </c>
      <c r="K72" s="4" t="e">
        <f>VLOOKUP(Table_Query_from_Cello_SQL_Server[[#This Row],[AsOfDate]], 'CMO MV Raw'!$A:$B,2,FALSE)</f>
        <v>#N/A</v>
      </c>
      <c r="L72" s="5" t="e">
        <f>Table_Query_from_Cello_SQL_Server[[#This Row],[CMO MV]]/Table_Query_from_Cello_SQL_Server[[#This Row],[NAV]]*100</f>
        <v>#N/A</v>
      </c>
    </row>
    <row r="73" spans="1:12" x14ac:dyDescent="0.2">
      <c r="A73" s="1">
        <v>40814</v>
      </c>
      <c r="B73">
        <v>190.11609999999999</v>
      </c>
      <c r="C73">
        <v>34.186900000000001</v>
      </c>
      <c r="D73">
        <v>5.0987</v>
      </c>
      <c r="F73">
        <v>104183352.3127</v>
      </c>
      <c r="G73">
        <v>182.482226</v>
      </c>
      <c r="H73">
        <v>32.814168000000002</v>
      </c>
      <c r="I73">
        <v>4.8939680000000001</v>
      </c>
      <c r="K73" s="4">
        <f>VLOOKUP(Table_Query_from_Cello_SQL_Server[[#This Row],[AsOfDate]], 'CMO MV Raw'!$A:$B,2,FALSE)</f>
        <v>59835961.002443999</v>
      </c>
      <c r="L73" s="5">
        <f>Table_Query_from_Cello_SQL_Server[[#This Row],[CMO MV]]/Table_Query_from_Cello_SQL_Server[[#This Row],[NAV]]*100</f>
        <v>57.433322766241957</v>
      </c>
    </row>
    <row r="74" spans="1:12" x14ac:dyDescent="0.2">
      <c r="A74" s="1">
        <v>40815</v>
      </c>
      <c r="B74">
        <v>193.79820000000001</v>
      </c>
      <c r="C74">
        <v>33.481000000000002</v>
      </c>
      <c r="D74">
        <v>4.9146999999999998</v>
      </c>
      <c r="F74">
        <v>103687645.41689999</v>
      </c>
      <c r="G74">
        <v>186.905778</v>
      </c>
      <c r="H74">
        <v>32.29025</v>
      </c>
      <c r="I74">
        <v>4.7399089999999999</v>
      </c>
      <c r="K74" s="4" t="e">
        <f>VLOOKUP(Table_Query_from_Cello_SQL_Server[[#This Row],[AsOfDate]], 'CMO MV Raw'!$A:$B,2,FALSE)</f>
        <v>#N/A</v>
      </c>
      <c r="L74" s="5" t="e">
        <f>Table_Query_from_Cello_SQL_Server[[#This Row],[CMO MV]]/Table_Query_from_Cello_SQL_Server[[#This Row],[NAV]]*100</f>
        <v>#N/A</v>
      </c>
    </row>
    <row r="75" spans="1:12" x14ac:dyDescent="0.2">
      <c r="A75" s="1">
        <v>40816</v>
      </c>
      <c r="B75">
        <v>166.48140000000001</v>
      </c>
      <c r="C75">
        <v>28.1999</v>
      </c>
      <c r="D75">
        <v>4.5110000000000001</v>
      </c>
      <c r="F75">
        <v>102993091.08</v>
      </c>
      <c r="G75">
        <v>161.64327</v>
      </c>
      <c r="H75">
        <v>27.380379999999999</v>
      </c>
      <c r="I75">
        <v>4.3799049999999999</v>
      </c>
      <c r="K75" s="4">
        <f>VLOOKUP(Table_Query_from_Cello_SQL_Server[[#This Row],[AsOfDate]], 'CMO MV Raw'!$A:$B,2,FALSE)</f>
        <v>52429524.344803996</v>
      </c>
      <c r="L75" s="5">
        <f>Table_Query_from_Cello_SQL_Server[[#This Row],[CMO MV]]/Table_Query_from_Cello_SQL_Server[[#This Row],[NAV]]*100</f>
        <v>50.905865427496785</v>
      </c>
    </row>
    <row r="76" spans="1:12" x14ac:dyDescent="0.2">
      <c r="A76" s="1">
        <v>40819</v>
      </c>
      <c r="B76">
        <v>172.85210000000001</v>
      </c>
      <c r="C76">
        <v>27.900500000000001</v>
      </c>
      <c r="D76">
        <v>5.1710000000000003</v>
      </c>
      <c r="F76">
        <v>103887489.97050001</v>
      </c>
      <c r="G76">
        <v>166.38394099999999</v>
      </c>
      <c r="H76">
        <v>26.856458</v>
      </c>
      <c r="I76">
        <v>4.9775</v>
      </c>
      <c r="K76" s="4">
        <f>VLOOKUP(Table_Query_from_Cello_SQL_Server[[#This Row],[AsOfDate]], 'CMO MV Raw'!$A:$B,2,FALSE)</f>
        <v>52767754.421351999</v>
      </c>
      <c r="L76" s="5">
        <f>Table_Query_from_Cello_SQL_Server[[#This Row],[CMO MV]]/Table_Query_from_Cello_SQL_Server[[#This Row],[NAV]]*100</f>
        <v>50.793174843608199</v>
      </c>
    </row>
    <row r="77" spans="1:12" x14ac:dyDescent="0.2">
      <c r="A77" s="1">
        <v>40820</v>
      </c>
      <c r="B77">
        <v>168.3203</v>
      </c>
      <c r="C77">
        <v>28.2927</v>
      </c>
      <c r="D77">
        <v>5.3215000000000003</v>
      </c>
      <c r="F77">
        <v>104176851.0979</v>
      </c>
      <c r="G77">
        <v>161.57169099999999</v>
      </c>
      <c r="H77">
        <v>27.158337</v>
      </c>
      <c r="I77">
        <v>5.1081409999999998</v>
      </c>
      <c r="K77" s="4">
        <f>VLOOKUP(Table_Query_from_Cello_SQL_Server[[#This Row],[AsOfDate]], 'CMO MV Raw'!$A:$B,2,FALSE)</f>
        <v>52916247.950714</v>
      </c>
      <c r="L77" s="5">
        <f>Table_Query_from_Cello_SQL_Server[[#This Row],[CMO MV]]/Table_Query_from_Cello_SQL_Server[[#This Row],[NAV]]*100</f>
        <v>50.794631814112002</v>
      </c>
    </row>
    <row r="78" spans="1:12" x14ac:dyDescent="0.2">
      <c r="A78" s="1">
        <v>40821</v>
      </c>
      <c r="B78">
        <v>162.67400000000001</v>
      </c>
      <c r="C78">
        <v>28.482199999999999</v>
      </c>
      <c r="D78">
        <v>5.4131</v>
      </c>
      <c r="F78">
        <v>103983039.77060001</v>
      </c>
      <c r="G78">
        <v>156.44282000000001</v>
      </c>
      <c r="H78">
        <v>27.391197999999999</v>
      </c>
      <c r="I78">
        <v>5.2057529999999996</v>
      </c>
      <c r="K78" s="4">
        <f>VLOOKUP(Table_Query_from_Cello_SQL_Server[[#This Row],[AsOfDate]], 'CMO MV Raw'!$A:$B,2,FALSE)</f>
        <v>53013108.252843</v>
      </c>
      <c r="L78" s="5">
        <f>Table_Query_from_Cello_SQL_Server[[#This Row],[CMO MV]]/Table_Query_from_Cello_SQL_Server[[#This Row],[NAV]]*100</f>
        <v>50.982456725439796</v>
      </c>
    </row>
    <row r="79" spans="1:12" x14ac:dyDescent="0.2">
      <c r="A79" s="1">
        <v>40822</v>
      </c>
      <c r="B79">
        <v>180.9091</v>
      </c>
      <c r="C79">
        <v>30.617999999999999</v>
      </c>
      <c r="D79">
        <v>5.5758999999999999</v>
      </c>
      <c r="F79">
        <v>104068985.87630001</v>
      </c>
      <c r="G79">
        <v>173.835748</v>
      </c>
      <c r="H79">
        <v>29.420869</v>
      </c>
      <c r="I79">
        <v>5.357888</v>
      </c>
      <c r="K79" s="4">
        <f>VLOOKUP(Table_Query_from_Cello_SQL_Server[[#This Row],[AsOfDate]], 'CMO MV Raw'!$A:$B,2,FALSE)</f>
        <v>53364457.375423998</v>
      </c>
      <c r="L79" s="5">
        <f>Table_Query_from_Cello_SQL_Server[[#This Row],[CMO MV]]/Table_Query_from_Cello_SQL_Server[[#This Row],[NAV]]*100</f>
        <v>51.277964252342031</v>
      </c>
    </row>
    <row r="80" spans="1:12" x14ac:dyDescent="0.2">
      <c r="A80" s="1">
        <v>40823</v>
      </c>
      <c r="B80">
        <v>211.89750000000001</v>
      </c>
      <c r="C80">
        <v>33.817300000000003</v>
      </c>
      <c r="D80">
        <v>6.3893000000000004</v>
      </c>
      <c r="F80">
        <v>104096417.3486</v>
      </c>
      <c r="G80">
        <v>203.55887899999999</v>
      </c>
      <c r="H80">
        <v>32.486516999999999</v>
      </c>
      <c r="I80">
        <v>6.137867</v>
      </c>
      <c r="K80" s="4">
        <f>VLOOKUP(Table_Query_from_Cello_SQL_Server[[#This Row],[AsOfDate]], 'CMO MV Raw'!$A:$B,2,FALSE)</f>
        <v>53140695.646173</v>
      </c>
      <c r="L80" s="5">
        <f>Table_Query_from_Cello_SQL_Server[[#This Row],[CMO MV]]/Table_Query_from_Cello_SQL_Server[[#This Row],[NAV]]*100</f>
        <v>51.049495265734713</v>
      </c>
    </row>
    <row r="81" spans="1:12" x14ac:dyDescent="0.2">
      <c r="A81" s="1">
        <v>40827</v>
      </c>
      <c r="B81">
        <v>197.7518</v>
      </c>
      <c r="C81">
        <v>32.559199999999997</v>
      </c>
      <c r="D81">
        <v>5.9352</v>
      </c>
      <c r="F81">
        <v>104038293.97220001</v>
      </c>
      <c r="G81">
        <v>190.075973</v>
      </c>
      <c r="H81">
        <v>31.295400000000001</v>
      </c>
      <c r="I81">
        <v>5.7048230000000002</v>
      </c>
      <c r="K81" s="4" t="e">
        <f>VLOOKUP(Table_Query_from_Cello_SQL_Server[[#This Row],[AsOfDate]], 'CMO MV Raw'!$A:$B,2,FALSE)</f>
        <v>#N/A</v>
      </c>
      <c r="L81" s="5" t="e">
        <f>Table_Query_from_Cello_SQL_Server[[#This Row],[CMO MV]]/Table_Query_from_Cello_SQL_Server[[#This Row],[NAV]]*100</f>
        <v>#N/A</v>
      </c>
    </row>
    <row r="82" spans="1:12" x14ac:dyDescent="0.2">
      <c r="A82" s="1">
        <v>40828</v>
      </c>
      <c r="B82">
        <v>186.7268</v>
      </c>
      <c r="C82">
        <v>31.7882</v>
      </c>
      <c r="D82">
        <v>5.8440000000000003</v>
      </c>
      <c r="F82">
        <v>104222933.08930001</v>
      </c>
      <c r="G82">
        <v>179.16095300000001</v>
      </c>
      <c r="H82">
        <v>30.500197</v>
      </c>
      <c r="I82">
        <v>5.6072110000000004</v>
      </c>
      <c r="K82" s="4">
        <f>VLOOKUP(Table_Query_from_Cello_SQL_Server[[#This Row],[AsOfDate]], 'CMO MV Raw'!$A:$B,2,FALSE)</f>
        <v>52699739.094648004</v>
      </c>
      <c r="L82" s="5">
        <f>Table_Query_from_Cello_SQL_Server[[#This Row],[CMO MV]]/Table_Query_from_Cello_SQL_Server[[#This Row],[NAV]]*100</f>
        <v>50.564436763158405</v>
      </c>
    </row>
    <row r="83" spans="1:12" x14ac:dyDescent="0.2">
      <c r="A83" s="1">
        <v>40829</v>
      </c>
      <c r="B83">
        <v>200.65639999999999</v>
      </c>
      <c r="C83">
        <v>32.582799999999999</v>
      </c>
      <c r="D83">
        <v>6.1554000000000002</v>
      </c>
      <c r="F83">
        <v>104341639.5464</v>
      </c>
      <c r="G83">
        <v>192.307118</v>
      </c>
      <c r="H83">
        <v>31.227035000000001</v>
      </c>
      <c r="I83">
        <v>5.8992750000000003</v>
      </c>
      <c r="K83" s="4">
        <f>VLOOKUP(Table_Query_from_Cello_SQL_Server[[#This Row],[AsOfDate]], 'CMO MV Raw'!$A:$B,2,FALSE)</f>
        <v>52829087.883658998</v>
      </c>
      <c r="L83" s="5">
        <f>Table_Query_from_Cello_SQL_Server[[#This Row],[CMO MV]]/Table_Query_from_Cello_SQL_Server[[#This Row],[NAV]]*100</f>
        <v>50.63087767579718</v>
      </c>
    </row>
    <row r="84" spans="1:12" x14ac:dyDescent="0.2">
      <c r="A84" s="1">
        <v>40830</v>
      </c>
      <c r="B84">
        <v>195.5985</v>
      </c>
      <c r="C84">
        <v>32.546799999999998</v>
      </c>
      <c r="D84">
        <v>5.9993999999999996</v>
      </c>
      <c r="F84">
        <v>104334396.3706</v>
      </c>
      <c r="G84">
        <v>187.472691</v>
      </c>
      <c r="H84">
        <v>31.194697999999999</v>
      </c>
      <c r="I84">
        <v>5.750165</v>
      </c>
      <c r="K84" s="4">
        <f>VLOOKUP(Table_Query_from_Cello_SQL_Server[[#This Row],[AsOfDate]], 'CMO MV Raw'!$A:$B,2,FALSE)</f>
        <v>52718537.284190997</v>
      </c>
      <c r="L84" s="5">
        <f>Table_Query_from_Cello_SQL_Server[[#This Row],[CMO MV]]/Table_Query_from_Cello_SQL_Server[[#This Row],[NAV]]*100</f>
        <v>50.528434646741637</v>
      </c>
    </row>
    <row r="85" spans="1:12" x14ac:dyDescent="0.2">
      <c r="A85" s="1">
        <v>40833</v>
      </c>
      <c r="B85">
        <v>196.23990000000001</v>
      </c>
      <c r="C85">
        <v>31.941700000000001</v>
      </c>
      <c r="D85">
        <v>6.0063000000000004</v>
      </c>
      <c r="F85">
        <v>104254211.7562</v>
      </c>
      <c r="G85">
        <v>188.23210800000001</v>
      </c>
      <c r="H85">
        <v>30.638283000000001</v>
      </c>
      <c r="I85">
        <v>5.7612059999999996</v>
      </c>
      <c r="K85" s="4">
        <f>VLOOKUP(Table_Query_from_Cello_SQL_Server[[#This Row],[AsOfDate]], 'CMO MV Raw'!$A:$B,2,FALSE)</f>
        <v>52509837.304903001</v>
      </c>
      <c r="L85" s="5">
        <f>Table_Query_from_Cello_SQL_Server[[#This Row],[CMO MV]]/Table_Query_from_Cello_SQL_Server[[#This Row],[NAV]]*100</f>
        <v>50.36711363536854</v>
      </c>
    </row>
    <row r="86" spans="1:12" x14ac:dyDescent="0.2">
      <c r="A86" s="1">
        <v>40834</v>
      </c>
      <c r="B86">
        <v>193.62039999999999</v>
      </c>
      <c r="C86">
        <v>31.4453</v>
      </c>
      <c r="D86">
        <v>5.94</v>
      </c>
      <c r="F86">
        <v>104096074.64390001</v>
      </c>
      <c r="G86">
        <v>186.001634</v>
      </c>
      <c r="H86">
        <v>30.207958999999999</v>
      </c>
      <c r="I86">
        <v>5.7062670000000004</v>
      </c>
      <c r="K86" s="4">
        <f>VLOOKUP(Table_Query_from_Cello_SQL_Server[[#This Row],[AsOfDate]], 'CMO MV Raw'!$A:$B,2,FALSE)</f>
        <v>52268970.537687004</v>
      </c>
      <c r="L86" s="5">
        <f>Table_Query_from_Cello_SQL_Server[[#This Row],[CMO MV]]/Table_Query_from_Cello_SQL_Server[[#This Row],[NAV]]*100</f>
        <v>50.212239718445474</v>
      </c>
    </row>
    <row r="87" spans="1:12" x14ac:dyDescent="0.2">
      <c r="A87" s="1">
        <v>40835</v>
      </c>
      <c r="B87">
        <v>190.6439</v>
      </c>
      <c r="C87">
        <v>31.290099999999999</v>
      </c>
      <c r="D87">
        <v>5.9124999999999996</v>
      </c>
      <c r="F87">
        <v>104182129.6399</v>
      </c>
      <c r="G87">
        <v>182.99098000000001</v>
      </c>
      <c r="H87">
        <v>30.034037999999999</v>
      </c>
      <c r="I87">
        <v>5.6751579999999997</v>
      </c>
      <c r="K87" s="4">
        <f>VLOOKUP(Table_Query_from_Cello_SQL_Server[[#This Row],[AsOfDate]], 'CMO MV Raw'!$A:$B,2,FALSE)</f>
        <v>51761763.571117997</v>
      </c>
      <c r="L87" s="5">
        <f>Table_Query_from_Cello_SQL_Server[[#This Row],[CMO MV]]/Table_Query_from_Cello_SQL_Server[[#This Row],[NAV]]*100</f>
        <v>49.68391772181063</v>
      </c>
    </row>
    <row r="88" spans="1:12" x14ac:dyDescent="0.2">
      <c r="A88" s="1">
        <v>40836</v>
      </c>
      <c r="B88">
        <v>188.93350000000001</v>
      </c>
      <c r="C88">
        <v>31.415299999999998</v>
      </c>
      <c r="D88">
        <v>5.9298000000000002</v>
      </c>
      <c r="F88">
        <v>104228589.1283</v>
      </c>
      <c r="G88">
        <v>181.268404</v>
      </c>
      <c r="H88">
        <v>30.140771000000001</v>
      </c>
      <c r="I88">
        <v>5.6892259999999997</v>
      </c>
      <c r="K88" s="4">
        <f>VLOOKUP(Table_Query_from_Cello_SQL_Server[[#This Row],[AsOfDate]], 'CMO MV Raw'!$A:$B,2,FALSE)</f>
        <v>51863691.735422</v>
      </c>
      <c r="L88" s="5">
        <f>Table_Query_from_Cello_SQL_Server[[#This Row],[CMO MV]]/Table_Query_from_Cello_SQL_Server[[#This Row],[NAV]]*100</f>
        <v>49.759564212828863</v>
      </c>
    </row>
    <row r="89" spans="1:12" x14ac:dyDescent="0.2">
      <c r="A89" s="1">
        <v>40837</v>
      </c>
      <c r="B89">
        <v>187.43279999999999</v>
      </c>
      <c r="C89">
        <v>31.305</v>
      </c>
      <c r="D89">
        <v>5.8986000000000001</v>
      </c>
      <c r="F89">
        <v>104132695.9897</v>
      </c>
      <c r="G89">
        <v>179.99418700000001</v>
      </c>
      <c r="H89">
        <v>30.062604</v>
      </c>
      <c r="I89">
        <v>5.6645029999999998</v>
      </c>
      <c r="K89" s="4">
        <f>VLOOKUP(Table_Query_from_Cello_SQL_Server[[#This Row],[AsOfDate]], 'CMO MV Raw'!$A:$B,2,FALSE)</f>
        <v>51783317.531493001</v>
      </c>
      <c r="L89" s="5">
        <f>Table_Query_from_Cello_SQL_Server[[#This Row],[CMO MV]]/Table_Query_from_Cello_SQL_Server[[#This Row],[NAV]]*100</f>
        <v>49.728202116859634</v>
      </c>
    </row>
    <row r="90" spans="1:12" x14ac:dyDescent="0.2">
      <c r="A90" s="1">
        <v>40840</v>
      </c>
      <c r="B90">
        <v>176.12739999999999</v>
      </c>
      <c r="C90">
        <v>30.069099999999999</v>
      </c>
      <c r="D90">
        <v>6.0659000000000001</v>
      </c>
      <c r="F90">
        <v>103314281.6441</v>
      </c>
      <c r="G90">
        <v>170.47730200000001</v>
      </c>
      <c r="H90">
        <v>29.104495</v>
      </c>
      <c r="I90">
        <v>5.871308</v>
      </c>
      <c r="K90" s="4">
        <f>VLOOKUP(Table_Query_from_Cello_SQL_Server[[#This Row],[AsOfDate]], 'CMO MV Raw'!$A:$B,2,FALSE)</f>
        <v>51089187.765405998</v>
      </c>
      <c r="L90" s="5">
        <f>Table_Query_from_Cello_SQL_Server[[#This Row],[CMO MV]]/Table_Query_from_Cello_SQL_Server[[#This Row],[NAV]]*100</f>
        <v>49.450266654710425</v>
      </c>
    </row>
    <row r="91" spans="1:12" x14ac:dyDescent="0.2">
      <c r="A91" s="1">
        <v>40841</v>
      </c>
      <c r="B91">
        <v>179.89099999999999</v>
      </c>
      <c r="C91">
        <v>29.552199999999999</v>
      </c>
      <c r="D91">
        <v>6.0366</v>
      </c>
      <c r="F91">
        <v>103345541.1584</v>
      </c>
      <c r="G91">
        <v>174.0675</v>
      </c>
      <c r="H91">
        <v>28.595524999999999</v>
      </c>
      <c r="I91">
        <v>5.8411809999999997</v>
      </c>
      <c r="K91" s="4">
        <f>VLOOKUP(Table_Query_from_Cello_SQL_Server[[#This Row],[AsOfDate]], 'CMO MV Raw'!$A:$B,2,FALSE)</f>
        <v>51202683.019643001</v>
      </c>
      <c r="L91" s="5">
        <f>Table_Query_from_Cello_SQL_Server[[#This Row],[CMO MV]]/Table_Query_from_Cello_SQL_Server[[#This Row],[NAV]]*100</f>
        <v>49.545130293684871</v>
      </c>
    </row>
    <row r="92" spans="1:12" x14ac:dyDescent="0.2">
      <c r="A92" s="1">
        <v>40842</v>
      </c>
      <c r="B92">
        <v>175.999</v>
      </c>
      <c r="C92">
        <v>29.741099999999999</v>
      </c>
      <c r="D92">
        <v>6.0458999999999996</v>
      </c>
      <c r="F92">
        <v>103209353.6657</v>
      </c>
      <c r="G92">
        <v>170.52621099999999</v>
      </c>
      <c r="H92">
        <v>28.816284</v>
      </c>
      <c r="I92">
        <v>5.8578989999999997</v>
      </c>
      <c r="K92" s="4">
        <f>VLOOKUP(Table_Query_from_Cello_SQL_Server[[#This Row],[AsOfDate]], 'CMO MV Raw'!$A:$B,2,FALSE)</f>
        <v>51008408.513728999</v>
      </c>
      <c r="L92" s="5">
        <f>Table_Query_from_Cello_SQL_Server[[#This Row],[CMO MV]]/Table_Query_from_Cello_SQL_Server[[#This Row],[NAV]]*100</f>
        <v>49.422272984043339</v>
      </c>
    </row>
    <row r="93" spans="1:12" x14ac:dyDescent="0.2">
      <c r="A93" s="1">
        <v>40843</v>
      </c>
      <c r="B93">
        <v>139.14670000000001</v>
      </c>
      <c r="C93">
        <v>25.536000000000001</v>
      </c>
      <c r="D93">
        <v>6.0877999999999997</v>
      </c>
      <c r="F93">
        <v>103630223.12909999</v>
      </c>
      <c r="G93">
        <v>134.27231499999999</v>
      </c>
      <c r="H93">
        <v>24.641459999999999</v>
      </c>
      <c r="I93">
        <v>5.8745409999999998</v>
      </c>
      <c r="K93" s="4">
        <f>VLOOKUP(Table_Query_from_Cello_SQL_Server[[#This Row],[AsOfDate]], 'CMO MV Raw'!$A:$B,2,FALSE)</f>
        <v>46631568.354817003</v>
      </c>
      <c r="L93" s="5">
        <f>Table_Query_from_Cello_SQL_Server[[#This Row],[CMO MV]]/Table_Query_from_Cello_SQL_Server[[#This Row],[NAV]]*100</f>
        <v>44.998039130654519</v>
      </c>
    </row>
    <row r="94" spans="1:12" x14ac:dyDescent="0.2">
      <c r="A94" s="1">
        <v>40844</v>
      </c>
      <c r="B94">
        <v>142.8682</v>
      </c>
      <c r="C94">
        <v>25.386700000000001</v>
      </c>
      <c r="D94">
        <v>6.2388000000000003</v>
      </c>
      <c r="F94">
        <v>103782330.0924</v>
      </c>
      <c r="G94">
        <v>137.66139200000001</v>
      </c>
      <c r="H94">
        <v>24.461486000000001</v>
      </c>
      <c r="I94">
        <v>6.0114280000000004</v>
      </c>
      <c r="K94" s="4">
        <f>VLOOKUP(Table_Query_from_Cello_SQL_Server[[#This Row],[AsOfDate]], 'CMO MV Raw'!$A:$B,2,FALSE)</f>
        <v>46896791.378288999</v>
      </c>
      <c r="L94" s="5">
        <f>Table_Query_from_Cello_SQL_Server[[#This Row],[CMO MV]]/Table_Query_from_Cello_SQL_Server[[#This Row],[NAV]]*100</f>
        <v>45.187645465789423</v>
      </c>
    </row>
    <row r="95" spans="1:12" x14ac:dyDescent="0.2">
      <c r="A95" s="1">
        <v>40847</v>
      </c>
      <c r="B95">
        <v>153.9864</v>
      </c>
      <c r="C95">
        <v>25.7425</v>
      </c>
      <c r="D95">
        <v>6.0697000000000001</v>
      </c>
      <c r="F95">
        <v>104103553.0147</v>
      </c>
      <c r="G95">
        <v>147.91656499999999</v>
      </c>
      <c r="H95">
        <v>24.727782000000001</v>
      </c>
      <c r="I95">
        <v>5.8304450000000001</v>
      </c>
      <c r="K95" s="4">
        <f>VLOOKUP(Table_Query_from_Cello_SQL_Server[[#This Row],[AsOfDate]], 'CMO MV Raw'!$A:$B,2,FALSE)</f>
        <v>46932219.740194</v>
      </c>
      <c r="L95" s="5">
        <f>Table_Query_from_Cello_SQL_Server[[#This Row],[CMO MV]]/Table_Query_from_Cello_SQL_Server[[#This Row],[NAV]]*100</f>
        <v>45.082245880279331</v>
      </c>
    </row>
    <row r="96" spans="1:12" x14ac:dyDescent="0.2">
      <c r="A96" s="1">
        <v>40848</v>
      </c>
      <c r="B96">
        <v>162.85390000000001</v>
      </c>
      <c r="C96">
        <v>25.4101</v>
      </c>
      <c r="D96">
        <v>5.5938999999999997</v>
      </c>
      <c r="F96">
        <v>105321937.35349999</v>
      </c>
      <c r="G96">
        <v>154.62486200000001</v>
      </c>
      <c r="H96">
        <v>24.126123</v>
      </c>
      <c r="I96">
        <v>5.3112389999999996</v>
      </c>
      <c r="K96" s="4">
        <f>VLOOKUP(Table_Query_from_Cello_SQL_Server[[#This Row],[AsOfDate]], 'CMO MV Raw'!$A:$B,2,FALSE)</f>
        <v>46556355.319439001</v>
      </c>
      <c r="L96" s="5">
        <f>Table_Query_from_Cello_SQL_Server[[#This Row],[CMO MV]]/Table_Query_from_Cello_SQL_Server[[#This Row],[NAV]]*100</f>
        <v>44.203853906692189</v>
      </c>
    </row>
    <row r="97" spans="1:12" x14ac:dyDescent="0.2">
      <c r="A97" s="1">
        <v>40849</v>
      </c>
      <c r="B97">
        <v>160.20609999999999</v>
      </c>
      <c r="C97">
        <v>25.250399999999999</v>
      </c>
      <c r="D97">
        <v>6.0126999999999997</v>
      </c>
      <c r="F97">
        <v>105422457.6488</v>
      </c>
      <c r="G97">
        <v>151.96581800000001</v>
      </c>
      <c r="H97">
        <v>23.951633000000001</v>
      </c>
      <c r="I97">
        <v>5.7034339999999997</v>
      </c>
      <c r="K97" s="4">
        <f>VLOOKUP(Table_Query_from_Cello_SQL_Server[[#This Row],[AsOfDate]], 'CMO MV Raw'!$A:$B,2,FALSE)</f>
        <v>46846978.336061999</v>
      </c>
      <c r="L97" s="5">
        <f>Table_Query_from_Cello_SQL_Server[[#This Row],[CMO MV]]/Table_Query_from_Cello_SQL_Server[[#This Row],[NAV]]*100</f>
        <v>44.437380213735942</v>
      </c>
    </row>
    <row r="98" spans="1:12" x14ac:dyDescent="0.2">
      <c r="A98" s="1">
        <v>40850</v>
      </c>
      <c r="B98">
        <v>168.60550000000001</v>
      </c>
      <c r="C98">
        <v>27.674499999999998</v>
      </c>
      <c r="D98">
        <v>16.2239</v>
      </c>
      <c r="F98">
        <v>105424611.3976</v>
      </c>
      <c r="G98">
        <v>159.929923</v>
      </c>
      <c r="H98">
        <v>26.250512000000001</v>
      </c>
      <c r="I98">
        <v>15.389101</v>
      </c>
      <c r="K98" s="4">
        <f>VLOOKUP(Table_Query_from_Cello_SQL_Server[[#This Row],[AsOfDate]], 'CMO MV Raw'!$A:$B,2,FALSE)</f>
        <v>49613010.246946</v>
      </c>
      <c r="L98" s="5">
        <f>Table_Query_from_Cello_SQL_Server[[#This Row],[CMO MV]]/Table_Query_from_Cello_SQL_Server[[#This Row],[NAV]]*100</f>
        <v>47.060178443375747</v>
      </c>
    </row>
    <row r="99" spans="1:12" x14ac:dyDescent="0.2">
      <c r="A99" s="1">
        <v>40851</v>
      </c>
      <c r="B99">
        <v>178.2039</v>
      </c>
      <c r="C99">
        <v>28.629899999999999</v>
      </c>
      <c r="D99">
        <v>16.782900000000001</v>
      </c>
      <c r="F99">
        <v>105288019.442</v>
      </c>
      <c r="G99">
        <v>169.25372999999999</v>
      </c>
      <c r="H99">
        <v>27.191983</v>
      </c>
      <c r="I99">
        <v>15.93999</v>
      </c>
      <c r="K99" s="4">
        <f>VLOOKUP(Table_Query_from_Cello_SQL_Server[[#This Row],[AsOfDate]], 'CMO MV Raw'!$A:$B,2,FALSE)</f>
        <v>51705613.813221999</v>
      </c>
      <c r="L99" s="5">
        <f>Table_Query_from_Cello_SQL_Server[[#This Row],[CMO MV]]/Table_Query_from_Cello_SQL_Server[[#This Row],[NAV]]*100</f>
        <v>49.108734390910506</v>
      </c>
    </row>
    <row r="100" spans="1:12" x14ac:dyDescent="0.2">
      <c r="A100" s="1">
        <v>40854</v>
      </c>
      <c r="B100">
        <v>194.3888</v>
      </c>
      <c r="C100">
        <v>30.249700000000001</v>
      </c>
      <c r="D100">
        <v>16.946300000000001</v>
      </c>
      <c r="F100">
        <v>105325031.43350001</v>
      </c>
      <c r="G100">
        <v>184.56087500000001</v>
      </c>
      <c r="H100">
        <v>28.720333</v>
      </c>
      <c r="I100">
        <v>16.089528000000001</v>
      </c>
      <c r="K100" s="4">
        <f>VLOOKUP(Table_Query_from_Cello_SQL_Server[[#This Row],[AsOfDate]], 'CMO MV Raw'!$A:$B,2,FALSE)</f>
        <v>51611289.236042</v>
      </c>
      <c r="L100" s="5">
        <f>Table_Query_from_Cello_SQL_Server[[#This Row],[CMO MV]]/Table_Query_from_Cello_SQL_Server[[#This Row],[NAV]]*100</f>
        <v>49.001921512483264</v>
      </c>
    </row>
    <row r="101" spans="1:12" x14ac:dyDescent="0.2">
      <c r="A101" s="1">
        <v>40855</v>
      </c>
      <c r="B101">
        <v>200.3954</v>
      </c>
      <c r="C101">
        <v>31.184799999999999</v>
      </c>
      <c r="D101">
        <v>17.9849</v>
      </c>
      <c r="F101">
        <v>105287173.9826</v>
      </c>
      <c r="G101">
        <v>190.33220499999999</v>
      </c>
      <c r="H101">
        <v>29.618801999999999</v>
      </c>
      <c r="I101">
        <v>17.081758000000001</v>
      </c>
      <c r="K101" s="4">
        <f>VLOOKUP(Table_Query_from_Cello_SQL_Server[[#This Row],[AsOfDate]], 'CMO MV Raw'!$A:$B,2,FALSE)</f>
        <v>51317962.611910999</v>
      </c>
      <c r="L101" s="5">
        <f>Table_Query_from_Cello_SQL_Server[[#This Row],[CMO MV]]/Table_Query_from_Cello_SQL_Server[[#This Row],[NAV]]*100</f>
        <v>48.740944096753822</v>
      </c>
    </row>
    <row r="102" spans="1:12" x14ac:dyDescent="0.2">
      <c r="A102" s="1">
        <v>40856</v>
      </c>
      <c r="B102">
        <v>203.2269</v>
      </c>
      <c r="C102">
        <v>30.7499</v>
      </c>
      <c r="D102">
        <v>17.593399999999999</v>
      </c>
      <c r="F102">
        <v>105440688.5801</v>
      </c>
      <c r="G102">
        <v>192.74048999999999</v>
      </c>
      <c r="H102">
        <v>29.163219999999999</v>
      </c>
      <c r="I102">
        <v>16.685589</v>
      </c>
      <c r="K102" s="4">
        <f>VLOOKUP(Table_Query_from_Cello_SQL_Server[[#This Row],[AsOfDate]], 'CMO MV Raw'!$A:$B,2,FALSE)</f>
        <v>50841011.456905</v>
      </c>
      <c r="L102" s="5">
        <f>Table_Query_from_Cello_SQL_Server[[#This Row],[CMO MV]]/Table_Query_from_Cello_SQL_Server[[#This Row],[NAV]]*100</f>
        <v>48.217639832921492</v>
      </c>
    </row>
    <row r="103" spans="1:12" x14ac:dyDescent="0.2">
      <c r="A103" s="1">
        <v>40857</v>
      </c>
      <c r="B103">
        <v>210.08750000000001</v>
      </c>
      <c r="C103">
        <v>32.7879</v>
      </c>
      <c r="D103">
        <v>16.5852</v>
      </c>
      <c r="F103">
        <v>105151842.4218</v>
      </c>
      <c r="G103">
        <v>199.79440700000001</v>
      </c>
      <c r="H103">
        <v>31.181479</v>
      </c>
      <c r="I103">
        <v>15.77262</v>
      </c>
      <c r="K103" s="4">
        <f>VLOOKUP(Table_Query_from_Cello_SQL_Server[[#This Row],[AsOfDate]], 'CMO MV Raw'!$A:$B,2,FALSE)</f>
        <v>54821004.328351997</v>
      </c>
      <c r="L103" s="5">
        <f>Table_Query_from_Cello_SQL_Server[[#This Row],[CMO MV]]/Table_Query_from_Cello_SQL_Server[[#This Row],[NAV]]*100</f>
        <v>52.135086809459985</v>
      </c>
    </row>
    <row r="104" spans="1:12" x14ac:dyDescent="0.2">
      <c r="A104" s="1">
        <v>40861</v>
      </c>
      <c r="B104">
        <v>206.69489999999999</v>
      </c>
      <c r="C104">
        <v>32.314999999999998</v>
      </c>
      <c r="D104">
        <v>16.631699999999999</v>
      </c>
      <c r="F104">
        <v>105092038.3714</v>
      </c>
      <c r="G104">
        <v>196.67988500000001</v>
      </c>
      <c r="H104">
        <v>30.749237000000001</v>
      </c>
      <c r="I104">
        <v>15.825842</v>
      </c>
      <c r="K104" s="4">
        <f>VLOOKUP(Table_Query_from_Cello_SQL_Server[[#This Row],[AsOfDate]], 'CMO MV Raw'!$A:$B,2,FALSE)</f>
        <v>54628377.888452001</v>
      </c>
      <c r="L104" s="5">
        <f>Table_Query_from_Cello_SQL_Server[[#This Row],[CMO MV]]/Table_Query_from_Cello_SQL_Server[[#This Row],[NAV]]*100</f>
        <v>51.981461902368721</v>
      </c>
    </row>
    <row r="105" spans="1:12" x14ac:dyDescent="0.2">
      <c r="A105" s="1">
        <v>40862</v>
      </c>
      <c r="B105">
        <v>263.17059999999998</v>
      </c>
      <c r="C105">
        <v>41.335799999999999</v>
      </c>
      <c r="D105">
        <v>11.613300000000001</v>
      </c>
      <c r="F105">
        <v>105125013.1751</v>
      </c>
      <c r="G105">
        <v>250.340611</v>
      </c>
      <c r="H105">
        <v>39.320613000000002</v>
      </c>
      <c r="I105">
        <v>11.047133000000001</v>
      </c>
      <c r="K105" s="4">
        <f>VLOOKUP(Table_Query_from_Cello_SQL_Server[[#This Row],[AsOfDate]], 'CMO MV Raw'!$A:$B,2,FALSE)</f>
        <v>61830275.644139998</v>
      </c>
      <c r="L105" s="5">
        <f>Table_Query_from_Cello_SQL_Server[[#This Row],[CMO MV]]/Table_Query_from_Cello_SQL_Server[[#This Row],[NAV]]*100</f>
        <v>58.815950435272022</v>
      </c>
    </row>
    <row r="106" spans="1:12" x14ac:dyDescent="0.2">
      <c r="A106" s="1">
        <v>40863</v>
      </c>
      <c r="B106">
        <v>249.8305</v>
      </c>
      <c r="C106">
        <v>39.167499999999997</v>
      </c>
      <c r="D106">
        <v>9.7022999999999993</v>
      </c>
      <c r="F106">
        <v>105117725.55050001</v>
      </c>
      <c r="G106">
        <v>237.667338</v>
      </c>
      <c r="H106">
        <v>37.260604999999998</v>
      </c>
      <c r="I106">
        <v>9.2299369999999996</v>
      </c>
      <c r="K106" s="4">
        <f>VLOOKUP(Table_Query_from_Cello_SQL_Server[[#This Row],[AsOfDate]], 'CMO MV Raw'!$A:$B,2,FALSE)</f>
        <v>55479064.383339003</v>
      </c>
      <c r="L106" s="5">
        <f>Table_Query_from_Cello_SQL_Server[[#This Row],[CMO MV]]/Table_Query_from_Cello_SQL_Server[[#This Row],[NAV]]*100</f>
        <v>52.778029673678674</v>
      </c>
    </row>
    <row r="107" spans="1:12" x14ac:dyDescent="0.2">
      <c r="A107" s="1">
        <v>40864</v>
      </c>
      <c r="B107">
        <v>287.86810000000003</v>
      </c>
      <c r="C107">
        <v>44.266599999999997</v>
      </c>
      <c r="D107">
        <v>19.4285</v>
      </c>
      <c r="F107">
        <v>105186770.1006</v>
      </c>
      <c r="G107">
        <v>273.673295</v>
      </c>
      <c r="H107">
        <v>42.08381</v>
      </c>
      <c r="I107">
        <v>18.470479000000001</v>
      </c>
      <c r="K107" s="4">
        <f>VLOOKUP(Table_Query_from_Cello_SQL_Server[[#This Row],[AsOfDate]], 'CMO MV Raw'!$A:$B,2,FALSE)</f>
        <v>60763345.064906001</v>
      </c>
      <c r="L107" s="5">
        <f>Table_Query_from_Cello_SQL_Server[[#This Row],[CMO MV]]/Table_Query_from_Cello_SQL_Server[[#This Row],[NAV]]*100</f>
        <v>57.767098473308288</v>
      </c>
    </row>
    <row r="108" spans="1:12" x14ac:dyDescent="0.2">
      <c r="A108" s="1">
        <v>40865</v>
      </c>
      <c r="B108">
        <v>281.12169999999998</v>
      </c>
      <c r="C108">
        <v>44.533099999999997</v>
      </c>
      <c r="D108">
        <v>19.6982</v>
      </c>
      <c r="F108">
        <v>105003192.90979999</v>
      </c>
      <c r="G108">
        <v>267.726811</v>
      </c>
      <c r="H108">
        <v>42.411186999999998</v>
      </c>
      <c r="I108">
        <v>18.759620000000002</v>
      </c>
      <c r="K108" s="4">
        <f>VLOOKUP(Table_Query_from_Cello_SQL_Server[[#This Row],[AsOfDate]], 'CMO MV Raw'!$A:$B,2,FALSE)</f>
        <v>60955349.302711003</v>
      </c>
      <c r="L108" s="5">
        <f>Table_Query_from_Cello_SQL_Server[[#This Row],[CMO MV]]/Table_Query_from_Cello_SQL_Server[[#This Row],[NAV]]*100</f>
        <v>58.050948369801446</v>
      </c>
    </row>
    <row r="109" spans="1:12" x14ac:dyDescent="0.2">
      <c r="A109" s="1">
        <v>40868</v>
      </c>
      <c r="B109">
        <v>346.59730000000002</v>
      </c>
      <c r="C109">
        <v>54.059699999999999</v>
      </c>
      <c r="D109">
        <v>13.1943</v>
      </c>
      <c r="F109">
        <v>105120768.0966</v>
      </c>
      <c r="G109">
        <v>329.71343899999999</v>
      </c>
      <c r="H109">
        <v>51.426279000000001</v>
      </c>
      <c r="I109">
        <v>12.551564000000001</v>
      </c>
      <c r="K109" s="4">
        <f>VLOOKUP(Table_Query_from_Cello_SQL_Server[[#This Row],[AsOfDate]], 'CMO MV Raw'!$A:$B,2,FALSE)</f>
        <v>68791453.113769993</v>
      </c>
      <c r="L109" s="5">
        <f>Table_Query_from_Cello_SQL_Server[[#This Row],[CMO MV]]/Table_Query_from_Cello_SQL_Server[[#This Row],[NAV]]*100</f>
        <v>65.440401891426987</v>
      </c>
    </row>
    <row r="110" spans="1:12" x14ac:dyDescent="0.2">
      <c r="A110" s="1">
        <v>40869</v>
      </c>
      <c r="B110">
        <v>341.5181</v>
      </c>
      <c r="C110">
        <v>52.847999999999999</v>
      </c>
      <c r="D110">
        <v>13.215199999999999</v>
      </c>
      <c r="F110">
        <v>105087689.1849</v>
      </c>
      <c r="G110">
        <v>324.98392799999999</v>
      </c>
      <c r="H110">
        <v>50.289430000000003</v>
      </c>
      <c r="I110">
        <v>12.575403</v>
      </c>
      <c r="K110" s="4">
        <f>VLOOKUP(Table_Query_from_Cello_SQL_Server[[#This Row],[AsOfDate]], 'CMO MV Raw'!$A:$B,2,FALSE)</f>
        <v>68561938.791693002</v>
      </c>
      <c r="L110" s="5">
        <f>Table_Query_from_Cello_SQL_Server[[#This Row],[CMO MV]]/Table_Query_from_Cello_SQL_Server[[#This Row],[NAV]]*100</f>
        <v>65.242598180134536</v>
      </c>
    </row>
    <row r="111" spans="1:12" x14ac:dyDescent="0.2">
      <c r="A111" s="1">
        <v>40870</v>
      </c>
      <c r="B111">
        <v>333.55009999999999</v>
      </c>
      <c r="C111">
        <v>51.966299999999997</v>
      </c>
      <c r="D111">
        <v>13.4565</v>
      </c>
      <c r="F111">
        <v>106100483.1662</v>
      </c>
      <c r="G111">
        <v>314.37189499999999</v>
      </c>
      <c r="H111">
        <v>48.978382000000003</v>
      </c>
      <c r="I111">
        <v>12.682789</v>
      </c>
      <c r="K111" s="4">
        <f>VLOOKUP(Table_Query_from_Cello_SQL_Server[[#This Row],[AsOfDate]], 'CMO MV Raw'!$A:$B,2,FALSE)</f>
        <v>68379303.112655997</v>
      </c>
      <c r="L111" s="5">
        <f>Table_Query_from_Cello_SQL_Server[[#This Row],[CMO MV]]/Table_Query_from_Cello_SQL_Server[[#This Row],[NAV]]*100</f>
        <v>64.447683056771709</v>
      </c>
    </row>
    <row r="112" spans="1:12" x14ac:dyDescent="0.2">
      <c r="A112" s="1">
        <v>40872</v>
      </c>
      <c r="B112">
        <v>332.637</v>
      </c>
      <c r="C112">
        <v>53.731400000000001</v>
      </c>
      <c r="D112">
        <v>13.6319</v>
      </c>
      <c r="F112">
        <v>105574521.52240001</v>
      </c>
      <c r="G112">
        <v>315.07317799999998</v>
      </c>
      <c r="H112">
        <v>50.894286999999998</v>
      </c>
      <c r="I112">
        <v>12.912112</v>
      </c>
      <c r="K112" s="4">
        <f>VLOOKUP(Table_Query_from_Cello_SQL_Server[[#This Row],[AsOfDate]], 'CMO MV Raw'!$A:$B,2,FALSE)</f>
        <v>68620425.373119995</v>
      </c>
      <c r="L112" s="5">
        <f>Table_Query_from_Cello_SQL_Server[[#This Row],[CMO MV]]/Table_Query_from_Cello_SQL_Server[[#This Row],[NAV]]*100</f>
        <v>64.997145507839818</v>
      </c>
    </row>
    <row r="113" spans="1:12" x14ac:dyDescent="0.2">
      <c r="A113" s="1">
        <v>40875</v>
      </c>
      <c r="B113">
        <v>327.88929999999999</v>
      </c>
      <c r="C113">
        <v>52.641800000000003</v>
      </c>
      <c r="D113">
        <v>13.2296</v>
      </c>
      <c r="F113">
        <v>105234282.1234</v>
      </c>
      <c r="G113">
        <v>311.580308</v>
      </c>
      <c r="H113">
        <v>50.023432</v>
      </c>
      <c r="I113">
        <v>12.571569</v>
      </c>
      <c r="K113" s="4">
        <f>VLOOKUP(Table_Query_from_Cello_SQL_Server[[#This Row],[AsOfDate]], 'CMO MV Raw'!$A:$B,2,FALSE)</f>
        <v>68176250.758807003</v>
      </c>
      <c r="L113" s="5">
        <f>Table_Query_from_Cello_SQL_Server[[#This Row],[CMO MV]]/Table_Query_from_Cello_SQL_Server[[#This Row],[NAV]]*100</f>
        <v>64.785210088535649</v>
      </c>
    </row>
    <row r="114" spans="1:12" x14ac:dyDescent="0.2">
      <c r="A114" s="1">
        <v>40876</v>
      </c>
      <c r="B114">
        <v>327.28179999999998</v>
      </c>
      <c r="C114">
        <v>52.629199999999997</v>
      </c>
      <c r="D114">
        <v>12.808299999999999</v>
      </c>
      <c r="F114">
        <v>104609781.4552</v>
      </c>
      <c r="G114">
        <v>312.85965399999998</v>
      </c>
      <c r="H114">
        <v>50.310017999999999</v>
      </c>
      <c r="I114">
        <v>12.243884</v>
      </c>
      <c r="K114" s="4">
        <f>VLOOKUP(Table_Query_from_Cello_SQL_Server[[#This Row],[AsOfDate]], 'CMO MV Raw'!$A:$B,2,FALSE)</f>
        <v>68287613.027890995</v>
      </c>
      <c r="L114" s="5">
        <f>Table_Query_from_Cello_SQL_Server[[#This Row],[CMO MV]]/Table_Query_from_Cello_SQL_Server[[#This Row],[NAV]]*100</f>
        <v>65.278420505195029</v>
      </c>
    </row>
    <row r="115" spans="1:12" x14ac:dyDescent="0.2">
      <c r="A115" s="1">
        <v>40877</v>
      </c>
      <c r="B115">
        <v>327.18490000000003</v>
      </c>
      <c r="C115">
        <v>53.233800000000002</v>
      </c>
      <c r="D115">
        <v>12.580399999999999</v>
      </c>
      <c r="F115">
        <v>104310218.3889</v>
      </c>
      <c r="G115">
        <v>313.66524299999998</v>
      </c>
      <c r="H115">
        <v>51.034117999999999</v>
      </c>
      <c r="I115">
        <v>12.060563</v>
      </c>
      <c r="K115" s="4">
        <f>VLOOKUP(Table_Query_from_Cello_SQL_Server[[#This Row],[AsOfDate]], 'CMO MV Raw'!$A:$B,2,FALSE)</f>
        <v>69779757.096002996</v>
      </c>
      <c r="L115" s="5">
        <f>Table_Query_from_Cello_SQL_Server[[#This Row],[CMO MV]]/Table_Query_from_Cello_SQL_Server[[#This Row],[NAV]]*100</f>
        <v>66.896377146717285</v>
      </c>
    </row>
    <row r="116" spans="1:12" x14ac:dyDescent="0.2">
      <c r="A116" s="1">
        <v>40878</v>
      </c>
      <c r="B116">
        <v>326.13920000000002</v>
      </c>
      <c r="C116">
        <v>53.815399999999997</v>
      </c>
      <c r="D116">
        <v>62.279699999999998</v>
      </c>
      <c r="F116">
        <v>103401884.6637</v>
      </c>
      <c r="G116">
        <v>315.40933799999999</v>
      </c>
      <c r="H116">
        <v>52.044893000000002</v>
      </c>
      <c r="I116">
        <v>60.230719999999998</v>
      </c>
      <c r="K116" s="4">
        <f>VLOOKUP(Table_Query_from_Cello_SQL_Server[[#This Row],[AsOfDate]], 'CMO MV Raw'!$A:$B,2,FALSE)</f>
        <v>69631844.449880004</v>
      </c>
      <c r="L116" s="5">
        <f>Table_Query_from_Cello_SQL_Server[[#This Row],[CMO MV]]/Table_Query_from_Cello_SQL_Server[[#This Row],[NAV]]*100</f>
        <v>67.340981913770463</v>
      </c>
    </row>
    <row r="117" spans="1:12" x14ac:dyDescent="0.2">
      <c r="A117" s="1">
        <v>40879</v>
      </c>
      <c r="B117">
        <v>322.1694</v>
      </c>
      <c r="C117">
        <v>51.986699999999999</v>
      </c>
      <c r="D117">
        <v>73.8005</v>
      </c>
      <c r="F117">
        <v>103342966.69760001</v>
      </c>
      <c r="G117">
        <v>311.74777599999999</v>
      </c>
      <c r="H117">
        <v>50.305019999999999</v>
      </c>
      <c r="I117">
        <v>71.413180999999994</v>
      </c>
      <c r="K117" s="4">
        <f>VLOOKUP(Table_Query_from_Cello_SQL_Server[[#This Row],[AsOfDate]], 'CMO MV Raw'!$A:$B,2,FALSE)</f>
        <v>68739643.468081996</v>
      </c>
      <c r="L117" s="5">
        <f>Table_Query_from_Cello_SQL_Server[[#This Row],[CMO MV]]/Table_Query_from_Cello_SQL_Server[[#This Row],[NAV]]*100</f>
        <v>66.516034583394998</v>
      </c>
    </row>
    <row r="118" spans="1:12" x14ac:dyDescent="0.2">
      <c r="A118" s="1">
        <v>40882</v>
      </c>
      <c r="B118">
        <v>323.52730000000003</v>
      </c>
      <c r="C118">
        <v>52.195</v>
      </c>
      <c r="D118">
        <v>149.03749999999999</v>
      </c>
      <c r="F118">
        <v>103461377.29719999</v>
      </c>
      <c r="G118">
        <v>312.70345400000002</v>
      </c>
      <c r="H118">
        <v>50.448777</v>
      </c>
      <c r="I118">
        <v>144.05134000000001</v>
      </c>
      <c r="K118" s="4">
        <f>VLOOKUP(Table_Query_from_Cello_SQL_Server[[#This Row],[AsOfDate]], 'CMO MV Raw'!$A:$B,2,FALSE)</f>
        <v>69091278.344569996</v>
      </c>
      <c r="L118" s="5">
        <f>Table_Query_from_Cello_SQL_Server[[#This Row],[CMO MV]]/Table_Query_from_Cello_SQL_Server[[#This Row],[NAV]]*100</f>
        <v>66.779778260732499</v>
      </c>
    </row>
    <row r="119" spans="1:12" x14ac:dyDescent="0.2">
      <c r="A119" s="1">
        <v>40883</v>
      </c>
      <c r="B119">
        <v>324.39690000000002</v>
      </c>
      <c r="C119">
        <v>52.675199999999997</v>
      </c>
      <c r="D119">
        <v>149.87549999999999</v>
      </c>
      <c r="F119">
        <v>103642098.0289</v>
      </c>
      <c r="G119">
        <v>312.99723399999999</v>
      </c>
      <c r="H119">
        <v>50.824134999999998</v>
      </c>
      <c r="I119">
        <v>144.608709</v>
      </c>
      <c r="K119" s="4">
        <f>VLOOKUP(Table_Query_from_Cello_SQL_Server[[#This Row],[AsOfDate]], 'CMO MV Raw'!$A:$B,2,FALSE)</f>
        <v>69430553.514320001</v>
      </c>
      <c r="L119" s="5">
        <f>Table_Query_from_Cello_SQL_Server[[#This Row],[CMO MV]]/Table_Query_from_Cello_SQL_Server[[#This Row],[NAV]]*100</f>
        <v>66.990687022718987</v>
      </c>
    </row>
    <row r="120" spans="1:12" x14ac:dyDescent="0.2">
      <c r="A120" s="1">
        <v>40884</v>
      </c>
      <c r="B120">
        <v>383.94110000000001</v>
      </c>
      <c r="C120">
        <v>59.497500000000002</v>
      </c>
      <c r="D120">
        <v>147.37860000000001</v>
      </c>
      <c r="F120">
        <v>103531687.55599999</v>
      </c>
      <c r="G120">
        <v>370.84404699999999</v>
      </c>
      <c r="H120">
        <v>57.467913000000003</v>
      </c>
      <c r="I120">
        <v>142.35120000000001</v>
      </c>
      <c r="K120" s="4">
        <f>VLOOKUP(Table_Query_from_Cello_SQL_Server[[#This Row],[AsOfDate]], 'CMO MV Raw'!$A:$B,2,FALSE)</f>
        <v>77535706.132863998</v>
      </c>
      <c r="L120" s="5">
        <f>Table_Query_from_Cello_SQL_Server[[#This Row],[CMO MV]]/Table_Query_from_Cello_SQL_Server[[#This Row],[NAV]]*100</f>
        <v>74.890797168668925</v>
      </c>
    </row>
    <row r="121" spans="1:12" x14ac:dyDescent="0.2">
      <c r="A121" s="1">
        <v>40885</v>
      </c>
      <c r="B121">
        <v>368.22140000000002</v>
      </c>
      <c r="C121">
        <v>57.155799999999999</v>
      </c>
      <c r="D121">
        <v>177.59119999999999</v>
      </c>
      <c r="F121">
        <v>104117726.9692</v>
      </c>
      <c r="G121">
        <v>353.65870000000001</v>
      </c>
      <c r="H121">
        <v>54.895358999999999</v>
      </c>
      <c r="I121">
        <v>170.567688</v>
      </c>
      <c r="K121" s="4">
        <f>VLOOKUP(Table_Query_from_Cello_SQL_Server[[#This Row],[AsOfDate]], 'CMO MV Raw'!$A:$B,2,FALSE)</f>
        <v>77575619.793482006</v>
      </c>
      <c r="L121" s="5">
        <f>Table_Query_from_Cello_SQL_Server[[#This Row],[CMO MV]]/Table_Query_from_Cello_SQL_Server[[#This Row],[NAV]]*100</f>
        <v>74.507600244125911</v>
      </c>
    </row>
    <row r="122" spans="1:12" x14ac:dyDescent="0.2">
      <c r="A122" s="1">
        <v>40886</v>
      </c>
      <c r="B122">
        <v>340.8913</v>
      </c>
      <c r="C122">
        <v>56.534599999999998</v>
      </c>
      <c r="D122">
        <v>173.93969999999999</v>
      </c>
      <c r="F122">
        <v>104016898.75470001</v>
      </c>
      <c r="G122">
        <v>327.72684400000003</v>
      </c>
      <c r="H122">
        <v>54.351360999999997</v>
      </c>
      <c r="I122">
        <v>167.22254000000001</v>
      </c>
      <c r="K122" s="4">
        <f>VLOOKUP(Table_Query_from_Cello_SQL_Server[[#This Row],[AsOfDate]], 'CMO MV Raw'!$A:$B,2,FALSE)</f>
        <v>77980783.465014994</v>
      </c>
      <c r="L122" s="5">
        <f>Table_Query_from_Cello_SQL_Server[[#This Row],[CMO MV]]/Table_Query_from_Cello_SQL_Server[[#This Row],[NAV]]*100</f>
        <v>74.969340942297052</v>
      </c>
    </row>
    <row r="123" spans="1:12" x14ac:dyDescent="0.2">
      <c r="A123" s="1">
        <v>40889</v>
      </c>
      <c r="B123">
        <v>340.99880000000002</v>
      </c>
      <c r="C123">
        <v>56.006999999999998</v>
      </c>
      <c r="D123">
        <v>174.19239999999999</v>
      </c>
      <c r="F123">
        <v>104244126.57430001</v>
      </c>
      <c r="G123">
        <v>327.11559999999997</v>
      </c>
      <c r="H123">
        <v>53.726768</v>
      </c>
      <c r="I123">
        <v>167.10044600000001</v>
      </c>
      <c r="K123" s="4">
        <f>VLOOKUP(Table_Query_from_Cello_SQL_Server[[#This Row],[AsOfDate]], 'CMO MV Raw'!$A:$B,2,FALSE)</f>
        <v>77615129.109623</v>
      </c>
      <c r="L123" s="5">
        <f>Table_Query_from_Cello_SQL_Server[[#This Row],[CMO MV]]/Table_Query_from_Cello_SQL_Server[[#This Row],[NAV]]*100</f>
        <v>74.455157964514015</v>
      </c>
    </row>
    <row r="124" spans="1:12" x14ac:dyDescent="0.2">
      <c r="A124" s="1">
        <v>40890</v>
      </c>
      <c r="B124">
        <v>351.47989999999999</v>
      </c>
      <c r="C124">
        <v>56.723599999999998</v>
      </c>
      <c r="D124">
        <v>183.3869</v>
      </c>
      <c r="F124">
        <v>104275125.60439999</v>
      </c>
      <c r="G124">
        <v>337.06974500000001</v>
      </c>
      <c r="H124">
        <v>54.398015999999998</v>
      </c>
      <c r="I124">
        <v>175.86830900000001</v>
      </c>
      <c r="K124" s="4">
        <f>VLOOKUP(Table_Query_from_Cello_SQL_Server[[#This Row],[AsOfDate]], 'CMO MV Raw'!$A:$B,2,FALSE)</f>
        <v>77002336.359559998</v>
      </c>
      <c r="L124" s="5">
        <f>Table_Query_from_Cello_SQL_Server[[#This Row],[CMO MV]]/Table_Query_from_Cello_SQL_Server[[#This Row],[NAV]]*100</f>
        <v>73.845354693402371</v>
      </c>
    </row>
    <row r="125" spans="1:12" x14ac:dyDescent="0.2">
      <c r="A125" s="1">
        <v>40891</v>
      </c>
      <c r="B125">
        <v>346.52710000000002</v>
      </c>
      <c r="C125">
        <v>54.249899999999997</v>
      </c>
      <c r="D125">
        <v>180.32380000000001</v>
      </c>
      <c r="F125">
        <v>104008641.5948</v>
      </c>
      <c r="G125">
        <v>333.17145099999999</v>
      </c>
      <c r="H125">
        <v>52.159030999999999</v>
      </c>
      <c r="I125">
        <v>173.373863</v>
      </c>
      <c r="K125" s="4">
        <f>VLOOKUP(Table_Query_from_Cello_SQL_Server[[#This Row],[AsOfDate]], 'CMO MV Raw'!$A:$B,2,FALSE)</f>
        <v>75556900.238931</v>
      </c>
      <c r="L125" s="5">
        <f>Table_Query_from_Cello_SQL_Server[[#This Row],[CMO MV]]/Table_Query_from_Cello_SQL_Server[[#This Row],[NAV]]*100</f>
        <v>72.644829391472925</v>
      </c>
    </row>
    <row r="126" spans="1:12" x14ac:dyDescent="0.2">
      <c r="A126" s="1">
        <v>40892</v>
      </c>
      <c r="B126">
        <v>346.71730000000002</v>
      </c>
      <c r="C126">
        <v>55.243299999999998</v>
      </c>
      <c r="D126">
        <v>193.99959999999999</v>
      </c>
      <c r="F126">
        <v>104279666.002</v>
      </c>
      <c r="G126">
        <v>332.48792700000001</v>
      </c>
      <c r="H126">
        <v>52.976100000000002</v>
      </c>
      <c r="I126">
        <v>186.037803</v>
      </c>
      <c r="K126" s="4">
        <f>VLOOKUP(Table_Query_from_Cello_SQL_Server[[#This Row],[AsOfDate]], 'CMO MV Raw'!$A:$B,2,FALSE)</f>
        <v>76342061.006984994</v>
      </c>
      <c r="L126" s="5">
        <f>Table_Query_from_Cello_SQL_Server[[#This Row],[CMO MV]]/Table_Query_from_Cello_SQL_Server[[#This Row],[NAV]]*100</f>
        <v>73.208961951911903</v>
      </c>
    </row>
    <row r="127" spans="1:12" x14ac:dyDescent="0.2">
      <c r="A127" s="1">
        <v>40893</v>
      </c>
      <c r="B127">
        <v>343.8897</v>
      </c>
      <c r="C127">
        <v>53.6449</v>
      </c>
      <c r="D127">
        <v>191.0444</v>
      </c>
      <c r="F127">
        <v>104313780.8417</v>
      </c>
      <c r="G127">
        <v>329.668522</v>
      </c>
      <c r="H127">
        <v>51.426475000000003</v>
      </c>
      <c r="I127">
        <v>183.14397</v>
      </c>
      <c r="K127" s="4">
        <f>VLOOKUP(Table_Query_from_Cello_SQL_Server[[#This Row],[AsOfDate]], 'CMO MV Raw'!$A:$B,2,FALSE)</f>
        <v>75547902.437399</v>
      </c>
      <c r="L127" s="5">
        <f>Table_Query_from_Cello_SQL_Server[[#This Row],[CMO MV]]/Table_Query_from_Cello_SQL_Server[[#This Row],[NAV]]*100</f>
        <v>72.423702628558459</v>
      </c>
    </row>
    <row r="128" spans="1:12" x14ac:dyDescent="0.2">
      <c r="A128" s="1">
        <v>40896</v>
      </c>
      <c r="B128">
        <v>328.98230000000001</v>
      </c>
      <c r="C128">
        <v>50.123199999999997</v>
      </c>
      <c r="D128">
        <v>194.3134</v>
      </c>
      <c r="F128">
        <v>104644485.77410001</v>
      </c>
      <c r="G128">
        <v>314.380923</v>
      </c>
      <c r="H128">
        <v>47.898558000000001</v>
      </c>
      <c r="I128">
        <v>185.68909600000001</v>
      </c>
      <c r="K128" s="4">
        <f>VLOOKUP(Table_Query_from_Cello_SQL_Server[[#This Row],[AsOfDate]], 'CMO MV Raw'!$A:$B,2,FALSE)</f>
        <v>71890734.017162994</v>
      </c>
      <c r="L128" s="5">
        <f>Table_Query_from_Cello_SQL_Server[[#This Row],[CMO MV]]/Table_Query_from_Cello_SQL_Server[[#This Row],[NAV]]*100</f>
        <v>68.699973520206527</v>
      </c>
    </row>
    <row r="129" spans="1:12" x14ac:dyDescent="0.2">
      <c r="A129" s="1">
        <v>40897</v>
      </c>
      <c r="B129">
        <v>345.2097</v>
      </c>
      <c r="C129">
        <v>54.954900000000002</v>
      </c>
      <c r="D129">
        <v>239.6652</v>
      </c>
      <c r="F129">
        <v>104219218.4126</v>
      </c>
      <c r="G129">
        <v>331.23420499999997</v>
      </c>
      <c r="H129">
        <v>52.730102000000002</v>
      </c>
      <c r="I129">
        <v>229.96257700000001</v>
      </c>
      <c r="K129" s="4">
        <f>VLOOKUP(Table_Query_from_Cello_SQL_Server[[#This Row],[AsOfDate]], 'CMO MV Raw'!$A:$B,2,FALSE)</f>
        <v>72978928.386866003</v>
      </c>
      <c r="L129" s="5">
        <f>Table_Query_from_Cello_SQL_Server[[#This Row],[CMO MV]]/Table_Query_from_Cello_SQL_Server[[#This Row],[NAV]]*100</f>
        <v>70.024444146131614</v>
      </c>
    </row>
    <row r="130" spans="1:12" x14ac:dyDescent="0.2">
      <c r="A130" s="1">
        <v>40898</v>
      </c>
      <c r="B130">
        <v>345.79059999999998</v>
      </c>
      <c r="C130">
        <v>55.954599999999999</v>
      </c>
      <c r="D130">
        <v>241.30699999999999</v>
      </c>
      <c r="F130">
        <v>104155892.1585</v>
      </c>
      <c r="G130">
        <v>331.99331599999999</v>
      </c>
      <c r="H130">
        <v>53.721972999999998</v>
      </c>
      <c r="I130">
        <v>231.678684</v>
      </c>
      <c r="K130" s="4">
        <f>VLOOKUP(Table_Query_from_Cello_SQL_Server[[#This Row],[AsOfDate]], 'CMO MV Raw'!$A:$B,2,FALSE)</f>
        <v>73496565.086942002</v>
      </c>
      <c r="L130" s="5">
        <f>Table_Query_from_Cello_SQL_Server[[#This Row],[CMO MV]]/Table_Query_from_Cello_SQL_Server[[#This Row],[NAV]]*100</f>
        <v>70.564001290582837</v>
      </c>
    </row>
    <row r="131" spans="1:12" x14ac:dyDescent="0.2">
      <c r="A131" s="1">
        <v>40899</v>
      </c>
      <c r="B131">
        <v>333.27339999999998</v>
      </c>
      <c r="C131">
        <v>54.592399999999998</v>
      </c>
      <c r="D131">
        <v>240.0753</v>
      </c>
      <c r="F131">
        <v>104278673.41760001</v>
      </c>
      <c r="G131">
        <v>319.59881100000001</v>
      </c>
      <c r="H131">
        <v>52.352410999999996</v>
      </c>
      <c r="I131">
        <v>230.22473500000001</v>
      </c>
      <c r="K131" s="4">
        <f>VLOOKUP(Table_Query_from_Cello_SQL_Server[[#This Row],[AsOfDate]], 'CMO MV Raw'!$A:$B,2,FALSE)</f>
        <v>73382892.283014998</v>
      </c>
      <c r="L131" s="5">
        <f>Table_Query_from_Cello_SQL_Server[[#This Row],[CMO MV]]/Table_Query_from_Cello_SQL_Server[[#This Row],[NAV]]*100</f>
        <v>70.371908155315623</v>
      </c>
    </row>
    <row r="132" spans="1:12" x14ac:dyDescent="0.2">
      <c r="A132" s="1">
        <v>40900</v>
      </c>
      <c r="B132">
        <v>333.49990000000003</v>
      </c>
      <c r="C132">
        <v>56.387300000000003</v>
      </c>
      <c r="D132">
        <v>241.8929</v>
      </c>
      <c r="F132">
        <v>104016511.7406</v>
      </c>
      <c r="G132">
        <v>320.62207699999999</v>
      </c>
      <c r="H132">
        <v>54.209950999999997</v>
      </c>
      <c r="I132">
        <v>232.55240499999999</v>
      </c>
      <c r="K132" s="4">
        <f>VLOOKUP(Table_Query_from_Cello_SQL_Server[[#This Row],[AsOfDate]], 'CMO MV Raw'!$A:$B,2,FALSE)</f>
        <v>74139180.888889</v>
      </c>
      <c r="L132" s="5">
        <f>Table_Query_from_Cello_SQL_Server[[#This Row],[CMO MV]]/Table_Query_from_Cello_SQL_Server[[#This Row],[NAV]]*100</f>
        <v>71.276357616932856</v>
      </c>
    </row>
    <row r="133" spans="1:12" x14ac:dyDescent="0.2">
      <c r="A133" s="1">
        <v>40904</v>
      </c>
      <c r="B133">
        <v>333.81799999999998</v>
      </c>
      <c r="C133">
        <v>56.0077</v>
      </c>
      <c r="D133">
        <v>238.48310000000001</v>
      </c>
      <c r="F133">
        <v>104159260.62909999</v>
      </c>
      <c r="G133">
        <v>320.488066</v>
      </c>
      <c r="H133">
        <v>53.771214999999998</v>
      </c>
      <c r="I133">
        <v>228.96005500000001</v>
      </c>
      <c r="K133" s="4">
        <f>VLOOKUP(Table_Query_from_Cello_SQL_Server[[#This Row],[AsOfDate]], 'CMO MV Raw'!$A:$B,2,FALSE)</f>
        <v>73246491.724876001</v>
      </c>
      <c r="L133" s="5">
        <f>Table_Query_from_Cello_SQL_Server[[#This Row],[CMO MV]]/Table_Query_from_Cello_SQL_Server[[#This Row],[NAV]]*100</f>
        <v>70.32163178048944</v>
      </c>
    </row>
    <row r="134" spans="1:12" x14ac:dyDescent="0.2">
      <c r="A134" s="1">
        <v>40905</v>
      </c>
      <c r="B134">
        <v>329.52460000000002</v>
      </c>
      <c r="C134">
        <v>53.026699999999998</v>
      </c>
      <c r="D134">
        <v>233.26169999999999</v>
      </c>
      <c r="F134">
        <v>104277631.9795</v>
      </c>
      <c r="G134">
        <v>316.00698399999999</v>
      </c>
      <c r="H134">
        <v>50.851461999999998</v>
      </c>
      <c r="I134">
        <v>223.692939</v>
      </c>
      <c r="K134" s="4">
        <f>VLOOKUP(Table_Query_from_Cello_SQL_Server[[#This Row],[AsOfDate]], 'CMO MV Raw'!$A:$B,2,FALSE)</f>
        <v>71848738.706676006</v>
      </c>
      <c r="L134" s="5">
        <f>Table_Query_from_Cello_SQL_Server[[#This Row],[CMO MV]]/Table_Query_from_Cello_SQL_Server[[#This Row],[NAV]]*100</f>
        <v>68.901390780336087</v>
      </c>
    </row>
    <row r="135" spans="1:12" x14ac:dyDescent="0.2">
      <c r="A135" s="1">
        <v>40906</v>
      </c>
      <c r="B135">
        <v>332.1626</v>
      </c>
      <c r="C135">
        <v>52.971200000000003</v>
      </c>
      <c r="D135">
        <v>233.21289999999999</v>
      </c>
      <c r="F135">
        <v>104432134.7904</v>
      </c>
      <c r="G135">
        <v>318.06550800000002</v>
      </c>
      <c r="H135">
        <v>50.723084999999998</v>
      </c>
      <c r="I135">
        <v>223.31526600000001</v>
      </c>
      <c r="K135" s="4">
        <f>VLOOKUP(Table_Query_from_Cello_SQL_Server[[#This Row],[AsOfDate]], 'CMO MV Raw'!$A:$B,2,FALSE)</f>
        <v>71734780.285759002</v>
      </c>
      <c r="L135" s="5">
        <f>Table_Query_from_Cello_SQL_Server[[#This Row],[CMO MV]]/Table_Query_from_Cello_SQL_Server[[#This Row],[NAV]]*100</f>
        <v>68.690332175755998</v>
      </c>
    </row>
    <row r="136" spans="1:12" x14ac:dyDescent="0.2">
      <c r="A136" s="1">
        <v>40907</v>
      </c>
      <c r="B136">
        <v>348.1139</v>
      </c>
      <c r="C136">
        <v>55.227600000000002</v>
      </c>
      <c r="D136">
        <v>231.90010000000001</v>
      </c>
      <c r="F136">
        <v>106126574.38609999</v>
      </c>
      <c r="G136">
        <v>328.01765399999999</v>
      </c>
      <c r="H136">
        <v>52.039369000000001</v>
      </c>
      <c r="I136">
        <v>218.512754</v>
      </c>
      <c r="K136" s="4">
        <f>VLOOKUP(Table_Query_from_Cello_SQL_Server[[#This Row],[AsOfDate]], 'CMO MV Raw'!$A:$B,2,FALSE)</f>
        <v>77697732.752280995</v>
      </c>
      <c r="L136" s="5">
        <f>Table_Query_from_Cello_SQL_Server[[#This Row],[CMO MV]]/Table_Query_from_Cello_SQL_Server[[#This Row],[NAV]]*100</f>
        <v>73.212325189738266</v>
      </c>
    </row>
    <row r="137" spans="1:12" x14ac:dyDescent="0.2">
      <c r="A137" s="1">
        <v>40911</v>
      </c>
      <c r="B137">
        <v>320.84050000000002</v>
      </c>
      <c r="C137">
        <v>52.190600000000003</v>
      </c>
      <c r="D137">
        <v>225.5626</v>
      </c>
      <c r="F137">
        <v>108215691.0231</v>
      </c>
      <c r="G137">
        <v>296.48241999999999</v>
      </c>
      <c r="H137">
        <v>48.228310999999998</v>
      </c>
      <c r="I137">
        <v>208.43798000000001</v>
      </c>
      <c r="K137" s="4">
        <f>VLOOKUP(Table_Query_from_Cello_SQL_Server[[#This Row],[AsOfDate]], 'CMO MV Raw'!$A:$B,2,FALSE)</f>
        <v>163941673.80366799</v>
      </c>
      <c r="L137" s="5">
        <f>Table_Query_from_Cello_SQL_Server[[#This Row],[CMO MV]]/Table_Query_from_Cello_SQL_Server[[#This Row],[NAV]]*100</f>
        <v>151.49528894906061</v>
      </c>
    </row>
    <row r="138" spans="1:12" x14ac:dyDescent="0.2">
      <c r="A138" s="1">
        <v>40912</v>
      </c>
      <c r="B138">
        <v>325.36590000000001</v>
      </c>
      <c r="C138">
        <v>54.2089</v>
      </c>
      <c r="D138">
        <v>222.505</v>
      </c>
      <c r="F138">
        <v>108049460.8307</v>
      </c>
      <c r="G138">
        <v>301.12681500000002</v>
      </c>
      <c r="H138">
        <v>50.170448999999998</v>
      </c>
      <c r="I138">
        <v>205.92883900000001</v>
      </c>
      <c r="K138" s="4">
        <f>VLOOKUP(Table_Query_from_Cello_SQL_Server[[#This Row],[AsOfDate]], 'CMO MV Raw'!$A:$B,2,FALSE)</f>
        <v>78056208.232034996</v>
      </c>
      <c r="L138" s="5">
        <f>Table_Query_from_Cello_SQL_Server[[#This Row],[CMO MV]]/Table_Query_from_Cello_SQL_Server[[#This Row],[NAV]]*100</f>
        <v>72.241182539854904</v>
      </c>
    </row>
    <row r="139" spans="1:12" x14ac:dyDescent="0.2">
      <c r="A139" s="1">
        <v>40913</v>
      </c>
      <c r="B139">
        <v>301.1182</v>
      </c>
      <c r="C139">
        <v>48.648299999999999</v>
      </c>
      <c r="D139">
        <v>214.7037</v>
      </c>
      <c r="F139">
        <v>106699937.4712</v>
      </c>
      <c r="G139">
        <v>282.21028699999999</v>
      </c>
      <c r="H139">
        <v>45.593559999999997</v>
      </c>
      <c r="I139">
        <v>201.22195500000001</v>
      </c>
      <c r="K139" s="4">
        <f>VLOOKUP(Table_Query_from_Cello_SQL_Server[[#This Row],[AsOfDate]], 'CMO MV Raw'!$A:$B,2,FALSE)</f>
        <v>76494943.254437</v>
      </c>
      <c r="L139" s="5">
        <f>Table_Query_from_Cello_SQL_Server[[#This Row],[CMO MV]]/Table_Query_from_Cello_SQL_Server[[#This Row],[NAV]]*100</f>
        <v>71.69164768731396</v>
      </c>
    </row>
    <row r="140" spans="1:12" x14ac:dyDescent="0.2">
      <c r="A140" s="1">
        <v>40914</v>
      </c>
      <c r="B140">
        <v>311.80099999999999</v>
      </c>
      <c r="C140">
        <v>49.5244</v>
      </c>
      <c r="D140">
        <v>211.75540000000001</v>
      </c>
      <c r="F140">
        <v>107020359.9131</v>
      </c>
      <c r="G140">
        <v>291.34736600000002</v>
      </c>
      <c r="H140">
        <v>46.275680999999999</v>
      </c>
      <c r="I140">
        <v>197.86459300000001</v>
      </c>
      <c r="K140" s="4">
        <f>VLOOKUP(Table_Query_from_Cello_SQL_Server[[#This Row],[AsOfDate]], 'CMO MV Raw'!$A:$B,2,FALSE)</f>
        <v>75811196.017830998</v>
      </c>
      <c r="L140" s="5">
        <f>Table_Query_from_Cello_SQL_Server[[#This Row],[CMO MV]]/Table_Query_from_Cello_SQL_Server[[#This Row],[NAV]]*100</f>
        <v>70.838106019629649</v>
      </c>
    </row>
    <row r="141" spans="1:12" x14ac:dyDescent="0.2">
      <c r="A141" s="1">
        <v>40917</v>
      </c>
      <c r="B141">
        <v>329.7405</v>
      </c>
      <c r="C141">
        <v>52.030500000000004</v>
      </c>
      <c r="D141">
        <v>218.12110000000001</v>
      </c>
      <c r="F141">
        <v>108332550.4576</v>
      </c>
      <c r="G141">
        <v>304.37804599999998</v>
      </c>
      <c r="H141">
        <v>48.028500999999999</v>
      </c>
      <c r="I141">
        <v>201.344009</v>
      </c>
      <c r="K141" s="4">
        <f>VLOOKUP(Table_Query_from_Cello_SQL_Server[[#This Row],[AsOfDate]], 'CMO MV Raw'!$A:$B,2,FALSE)</f>
        <v>77295525.347170994</v>
      </c>
      <c r="L141" s="5">
        <f>Table_Query_from_Cello_SQL_Server[[#This Row],[CMO MV]]/Table_Query_from_Cello_SQL_Server[[#This Row],[NAV]]*100</f>
        <v>71.350231320754787</v>
      </c>
    </row>
    <row r="142" spans="1:12" x14ac:dyDescent="0.2">
      <c r="A142" s="1">
        <v>40918</v>
      </c>
      <c r="B142">
        <v>342.7595</v>
      </c>
      <c r="C142">
        <v>55.439599999999999</v>
      </c>
      <c r="D142">
        <v>214.24350000000001</v>
      </c>
      <c r="F142">
        <v>108416120.5485</v>
      </c>
      <c r="G142">
        <v>316.15178500000002</v>
      </c>
      <c r="H142">
        <v>51.135938000000003</v>
      </c>
      <c r="I142">
        <v>197.61221800000001</v>
      </c>
      <c r="K142" s="4">
        <f>VLOOKUP(Table_Query_from_Cello_SQL_Server[[#This Row],[AsOfDate]], 'CMO MV Raw'!$A:$B,2,FALSE)</f>
        <v>79414692.914096996</v>
      </c>
      <c r="L142" s="5">
        <f>Table_Query_from_Cello_SQL_Server[[#This Row],[CMO MV]]/Table_Query_from_Cello_SQL_Server[[#This Row],[NAV]]*100</f>
        <v>73.249893569629066</v>
      </c>
    </row>
    <row r="143" spans="1:12" x14ac:dyDescent="0.2">
      <c r="A143" s="1">
        <v>40919</v>
      </c>
      <c r="B143">
        <v>323.37079999999997</v>
      </c>
      <c r="C143">
        <v>52.2667</v>
      </c>
      <c r="D143">
        <v>207.6679</v>
      </c>
      <c r="F143">
        <v>108997327.6469</v>
      </c>
      <c r="G143">
        <v>296.67773199999999</v>
      </c>
      <c r="H143">
        <v>47.952277000000002</v>
      </c>
      <c r="I143">
        <v>190.52567999999999</v>
      </c>
      <c r="K143" s="4">
        <f>VLOOKUP(Table_Query_from_Cello_SQL_Server[[#This Row],[AsOfDate]], 'CMO MV Raw'!$A:$B,2,FALSE)</f>
        <v>78884597.551269993</v>
      </c>
      <c r="L143" s="5">
        <f>Table_Query_from_Cello_SQL_Server[[#This Row],[CMO MV]]/Table_Query_from_Cello_SQL_Server[[#This Row],[NAV]]*100</f>
        <v>72.372964782053131</v>
      </c>
    </row>
    <row r="144" spans="1:12" x14ac:dyDescent="0.2">
      <c r="A144" s="1">
        <v>40920</v>
      </c>
      <c r="B144">
        <v>317.80110000000002</v>
      </c>
      <c r="C144">
        <v>51.254100000000001</v>
      </c>
      <c r="D144">
        <v>203.82060000000001</v>
      </c>
      <c r="F144">
        <v>108201792.11589999</v>
      </c>
      <c r="G144">
        <v>293.71149400000002</v>
      </c>
      <c r="H144">
        <v>47.368994000000001</v>
      </c>
      <c r="I144">
        <v>188.37081699999999</v>
      </c>
      <c r="K144" s="4">
        <f>VLOOKUP(Table_Query_from_Cello_SQL_Server[[#This Row],[AsOfDate]], 'CMO MV Raw'!$A:$B,2,FALSE)</f>
        <v>78545896.246104002</v>
      </c>
      <c r="L144" s="5">
        <f>Table_Query_from_Cello_SQL_Server[[#This Row],[CMO MV]]/Table_Query_from_Cello_SQL_Server[[#This Row],[NAV]]*100</f>
        <v>72.592047423733817</v>
      </c>
    </row>
    <row r="145" spans="1:12" x14ac:dyDescent="0.2">
      <c r="A145" s="1">
        <v>40921</v>
      </c>
      <c r="B145">
        <v>316.53969999999998</v>
      </c>
      <c r="C145">
        <v>49.061399999999999</v>
      </c>
      <c r="D145">
        <v>187.352</v>
      </c>
      <c r="F145">
        <v>109673800.93700001</v>
      </c>
      <c r="G145">
        <v>288.61924800000003</v>
      </c>
      <c r="H145">
        <v>44.733929000000003</v>
      </c>
      <c r="I145">
        <v>170.82657699999999</v>
      </c>
      <c r="K145" s="4" t="e">
        <f>VLOOKUP(Table_Query_from_Cello_SQL_Server[[#This Row],[AsOfDate]], 'CMO MV Raw'!$A:$B,2,FALSE)</f>
        <v>#N/A</v>
      </c>
      <c r="L145" s="5" t="e">
        <f>Table_Query_from_Cello_SQL_Server[[#This Row],[CMO MV]]/Table_Query_from_Cello_SQL_Server[[#This Row],[NAV]]*100</f>
        <v>#N/A</v>
      </c>
    </row>
    <row r="146" spans="1:12" x14ac:dyDescent="0.2">
      <c r="A146" s="1">
        <v>40925</v>
      </c>
      <c r="B146">
        <v>318.17970000000003</v>
      </c>
      <c r="C146">
        <v>49.849899999999998</v>
      </c>
      <c r="D146">
        <v>189.71770000000001</v>
      </c>
      <c r="F146">
        <v>110533542.9518</v>
      </c>
      <c r="G146">
        <v>287.85804899999999</v>
      </c>
      <c r="H146">
        <v>45.099341000000003</v>
      </c>
      <c r="I146">
        <v>171.638124</v>
      </c>
      <c r="K146" s="4">
        <f>VLOOKUP(Table_Query_from_Cello_SQL_Server[[#This Row],[AsOfDate]], 'CMO MV Raw'!$A:$B,2,FALSE)</f>
        <v>76296108.587053999</v>
      </c>
      <c r="L146" s="5">
        <f>Table_Query_from_Cello_SQL_Server[[#This Row],[CMO MV]]/Table_Query_from_Cello_SQL_Server[[#This Row],[NAV]]*100</f>
        <v>69.025299062678371</v>
      </c>
    </row>
    <row r="147" spans="1:12" x14ac:dyDescent="0.2">
      <c r="A147" s="1">
        <v>40926</v>
      </c>
      <c r="B147">
        <v>308.72239999999999</v>
      </c>
      <c r="C147">
        <v>49.478099999999998</v>
      </c>
      <c r="D147">
        <v>190.1146</v>
      </c>
      <c r="F147">
        <v>110228834.7973</v>
      </c>
      <c r="G147">
        <v>280.07408500000003</v>
      </c>
      <c r="H147">
        <v>44.886712000000003</v>
      </c>
      <c r="I147">
        <v>172.472657</v>
      </c>
      <c r="K147" s="4">
        <f>VLOOKUP(Table_Query_from_Cello_SQL_Server[[#This Row],[AsOfDate]], 'CMO MV Raw'!$A:$B,2,FALSE)</f>
        <v>71151619.014136001</v>
      </c>
      <c r="L147" s="5">
        <f>Table_Query_from_Cello_SQL_Server[[#This Row],[CMO MV]]/Table_Query_from_Cello_SQL_Server[[#This Row],[NAV]]*100</f>
        <v>64.549007657548813</v>
      </c>
    </row>
    <row r="148" spans="1:12" x14ac:dyDescent="0.2">
      <c r="A148" s="1">
        <v>40927</v>
      </c>
      <c r="B148">
        <v>305.9119</v>
      </c>
      <c r="C148">
        <v>50.977600000000002</v>
      </c>
      <c r="D148">
        <v>301.53710000000001</v>
      </c>
      <c r="F148">
        <v>109858445.16159999</v>
      </c>
      <c r="G148">
        <v>278.46006699999998</v>
      </c>
      <c r="H148">
        <v>46.402987000000003</v>
      </c>
      <c r="I148">
        <v>274.47785199999998</v>
      </c>
      <c r="K148" s="4">
        <f>VLOOKUP(Table_Query_from_Cello_SQL_Server[[#This Row],[AsOfDate]], 'CMO MV Raw'!$A:$B,2,FALSE)</f>
        <v>71377830.395080999</v>
      </c>
      <c r="L148" s="5">
        <f>Table_Query_from_Cello_SQL_Server[[#This Row],[CMO MV]]/Table_Query_from_Cello_SQL_Server[[#This Row],[NAV]]*100</f>
        <v>64.972547436007645</v>
      </c>
    </row>
    <row r="149" spans="1:12" x14ac:dyDescent="0.2">
      <c r="A149" s="1">
        <v>40928</v>
      </c>
      <c r="B149">
        <v>302.6259</v>
      </c>
      <c r="C149">
        <v>51.080300000000001</v>
      </c>
      <c r="D149">
        <v>300.82069999999999</v>
      </c>
      <c r="F149">
        <v>108939939.345</v>
      </c>
      <c r="G149">
        <v>277.79150800000002</v>
      </c>
      <c r="H149">
        <v>46.888497000000001</v>
      </c>
      <c r="I149">
        <v>276.13444800000002</v>
      </c>
      <c r="K149" s="4">
        <f>VLOOKUP(Table_Query_from_Cello_SQL_Server[[#This Row],[AsOfDate]], 'CMO MV Raw'!$A:$B,2,FALSE)</f>
        <v>71436082.893693</v>
      </c>
      <c r="L149" s="5">
        <f>Table_Query_from_Cello_SQL_Server[[#This Row],[CMO MV]]/Table_Query_from_Cello_SQL_Server[[#This Row],[NAV]]*100</f>
        <v>65.573822900215973</v>
      </c>
    </row>
    <row r="150" spans="1:12" x14ac:dyDescent="0.2">
      <c r="A150" s="1">
        <v>40932</v>
      </c>
      <c r="B150">
        <v>429.27839999999998</v>
      </c>
      <c r="C150">
        <v>76.820999999999998</v>
      </c>
      <c r="D150">
        <v>317.98410000000001</v>
      </c>
      <c r="F150">
        <v>108272615.1605</v>
      </c>
      <c r="G150">
        <v>396.47920099999999</v>
      </c>
      <c r="H150">
        <v>70.951459</v>
      </c>
      <c r="I150">
        <v>293.68839000000003</v>
      </c>
      <c r="K150" s="4">
        <f>VLOOKUP(Table_Query_from_Cello_SQL_Server[[#This Row],[AsOfDate]], 'CMO MV Raw'!$A:$B,2,FALSE)</f>
        <v>71131197.715121001</v>
      </c>
      <c r="L150" s="5">
        <f>Table_Query_from_Cello_SQL_Server[[#This Row],[CMO MV]]/Table_Query_from_Cello_SQL_Server[[#This Row],[NAV]]*100</f>
        <v>65.696388333909084</v>
      </c>
    </row>
    <row r="151" spans="1:12" x14ac:dyDescent="0.2">
      <c r="A151" s="1">
        <v>40933</v>
      </c>
      <c r="B151">
        <v>441.02109999999999</v>
      </c>
      <c r="C151">
        <v>76.635400000000004</v>
      </c>
      <c r="D151">
        <v>320.32929999999999</v>
      </c>
      <c r="F151">
        <v>108621648.8345</v>
      </c>
      <c r="G151">
        <v>406.01584000000003</v>
      </c>
      <c r="H151">
        <v>70.552601999999993</v>
      </c>
      <c r="I151">
        <v>294.90373599999998</v>
      </c>
      <c r="K151" s="4">
        <f>VLOOKUP(Table_Query_from_Cello_SQL_Server[[#This Row],[AsOfDate]], 'CMO MV Raw'!$A:$B,2,FALSE)</f>
        <v>70611034.298065007</v>
      </c>
      <c r="L151" s="5">
        <f>Table_Query_from_Cello_SQL_Server[[#This Row],[CMO MV]]/Table_Query_from_Cello_SQL_Server[[#This Row],[NAV]]*100</f>
        <v>65.006409915256043</v>
      </c>
    </row>
    <row r="152" spans="1:12" x14ac:dyDescent="0.2">
      <c r="A152" s="1">
        <v>40934</v>
      </c>
      <c r="B152">
        <v>452.91039999999998</v>
      </c>
      <c r="C152">
        <v>75.845299999999995</v>
      </c>
      <c r="D152">
        <v>321.45440000000002</v>
      </c>
      <c r="F152">
        <v>109026252.7061</v>
      </c>
      <c r="G152">
        <v>415.41407600000002</v>
      </c>
      <c r="H152">
        <v>69.566089000000005</v>
      </c>
      <c r="I152">
        <v>294.84128099999998</v>
      </c>
      <c r="K152" s="4">
        <f>VLOOKUP(Table_Query_from_Cello_SQL_Server[[#This Row],[AsOfDate]], 'CMO MV Raw'!$A:$B,2,FALSE)</f>
        <v>68775011.878686994</v>
      </c>
      <c r="L152" s="5">
        <f>Table_Query_from_Cello_SQL_Server[[#This Row],[CMO MV]]/Table_Query_from_Cello_SQL_Server[[#This Row],[NAV]]*100</f>
        <v>63.081148046133883</v>
      </c>
    </row>
    <row r="153" spans="1:12" x14ac:dyDescent="0.2">
      <c r="A153" s="1">
        <v>40935</v>
      </c>
      <c r="B153">
        <v>447.24720000000002</v>
      </c>
      <c r="C153">
        <v>73.573999999999998</v>
      </c>
      <c r="D153">
        <v>316.89640000000003</v>
      </c>
      <c r="F153">
        <v>108647006.41670001</v>
      </c>
      <c r="G153">
        <v>411.65165500000001</v>
      </c>
      <c r="H153">
        <v>67.718387000000007</v>
      </c>
      <c r="I153">
        <v>291.67522500000001</v>
      </c>
      <c r="K153" s="4">
        <f>VLOOKUP(Table_Query_from_Cello_SQL_Server[[#This Row],[AsOfDate]], 'CMO MV Raw'!$A:$B,2,FALSE)</f>
        <v>67502833.960924</v>
      </c>
      <c r="L153" s="5">
        <f>Table_Query_from_Cello_SQL_Server[[#This Row],[CMO MV]]/Table_Query_from_Cello_SQL_Server[[#This Row],[NAV]]*100</f>
        <v>62.130413149191213</v>
      </c>
    </row>
    <row r="154" spans="1:12" x14ac:dyDescent="0.2">
      <c r="A154" s="1">
        <v>40938</v>
      </c>
      <c r="B154">
        <v>421.4248</v>
      </c>
      <c r="C154">
        <v>68.444400000000002</v>
      </c>
      <c r="D154">
        <v>318.25700000000001</v>
      </c>
      <c r="F154">
        <v>110009784.3987</v>
      </c>
      <c r="G154">
        <v>383.07938000000001</v>
      </c>
      <c r="H154">
        <v>62.216647999999999</v>
      </c>
      <c r="I154">
        <v>289.298813</v>
      </c>
      <c r="K154" s="4">
        <f>VLOOKUP(Table_Query_from_Cello_SQL_Server[[#This Row],[AsOfDate]], 'CMO MV Raw'!$A:$B,2,FALSE)</f>
        <v>59009755.659854002</v>
      </c>
      <c r="L154" s="5">
        <f>Table_Query_from_Cello_SQL_Server[[#This Row],[CMO MV]]/Table_Query_from_Cello_SQL_Server[[#This Row],[NAV]]*100</f>
        <v>53.640461148427931</v>
      </c>
    </row>
    <row r="155" spans="1:12" x14ac:dyDescent="0.2">
      <c r="A155" s="1">
        <v>40939</v>
      </c>
      <c r="B155">
        <v>425.21940000000001</v>
      </c>
      <c r="C155">
        <v>68.370400000000004</v>
      </c>
      <c r="D155">
        <v>314.46940000000001</v>
      </c>
      <c r="F155">
        <v>110605747.04269999</v>
      </c>
      <c r="G155">
        <v>384.44602700000002</v>
      </c>
      <c r="H155">
        <v>61.814509000000001</v>
      </c>
      <c r="I155">
        <v>284.315606</v>
      </c>
      <c r="K155" s="4">
        <f>VLOOKUP(Table_Query_from_Cello_SQL_Server[[#This Row],[AsOfDate]], 'CMO MV Raw'!$A:$B,2,FALSE)</f>
        <v>58521260.627534002</v>
      </c>
      <c r="L155" s="5">
        <f>Table_Query_from_Cello_SQL_Server[[#This Row],[CMO MV]]/Table_Query_from_Cello_SQL_Server[[#This Row],[NAV]]*100</f>
        <v>52.909782893054846</v>
      </c>
    </row>
    <row r="156" spans="1:12" x14ac:dyDescent="0.2">
      <c r="A156" s="1">
        <v>40940</v>
      </c>
      <c r="B156">
        <v>419.8605</v>
      </c>
      <c r="C156">
        <v>67.562100000000001</v>
      </c>
      <c r="D156">
        <v>316.42090000000002</v>
      </c>
      <c r="F156">
        <v>146480475.5598</v>
      </c>
      <c r="G156">
        <v>286.63239800000002</v>
      </c>
      <c r="H156">
        <v>46.123621</v>
      </c>
      <c r="I156">
        <v>216.01575099999999</v>
      </c>
      <c r="K156" s="4">
        <f>VLOOKUP(Table_Query_from_Cello_SQL_Server[[#This Row],[AsOfDate]], 'CMO MV Raw'!$A:$B,2,FALSE)</f>
        <v>58696796.919198997</v>
      </c>
      <c r="L156" s="5">
        <f>Table_Query_from_Cello_SQL_Server[[#This Row],[CMO MV]]/Table_Query_from_Cello_SQL_Server[[#This Row],[NAV]]*100</f>
        <v>40.071413405014709</v>
      </c>
    </row>
    <row r="157" spans="1:12" x14ac:dyDescent="0.2">
      <c r="A157" s="1">
        <v>40941</v>
      </c>
      <c r="B157">
        <v>478.38749999999999</v>
      </c>
      <c r="C157">
        <v>75.832800000000006</v>
      </c>
      <c r="D157">
        <v>303.30829999999997</v>
      </c>
      <c r="F157">
        <v>145326704.2484</v>
      </c>
      <c r="G157">
        <v>329.18072599999999</v>
      </c>
      <c r="H157">
        <v>52.180911999999999</v>
      </c>
      <c r="I157">
        <v>208.70789099999999</v>
      </c>
      <c r="K157" s="4">
        <f>VLOOKUP(Table_Query_from_Cello_SQL_Server[[#This Row],[AsOfDate]], 'CMO MV Raw'!$A:$B,2,FALSE)</f>
        <v>65476338.697346002</v>
      </c>
      <c r="L157" s="5">
        <f>Table_Query_from_Cello_SQL_Server[[#This Row],[CMO MV]]/Table_Query_from_Cello_SQL_Server[[#This Row],[NAV]]*100</f>
        <v>45.054581699885262</v>
      </c>
    </row>
    <row r="158" spans="1:12" x14ac:dyDescent="0.2">
      <c r="A158" s="1">
        <v>40942</v>
      </c>
      <c r="B158">
        <v>514.26509999999996</v>
      </c>
      <c r="C158">
        <v>85.992999999999995</v>
      </c>
      <c r="D158">
        <v>418.68720000000002</v>
      </c>
      <c r="F158">
        <v>146950900.0244</v>
      </c>
      <c r="G158">
        <v>349.95709399999998</v>
      </c>
      <c r="H158">
        <v>58.518185000000003</v>
      </c>
      <c r="I158">
        <v>284.91638999999998</v>
      </c>
      <c r="K158" s="4">
        <f>VLOOKUP(Table_Query_from_Cello_SQL_Server[[#This Row],[AsOfDate]], 'CMO MV Raw'!$A:$B,2,FALSE)</f>
        <v>73671289.685464993</v>
      </c>
      <c r="L158" s="5">
        <f>Table_Query_from_Cello_SQL_Server[[#This Row],[CMO MV]]/Table_Query_from_Cello_SQL_Server[[#This Row],[NAV]]*100</f>
        <v>50.133268781091154</v>
      </c>
    </row>
    <row r="159" spans="1:12" x14ac:dyDescent="0.2">
      <c r="A159" s="1">
        <v>40945</v>
      </c>
      <c r="B159">
        <v>509.27170000000001</v>
      </c>
      <c r="C159">
        <v>83.824700000000007</v>
      </c>
      <c r="D159">
        <v>410.80770000000001</v>
      </c>
      <c r="F159">
        <v>146858286.5941</v>
      </c>
      <c r="G159">
        <v>346.77764000000002</v>
      </c>
      <c r="H159">
        <v>57.078631000000001</v>
      </c>
      <c r="I159">
        <v>279.73069099999998</v>
      </c>
      <c r="K159" s="4">
        <f>VLOOKUP(Table_Query_from_Cello_SQL_Server[[#This Row],[AsOfDate]], 'CMO MV Raw'!$A:$B,2,FALSE)</f>
        <v>72949130.932538003</v>
      </c>
      <c r="L159" s="5">
        <f>Table_Query_from_Cello_SQL_Server[[#This Row],[CMO MV]]/Table_Query_from_Cello_SQL_Server[[#This Row],[NAV]]*100</f>
        <v>49.673145877128</v>
      </c>
    </row>
    <row r="160" spans="1:12" x14ac:dyDescent="0.2">
      <c r="A160" s="1">
        <v>40946</v>
      </c>
      <c r="B160">
        <v>501.57380000000001</v>
      </c>
      <c r="C160">
        <v>84.831000000000003</v>
      </c>
      <c r="D160">
        <v>465.83710000000002</v>
      </c>
      <c r="F160">
        <v>147493388.48210001</v>
      </c>
      <c r="G160">
        <v>340.06527699999998</v>
      </c>
      <c r="H160">
        <v>57.515120000000003</v>
      </c>
      <c r="I160">
        <v>315.83591999999999</v>
      </c>
      <c r="K160" s="4">
        <f>VLOOKUP(Table_Query_from_Cello_SQL_Server[[#This Row],[AsOfDate]], 'CMO MV Raw'!$A:$B,2,FALSE)</f>
        <v>74311374.355609998</v>
      </c>
      <c r="L160" s="5">
        <f>Table_Query_from_Cello_SQL_Server[[#This Row],[CMO MV]]/Table_Query_from_Cello_SQL_Server[[#This Row],[NAV]]*100</f>
        <v>50.382851136834873</v>
      </c>
    </row>
    <row r="161" spans="1:12" x14ac:dyDescent="0.2">
      <c r="A161" s="1">
        <v>40947</v>
      </c>
      <c r="B161">
        <v>483.23349999999999</v>
      </c>
      <c r="C161">
        <v>80.938500000000005</v>
      </c>
      <c r="D161">
        <v>455.58350000000002</v>
      </c>
      <c r="F161">
        <v>146556381.1038</v>
      </c>
      <c r="G161">
        <v>329.72532200000001</v>
      </c>
      <c r="H161">
        <v>55.226869000000001</v>
      </c>
      <c r="I161">
        <v>310.85886299999999</v>
      </c>
      <c r="K161" s="4">
        <f>VLOOKUP(Table_Query_from_Cello_SQL_Server[[#This Row],[AsOfDate]], 'CMO MV Raw'!$A:$B,2,FALSE)</f>
        <v>72755873.194240004</v>
      </c>
      <c r="L161" s="5">
        <f>Table_Query_from_Cello_SQL_Server[[#This Row],[CMO MV]]/Table_Query_from_Cello_SQL_Server[[#This Row],[NAV]]*100</f>
        <v>49.643606539868053</v>
      </c>
    </row>
    <row r="162" spans="1:12" x14ac:dyDescent="0.2">
      <c r="A162" s="1">
        <v>40948</v>
      </c>
      <c r="B162">
        <v>504.899</v>
      </c>
      <c r="C162">
        <v>87.033100000000005</v>
      </c>
      <c r="D162">
        <v>470.74009999999998</v>
      </c>
      <c r="F162">
        <v>148533211.17480001</v>
      </c>
      <c r="G162">
        <v>339.92330500000003</v>
      </c>
      <c r="H162">
        <v>58.595044000000001</v>
      </c>
      <c r="I162">
        <v>316.92582199999998</v>
      </c>
      <c r="K162" s="4">
        <f>VLOOKUP(Table_Query_from_Cello_SQL_Server[[#This Row],[AsOfDate]], 'CMO MV Raw'!$A:$B,2,FALSE)</f>
        <v>75361373.561247006</v>
      </c>
      <c r="L162" s="5">
        <f>Table_Query_from_Cello_SQL_Server[[#This Row],[CMO MV]]/Table_Query_from_Cello_SQL_Server[[#This Row],[NAV]]*100</f>
        <v>50.737052653199989</v>
      </c>
    </row>
    <row r="163" spans="1:12" x14ac:dyDescent="0.2">
      <c r="A163" s="1">
        <v>40949</v>
      </c>
      <c r="B163">
        <v>483.54579999999999</v>
      </c>
      <c r="C163">
        <v>82.310500000000005</v>
      </c>
      <c r="D163">
        <v>461.05259999999998</v>
      </c>
      <c r="F163">
        <v>148761214.2166</v>
      </c>
      <c r="G163">
        <v>325.04830099999998</v>
      </c>
      <c r="H163">
        <v>55.330618999999999</v>
      </c>
      <c r="I163">
        <v>309.92796199999998</v>
      </c>
      <c r="K163" s="4">
        <f>VLOOKUP(Table_Query_from_Cello_SQL_Server[[#This Row],[AsOfDate]], 'CMO MV Raw'!$A:$B,2,FALSE)</f>
        <v>74103285.348822996</v>
      </c>
      <c r="L163" s="5">
        <f>Table_Query_from_Cello_SQL_Server[[#This Row],[CMO MV]]/Table_Query_from_Cello_SQL_Server[[#This Row],[NAV]]*100</f>
        <v>49.813579257915158</v>
      </c>
    </row>
    <row r="164" spans="1:12" x14ac:dyDescent="0.2">
      <c r="A164" s="1">
        <v>40952</v>
      </c>
      <c r="B164">
        <v>475.73039999999997</v>
      </c>
      <c r="C164">
        <v>82.247200000000007</v>
      </c>
      <c r="D164">
        <v>351.31810000000002</v>
      </c>
      <c r="F164">
        <v>149215725.89129999</v>
      </c>
      <c r="G164">
        <v>318.82055100000002</v>
      </c>
      <c r="H164">
        <v>55.119658999999999</v>
      </c>
      <c r="I164">
        <v>235.44307900000001</v>
      </c>
      <c r="K164" s="4">
        <f>VLOOKUP(Table_Query_from_Cello_SQL_Server[[#This Row],[AsOfDate]], 'CMO MV Raw'!$A:$B,2,FALSE)</f>
        <v>74463913.041346997</v>
      </c>
      <c r="L164" s="5">
        <f>Table_Query_from_Cello_SQL_Server[[#This Row],[CMO MV]]/Table_Query_from_Cello_SQL_Server[[#This Row],[NAV]]*100</f>
        <v>49.903528999076237</v>
      </c>
    </row>
    <row r="165" spans="1:12" x14ac:dyDescent="0.2">
      <c r="A165" s="1">
        <v>40953</v>
      </c>
      <c r="B165">
        <v>494.7491</v>
      </c>
      <c r="C165">
        <v>83.727900000000005</v>
      </c>
      <c r="D165">
        <v>198.09989999999999</v>
      </c>
      <c r="F165">
        <v>149089897.4341</v>
      </c>
      <c r="G165">
        <v>331.84616</v>
      </c>
      <c r="H165">
        <v>56.159337999999998</v>
      </c>
      <c r="I165">
        <v>132.87278599999999</v>
      </c>
      <c r="K165" s="4">
        <f>VLOOKUP(Table_Query_from_Cello_SQL_Server[[#This Row],[AsOfDate]], 'CMO MV Raw'!$A:$B,2,FALSE)</f>
        <v>76634190.063038006</v>
      </c>
      <c r="L165" s="5">
        <f>Table_Query_from_Cello_SQL_Server[[#This Row],[CMO MV]]/Table_Query_from_Cello_SQL_Server[[#This Row],[NAV]]*100</f>
        <v>51.40132992372034</v>
      </c>
    </row>
    <row r="166" spans="1:12" x14ac:dyDescent="0.2">
      <c r="A166" s="1">
        <v>40954</v>
      </c>
      <c r="B166">
        <v>508.80790000000002</v>
      </c>
      <c r="C166">
        <v>86.061700000000002</v>
      </c>
      <c r="D166">
        <v>417.97300000000001</v>
      </c>
      <c r="F166">
        <v>149578024.82699999</v>
      </c>
      <c r="G166">
        <v>340.16219999999998</v>
      </c>
      <c r="H166">
        <v>57.536326000000003</v>
      </c>
      <c r="I166">
        <v>279.43476399999997</v>
      </c>
      <c r="K166" s="4">
        <f>VLOOKUP(Table_Query_from_Cello_SQL_Server[[#This Row],[AsOfDate]], 'CMO MV Raw'!$A:$B,2,FALSE)</f>
        <v>77170254.986230001</v>
      </c>
      <c r="L166" s="5">
        <f>Table_Query_from_Cello_SQL_Server[[#This Row],[CMO MV]]/Table_Query_from_Cello_SQL_Server[[#This Row],[NAV]]*100</f>
        <v>51.591973537211842</v>
      </c>
    </row>
    <row r="167" spans="1:12" x14ac:dyDescent="0.2">
      <c r="A167" s="1">
        <v>40955</v>
      </c>
      <c r="B167">
        <v>504.74160000000001</v>
      </c>
      <c r="C167">
        <v>88.105900000000005</v>
      </c>
      <c r="D167">
        <v>420.0607</v>
      </c>
      <c r="F167">
        <v>149025769.76879999</v>
      </c>
      <c r="G167">
        <v>338.69417399999998</v>
      </c>
      <c r="H167">
        <v>59.121251000000001</v>
      </c>
      <c r="I167">
        <v>281.87118299999997</v>
      </c>
      <c r="K167" s="4">
        <f>VLOOKUP(Table_Query_from_Cello_SQL_Server[[#This Row],[AsOfDate]], 'CMO MV Raw'!$A:$B,2,FALSE)</f>
        <v>78648135.030928999</v>
      </c>
      <c r="L167" s="5">
        <f>Table_Query_from_Cello_SQL_Server[[#This Row],[CMO MV]]/Table_Query_from_Cello_SQL_Server[[#This Row],[NAV]]*100</f>
        <v>52.774855753434103</v>
      </c>
    </row>
    <row r="168" spans="1:12" x14ac:dyDescent="0.2">
      <c r="A168" s="1">
        <v>40956</v>
      </c>
      <c r="B168">
        <v>516.24969999999996</v>
      </c>
      <c r="C168">
        <v>90.976500000000001</v>
      </c>
      <c r="D168">
        <v>425.65140000000002</v>
      </c>
      <c r="F168">
        <v>149644136.36300001</v>
      </c>
      <c r="G168">
        <v>344.984917</v>
      </c>
      <c r="H168">
        <v>60.795231999999999</v>
      </c>
      <c r="I168">
        <v>284.44241799999998</v>
      </c>
      <c r="K168" s="4">
        <f>VLOOKUP(Table_Query_from_Cello_SQL_Server[[#This Row],[AsOfDate]], 'CMO MV Raw'!$A:$B,2,FALSE)</f>
        <v>79815959.068477005</v>
      </c>
      <c r="L168" s="5">
        <f>Table_Query_from_Cello_SQL_Server[[#This Row],[CMO MV]]/Table_Query_from_Cello_SQL_Server[[#This Row],[NAV]]*100</f>
        <v>53.337177792829152</v>
      </c>
    </row>
    <row r="169" spans="1:12" x14ac:dyDescent="0.2">
      <c r="A169" s="1">
        <v>40960</v>
      </c>
      <c r="B169">
        <v>514.28139999999996</v>
      </c>
      <c r="C169">
        <v>92.365899999999996</v>
      </c>
      <c r="D169">
        <v>490.6671</v>
      </c>
      <c r="F169">
        <v>149314552.57609999</v>
      </c>
      <c r="G169">
        <v>344.42818299999999</v>
      </c>
      <c r="H169">
        <v>61.859945000000003</v>
      </c>
      <c r="I169">
        <v>328.613046</v>
      </c>
      <c r="K169" s="4">
        <f>VLOOKUP(Table_Query_from_Cello_SQL_Server[[#This Row],[AsOfDate]], 'CMO MV Raw'!$A:$B,2,FALSE)</f>
        <v>81432913.190897003</v>
      </c>
      <c r="L169" s="5">
        <f>Table_Query_from_Cello_SQL_Server[[#This Row],[CMO MV]]/Table_Query_from_Cello_SQL_Server[[#This Row],[NAV]]*100</f>
        <v>54.537827549926</v>
      </c>
    </row>
    <row r="170" spans="1:12" x14ac:dyDescent="0.2">
      <c r="A170" s="1">
        <v>40961</v>
      </c>
      <c r="B170">
        <v>511.66579999999999</v>
      </c>
      <c r="C170">
        <v>90.090500000000006</v>
      </c>
      <c r="D170">
        <v>485.3252</v>
      </c>
      <c r="F170">
        <v>149583062.4885</v>
      </c>
      <c r="G170">
        <v>342.06132100000002</v>
      </c>
      <c r="H170">
        <v>60.227741000000002</v>
      </c>
      <c r="I170">
        <v>324.451975</v>
      </c>
      <c r="K170" s="4">
        <f>VLOOKUP(Table_Query_from_Cello_SQL_Server[[#This Row],[AsOfDate]], 'CMO MV Raw'!$A:$B,2,FALSE)</f>
        <v>79078792.786647007</v>
      </c>
      <c r="L170" s="5">
        <f>Table_Query_from_Cello_SQL_Server[[#This Row],[CMO MV]]/Table_Query_from_Cello_SQL_Server[[#This Row],[NAV]]*100</f>
        <v>52.866141039682624</v>
      </c>
    </row>
    <row r="171" spans="1:12" x14ac:dyDescent="0.2">
      <c r="A171" s="1">
        <v>40962</v>
      </c>
      <c r="B171">
        <v>495.58710000000002</v>
      </c>
      <c r="C171">
        <v>86.644099999999995</v>
      </c>
      <c r="D171">
        <v>422.15910000000002</v>
      </c>
      <c r="F171">
        <v>148971042.831</v>
      </c>
      <c r="G171">
        <v>332.67344500000002</v>
      </c>
      <c r="H171">
        <v>58.161706000000002</v>
      </c>
      <c r="I171">
        <v>283.383329</v>
      </c>
      <c r="K171" s="4">
        <f>VLOOKUP(Table_Query_from_Cello_SQL_Server[[#This Row],[AsOfDate]], 'CMO MV Raw'!$A:$B,2,FALSE)</f>
        <v>77811447.378134996</v>
      </c>
      <c r="L171" s="5">
        <f>Table_Query_from_Cello_SQL_Server[[#This Row],[CMO MV]]/Table_Query_from_Cello_SQL_Server[[#This Row],[NAV]]*100</f>
        <v>52.232598966503907</v>
      </c>
    </row>
    <row r="172" spans="1:12" x14ac:dyDescent="0.2">
      <c r="A172" s="1">
        <v>40963</v>
      </c>
      <c r="B172">
        <v>484.81130000000002</v>
      </c>
      <c r="C172">
        <v>85.413899999999998</v>
      </c>
      <c r="D172">
        <v>314.82510000000002</v>
      </c>
      <c r="F172">
        <v>148751331.32120001</v>
      </c>
      <c r="G172">
        <v>325.92064599999998</v>
      </c>
      <c r="H172">
        <v>57.420594999999999</v>
      </c>
      <c r="I172">
        <v>211.64523199999999</v>
      </c>
      <c r="K172" s="4">
        <f>VLOOKUP(Table_Query_from_Cello_SQL_Server[[#This Row],[AsOfDate]], 'CMO MV Raw'!$A:$B,2,FALSE)</f>
        <v>76693933.777998999</v>
      </c>
      <c r="L172" s="5">
        <f>Table_Query_from_Cello_SQL_Server[[#This Row],[CMO MV]]/Table_Query_from_Cello_SQL_Server[[#This Row],[NAV]]*100</f>
        <v>51.558485626184506</v>
      </c>
    </row>
    <row r="173" spans="1:12" x14ac:dyDescent="0.2">
      <c r="A173" s="1">
        <v>40966</v>
      </c>
      <c r="B173">
        <v>481.12299999999999</v>
      </c>
      <c r="C173">
        <v>84.029700000000005</v>
      </c>
      <c r="D173">
        <v>312.29939999999999</v>
      </c>
      <c r="F173">
        <v>149049902.37450001</v>
      </c>
      <c r="G173">
        <v>322.79323399999998</v>
      </c>
      <c r="H173">
        <v>56.376890000000003</v>
      </c>
      <c r="I173">
        <v>209.52673899999999</v>
      </c>
      <c r="K173" s="4">
        <f>VLOOKUP(Table_Query_from_Cello_SQL_Server[[#This Row],[AsOfDate]], 'CMO MV Raw'!$A:$B,2,FALSE)</f>
        <v>76259576.523812994</v>
      </c>
      <c r="L173" s="5">
        <f>Table_Query_from_Cello_SQL_Server[[#This Row],[CMO MV]]/Table_Query_from_Cello_SQL_Server[[#This Row],[NAV]]*100</f>
        <v>51.163788307760584</v>
      </c>
    </row>
    <row r="174" spans="1:12" x14ac:dyDescent="0.2">
      <c r="A174" s="1">
        <v>40967</v>
      </c>
      <c r="B174">
        <v>471.8562</v>
      </c>
      <c r="C174">
        <v>82.4572</v>
      </c>
      <c r="D174">
        <v>311.67439999999999</v>
      </c>
      <c r="F174">
        <v>148171512.7773</v>
      </c>
      <c r="G174">
        <v>318.45271100000002</v>
      </c>
      <c r="H174">
        <v>55.649833000000001</v>
      </c>
      <c r="I174">
        <v>210.34704600000001</v>
      </c>
      <c r="K174" s="4">
        <f>VLOOKUP(Table_Query_from_Cello_SQL_Server[[#This Row],[AsOfDate]], 'CMO MV Raw'!$A:$B,2,FALSE)</f>
        <v>75571939.676747993</v>
      </c>
      <c r="L174" s="5">
        <f>Table_Query_from_Cello_SQL_Server[[#This Row],[CMO MV]]/Table_Query_from_Cello_SQL_Server[[#This Row],[NAV]]*100</f>
        <v>51.003015532635956</v>
      </c>
    </row>
    <row r="175" spans="1:12" x14ac:dyDescent="0.2">
      <c r="A175" s="1">
        <v>40968</v>
      </c>
      <c r="B175">
        <v>470.86439999999999</v>
      </c>
      <c r="C175">
        <v>84.479799999999997</v>
      </c>
      <c r="D175">
        <v>315.95690000000002</v>
      </c>
      <c r="F175">
        <v>148816872.09940001</v>
      </c>
      <c r="G175">
        <v>316.40525300000002</v>
      </c>
      <c r="H175">
        <v>56.767622000000003</v>
      </c>
      <c r="I175">
        <v>212.31255300000001</v>
      </c>
      <c r="K175" s="4">
        <f>VLOOKUP(Table_Query_from_Cello_SQL_Server[[#This Row],[AsOfDate]], 'CMO MV Raw'!$A:$B,2,FALSE)</f>
        <v>76968587.813905999</v>
      </c>
      <c r="L175" s="5">
        <f>Table_Query_from_Cello_SQL_Server[[#This Row],[CMO MV]]/Table_Query_from_Cello_SQL_Server[[#This Row],[NAV]]*100</f>
        <v>51.720337034429789</v>
      </c>
    </row>
    <row r="176" spans="1:12" x14ac:dyDescent="0.2">
      <c r="A176" s="1">
        <v>40969</v>
      </c>
      <c r="B176">
        <v>565.99379999999996</v>
      </c>
      <c r="C176">
        <v>103.1961</v>
      </c>
      <c r="D176">
        <v>226.72569999999999</v>
      </c>
      <c r="F176">
        <v>170143000.45879999</v>
      </c>
      <c r="G176">
        <v>332.65770500000002</v>
      </c>
      <c r="H176">
        <v>60.652569</v>
      </c>
      <c r="I176">
        <v>133.255967</v>
      </c>
      <c r="K176" s="4">
        <f>VLOOKUP(Table_Query_from_Cello_SQL_Server[[#This Row],[AsOfDate]], 'CMO MV Raw'!$A:$B,2,FALSE)</f>
        <v>90168328.392536998</v>
      </c>
      <c r="L176" s="5">
        <f>Table_Query_from_Cello_SQL_Server[[#This Row],[CMO MV]]/Table_Query_from_Cello_SQL_Server[[#This Row],[NAV]]*100</f>
        <v>52.9956143652064</v>
      </c>
    </row>
    <row r="177" spans="1:12" x14ac:dyDescent="0.2">
      <c r="A177" s="1">
        <v>40970</v>
      </c>
      <c r="B177">
        <v>566.1069</v>
      </c>
      <c r="C177">
        <v>101.9478</v>
      </c>
      <c r="D177">
        <v>225.721</v>
      </c>
      <c r="F177">
        <v>170013326.9833</v>
      </c>
      <c r="G177">
        <v>332.97795500000001</v>
      </c>
      <c r="H177">
        <v>59.964593000000001</v>
      </c>
      <c r="I177">
        <v>132.766651</v>
      </c>
      <c r="K177" s="4">
        <f>VLOOKUP(Table_Query_from_Cello_SQL_Server[[#This Row],[AsOfDate]], 'CMO MV Raw'!$A:$B,2,FALSE)</f>
        <v>89547934.229680002</v>
      </c>
      <c r="L177" s="5">
        <f>Table_Query_from_Cello_SQL_Server[[#This Row],[CMO MV]]/Table_Query_from_Cello_SQL_Server[[#This Row],[NAV]]*100</f>
        <v>52.671126327923737</v>
      </c>
    </row>
    <row r="178" spans="1:12" x14ac:dyDescent="0.2">
      <c r="A178" s="1">
        <v>40973</v>
      </c>
      <c r="B178">
        <v>570.23779999999999</v>
      </c>
      <c r="C178">
        <v>103.1919</v>
      </c>
      <c r="D178">
        <v>224.9288</v>
      </c>
      <c r="F178">
        <v>170025295.204</v>
      </c>
      <c r="G178">
        <v>335.384096</v>
      </c>
      <c r="H178">
        <v>60.692087000000001</v>
      </c>
      <c r="I178">
        <v>132.29137399999999</v>
      </c>
      <c r="K178" s="4">
        <f>VLOOKUP(Table_Query_from_Cello_SQL_Server[[#This Row],[AsOfDate]], 'CMO MV Raw'!$A:$B,2,FALSE)</f>
        <v>91517899.258293003</v>
      </c>
      <c r="L178" s="5">
        <f>Table_Query_from_Cello_SQL_Server[[#This Row],[CMO MV]]/Table_Query_from_Cello_SQL_Server[[#This Row],[NAV]]*100</f>
        <v>53.826049323124458</v>
      </c>
    </row>
    <row r="179" spans="1:12" x14ac:dyDescent="0.2">
      <c r="A179" s="1">
        <v>40974</v>
      </c>
      <c r="B179">
        <v>580.63499999999999</v>
      </c>
      <c r="C179">
        <v>102.32899999999999</v>
      </c>
      <c r="D179">
        <v>195.69470000000001</v>
      </c>
      <c r="F179">
        <v>170087366.68610001</v>
      </c>
      <c r="G179">
        <v>341.37455999999997</v>
      </c>
      <c r="H179">
        <v>60.162610999999998</v>
      </c>
      <c r="I179">
        <v>115.05540000000001</v>
      </c>
      <c r="K179" s="4">
        <f>VLOOKUP(Table_Query_from_Cello_SQL_Server[[#This Row],[AsOfDate]], 'CMO MV Raw'!$A:$B,2,FALSE)</f>
        <v>90544763.495988995</v>
      </c>
      <c r="L179" s="5">
        <f>Table_Query_from_Cello_SQL_Server[[#This Row],[CMO MV]]/Table_Query_from_Cello_SQL_Server[[#This Row],[NAV]]*100</f>
        <v>53.234267341613538</v>
      </c>
    </row>
    <row r="180" spans="1:12" x14ac:dyDescent="0.2">
      <c r="A180" s="1">
        <v>40975</v>
      </c>
      <c r="B180">
        <v>604.48199999999997</v>
      </c>
      <c r="C180">
        <v>106.8133</v>
      </c>
      <c r="D180">
        <v>199.97839999999999</v>
      </c>
      <c r="F180">
        <v>170830453.17930001</v>
      </c>
      <c r="G180">
        <v>353.84908799999999</v>
      </c>
      <c r="H180">
        <v>62.525913000000003</v>
      </c>
      <c r="I180">
        <v>117.0625</v>
      </c>
      <c r="K180" s="4">
        <f>VLOOKUP(Table_Query_from_Cello_SQL_Server[[#This Row],[AsOfDate]], 'CMO MV Raw'!$A:$B,2,FALSE)</f>
        <v>91993700.054475993</v>
      </c>
      <c r="L180" s="5">
        <f>Table_Query_from_Cello_SQL_Server[[#This Row],[CMO MV]]/Table_Query_from_Cello_SQL_Server[[#This Row],[NAV]]*100</f>
        <v>53.85087865915883</v>
      </c>
    </row>
    <row r="181" spans="1:12" x14ac:dyDescent="0.2">
      <c r="A181" s="1">
        <v>40976</v>
      </c>
      <c r="B181">
        <v>620.26030000000003</v>
      </c>
      <c r="C181">
        <v>110.3295</v>
      </c>
      <c r="D181">
        <v>203.49619999999999</v>
      </c>
      <c r="F181">
        <v>171484244.26429999</v>
      </c>
      <c r="G181">
        <v>361.70104300000003</v>
      </c>
      <c r="H181">
        <v>64.337980999999999</v>
      </c>
      <c r="I181">
        <v>118.66757800000001</v>
      </c>
      <c r="K181" s="4">
        <f>VLOOKUP(Table_Query_from_Cello_SQL_Server[[#This Row],[AsOfDate]], 'CMO MV Raw'!$A:$B,2,FALSE)</f>
        <v>93113861.714732006</v>
      </c>
      <c r="L181" s="5">
        <f>Table_Query_from_Cello_SQL_Server[[#This Row],[CMO MV]]/Table_Query_from_Cello_SQL_Server[[#This Row],[NAV]]*100</f>
        <v>54.298785357341828</v>
      </c>
    </row>
    <row r="182" spans="1:12" x14ac:dyDescent="0.2">
      <c r="A182" s="1">
        <v>40977</v>
      </c>
      <c r="B182">
        <v>583.08630000000005</v>
      </c>
      <c r="C182">
        <v>105.3409</v>
      </c>
      <c r="D182">
        <v>201.7894</v>
      </c>
      <c r="F182">
        <v>171117809.4777</v>
      </c>
      <c r="G182">
        <v>340.75138199999998</v>
      </c>
      <c r="H182">
        <v>61.560454</v>
      </c>
      <c r="I182">
        <v>117.924254</v>
      </c>
      <c r="K182" s="4">
        <f>VLOOKUP(Table_Query_from_Cello_SQL_Server[[#This Row],[AsOfDate]], 'CMO MV Raw'!$A:$B,2,FALSE)</f>
        <v>91944950.100775003</v>
      </c>
      <c r="L182" s="5">
        <f>Table_Query_from_Cello_SQL_Server[[#This Row],[CMO MV]]/Table_Query_from_Cello_SQL_Server[[#This Row],[NAV]]*100</f>
        <v>53.731958339939609</v>
      </c>
    </row>
    <row r="183" spans="1:12" x14ac:dyDescent="0.2">
      <c r="A183" s="1">
        <v>40980</v>
      </c>
      <c r="B183">
        <v>614.37720000000002</v>
      </c>
      <c r="C183">
        <v>110.4765</v>
      </c>
      <c r="D183">
        <v>203.69810000000001</v>
      </c>
      <c r="F183">
        <v>171385945.0855</v>
      </c>
      <c r="G183">
        <v>358.47583600000002</v>
      </c>
      <c r="H183">
        <v>64.460652999999994</v>
      </c>
      <c r="I183">
        <v>118.85344499999999</v>
      </c>
      <c r="K183" s="4">
        <f>VLOOKUP(Table_Query_from_Cello_SQL_Server[[#This Row],[AsOfDate]], 'CMO MV Raw'!$A:$B,2,FALSE)</f>
        <v>95526798.743256003</v>
      </c>
      <c r="L183" s="5">
        <f>Table_Query_from_Cello_SQL_Server[[#This Row],[CMO MV]]/Table_Query_from_Cello_SQL_Server[[#This Row],[NAV]]*100</f>
        <v>55.737825348280545</v>
      </c>
    </row>
    <row r="184" spans="1:12" x14ac:dyDescent="0.2">
      <c r="A184" s="1">
        <v>40981</v>
      </c>
      <c r="B184">
        <v>616.06920000000002</v>
      </c>
      <c r="C184">
        <v>113.7291</v>
      </c>
      <c r="D184">
        <v>205.6242</v>
      </c>
      <c r="F184">
        <v>172028819.95320001</v>
      </c>
      <c r="G184">
        <v>358.11976199999998</v>
      </c>
      <c r="H184">
        <v>66.110491999999994</v>
      </c>
      <c r="I184">
        <v>119.528925</v>
      </c>
      <c r="K184" s="4">
        <f>VLOOKUP(Table_Query_from_Cello_SQL_Server[[#This Row],[AsOfDate]], 'CMO MV Raw'!$A:$B,2,FALSE)</f>
        <v>97161222.068205997</v>
      </c>
      <c r="L184" s="5">
        <f>Table_Query_from_Cello_SQL_Server[[#This Row],[CMO MV]]/Table_Query_from_Cello_SQL_Server[[#This Row],[NAV]]*100</f>
        <v>56.479618993281733</v>
      </c>
    </row>
    <row r="185" spans="1:12" x14ac:dyDescent="0.2">
      <c r="A185" s="1">
        <v>40982</v>
      </c>
      <c r="B185">
        <v>610.75620000000004</v>
      </c>
      <c r="C185">
        <v>117.8801</v>
      </c>
      <c r="D185">
        <v>205.46260000000001</v>
      </c>
      <c r="F185">
        <v>172012481.95159999</v>
      </c>
      <c r="G185">
        <v>355.06504699999999</v>
      </c>
      <c r="H185">
        <v>68.529968999999994</v>
      </c>
      <c r="I185">
        <v>119.446332</v>
      </c>
      <c r="K185" s="4">
        <f>VLOOKUP(Table_Query_from_Cello_SQL_Server[[#This Row],[AsOfDate]], 'CMO MV Raw'!$A:$B,2,FALSE)</f>
        <v>100029275.71738601</v>
      </c>
      <c r="L185" s="5">
        <f>Table_Query_from_Cello_SQL_Server[[#This Row],[CMO MV]]/Table_Query_from_Cello_SQL_Server[[#This Row],[NAV]]*100</f>
        <v>58.152335564538703</v>
      </c>
    </row>
    <row r="186" spans="1:12" x14ac:dyDescent="0.2">
      <c r="A186" s="1">
        <v>40983</v>
      </c>
      <c r="B186">
        <v>623.34310000000005</v>
      </c>
      <c r="C186">
        <v>120.08799999999999</v>
      </c>
      <c r="D186">
        <v>208.38839999999999</v>
      </c>
      <c r="F186">
        <v>172185456.0914</v>
      </c>
      <c r="G186">
        <v>362.018439</v>
      </c>
      <c r="H186">
        <v>69.743404999999996</v>
      </c>
      <c r="I186">
        <v>121.025553</v>
      </c>
      <c r="K186" s="4">
        <f>VLOOKUP(Table_Query_from_Cello_SQL_Server[[#This Row],[AsOfDate]], 'CMO MV Raw'!$A:$B,2,FALSE)</f>
        <v>100415206.96423</v>
      </c>
      <c r="L186" s="5">
        <f>Table_Query_from_Cello_SQL_Server[[#This Row],[CMO MV]]/Table_Query_from_Cello_SQL_Server[[#This Row],[NAV]]*100</f>
        <v>58.31805382617641</v>
      </c>
    </row>
    <row r="187" spans="1:12" x14ac:dyDescent="0.2">
      <c r="A187" s="1">
        <v>40984</v>
      </c>
      <c r="B187">
        <v>615.14620000000002</v>
      </c>
      <c r="C187">
        <v>118.6627</v>
      </c>
      <c r="D187">
        <v>207.52789999999999</v>
      </c>
      <c r="F187">
        <v>172107442.22139999</v>
      </c>
      <c r="G187">
        <v>357.419872</v>
      </c>
      <c r="H187">
        <v>68.946872999999997</v>
      </c>
      <c r="I187">
        <v>120.580434</v>
      </c>
      <c r="K187" s="4">
        <f>VLOOKUP(Table_Query_from_Cello_SQL_Server[[#This Row],[AsOfDate]], 'CMO MV Raw'!$A:$B,2,FALSE)</f>
        <v>99981921.626603007</v>
      </c>
      <c r="L187" s="5">
        <f>Table_Query_from_Cello_SQL_Server[[#This Row],[CMO MV]]/Table_Query_from_Cello_SQL_Server[[#This Row],[NAV]]*100</f>
        <v>58.092735756299078</v>
      </c>
    </row>
    <row r="188" spans="1:12" x14ac:dyDescent="0.2">
      <c r="A188" s="1">
        <v>40987</v>
      </c>
      <c r="B188">
        <v>586.95309999999995</v>
      </c>
      <c r="C188">
        <v>117.0427</v>
      </c>
      <c r="D188">
        <v>204.22800000000001</v>
      </c>
      <c r="F188">
        <v>172220452.84290001</v>
      </c>
      <c r="G188">
        <v>340.81497899999999</v>
      </c>
      <c r="H188">
        <v>67.960976000000002</v>
      </c>
      <c r="I188">
        <v>118.585218</v>
      </c>
      <c r="K188" s="4">
        <f>VLOOKUP(Table_Query_from_Cello_SQL_Server[[#This Row],[AsOfDate]], 'CMO MV Raw'!$A:$B,2,FALSE)</f>
        <v>100951438.722077</v>
      </c>
      <c r="L188" s="5">
        <f>Table_Query_from_Cello_SQL_Server[[#This Row],[CMO MV]]/Table_Query_from_Cello_SQL_Server[[#This Row],[NAV]]*100</f>
        <v>58.617566645330555</v>
      </c>
    </row>
    <row r="189" spans="1:12" x14ac:dyDescent="0.2">
      <c r="A189" s="1">
        <v>40988</v>
      </c>
      <c r="B189">
        <v>576.33309999999994</v>
      </c>
      <c r="C189">
        <v>115.2518</v>
      </c>
      <c r="D189">
        <v>146.8185</v>
      </c>
      <c r="F189">
        <v>172049730.46079999</v>
      </c>
      <c r="G189">
        <v>334.98053099999998</v>
      </c>
      <c r="H189">
        <v>66.987492000000003</v>
      </c>
      <c r="I189">
        <v>85.334919999999997</v>
      </c>
      <c r="K189" s="4">
        <f>VLOOKUP(Table_Query_from_Cello_SQL_Server[[#This Row],[AsOfDate]], 'CMO MV Raw'!$A:$B,2,FALSE)</f>
        <v>99545966.082737997</v>
      </c>
      <c r="L189" s="5">
        <f>Table_Query_from_Cello_SQL_Server[[#This Row],[CMO MV]]/Table_Query_from_Cello_SQL_Server[[#This Row],[NAV]]*100</f>
        <v>57.85883291774099</v>
      </c>
    </row>
    <row r="190" spans="1:12" x14ac:dyDescent="0.2">
      <c r="A190" s="1">
        <v>40989</v>
      </c>
      <c r="B190">
        <v>583.37900000000002</v>
      </c>
      <c r="C190">
        <v>115.0001</v>
      </c>
      <c r="D190">
        <v>182.2422</v>
      </c>
      <c r="F190">
        <v>171319835.66370001</v>
      </c>
      <c r="G190">
        <v>340.52040599999998</v>
      </c>
      <c r="H190">
        <v>67.125968999999998</v>
      </c>
      <c r="I190">
        <v>106.375423</v>
      </c>
      <c r="K190" s="4">
        <f>VLOOKUP(Table_Query_from_Cello_SQL_Server[[#This Row],[AsOfDate]], 'CMO MV Raw'!$A:$B,2,FALSE)</f>
        <v>98767320.719181001</v>
      </c>
      <c r="L190" s="5">
        <f>Table_Query_from_Cello_SQL_Server[[#This Row],[CMO MV]]/Table_Query_from_Cello_SQL_Server[[#This Row],[NAV]]*100</f>
        <v>57.650837882579317</v>
      </c>
    </row>
    <row r="191" spans="1:12" x14ac:dyDescent="0.2">
      <c r="A191" s="1">
        <v>40990</v>
      </c>
      <c r="B191">
        <v>601.74969999999996</v>
      </c>
      <c r="C191">
        <v>118.6832</v>
      </c>
      <c r="D191">
        <v>183.0307</v>
      </c>
      <c r="F191">
        <v>171310380.3107</v>
      </c>
      <c r="G191">
        <v>351.26283599999999</v>
      </c>
      <c r="H191">
        <v>69.279630999999995</v>
      </c>
      <c r="I191">
        <v>106.84157</v>
      </c>
      <c r="K191" s="4">
        <f>VLOOKUP(Table_Query_from_Cello_SQL_Server[[#This Row],[AsOfDate]], 'CMO MV Raw'!$A:$B,2,FALSE)</f>
        <v>105062784.436915</v>
      </c>
      <c r="L191" s="5">
        <f>Table_Query_from_Cello_SQL_Server[[#This Row],[CMO MV]]/Table_Query_from_Cello_SQL_Server[[#This Row],[NAV]]*100</f>
        <v>61.328907358892138</v>
      </c>
    </row>
    <row r="192" spans="1:12" x14ac:dyDescent="0.2">
      <c r="A192" s="1">
        <v>40991</v>
      </c>
      <c r="B192">
        <v>598.28420000000006</v>
      </c>
      <c r="C192">
        <v>117.497</v>
      </c>
      <c r="D192">
        <v>165.2732</v>
      </c>
      <c r="F192">
        <v>171157311.41339999</v>
      </c>
      <c r="G192">
        <v>349.55223100000001</v>
      </c>
      <c r="H192">
        <v>68.648543000000004</v>
      </c>
      <c r="I192">
        <v>96.562162000000001</v>
      </c>
      <c r="K192" s="4">
        <f>VLOOKUP(Table_Query_from_Cello_SQL_Server[[#This Row],[AsOfDate]], 'CMO MV Raw'!$A:$B,2,FALSE)</f>
        <v>104805084.986145</v>
      </c>
      <c r="L192" s="5">
        <f>Table_Query_from_Cello_SQL_Server[[#This Row],[CMO MV]]/Table_Query_from_Cello_SQL_Server[[#This Row],[NAV]]*100</f>
        <v>61.233191921908023</v>
      </c>
    </row>
    <row r="193" spans="1:12" x14ac:dyDescent="0.2">
      <c r="A193" s="1">
        <v>40994</v>
      </c>
      <c r="B193">
        <v>594.82309999999995</v>
      </c>
      <c r="C193">
        <v>116.7872</v>
      </c>
      <c r="D193">
        <v>162.54730000000001</v>
      </c>
      <c r="F193">
        <v>170960814.5598</v>
      </c>
      <c r="G193">
        <v>347.92949599999997</v>
      </c>
      <c r="H193">
        <v>68.312262000000004</v>
      </c>
      <c r="I193">
        <v>95.078688</v>
      </c>
      <c r="K193" s="4">
        <f>VLOOKUP(Table_Query_from_Cello_SQL_Server[[#This Row],[AsOfDate]], 'CMO MV Raw'!$A:$B,2,FALSE)</f>
        <v>104636950.232749</v>
      </c>
      <c r="L193" s="5">
        <f>Table_Query_from_Cello_SQL_Server[[#This Row],[CMO MV]]/Table_Query_from_Cello_SQL_Server[[#This Row],[NAV]]*100</f>
        <v>61.205224426529782</v>
      </c>
    </row>
    <row r="194" spans="1:12" x14ac:dyDescent="0.2">
      <c r="A194" s="1">
        <v>40995</v>
      </c>
      <c r="B194">
        <v>605.53060000000005</v>
      </c>
      <c r="C194">
        <v>116.58069999999999</v>
      </c>
      <c r="D194">
        <v>162.5532</v>
      </c>
      <c r="F194">
        <v>170832711.33520001</v>
      </c>
      <c r="G194">
        <v>354.45822700000002</v>
      </c>
      <c r="H194">
        <v>68.242609000000002</v>
      </c>
      <c r="I194">
        <v>95.153439000000006</v>
      </c>
      <c r="K194" s="4">
        <f>VLOOKUP(Table_Query_from_Cello_SQL_Server[[#This Row],[AsOfDate]], 'CMO MV Raw'!$A:$B,2,FALSE)</f>
        <v>103223881.286476</v>
      </c>
      <c r="L194" s="5">
        <f>Table_Query_from_Cello_SQL_Server[[#This Row],[CMO MV]]/Table_Query_from_Cello_SQL_Server[[#This Row],[NAV]]*100</f>
        <v>60.423955388693031</v>
      </c>
    </row>
    <row r="195" spans="1:12" x14ac:dyDescent="0.2">
      <c r="A195" s="1">
        <v>40996</v>
      </c>
      <c r="B195">
        <v>602.02980000000002</v>
      </c>
      <c r="C195">
        <v>116.77079999999999</v>
      </c>
      <c r="D195">
        <v>190.3535</v>
      </c>
      <c r="F195">
        <v>170782198.81020001</v>
      </c>
      <c r="G195">
        <v>352.51320299999998</v>
      </c>
      <c r="H195">
        <v>68.374105</v>
      </c>
      <c r="I195">
        <v>111.459802</v>
      </c>
      <c r="K195" s="4">
        <f>VLOOKUP(Table_Query_from_Cello_SQL_Server[[#This Row],[AsOfDate]], 'CMO MV Raw'!$A:$B,2,FALSE)</f>
        <v>103499340.915711</v>
      </c>
      <c r="L195" s="5">
        <f>Table_Query_from_Cello_SQL_Server[[#This Row],[CMO MV]]/Table_Query_from_Cello_SQL_Server[[#This Row],[NAV]]*100</f>
        <v>60.60312001881163</v>
      </c>
    </row>
    <row r="196" spans="1:12" x14ac:dyDescent="0.2">
      <c r="A196" s="1">
        <v>40997</v>
      </c>
      <c r="B196">
        <v>602.99480000000005</v>
      </c>
      <c r="C196">
        <v>115.98269999999999</v>
      </c>
      <c r="D196">
        <v>190.18899999999999</v>
      </c>
      <c r="F196">
        <v>170847569.0429</v>
      </c>
      <c r="G196">
        <v>352.94315499999999</v>
      </c>
      <c r="H196">
        <v>67.886655000000005</v>
      </c>
      <c r="I196">
        <v>111.32087</v>
      </c>
      <c r="K196" s="4">
        <f>VLOOKUP(Table_Query_from_Cello_SQL_Server[[#This Row],[AsOfDate]], 'CMO MV Raw'!$A:$B,2,FALSE)</f>
        <v>103046686.447501</v>
      </c>
      <c r="L196" s="5">
        <f>Table_Query_from_Cello_SQL_Server[[#This Row],[CMO MV]]/Table_Query_from_Cello_SQL_Server[[#This Row],[NAV]]*100</f>
        <v>60.314985472006263</v>
      </c>
    </row>
    <row r="197" spans="1:12" x14ac:dyDescent="0.2">
      <c r="A197" s="1">
        <v>40998</v>
      </c>
      <c r="B197">
        <v>587.70320000000004</v>
      </c>
      <c r="C197">
        <v>115.67489999999999</v>
      </c>
      <c r="D197">
        <v>189.12870000000001</v>
      </c>
      <c r="F197">
        <v>171751607.8994</v>
      </c>
      <c r="G197">
        <v>342.18206600000002</v>
      </c>
      <c r="H197">
        <v>67.350111999999996</v>
      </c>
      <c r="I197">
        <v>110.117572</v>
      </c>
      <c r="K197" s="4">
        <f>VLOOKUP(Table_Query_from_Cello_SQL_Server[[#This Row],[AsOfDate]], 'CMO MV Raw'!$A:$B,2,FALSE)</f>
        <v>103824256.14947499</v>
      </c>
      <c r="L197" s="5">
        <f>Table_Query_from_Cello_SQL_Server[[#This Row],[CMO MV]]/Table_Query_from_Cello_SQL_Server[[#This Row],[NAV]]*100</f>
        <v>60.450238236074007</v>
      </c>
    </row>
    <row r="198" spans="1:12" x14ac:dyDescent="0.2">
      <c r="A198" s="1">
        <v>41001</v>
      </c>
      <c r="B198">
        <v>624.48199999999997</v>
      </c>
      <c r="C198">
        <v>122.19410000000001</v>
      </c>
      <c r="D198">
        <v>190.3426</v>
      </c>
      <c r="F198">
        <v>196509671.19319999</v>
      </c>
      <c r="G198">
        <v>317.78690399999999</v>
      </c>
      <c r="H198">
        <v>62.182231999999999</v>
      </c>
      <c r="I198">
        <v>96.861695999999995</v>
      </c>
      <c r="K198" s="4">
        <f>VLOOKUP(Table_Query_from_Cello_SQL_Server[[#This Row],[AsOfDate]], 'CMO MV Raw'!$A:$B,2,FALSE)</f>
        <v>109934087.254335</v>
      </c>
      <c r="L198" s="5">
        <f>Table_Query_from_Cello_SQL_Server[[#This Row],[CMO MV]]/Table_Query_from_Cello_SQL_Server[[#This Row],[NAV]]*100</f>
        <v>55.943347005172306</v>
      </c>
    </row>
    <row r="199" spans="1:12" x14ac:dyDescent="0.2">
      <c r="A199" s="1">
        <v>41002</v>
      </c>
      <c r="B199">
        <v>552.56740000000002</v>
      </c>
      <c r="C199">
        <v>111.9545</v>
      </c>
      <c r="D199">
        <v>191.32560000000001</v>
      </c>
      <c r="F199">
        <v>197580940.91999999</v>
      </c>
      <c r="G199">
        <v>279.66634699999997</v>
      </c>
      <c r="H199">
        <v>56.662601000000002</v>
      </c>
      <c r="I199">
        <v>96.834035999999998</v>
      </c>
      <c r="K199" s="4">
        <f>VLOOKUP(Table_Query_from_Cello_SQL_Server[[#This Row],[AsOfDate]], 'CMO MV Raw'!$A:$B,2,FALSE)</f>
        <v>105441711.22273301</v>
      </c>
      <c r="L199" s="5">
        <f>Table_Query_from_Cello_SQL_Server[[#This Row],[CMO MV]]/Table_Query_from_Cello_SQL_Server[[#This Row],[NAV]]*100</f>
        <v>53.366337224513003</v>
      </c>
    </row>
    <row r="200" spans="1:12" x14ac:dyDescent="0.2">
      <c r="A200" s="1">
        <v>41003</v>
      </c>
      <c r="B200">
        <v>550.88220000000001</v>
      </c>
      <c r="C200">
        <v>110.1756</v>
      </c>
      <c r="D200">
        <v>189.4573</v>
      </c>
      <c r="F200">
        <v>197142564.32499999</v>
      </c>
      <c r="G200">
        <v>279.43341500000002</v>
      </c>
      <c r="H200">
        <v>55.886257000000001</v>
      </c>
      <c r="I200">
        <v>96.101671999999994</v>
      </c>
      <c r="K200" s="4">
        <f>VLOOKUP(Table_Query_from_Cello_SQL_Server[[#This Row],[AsOfDate]], 'CMO MV Raw'!$A:$B,2,FALSE)</f>
        <v>104394948.45191599</v>
      </c>
      <c r="L200" s="5">
        <f>Table_Query_from_Cello_SQL_Server[[#This Row],[CMO MV]]/Table_Query_from_Cello_SQL_Server[[#This Row],[NAV]]*100</f>
        <v>52.954038012722293</v>
      </c>
    </row>
    <row r="201" spans="1:12" x14ac:dyDescent="0.2">
      <c r="A201" s="1">
        <v>41004</v>
      </c>
      <c r="B201">
        <v>615.79600000000005</v>
      </c>
      <c r="C201">
        <v>120.7929</v>
      </c>
      <c r="D201">
        <v>185.06489999999999</v>
      </c>
      <c r="F201">
        <v>196972799.11809999</v>
      </c>
      <c r="G201">
        <v>312.62996900000002</v>
      </c>
      <c r="H201">
        <v>61.324660000000002</v>
      </c>
      <c r="I201">
        <v>93.954545999999993</v>
      </c>
      <c r="K201" s="4">
        <f>VLOOKUP(Table_Query_from_Cello_SQL_Server[[#This Row],[AsOfDate]], 'CMO MV Raw'!$A:$B,2,FALSE)</f>
        <v>103204372.54161701</v>
      </c>
      <c r="L201" s="5">
        <f>Table_Query_from_Cello_SQL_Server[[#This Row],[CMO MV]]/Table_Query_from_Cello_SQL_Server[[#This Row],[NAV]]*100</f>
        <v>52.395240867617574</v>
      </c>
    </row>
    <row r="202" spans="1:12" x14ac:dyDescent="0.2">
      <c r="A202" s="1">
        <v>41005</v>
      </c>
      <c r="B202">
        <v>607.99109999999996</v>
      </c>
      <c r="C202">
        <v>115.89919999999999</v>
      </c>
      <c r="D202">
        <v>208.11099999999999</v>
      </c>
      <c r="F202">
        <v>196207829.75209999</v>
      </c>
      <c r="G202">
        <v>309.87096700000001</v>
      </c>
      <c r="H202">
        <v>59.069609999999997</v>
      </c>
      <c r="I202">
        <v>106.066613</v>
      </c>
      <c r="K202" s="4">
        <f>VLOOKUP(Table_Query_from_Cello_SQL_Server[[#This Row],[AsOfDate]], 'CMO MV Raw'!$A:$B,2,FALSE)</f>
        <v>109981707.786222</v>
      </c>
      <c r="L202" s="5">
        <f>Table_Query_from_Cello_SQL_Server[[#This Row],[CMO MV]]/Table_Query_from_Cello_SQL_Server[[#This Row],[NAV]]*100</f>
        <v>56.053679369054265</v>
      </c>
    </row>
    <row r="203" spans="1:12" x14ac:dyDescent="0.2">
      <c r="A203" s="1">
        <v>41008</v>
      </c>
      <c r="B203">
        <v>634.16510000000005</v>
      </c>
      <c r="C203">
        <v>117.7214</v>
      </c>
      <c r="D203">
        <v>265.64870000000002</v>
      </c>
      <c r="F203">
        <v>196053408.72549999</v>
      </c>
      <c r="G203">
        <v>323.46548000000001</v>
      </c>
      <c r="H203">
        <v>60.045577000000002</v>
      </c>
      <c r="I203">
        <v>135.49812900000001</v>
      </c>
      <c r="K203" s="4">
        <f>VLOOKUP(Table_Query_from_Cello_SQL_Server[[#This Row],[AsOfDate]], 'CMO MV Raw'!$A:$B,2,FALSE)</f>
        <v>109455975.201728</v>
      </c>
      <c r="L203" s="5">
        <f>Table_Query_from_Cello_SQL_Server[[#This Row],[CMO MV]]/Table_Query_from_Cello_SQL_Server[[#This Row],[NAV]]*100</f>
        <v>55.829672084396378</v>
      </c>
    </row>
    <row r="204" spans="1:12" x14ac:dyDescent="0.2">
      <c r="A204" s="1">
        <v>41009</v>
      </c>
      <c r="B204">
        <v>675.35850000000005</v>
      </c>
      <c r="C204">
        <v>123.36109999999999</v>
      </c>
      <c r="D204">
        <v>283.68740000000003</v>
      </c>
      <c r="F204">
        <v>197566520.8664</v>
      </c>
      <c r="G204">
        <v>341.83853499999998</v>
      </c>
      <c r="H204">
        <v>62.440286</v>
      </c>
      <c r="I204">
        <v>143.59082599999999</v>
      </c>
      <c r="K204" s="4">
        <f>VLOOKUP(Table_Query_from_Cello_SQL_Server[[#This Row],[AsOfDate]], 'CMO MV Raw'!$A:$B,2,FALSE)</f>
        <v>110530341.740344</v>
      </c>
      <c r="L204" s="5">
        <f>Table_Query_from_Cello_SQL_Server[[#This Row],[CMO MV]]/Table_Query_from_Cello_SQL_Server[[#This Row],[NAV]]*100</f>
        <v>55.945886608535112</v>
      </c>
    </row>
    <row r="205" spans="1:12" x14ac:dyDescent="0.2">
      <c r="A205" s="1">
        <v>41010</v>
      </c>
      <c r="B205">
        <v>664.51949999999999</v>
      </c>
      <c r="C205">
        <v>124.7418</v>
      </c>
      <c r="D205">
        <v>308.72000000000003</v>
      </c>
      <c r="F205">
        <v>198067548.42449999</v>
      </c>
      <c r="G205">
        <v>335.50145199999997</v>
      </c>
      <c r="H205">
        <v>62.979422999999997</v>
      </c>
      <c r="I205">
        <v>155.866018</v>
      </c>
      <c r="K205" s="4">
        <f>VLOOKUP(Table_Query_from_Cello_SQL_Server[[#This Row],[AsOfDate]], 'CMO MV Raw'!$A:$B,2,FALSE)</f>
        <v>116024175.192808</v>
      </c>
      <c r="L205" s="5">
        <f>Table_Query_from_Cello_SQL_Server[[#This Row],[CMO MV]]/Table_Query_from_Cello_SQL_Server[[#This Row],[NAV]]*100</f>
        <v>58.578084151445168</v>
      </c>
    </row>
    <row r="206" spans="1:12" x14ac:dyDescent="0.2">
      <c r="A206" s="1">
        <v>41011</v>
      </c>
      <c r="B206">
        <v>681.56169999999997</v>
      </c>
      <c r="C206">
        <v>128.76130000000001</v>
      </c>
      <c r="D206">
        <v>319.10469999999998</v>
      </c>
      <c r="F206">
        <v>198421234.11579999</v>
      </c>
      <c r="G206">
        <v>343.49232000000001</v>
      </c>
      <c r="H206">
        <v>64.892904000000001</v>
      </c>
      <c r="I206">
        <v>160.82185000000001</v>
      </c>
      <c r="K206" s="4">
        <f>VLOOKUP(Table_Query_from_Cello_SQL_Server[[#This Row],[AsOfDate]], 'CMO MV Raw'!$A:$B,2,FALSE)</f>
        <v>119132694.289004</v>
      </c>
      <c r="L206" s="5">
        <f>Table_Query_from_Cello_SQL_Server[[#This Row],[CMO MV]]/Table_Query_from_Cello_SQL_Server[[#This Row],[NAV]]*100</f>
        <v>60.040294991551832</v>
      </c>
    </row>
    <row r="207" spans="1:12" x14ac:dyDescent="0.2">
      <c r="A207" s="1">
        <v>41012</v>
      </c>
      <c r="B207">
        <v>703.71879999999999</v>
      </c>
      <c r="C207">
        <v>130.59639999999999</v>
      </c>
      <c r="D207">
        <v>321.08960000000002</v>
      </c>
      <c r="F207">
        <v>198700856.69580001</v>
      </c>
      <c r="G207">
        <v>354.15992199999999</v>
      </c>
      <c r="H207">
        <v>65.725132000000002</v>
      </c>
      <c r="I207">
        <v>161.594472</v>
      </c>
      <c r="K207" s="4">
        <f>VLOOKUP(Table_Query_from_Cello_SQL_Server[[#This Row],[AsOfDate]], 'CMO MV Raw'!$A:$B,2,FALSE)</f>
        <v>122603139.821419</v>
      </c>
      <c r="L207" s="5">
        <f>Table_Query_from_Cello_SQL_Server[[#This Row],[CMO MV]]/Table_Query_from_Cello_SQL_Server[[#This Row],[NAV]]*100</f>
        <v>61.70237102153898</v>
      </c>
    </row>
    <row r="208" spans="1:12" x14ac:dyDescent="0.2">
      <c r="A208" s="1">
        <v>41015</v>
      </c>
      <c r="B208">
        <v>705.56719999999996</v>
      </c>
      <c r="C208">
        <v>129.57499999999999</v>
      </c>
      <c r="D208">
        <v>265.41140000000001</v>
      </c>
      <c r="F208">
        <v>198709690.42820001</v>
      </c>
      <c r="G208">
        <v>355.07437900000002</v>
      </c>
      <c r="H208">
        <v>65.208194000000006</v>
      </c>
      <c r="I208">
        <v>133.56741700000001</v>
      </c>
      <c r="K208" s="4">
        <f>VLOOKUP(Table_Query_from_Cello_SQL_Server[[#This Row],[AsOfDate]], 'CMO MV Raw'!$A:$B,2,FALSE)</f>
        <v>121723031.03613199</v>
      </c>
      <c r="L208" s="5">
        <f>Table_Query_from_Cello_SQL_Server[[#This Row],[CMO MV]]/Table_Query_from_Cello_SQL_Server[[#This Row],[NAV]]*100</f>
        <v>61.256716154018818</v>
      </c>
    </row>
    <row r="209" spans="1:12" x14ac:dyDescent="0.2">
      <c r="A209" s="1">
        <v>41016</v>
      </c>
      <c r="B209">
        <v>776.1354</v>
      </c>
      <c r="C209">
        <v>143.8203</v>
      </c>
      <c r="D209">
        <v>333.22489999999999</v>
      </c>
      <c r="F209">
        <v>199250044.05219999</v>
      </c>
      <c r="G209">
        <v>389.528346</v>
      </c>
      <c r="H209">
        <v>72.180812000000003</v>
      </c>
      <c r="I209">
        <v>167.23956200000001</v>
      </c>
      <c r="K209" s="4">
        <f>VLOOKUP(Table_Query_from_Cello_SQL_Server[[#This Row],[AsOfDate]], 'CMO MV Raw'!$A:$B,2,FALSE)</f>
        <v>133409244.45327</v>
      </c>
      <c r="L209" s="5">
        <f>Table_Query_from_Cello_SQL_Server[[#This Row],[CMO MV]]/Table_Query_from_Cello_SQL_Server[[#This Row],[NAV]]*100</f>
        <v>66.955691321362593</v>
      </c>
    </row>
    <row r="210" spans="1:12" x14ac:dyDescent="0.2">
      <c r="A210" s="1">
        <v>41017</v>
      </c>
      <c r="B210">
        <v>779.68219999999997</v>
      </c>
      <c r="C210">
        <v>142.5104</v>
      </c>
      <c r="D210">
        <v>332.15649999999999</v>
      </c>
      <c r="F210">
        <v>199105711.2256</v>
      </c>
      <c r="G210">
        <v>391.592082</v>
      </c>
      <c r="H210">
        <v>71.575244999999995</v>
      </c>
      <c r="I210">
        <v>166.824195</v>
      </c>
      <c r="K210" s="4">
        <f>VLOOKUP(Table_Query_from_Cello_SQL_Server[[#This Row],[AsOfDate]], 'CMO MV Raw'!$A:$B,2,FALSE)</f>
        <v>132369318.447423</v>
      </c>
      <c r="L210" s="5">
        <f>Table_Query_from_Cello_SQL_Server[[#This Row],[CMO MV]]/Table_Query_from_Cello_SQL_Server[[#This Row],[NAV]]*100</f>
        <v>66.481929439703393</v>
      </c>
    </row>
    <row r="211" spans="1:12" x14ac:dyDescent="0.2">
      <c r="A211" s="1">
        <v>41018</v>
      </c>
      <c r="B211">
        <v>770.66470000000004</v>
      </c>
      <c r="C211">
        <v>139.2534</v>
      </c>
      <c r="D211">
        <v>328.94279999999998</v>
      </c>
      <c r="F211">
        <v>198635750.9305</v>
      </c>
      <c r="G211">
        <v>387.97884900000003</v>
      </c>
      <c r="H211">
        <v>70.104902999999993</v>
      </c>
      <c r="I211">
        <v>165.60100499999999</v>
      </c>
      <c r="K211" s="4">
        <f>VLOOKUP(Table_Query_from_Cello_SQL_Server[[#This Row],[AsOfDate]], 'CMO MV Raw'!$A:$B,2,FALSE)</f>
        <v>129071198.304906</v>
      </c>
      <c r="L211" s="5">
        <f>Table_Query_from_Cello_SQL_Server[[#This Row],[CMO MV]]/Table_Query_from_Cello_SQL_Server[[#This Row],[NAV]]*100</f>
        <v>64.978835733385324</v>
      </c>
    </row>
    <row r="212" spans="1:12" x14ac:dyDescent="0.2">
      <c r="A212" s="1">
        <v>41019</v>
      </c>
      <c r="B212">
        <v>726.85440000000006</v>
      </c>
      <c r="C212">
        <v>133.06870000000001</v>
      </c>
      <c r="D212">
        <v>325.46499999999997</v>
      </c>
      <c r="F212">
        <v>198655982.34630001</v>
      </c>
      <c r="G212">
        <v>365.885986</v>
      </c>
      <c r="H212">
        <v>66.984492000000003</v>
      </c>
      <c r="I212">
        <v>163.83347499999999</v>
      </c>
      <c r="K212" s="4">
        <f>VLOOKUP(Table_Query_from_Cello_SQL_Server[[#This Row],[AsOfDate]], 'CMO MV Raw'!$A:$B,2,FALSE)</f>
        <v>129592311.845024</v>
      </c>
      <c r="L212" s="5">
        <f>Table_Query_from_Cello_SQL_Server[[#This Row],[CMO MV]]/Table_Query_from_Cello_SQL_Server[[#This Row],[NAV]]*100</f>
        <v>65.234537774511509</v>
      </c>
    </row>
    <row r="213" spans="1:12" x14ac:dyDescent="0.2">
      <c r="A213" s="1">
        <v>41022</v>
      </c>
      <c r="B213">
        <v>724.21199999999999</v>
      </c>
      <c r="C213">
        <v>130.892</v>
      </c>
      <c r="D213">
        <v>322.69310000000002</v>
      </c>
      <c r="F213">
        <v>198779222.7114</v>
      </c>
      <c r="G213">
        <v>364.32982800000002</v>
      </c>
      <c r="H213">
        <v>65.847927999999996</v>
      </c>
      <c r="I213">
        <v>162.33743899999999</v>
      </c>
      <c r="K213" s="4">
        <f>VLOOKUP(Table_Query_from_Cello_SQL_Server[[#This Row],[AsOfDate]], 'CMO MV Raw'!$A:$B,2,FALSE)</f>
        <v>128400354.911164</v>
      </c>
      <c r="L213" s="5">
        <f>Table_Query_from_Cello_SQL_Server[[#This Row],[CMO MV]]/Table_Query_from_Cello_SQL_Server[[#This Row],[NAV]]*100</f>
        <v>64.594454671745851</v>
      </c>
    </row>
    <row r="214" spans="1:12" x14ac:dyDescent="0.2">
      <c r="A214" s="1">
        <v>41023</v>
      </c>
      <c r="B214">
        <v>695.38070000000005</v>
      </c>
      <c r="C214">
        <v>127.2646</v>
      </c>
      <c r="D214">
        <v>273.24590000000001</v>
      </c>
      <c r="F214">
        <v>200188749.57710001</v>
      </c>
      <c r="G214">
        <v>347.362527</v>
      </c>
      <c r="H214">
        <v>63.572304000000003</v>
      </c>
      <c r="I214">
        <v>136.494134</v>
      </c>
      <c r="K214" s="4">
        <f>VLOOKUP(Table_Query_from_Cello_SQL_Server[[#This Row],[AsOfDate]], 'CMO MV Raw'!$A:$B,2,FALSE)</f>
        <v>125008693.53763901</v>
      </c>
      <c r="L214" s="5">
        <f>Table_Query_from_Cello_SQL_Server[[#This Row],[CMO MV]]/Table_Query_from_Cello_SQL_Server[[#This Row],[NAV]]*100</f>
        <v>62.445414041358795</v>
      </c>
    </row>
    <row r="215" spans="1:12" x14ac:dyDescent="0.2">
      <c r="A215" s="1">
        <v>41024</v>
      </c>
      <c r="B215">
        <v>708.46839999999997</v>
      </c>
      <c r="C215">
        <v>131.5273</v>
      </c>
      <c r="D215">
        <v>328.63319999999999</v>
      </c>
      <c r="F215">
        <v>200686029.8326</v>
      </c>
      <c r="G215">
        <v>353.023278</v>
      </c>
      <c r="H215">
        <v>65.538842000000002</v>
      </c>
      <c r="I215">
        <v>163.754896</v>
      </c>
      <c r="K215" s="4">
        <f>VLOOKUP(Table_Query_from_Cello_SQL_Server[[#This Row],[AsOfDate]], 'CMO MV Raw'!$A:$B,2,FALSE)</f>
        <v>127972928.219466</v>
      </c>
      <c r="L215" s="5">
        <f>Table_Query_from_Cello_SQL_Server[[#This Row],[CMO MV]]/Table_Query_from_Cello_SQL_Server[[#This Row],[NAV]]*100</f>
        <v>63.767731279657667</v>
      </c>
    </row>
    <row r="216" spans="1:12" x14ac:dyDescent="0.2">
      <c r="A216" s="1">
        <v>41025</v>
      </c>
      <c r="B216">
        <v>727.72289999999998</v>
      </c>
      <c r="C216">
        <v>133.9246</v>
      </c>
      <c r="D216">
        <v>328.24119999999999</v>
      </c>
      <c r="F216">
        <v>200700457.77649999</v>
      </c>
      <c r="G216">
        <v>362.59154999999998</v>
      </c>
      <c r="H216">
        <v>66.728596999999993</v>
      </c>
      <c r="I216">
        <v>163.547808</v>
      </c>
      <c r="K216" s="4">
        <f>VLOOKUP(Table_Query_from_Cello_SQL_Server[[#This Row],[AsOfDate]], 'CMO MV Raw'!$A:$B,2,FALSE)</f>
        <v>135703080.17941299</v>
      </c>
      <c r="L216" s="5">
        <f>Table_Query_from_Cello_SQL_Server[[#This Row],[CMO MV]]/Table_Query_from_Cello_SQL_Server[[#This Row],[NAV]]*100</f>
        <v>67.61473375936788</v>
      </c>
    </row>
    <row r="217" spans="1:12" x14ac:dyDescent="0.2">
      <c r="A217" s="1">
        <v>41026</v>
      </c>
      <c r="B217">
        <v>704.65250000000003</v>
      </c>
      <c r="C217">
        <v>128.75450000000001</v>
      </c>
      <c r="D217">
        <v>326.51069999999999</v>
      </c>
      <c r="F217">
        <v>201010119.75420001</v>
      </c>
      <c r="G217">
        <v>350.55573399999997</v>
      </c>
      <c r="H217">
        <v>64.053740000000005</v>
      </c>
      <c r="I217">
        <v>162.434956</v>
      </c>
      <c r="K217" s="4">
        <f>VLOOKUP(Table_Query_from_Cello_SQL_Server[[#This Row],[AsOfDate]], 'CMO MV Raw'!$A:$B,2,FALSE)</f>
        <v>131482245.976068</v>
      </c>
      <c r="L217" s="5">
        <f>Table_Query_from_Cello_SQL_Server[[#This Row],[CMO MV]]/Table_Query_from_Cello_SQL_Server[[#This Row],[NAV]]*100</f>
        <v>65.410759486561005</v>
      </c>
    </row>
    <row r="218" spans="1:12" x14ac:dyDescent="0.2">
      <c r="A218" s="1">
        <v>41029</v>
      </c>
      <c r="B218">
        <v>686.29719999999998</v>
      </c>
      <c r="C218">
        <v>125.7897</v>
      </c>
      <c r="D218">
        <v>216.88329999999999</v>
      </c>
      <c r="F218">
        <v>202384914.6029</v>
      </c>
      <c r="G218">
        <v>339.104919</v>
      </c>
      <c r="H218">
        <v>62.153694000000002</v>
      </c>
      <c r="I218">
        <v>107.163768</v>
      </c>
      <c r="K218" s="4">
        <f>VLOOKUP(Table_Query_from_Cello_SQL_Server[[#This Row],[AsOfDate]], 'CMO MV Raw'!$A:$B,2,FALSE)</f>
        <v>128721789.19695599</v>
      </c>
      <c r="L218" s="5">
        <f>Table_Query_from_Cello_SQL_Server[[#This Row],[CMO MV]]/Table_Query_from_Cello_SQL_Server[[#This Row],[NAV]]*100</f>
        <v>63.602462391785167</v>
      </c>
    </row>
    <row r="219" spans="1:12" x14ac:dyDescent="0.2">
      <c r="A219" s="1">
        <v>41030</v>
      </c>
      <c r="B219">
        <v>711.1798</v>
      </c>
      <c r="C219">
        <v>132.75290000000001</v>
      </c>
      <c r="D219">
        <v>323.7647</v>
      </c>
      <c r="F219">
        <v>233406501.36750001</v>
      </c>
      <c r="G219">
        <v>304.69579700000003</v>
      </c>
      <c r="H219">
        <v>56.876264999999997</v>
      </c>
      <c r="I219">
        <v>138.71280300000001</v>
      </c>
      <c r="K219" s="4">
        <f>VLOOKUP(Table_Query_from_Cello_SQL_Server[[#This Row],[AsOfDate]], 'CMO MV Raw'!$A:$B,2,FALSE)</f>
        <v>137619474.77511099</v>
      </c>
      <c r="L219" s="5">
        <f>Table_Query_from_Cello_SQL_Server[[#This Row],[CMO MV]]/Table_Query_from_Cello_SQL_Server[[#This Row],[NAV]]*100</f>
        <v>58.961285983387526</v>
      </c>
    </row>
    <row r="220" spans="1:12" x14ac:dyDescent="0.2">
      <c r="A220" s="1">
        <v>41031</v>
      </c>
      <c r="B220">
        <v>711.66880000000003</v>
      </c>
      <c r="C220">
        <v>131.93680000000001</v>
      </c>
      <c r="D220">
        <v>269.97980000000001</v>
      </c>
      <c r="F220">
        <v>234118343.47049999</v>
      </c>
      <c r="G220">
        <v>303.97823099999999</v>
      </c>
      <c r="H220">
        <v>56.354747000000003</v>
      </c>
      <c r="I220">
        <v>115.317662</v>
      </c>
      <c r="K220" s="4">
        <f>VLOOKUP(Table_Query_from_Cello_SQL_Server[[#This Row],[AsOfDate]], 'CMO MV Raw'!$A:$B,2,FALSE)</f>
        <v>137068353.00955001</v>
      </c>
      <c r="L220" s="5">
        <f>Table_Query_from_Cello_SQL_Server[[#This Row],[CMO MV]]/Table_Query_from_Cello_SQL_Server[[#This Row],[NAV]]*100</f>
        <v>58.546609794726002</v>
      </c>
    </row>
    <row r="221" spans="1:12" x14ac:dyDescent="0.2">
      <c r="A221" s="1">
        <v>41032</v>
      </c>
      <c r="B221">
        <v>710.48220000000003</v>
      </c>
      <c r="C221">
        <v>132.34370000000001</v>
      </c>
      <c r="D221">
        <v>323.3116</v>
      </c>
      <c r="F221">
        <v>234856201.7137</v>
      </c>
      <c r="G221">
        <v>302.51796400000001</v>
      </c>
      <c r="H221">
        <v>56.350949999999997</v>
      </c>
      <c r="I221">
        <v>137.66364200000001</v>
      </c>
      <c r="K221" s="4">
        <f>VLOOKUP(Table_Query_from_Cello_SQL_Server[[#This Row],[AsOfDate]], 'CMO MV Raw'!$A:$B,2,FALSE)</f>
        <v>137667257.248337</v>
      </c>
      <c r="L221" s="5">
        <f>Table_Query_from_Cello_SQL_Server[[#This Row],[CMO MV]]/Table_Query_from_Cello_SQL_Server[[#This Row],[NAV]]*100</f>
        <v>58.617680199120059</v>
      </c>
    </row>
    <row r="222" spans="1:12" x14ac:dyDescent="0.2">
      <c r="A222" s="1">
        <v>41033</v>
      </c>
      <c r="B222">
        <v>720.54989999999998</v>
      </c>
      <c r="C222">
        <v>133.23439999999999</v>
      </c>
      <c r="D222">
        <v>318.55720000000002</v>
      </c>
      <c r="F222">
        <v>235288756.73089999</v>
      </c>
      <c r="G222">
        <v>306.24068499999998</v>
      </c>
      <c r="H222">
        <v>56.625909999999998</v>
      </c>
      <c r="I222">
        <v>135.389895</v>
      </c>
      <c r="K222" s="4">
        <f>VLOOKUP(Table_Query_from_Cello_SQL_Server[[#This Row],[AsOfDate]], 'CMO MV Raw'!$A:$B,2,FALSE)</f>
        <v>136884091.04695699</v>
      </c>
      <c r="L222" s="5">
        <f>Table_Query_from_Cello_SQL_Server[[#This Row],[CMO MV]]/Table_Query_from_Cello_SQL_Server[[#This Row],[NAV]]*100</f>
        <v>58.177064195001662</v>
      </c>
    </row>
    <row r="223" spans="1:12" x14ac:dyDescent="0.2">
      <c r="A223" s="1">
        <v>41036</v>
      </c>
      <c r="B223">
        <v>683.94899999999996</v>
      </c>
      <c r="C223">
        <v>128.39019999999999</v>
      </c>
      <c r="D223">
        <v>317.22120000000001</v>
      </c>
      <c r="F223">
        <v>235865146.92820001</v>
      </c>
      <c r="G223">
        <v>289.97459300000003</v>
      </c>
      <c r="H223">
        <v>54.433731000000002</v>
      </c>
      <c r="I223">
        <v>134.49261300000001</v>
      </c>
      <c r="K223" s="4">
        <f>VLOOKUP(Table_Query_from_Cello_SQL_Server[[#This Row],[AsOfDate]], 'CMO MV Raw'!$A:$B,2,FALSE)</f>
        <v>137175288.755889</v>
      </c>
      <c r="L223" s="5">
        <f>Table_Query_from_Cello_SQL_Server[[#This Row],[CMO MV]]/Table_Query_from_Cello_SQL_Server[[#This Row],[NAV]]*100</f>
        <v>58.158354696485404</v>
      </c>
    </row>
    <row r="224" spans="1:12" x14ac:dyDescent="0.2">
      <c r="A224" s="1">
        <v>41037</v>
      </c>
      <c r="B224">
        <v>664.27599999999995</v>
      </c>
      <c r="C224">
        <v>125.07389999999999</v>
      </c>
      <c r="D224">
        <v>310.97980000000001</v>
      </c>
      <c r="F224">
        <v>236457207.9894</v>
      </c>
      <c r="G224">
        <v>280.92863199999999</v>
      </c>
      <c r="H224">
        <v>52.894941000000003</v>
      </c>
      <c r="I224">
        <v>131.516312</v>
      </c>
      <c r="K224" s="4">
        <f>VLOOKUP(Table_Query_from_Cello_SQL_Server[[#This Row],[AsOfDate]], 'CMO MV Raw'!$A:$B,2,FALSE)</f>
        <v>136485617.141193</v>
      </c>
      <c r="L224" s="5">
        <f>Table_Query_from_Cello_SQL_Server[[#This Row],[CMO MV]]/Table_Query_from_Cello_SQL_Server[[#This Row],[NAV]]*100</f>
        <v>57.721064331991698</v>
      </c>
    </row>
    <row r="225" spans="1:12" x14ac:dyDescent="0.2">
      <c r="A225" s="1">
        <v>41038</v>
      </c>
      <c r="B225">
        <v>677.37009999999998</v>
      </c>
      <c r="C225">
        <v>126.2478</v>
      </c>
      <c r="D225">
        <v>311.43459999999999</v>
      </c>
      <c r="F225">
        <v>235399932.4068</v>
      </c>
      <c r="G225">
        <v>287.75288599999999</v>
      </c>
      <c r="H225">
        <v>53.631196000000003</v>
      </c>
      <c r="I225">
        <v>132.300208</v>
      </c>
      <c r="K225" s="4">
        <f>VLOOKUP(Table_Query_from_Cello_SQL_Server[[#This Row],[AsOfDate]], 'CMO MV Raw'!$A:$B,2,FALSE)</f>
        <v>134059250.92117099</v>
      </c>
      <c r="L225" s="5">
        <f>Table_Query_from_Cello_SQL_Server[[#This Row],[CMO MV]]/Table_Query_from_Cello_SQL_Server[[#This Row],[NAV]]*100</f>
        <v>56.949570694650895</v>
      </c>
    </row>
    <row r="226" spans="1:12" x14ac:dyDescent="0.2">
      <c r="A226" s="1">
        <v>41039</v>
      </c>
      <c r="B226">
        <v>714.69410000000005</v>
      </c>
      <c r="C226">
        <v>132.94399999999999</v>
      </c>
      <c r="D226">
        <v>313.29239999999999</v>
      </c>
      <c r="F226">
        <v>235077513.89590001</v>
      </c>
      <c r="G226">
        <v>304.02486699999997</v>
      </c>
      <c r="H226">
        <v>56.553260999999999</v>
      </c>
      <c r="I226">
        <v>133.27195599999999</v>
      </c>
      <c r="K226" s="4">
        <f>VLOOKUP(Table_Query_from_Cello_SQL_Server[[#This Row],[AsOfDate]], 'CMO MV Raw'!$A:$B,2,FALSE)</f>
        <v>143187818.31066999</v>
      </c>
      <c r="L226" s="5">
        <f>Table_Query_from_Cello_SQL_Server[[#This Row],[CMO MV]]/Table_Query_from_Cello_SQL_Server[[#This Row],[NAV]]*100</f>
        <v>60.910895277750058</v>
      </c>
    </row>
    <row r="227" spans="1:12" x14ac:dyDescent="0.2">
      <c r="A227" s="1">
        <v>41040</v>
      </c>
      <c r="B227">
        <v>702.98320000000001</v>
      </c>
      <c r="C227">
        <v>129.33240000000001</v>
      </c>
      <c r="D227">
        <v>329.83609999999999</v>
      </c>
      <c r="F227">
        <v>235796669.36449999</v>
      </c>
      <c r="G227">
        <v>298.13109800000001</v>
      </c>
      <c r="H227">
        <v>54.849120999999997</v>
      </c>
      <c r="I227">
        <v>139.88157699999999</v>
      </c>
      <c r="K227" s="4">
        <f>VLOOKUP(Table_Query_from_Cello_SQL_Server[[#This Row],[AsOfDate]], 'CMO MV Raw'!$A:$B,2,FALSE)</f>
        <v>143082564.503757</v>
      </c>
      <c r="L227" s="5">
        <f>Table_Query_from_Cello_SQL_Server[[#This Row],[CMO MV]]/Table_Query_from_Cello_SQL_Server[[#This Row],[NAV]]*100</f>
        <v>60.680485814062394</v>
      </c>
    </row>
    <row r="228" spans="1:12" x14ac:dyDescent="0.2">
      <c r="A228" s="1">
        <v>41043</v>
      </c>
      <c r="B228">
        <v>710.56110000000001</v>
      </c>
      <c r="C228">
        <v>127.3561</v>
      </c>
      <c r="D228">
        <v>328.46409999999997</v>
      </c>
      <c r="F228">
        <v>236434971.38159999</v>
      </c>
      <c r="G228">
        <v>300.53130299999998</v>
      </c>
      <c r="H228">
        <v>53.865169999999999</v>
      </c>
      <c r="I228">
        <v>138.923653</v>
      </c>
      <c r="K228" s="4">
        <f>VLOOKUP(Table_Query_from_Cello_SQL_Server[[#This Row],[AsOfDate]], 'CMO MV Raw'!$A:$B,2,FALSE)</f>
        <v>141059956.36781299</v>
      </c>
      <c r="L228" s="5">
        <f>Table_Query_from_Cello_SQL_Server[[#This Row],[CMO MV]]/Table_Query_from_Cello_SQL_Server[[#This Row],[NAV]]*100</f>
        <v>59.661206438088989</v>
      </c>
    </row>
    <row r="229" spans="1:12" x14ac:dyDescent="0.2">
      <c r="A229" s="1">
        <v>41044</v>
      </c>
      <c r="B229">
        <v>714.51549999999997</v>
      </c>
      <c r="C229">
        <v>127.57769999999999</v>
      </c>
      <c r="D229">
        <v>316.83530000000002</v>
      </c>
      <c r="F229">
        <v>236731671.01719999</v>
      </c>
      <c r="G229">
        <v>301.82505700000002</v>
      </c>
      <c r="H229">
        <v>53.891267999999997</v>
      </c>
      <c r="I229">
        <v>133.83731</v>
      </c>
      <c r="K229" s="4">
        <f>VLOOKUP(Table_Query_from_Cello_SQL_Server[[#This Row],[AsOfDate]], 'CMO MV Raw'!$A:$B,2,FALSE)</f>
        <v>140100547.60620299</v>
      </c>
      <c r="L229" s="5">
        <f>Table_Query_from_Cello_SQL_Server[[#This Row],[CMO MV]]/Table_Query_from_Cello_SQL_Server[[#This Row],[NAV]]*100</f>
        <v>59.181159413192262</v>
      </c>
    </row>
    <row r="230" spans="1:12" x14ac:dyDescent="0.2">
      <c r="A230" s="1">
        <v>41045</v>
      </c>
      <c r="B230">
        <v>714.06370000000004</v>
      </c>
      <c r="C230">
        <v>123.9102</v>
      </c>
      <c r="D230">
        <v>317.24630000000002</v>
      </c>
      <c r="F230">
        <v>236857319.34830001</v>
      </c>
      <c r="G230">
        <v>301.47419600000001</v>
      </c>
      <c r="H230">
        <v>52.314278999999999</v>
      </c>
      <c r="I230">
        <v>133.93983399999999</v>
      </c>
      <c r="K230" s="4">
        <f>VLOOKUP(Table_Query_from_Cello_SQL_Server[[#This Row],[AsOfDate]], 'CMO MV Raw'!$A:$B,2,FALSE)</f>
        <v>134657822.698908</v>
      </c>
      <c r="L230" s="5">
        <f>Table_Query_from_Cello_SQL_Server[[#This Row],[CMO MV]]/Table_Query_from_Cello_SQL_Server[[#This Row],[NAV]]*100</f>
        <v>56.851873131643835</v>
      </c>
    </row>
    <row r="231" spans="1:12" x14ac:dyDescent="0.2">
      <c r="A231" s="1">
        <v>41046</v>
      </c>
      <c r="B231">
        <v>685.09339999999997</v>
      </c>
      <c r="C231">
        <v>113.4932</v>
      </c>
      <c r="D231">
        <v>310.49669999999998</v>
      </c>
      <c r="F231">
        <v>236046463.29499999</v>
      </c>
      <c r="G231">
        <v>290.236672</v>
      </c>
      <c r="H231">
        <v>48.080872999999997</v>
      </c>
      <c r="I231">
        <v>131.54050100000001</v>
      </c>
      <c r="K231" s="4">
        <f>VLOOKUP(Table_Query_from_Cello_SQL_Server[[#This Row],[AsOfDate]], 'CMO MV Raw'!$A:$B,2,FALSE)</f>
        <v>126406197.639731</v>
      </c>
      <c r="L231" s="5">
        <f>Table_Query_from_Cello_SQL_Server[[#This Row],[CMO MV]]/Table_Query_from_Cello_SQL_Server[[#This Row],[NAV]]*100</f>
        <v>53.551405039165687</v>
      </c>
    </row>
    <row r="232" spans="1:12" x14ac:dyDescent="0.2">
      <c r="A232" s="1">
        <v>41047</v>
      </c>
      <c r="B232">
        <v>687.20150000000001</v>
      </c>
      <c r="C232">
        <v>114.01130000000001</v>
      </c>
      <c r="D232">
        <v>411.63929999999999</v>
      </c>
      <c r="F232">
        <v>236335755.0772</v>
      </c>
      <c r="G232">
        <v>290.77339599999999</v>
      </c>
      <c r="H232">
        <v>48.241241000000002</v>
      </c>
      <c r="I232">
        <v>174.175634</v>
      </c>
      <c r="K232" s="4">
        <f>VLOOKUP(Table_Query_from_Cello_SQL_Server[[#This Row],[AsOfDate]], 'CMO MV Raw'!$A:$B,2,FALSE)</f>
        <v>126959674.200827</v>
      </c>
      <c r="L232" s="5">
        <f>Table_Query_from_Cello_SQL_Server[[#This Row],[CMO MV]]/Table_Query_from_Cello_SQL_Server[[#This Row],[NAV]]*100</f>
        <v>53.720045094046441</v>
      </c>
    </row>
    <row r="233" spans="1:12" x14ac:dyDescent="0.2">
      <c r="A233" s="1">
        <v>41050</v>
      </c>
      <c r="B233">
        <v>730.3981</v>
      </c>
      <c r="C233">
        <v>121.48350000000001</v>
      </c>
      <c r="D233">
        <v>461.95179999999999</v>
      </c>
      <c r="F233">
        <v>237906749.8603</v>
      </c>
      <c r="G233">
        <v>307.01024699999999</v>
      </c>
      <c r="H233">
        <v>51.063493999999999</v>
      </c>
      <c r="I233">
        <v>194.173474</v>
      </c>
      <c r="K233" s="4">
        <f>VLOOKUP(Table_Query_from_Cello_SQL_Server[[#This Row],[AsOfDate]], 'CMO MV Raw'!$A:$B,2,FALSE)</f>
        <v>130001046.83808</v>
      </c>
      <c r="L233" s="5">
        <f>Table_Query_from_Cello_SQL_Server[[#This Row],[CMO MV]]/Table_Query_from_Cello_SQL_Server[[#This Row],[NAV]]*100</f>
        <v>54.643698387884008</v>
      </c>
    </row>
    <row r="234" spans="1:12" x14ac:dyDescent="0.2">
      <c r="A234" s="1">
        <v>41051</v>
      </c>
      <c r="B234">
        <v>734.07299999999998</v>
      </c>
      <c r="C234">
        <v>124.9183</v>
      </c>
      <c r="D234">
        <v>413.67739999999998</v>
      </c>
      <c r="F234">
        <v>237123802.18309999</v>
      </c>
      <c r="G234">
        <v>309.57373000000001</v>
      </c>
      <c r="H234">
        <v>52.680624999999999</v>
      </c>
      <c r="I234">
        <v>174.45629500000001</v>
      </c>
      <c r="K234" s="4">
        <f>VLOOKUP(Table_Query_from_Cello_SQL_Server[[#This Row],[AsOfDate]], 'CMO MV Raw'!$A:$B,2,FALSE)</f>
        <v>130582686.092421</v>
      </c>
      <c r="L234" s="5">
        <f>Table_Query_from_Cello_SQL_Server[[#This Row],[CMO MV]]/Table_Query_from_Cello_SQL_Server[[#This Row],[NAV]]*100</f>
        <v>55.069413061953568</v>
      </c>
    </row>
    <row r="235" spans="1:12" x14ac:dyDescent="0.2">
      <c r="A235" s="1">
        <v>41052</v>
      </c>
      <c r="B235">
        <v>709.29859999999996</v>
      </c>
      <c r="C235">
        <v>119.0857</v>
      </c>
      <c r="D235">
        <v>437.6309</v>
      </c>
      <c r="F235">
        <v>238158594.62869999</v>
      </c>
      <c r="G235">
        <v>297.82616100000001</v>
      </c>
      <c r="H235">
        <v>50.002687999999999</v>
      </c>
      <c r="I235">
        <v>183.75608099999999</v>
      </c>
      <c r="K235" s="4">
        <f>VLOOKUP(Table_Query_from_Cello_SQL_Server[[#This Row],[AsOfDate]], 'CMO MV Raw'!$A:$B,2,FALSE)</f>
        <v>128698384.987352</v>
      </c>
      <c r="L235" s="5">
        <f>Table_Query_from_Cello_SQL_Server[[#This Row],[CMO MV]]/Table_Query_from_Cello_SQL_Server[[#This Row],[NAV]]*100</f>
        <v>54.038942070513386</v>
      </c>
    </row>
    <row r="236" spans="1:12" x14ac:dyDescent="0.2">
      <c r="A236" s="1">
        <v>41053</v>
      </c>
      <c r="B236">
        <v>705.10640000000001</v>
      </c>
      <c r="C236">
        <v>119.22450000000001</v>
      </c>
      <c r="D236">
        <v>444.92329999999998</v>
      </c>
      <c r="F236">
        <v>238155268.68920001</v>
      </c>
      <c r="G236">
        <v>296.07004000000001</v>
      </c>
      <c r="H236">
        <v>50.061667999999997</v>
      </c>
      <c r="I236">
        <v>186.820683</v>
      </c>
      <c r="K236" s="4">
        <f>VLOOKUP(Table_Query_from_Cello_SQL_Server[[#This Row],[AsOfDate]], 'CMO MV Raw'!$A:$B,2,FALSE)</f>
        <v>130077577.73599701</v>
      </c>
      <c r="L236" s="5">
        <f>Table_Query_from_Cello_SQL_Server[[#This Row],[CMO MV]]/Table_Query_from_Cello_SQL_Server[[#This Row],[NAV]]*100</f>
        <v>54.618811690348224</v>
      </c>
    </row>
    <row r="237" spans="1:12" x14ac:dyDescent="0.2">
      <c r="A237" s="1">
        <v>41054</v>
      </c>
      <c r="B237">
        <v>709.63440000000003</v>
      </c>
      <c r="C237">
        <v>119.839</v>
      </c>
      <c r="D237">
        <v>447.48430000000002</v>
      </c>
      <c r="F237">
        <v>238927045.99439999</v>
      </c>
      <c r="G237">
        <v>297.00882000000001</v>
      </c>
      <c r="H237">
        <v>50.157150999999999</v>
      </c>
      <c r="I237">
        <v>187.28909400000001</v>
      </c>
      <c r="K237" s="4">
        <f>VLOOKUP(Table_Query_from_Cello_SQL_Server[[#This Row],[AsOfDate]], 'CMO MV Raw'!$A:$B,2,FALSE)</f>
        <v>129435031.993247</v>
      </c>
      <c r="L237" s="5">
        <f>Table_Query_from_Cello_SQL_Server[[#This Row],[CMO MV]]/Table_Query_from_Cello_SQL_Server[[#This Row],[NAV]]*100</f>
        <v>54.17345342991463</v>
      </c>
    </row>
    <row r="238" spans="1:12" x14ac:dyDescent="0.2">
      <c r="A238" s="1">
        <v>41058</v>
      </c>
      <c r="B238">
        <v>697.68089999999995</v>
      </c>
      <c r="C238">
        <v>117.7157</v>
      </c>
      <c r="D238">
        <v>448.61660000000001</v>
      </c>
      <c r="F238">
        <v>239427140.50009999</v>
      </c>
      <c r="G238">
        <v>291.39591200000001</v>
      </c>
      <c r="H238">
        <v>49.165562000000001</v>
      </c>
      <c r="I238">
        <v>187.37082100000001</v>
      </c>
      <c r="K238" s="4">
        <f>VLOOKUP(Table_Query_from_Cello_SQL_Server[[#This Row],[AsOfDate]], 'CMO MV Raw'!$A:$B,2,FALSE)</f>
        <v>126926175.954521</v>
      </c>
      <c r="L238" s="5">
        <f>Table_Query_from_Cello_SQL_Server[[#This Row],[CMO MV]]/Table_Query_from_Cello_SQL_Server[[#This Row],[NAV]]*100</f>
        <v>53.012442820561525</v>
      </c>
    </row>
    <row r="239" spans="1:12" x14ac:dyDescent="0.2">
      <c r="A239" s="1">
        <v>41059</v>
      </c>
      <c r="B239">
        <v>697.17070000000001</v>
      </c>
      <c r="C239">
        <v>111.07510000000001</v>
      </c>
      <c r="D239">
        <v>444.53910000000002</v>
      </c>
      <c r="F239">
        <v>239948382.4149</v>
      </c>
      <c r="G239">
        <v>290.55028099999998</v>
      </c>
      <c r="H239">
        <v>46.291248000000003</v>
      </c>
      <c r="I239">
        <v>185.26446999999999</v>
      </c>
      <c r="K239" s="4">
        <f>VLOOKUP(Table_Query_from_Cello_SQL_Server[[#This Row],[AsOfDate]], 'CMO MV Raw'!$A:$B,2,FALSE)</f>
        <v>130638485.62880599</v>
      </c>
      <c r="L239" s="5">
        <f>Table_Query_from_Cello_SQL_Server[[#This Row],[CMO MV]]/Table_Query_from_Cello_SQL_Server[[#This Row],[NAV]]*100</f>
        <v>54.444411883100805</v>
      </c>
    </row>
    <row r="240" spans="1:12" x14ac:dyDescent="0.2">
      <c r="A240" s="1">
        <v>41060</v>
      </c>
      <c r="B240">
        <v>760.92700000000002</v>
      </c>
      <c r="C240">
        <v>117.62009999999999</v>
      </c>
      <c r="D240">
        <v>391.73689999999999</v>
      </c>
      <c r="F240">
        <v>242139325.49959999</v>
      </c>
      <c r="G240">
        <v>314.25172199999997</v>
      </c>
      <c r="H240">
        <v>48.575381</v>
      </c>
      <c r="I240">
        <v>161.78161</v>
      </c>
      <c r="K240" s="4">
        <f>VLOOKUP(Table_Query_from_Cello_SQL_Server[[#This Row],[AsOfDate]], 'CMO MV Raw'!$A:$B,2,FALSE)</f>
        <v>130577492.65129399</v>
      </c>
      <c r="L240" s="5">
        <f>Table_Query_from_Cello_SQL_Server[[#This Row],[CMO MV]]/Table_Query_from_Cello_SQL_Server[[#This Row],[NAV]]*100</f>
        <v>53.926594691662224</v>
      </c>
    </row>
    <row r="241" spans="1:12" x14ac:dyDescent="0.2">
      <c r="A241" s="1">
        <v>41061</v>
      </c>
      <c r="B241">
        <v>691.91700000000003</v>
      </c>
      <c r="C241">
        <v>101.1885</v>
      </c>
      <c r="D241">
        <v>377.9436</v>
      </c>
      <c r="F241">
        <v>241584428.6094</v>
      </c>
      <c r="G241">
        <v>286.40794599999998</v>
      </c>
      <c r="H241">
        <v>41.885356999999999</v>
      </c>
      <c r="I241">
        <v>156.443692</v>
      </c>
      <c r="K241" s="4">
        <f>VLOOKUP(Table_Query_from_Cello_SQL_Server[[#This Row],[AsOfDate]], 'CMO MV Raw'!$A:$B,2,FALSE)</f>
        <v>123310594.01515</v>
      </c>
      <c r="L241" s="5">
        <f>Table_Query_from_Cello_SQL_Server[[#This Row],[CMO MV]]/Table_Query_from_Cello_SQL_Server[[#This Row],[NAV]]*100</f>
        <v>51.042442894579843</v>
      </c>
    </row>
    <row r="242" spans="1:12" x14ac:dyDescent="0.2">
      <c r="A242" s="1">
        <v>41064</v>
      </c>
      <c r="B242">
        <v>599.31769999999995</v>
      </c>
      <c r="C242">
        <v>92.102400000000003</v>
      </c>
      <c r="D242">
        <v>455.70260000000002</v>
      </c>
      <c r="F242">
        <v>243399422.05090001</v>
      </c>
      <c r="G242">
        <v>246.22807</v>
      </c>
      <c r="H242">
        <v>37.840024</v>
      </c>
      <c r="I242">
        <v>187.22419099999999</v>
      </c>
      <c r="K242" s="4">
        <f>VLOOKUP(Table_Query_from_Cello_SQL_Server[[#This Row],[AsOfDate]], 'CMO MV Raw'!$A:$B,2,FALSE)</f>
        <v>127611402.113684</v>
      </c>
      <c r="L242" s="5">
        <f>Table_Query_from_Cello_SQL_Server[[#This Row],[CMO MV]]/Table_Query_from_Cello_SQL_Server[[#This Row],[NAV]]*100</f>
        <v>52.428802434460067</v>
      </c>
    </row>
    <row r="243" spans="1:12" x14ac:dyDescent="0.2">
      <c r="A243" s="1">
        <v>41065</v>
      </c>
      <c r="B243">
        <v>720.26620000000003</v>
      </c>
      <c r="C243">
        <v>112.8978</v>
      </c>
      <c r="D243">
        <v>512.15409999999997</v>
      </c>
      <c r="F243">
        <v>243478649.49079999</v>
      </c>
      <c r="G243">
        <v>295.82314600000001</v>
      </c>
      <c r="H243">
        <v>46.368665</v>
      </c>
      <c r="I243">
        <v>210.34867</v>
      </c>
      <c r="K243" s="4">
        <f>VLOOKUP(Table_Query_from_Cello_SQL_Server[[#This Row],[AsOfDate]], 'CMO MV Raw'!$A:$B,2,FALSE)</f>
        <v>134456828.600283</v>
      </c>
      <c r="L243" s="5">
        <f>Table_Query_from_Cello_SQL_Server[[#This Row],[CMO MV]]/Table_Query_from_Cello_SQL_Server[[#This Row],[NAV]]*100</f>
        <v>55.223252174874396</v>
      </c>
    </row>
    <row r="244" spans="1:12" x14ac:dyDescent="0.2">
      <c r="A244" s="1">
        <v>41066</v>
      </c>
      <c r="B244">
        <v>725.45280000000002</v>
      </c>
      <c r="C244">
        <v>116.8644</v>
      </c>
      <c r="D244">
        <v>402.08179999999999</v>
      </c>
      <c r="F244">
        <v>241644410.66</v>
      </c>
      <c r="G244">
        <v>300.215013</v>
      </c>
      <c r="H244">
        <v>48.362136999999997</v>
      </c>
      <c r="I244">
        <v>166.39400000000001</v>
      </c>
      <c r="K244" s="4">
        <f>VLOOKUP(Table_Query_from_Cello_SQL_Server[[#This Row],[AsOfDate]], 'CMO MV Raw'!$A:$B,2,FALSE)</f>
        <v>138612349.08282799</v>
      </c>
      <c r="L244" s="5">
        <f>Table_Query_from_Cello_SQL_Server[[#This Row],[CMO MV]]/Table_Query_from_Cello_SQL_Server[[#This Row],[NAV]]*100</f>
        <v>57.362116799738104</v>
      </c>
    </row>
    <row r="245" spans="1:12" x14ac:dyDescent="0.2">
      <c r="A245" s="1">
        <v>41067</v>
      </c>
      <c r="B245">
        <v>758.46410000000003</v>
      </c>
      <c r="C245">
        <v>120.6575</v>
      </c>
      <c r="D245">
        <v>406.24509999999998</v>
      </c>
      <c r="F245">
        <v>243737394.26789999</v>
      </c>
      <c r="G245">
        <v>311.18085200000002</v>
      </c>
      <c r="H245">
        <v>49.503073000000001</v>
      </c>
      <c r="I245">
        <v>166.67327599999999</v>
      </c>
      <c r="K245" s="4">
        <f>VLOOKUP(Table_Query_from_Cello_SQL_Server[[#This Row],[AsOfDate]], 'CMO MV Raw'!$A:$B,2,FALSE)</f>
        <v>138418713.85752901</v>
      </c>
      <c r="L245" s="5">
        <f>Table_Query_from_Cello_SQL_Server[[#This Row],[CMO MV]]/Table_Query_from_Cello_SQL_Server[[#This Row],[NAV]]*100</f>
        <v>56.7901016063987</v>
      </c>
    </row>
    <row r="246" spans="1:12" x14ac:dyDescent="0.2">
      <c r="A246" s="1">
        <v>41068</v>
      </c>
      <c r="B246">
        <v>727.17460000000005</v>
      </c>
      <c r="C246">
        <v>116.0873</v>
      </c>
      <c r="D246">
        <v>411.4853</v>
      </c>
      <c r="F246">
        <v>244454311.3617</v>
      </c>
      <c r="G246">
        <v>297.46851099999998</v>
      </c>
      <c r="H246">
        <v>47.488342000000003</v>
      </c>
      <c r="I246">
        <v>168.328101</v>
      </c>
      <c r="K246" s="4">
        <f>VLOOKUP(Table_Query_from_Cello_SQL_Server[[#This Row],[AsOfDate]], 'CMO MV Raw'!$A:$B,2,FALSE)</f>
        <v>135805818.571233</v>
      </c>
      <c r="L246" s="5">
        <f>Table_Query_from_Cello_SQL_Server[[#This Row],[CMO MV]]/Table_Query_from_Cello_SQL_Server[[#This Row],[NAV]]*100</f>
        <v>55.554683333153285</v>
      </c>
    </row>
    <row r="247" spans="1:12" x14ac:dyDescent="0.2">
      <c r="A247" s="1">
        <v>41071</v>
      </c>
      <c r="B247">
        <v>697.85879999999997</v>
      </c>
      <c r="C247">
        <v>109.2865</v>
      </c>
      <c r="D247">
        <v>404.19869999999997</v>
      </c>
      <c r="F247">
        <v>244078747.03870001</v>
      </c>
      <c r="G247">
        <v>285.91543000000001</v>
      </c>
      <c r="H247">
        <v>44.775098999999997</v>
      </c>
      <c r="I247">
        <v>165.60176000000001</v>
      </c>
      <c r="K247" s="4">
        <f>VLOOKUP(Table_Query_from_Cello_SQL_Server[[#This Row],[AsOfDate]], 'CMO MV Raw'!$A:$B,2,FALSE)</f>
        <v>132671760.352781</v>
      </c>
      <c r="L247" s="5">
        <f>Table_Query_from_Cello_SQL_Server[[#This Row],[CMO MV]]/Table_Query_from_Cello_SQL_Server[[#This Row],[NAV]]*100</f>
        <v>54.35612971732651</v>
      </c>
    </row>
    <row r="248" spans="1:12" x14ac:dyDescent="0.2">
      <c r="A248" s="1">
        <v>41072</v>
      </c>
      <c r="B248">
        <v>695.54010000000005</v>
      </c>
      <c r="C248">
        <v>112.0301</v>
      </c>
      <c r="D248">
        <v>433.89409999999998</v>
      </c>
      <c r="F248">
        <v>243828914.37599999</v>
      </c>
      <c r="G248">
        <v>285.25743199999999</v>
      </c>
      <c r="H248">
        <v>45.946192000000003</v>
      </c>
      <c r="I248">
        <v>177.95022399999999</v>
      </c>
      <c r="K248" s="4">
        <f>VLOOKUP(Table_Query_from_Cello_SQL_Server[[#This Row],[AsOfDate]], 'CMO MV Raw'!$A:$B,2,FALSE)</f>
        <v>135377219.479173</v>
      </c>
      <c r="L248" s="5">
        <f>Table_Query_from_Cello_SQL_Server[[#This Row],[CMO MV]]/Table_Query_from_Cello_SQL_Server[[#This Row],[NAV]]*100</f>
        <v>55.521396970341485</v>
      </c>
    </row>
    <row r="249" spans="1:12" x14ac:dyDescent="0.2">
      <c r="A249" s="1">
        <v>41073</v>
      </c>
      <c r="B249">
        <v>723.66570000000002</v>
      </c>
      <c r="C249">
        <v>114.28019999999999</v>
      </c>
      <c r="D249">
        <v>433.34429999999998</v>
      </c>
      <c r="F249">
        <v>233469243.4215</v>
      </c>
      <c r="G249">
        <v>309.96189900000002</v>
      </c>
      <c r="H249">
        <v>48.948717000000002</v>
      </c>
      <c r="I249">
        <v>185.610873</v>
      </c>
      <c r="K249" s="4">
        <f>VLOOKUP(Table_Query_from_Cello_SQL_Server[[#This Row],[AsOfDate]], 'CMO MV Raw'!$A:$B,2,FALSE)</f>
        <v>144809416.587892</v>
      </c>
      <c r="L249" s="5">
        <f>Table_Query_from_Cello_SQL_Server[[#This Row],[CMO MV]]/Table_Query_from_Cello_SQL_Server[[#This Row],[NAV]]*100</f>
        <v>62.025050694346241</v>
      </c>
    </row>
    <row r="250" spans="1:12" x14ac:dyDescent="0.2">
      <c r="A250" s="1">
        <v>41074</v>
      </c>
      <c r="B250">
        <v>776.41049999999996</v>
      </c>
      <c r="C250">
        <v>122.3301</v>
      </c>
      <c r="D250">
        <v>430.39609999999999</v>
      </c>
      <c r="F250">
        <v>243534745.70159999</v>
      </c>
      <c r="G250">
        <v>318.80892299999999</v>
      </c>
      <c r="H250">
        <v>50.231065999999998</v>
      </c>
      <c r="I250">
        <v>176.728827</v>
      </c>
      <c r="K250" s="4">
        <f>VLOOKUP(Table_Query_from_Cello_SQL_Server[[#This Row],[AsOfDate]], 'CMO MV Raw'!$A:$B,2,FALSE)</f>
        <v>160214042.24346399</v>
      </c>
      <c r="L250" s="5">
        <f>Table_Query_from_Cello_SQL_Server[[#This Row],[CMO MV]]/Table_Query_from_Cello_SQL_Server[[#This Row],[NAV]]*100</f>
        <v>65.786933926780293</v>
      </c>
    </row>
    <row r="251" spans="1:12" x14ac:dyDescent="0.2">
      <c r="A251" s="1">
        <v>41075</v>
      </c>
      <c r="B251">
        <v>792.49540000000002</v>
      </c>
      <c r="C251">
        <v>123.20569999999999</v>
      </c>
      <c r="D251">
        <v>408.12470000000002</v>
      </c>
      <c r="F251">
        <v>244106585.64840001</v>
      </c>
      <c r="G251">
        <v>324.65138000000002</v>
      </c>
      <c r="H251">
        <v>50.472092000000004</v>
      </c>
      <c r="I251">
        <v>167.19118800000001</v>
      </c>
      <c r="K251" s="4">
        <f>VLOOKUP(Table_Query_from_Cello_SQL_Server[[#This Row],[AsOfDate]], 'CMO MV Raw'!$A:$B,2,FALSE)</f>
        <v>160934536.73628101</v>
      </c>
      <c r="L251" s="5">
        <f>Table_Query_from_Cello_SQL_Server[[#This Row],[CMO MV]]/Table_Query_from_Cello_SQL_Server[[#This Row],[NAV]]*100</f>
        <v>65.927978267691543</v>
      </c>
    </row>
    <row r="252" spans="1:12" x14ac:dyDescent="0.2">
      <c r="A252" s="1">
        <v>41078</v>
      </c>
      <c r="B252">
        <v>747.57830000000001</v>
      </c>
      <c r="C252">
        <v>115.24169999999999</v>
      </c>
      <c r="D252">
        <v>388.15769999999998</v>
      </c>
      <c r="F252">
        <v>215850339.3567</v>
      </c>
      <c r="G252">
        <v>346.34103499999998</v>
      </c>
      <c r="H252">
        <v>53.389631000000001</v>
      </c>
      <c r="I252">
        <v>179.827236</v>
      </c>
      <c r="K252" s="4">
        <f>VLOOKUP(Table_Query_from_Cello_SQL_Server[[#This Row],[AsOfDate]], 'CMO MV Raw'!$A:$B,2,FALSE)</f>
        <v>155992207.52922699</v>
      </c>
      <c r="L252" s="5">
        <f>Table_Query_from_Cello_SQL_Server[[#This Row],[CMO MV]]/Table_Query_from_Cello_SQL_Server[[#This Row],[NAV]]*100</f>
        <v>72.268687644472308</v>
      </c>
    </row>
    <row r="253" spans="1:12" x14ac:dyDescent="0.2">
      <c r="A253" s="1">
        <v>41079</v>
      </c>
      <c r="B253">
        <v>755.7867</v>
      </c>
      <c r="C253">
        <v>116.5808</v>
      </c>
      <c r="D253">
        <v>391.57339999999999</v>
      </c>
      <c r="F253">
        <v>244233878.97009999</v>
      </c>
      <c r="G253">
        <v>309.45203099999998</v>
      </c>
      <c r="H253">
        <v>47.733263000000001</v>
      </c>
      <c r="I253">
        <v>160.327225</v>
      </c>
      <c r="K253" s="4">
        <f>VLOOKUP(Table_Query_from_Cello_SQL_Server[[#This Row],[AsOfDate]], 'CMO MV Raw'!$A:$B,2,FALSE)</f>
        <v>155818570.47053</v>
      </c>
      <c r="L253" s="5">
        <f>Table_Query_from_Cello_SQL_Server[[#This Row],[CMO MV]]/Table_Query_from_Cello_SQL_Server[[#This Row],[NAV]]*100</f>
        <v>63.798917303199318</v>
      </c>
    </row>
    <row r="254" spans="1:12" x14ac:dyDescent="0.2">
      <c r="A254" s="1">
        <v>41080</v>
      </c>
      <c r="B254">
        <v>724.67129999999997</v>
      </c>
      <c r="C254">
        <v>116.06789999999999</v>
      </c>
      <c r="D254">
        <v>452.81450000000001</v>
      </c>
      <c r="F254">
        <v>244763754.96250001</v>
      </c>
      <c r="G254">
        <v>296.06969400000003</v>
      </c>
      <c r="H254">
        <v>47.420378999999997</v>
      </c>
      <c r="I254">
        <v>185.00063499999999</v>
      </c>
      <c r="K254" s="4">
        <f>VLOOKUP(Table_Query_from_Cello_SQL_Server[[#This Row],[AsOfDate]], 'CMO MV Raw'!$A:$B,2,FALSE)</f>
        <v>157379600.15679201</v>
      </c>
      <c r="L254" s="5">
        <f>Table_Query_from_Cello_SQL_Server[[#This Row],[CMO MV]]/Table_Query_from_Cello_SQL_Server[[#This Row],[NAV]]*100</f>
        <v>64.298572384993832</v>
      </c>
    </row>
    <row r="255" spans="1:12" x14ac:dyDescent="0.2">
      <c r="A255" s="1">
        <v>41081</v>
      </c>
      <c r="B255">
        <v>719.35180000000003</v>
      </c>
      <c r="C255">
        <v>113.4907</v>
      </c>
      <c r="D255">
        <v>453.42669999999998</v>
      </c>
      <c r="F255">
        <v>245061764.24070001</v>
      </c>
      <c r="G255">
        <v>293.53897899999998</v>
      </c>
      <c r="H255">
        <v>46.311059999999998</v>
      </c>
      <c r="I255">
        <v>185.02547799999999</v>
      </c>
      <c r="K255" s="4">
        <f>VLOOKUP(Table_Query_from_Cello_SQL_Server[[#This Row],[AsOfDate]], 'CMO MV Raw'!$A:$B,2,FALSE)</f>
        <v>156060952.15062499</v>
      </c>
      <c r="L255" s="5">
        <f>Table_Query_from_Cello_SQL_Server[[#This Row],[CMO MV]]/Table_Query_from_Cello_SQL_Server[[#This Row],[NAV]]*100</f>
        <v>63.682293577769933</v>
      </c>
    </row>
    <row r="256" spans="1:12" x14ac:dyDescent="0.2">
      <c r="A256" s="1">
        <v>41082</v>
      </c>
      <c r="B256">
        <v>745.06259999999997</v>
      </c>
      <c r="C256">
        <v>118.89400000000001</v>
      </c>
      <c r="D256">
        <v>458.4864</v>
      </c>
      <c r="F256">
        <v>244978298.99419999</v>
      </c>
      <c r="G256">
        <v>304.13412299999999</v>
      </c>
      <c r="H256">
        <v>48.532462000000002</v>
      </c>
      <c r="I256">
        <v>187.15388300000001</v>
      </c>
      <c r="K256" s="4">
        <f>VLOOKUP(Table_Query_from_Cello_SQL_Server[[#This Row],[AsOfDate]], 'CMO MV Raw'!$A:$B,2,FALSE)</f>
        <v>157993018.86230701</v>
      </c>
      <c r="L256" s="5">
        <f>Table_Query_from_Cello_SQL_Server[[#This Row],[CMO MV]]/Table_Query_from_Cello_SQL_Server[[#This Row],[NAV]]*100</f>
        <v>64.492658946108364</v>
      </c>
    </row>
    <row r="257" spans="1:12" x14ac:dyDescent="0.2">
      <c r="A257" s="1">
        <v>41085</v>
      </c>
      <c r="B257">
        <v>738.15030000000002</v>
      </c>
      <c r="C257">
        <v>114.40860000000001</v>
      </c>
      <c r="D257">
        <v>450.2799</v>
      </c>
      <c r="F257">
        <v>216143055.12329999</v>
      </c>
      <c r="G257">
        <v>341.51007099999998</v>
      </c>
      <c r="H257">
        <v>52.931888000000001</v>
      </c>
      <c r="I257">
        <v>208.32494500000001</v>
      </c>
      <c r="K257" s="4">
        <f>VLOOKUP(Table_Query_from_Cello_SQL_Server[[#This Row],[AsOfDate]], 'CMO MV Raw'!$A:$B,2,FALSE)</f>
        <v>157657470.74616599</v>
      </c>
      <c r="L257" s="5">
        <f>Table_Query_from_Cello_SQL_Server[[#This Row],[CMO MV]]/Table_Query_from_Cello_SQL_Server[[#This Row],[NAV]]*100</f>
        <v>72.941261358700331</v>
      </c>
    </row>
    <row r="258" spans="1:12" x14ac:dyDescent="0.2">
      <c r="A258" s="1">
        <v>41086</v>
      </c>
      <c r="B258">
        <v>705.75739999999996</v>
      </c>
      <c r="C258">
        <v>111.3265</v>
      </c>
      <c r="D258">
        <v>447.72919999999999</v>
      </c>
      <c r="F258">
        <v>245840503.3186</v>
      </c>
      <c r="G258">
        <v>287.07938300000001</v>
      </c>
      <c r="H258">
        <v>45.284035000000003</v>
      </c>
      <c r="I258">
        <v>182.12182000000001</v>
      </c>
      <c r="K258" s="4">
        <f>VLOOKUP(Table_Query_from_Cello_SQL_Server[[#This Row],[AsOfDate]], 'CMO MV Raw'!$A:$B,2,FALSE)</f>
        <v>146376954.621214</v>
      </c>
      <c r="L258" s="5">
        <f>Table_Query_from_Cello_SQL_Server[[#This Row],[CMO MV]]/Table_Query_from_Cello_SQL_Server[[#This Row],[NAV]]*100</f>
        <v>59.541431393636145</v>
      </c>
    </row>
    <row r="259" spans="1:12" x14ac:dyDescent="0.2">
      <c r="A259" s="1">
        <v>41087</v>
      </c>
      <c r="B259">
        <v>702.30840000000001</v>
      </c>
      <c r="C259">
        <v>110.3318</v>
      </c>
      <c r="D259">
        <v>447.78930000000003</v>
      </c>
      <c r="F259">
        <v>246341924.36970001</v>
      </c>
      <c r="G259">
        <v>285.09495600000002</v>
      </c>
      <c r="H259">
        <v>44.788072999999997</v>
      </c>
      <c r="I259">
        <v>181.77551399999999</v>
      </c>
      <c r="K259" s="4">
        <f>VLOOKUP(Table_Query_from_Cello_SQL_Server[[#This Row],[AsOfDate]], 'CMO MV Raw'!$A:$B,2,FALSE)</f>
        <v>149031965.25030699</v>
      </c>
      <c r="L259" s="5">
        <f>Table_Query_from_Cello_SQL_Server[[#This Row],[CMO MV]]/Table_Query_from_Cello_SQL_Server[[#This Row],[NAV]]*100</f>
        <v>60.498011303445786</v>
      </c>
    </row>
    <row r="260" spans="1:12" x14ac:dyDescent="0.2">
      <c r="A260" s="1">
        <v>41088</v>
      </c>
      <c r="B260">
        <v>693.08730000000003</v>
      </c>
      <c r="C260">
        <v>107.3248</v>
      </c>
      <c r="D260">
        <v>445.42160000000001</v>
      </c>
      <c r="F260">
        <v>246452932.7762</v>
      </c>
      <c r="G260">
        <v>281.22501599999998</v>
      </c>
      <c r="H260">
        <v>43.547787999999997</v>
      </c>
      <c r="I260">
        <v>180.73292699999999</v>
      </c>
      <c r="K260" s="4">
        <f>VLOOKUP(Table_Query_from_Cello_SQL_Server[[#This Row],[AsOfDate]], 'CMO MV Raw'!$A:$B,2,FALSE)</f>
        <v>147857547.24159899</v>
      </c>
      <c r="L260" s="5">
        <f>Table_Query_from_Cello_SQL_Server[[#This Row],[CMO MV]]/Table_Query_from_Cello_SQL_Server[[#This Row],[NAV]]*100</f>
        <v>59.994233209578439</v>
      </c>
    </row>
    <row r="261" spans="1:12" x14ac:dyDescent="0.2">
      <c r="A261" s="1">
        <v>41089</v>
      </c>
      <c r="B261">
        <v>731.54759999999999</v>
      </c>
      <c r="C261">
        <v>116.05419999999999</v>
      </c>
      <c r="D261">
        <v>448.8236</v>
      </c>
      <c r="F261">
        <v>247732927.91819999</v>
      </c>
      <c r="G261">
        <v>295.29687699999999</v>
      </c>
      <c r="H261">
        <v>46.846497999999997</v>
      </c>
      <c r="I261">
        <v>181.17236299999999</v>
      </c>
      <c r="K261" s="4">
        <f>VLOOKUP(Table_Query_from_Cello_SQL_Server[[#This Row],[AsOfDate]], 'CMO MV Raw'!$A:$B,2,FALSE)</f>
        <v>151726293.45125699</v>
      </c>
      <c r="L261" s="5">
        <f>Table_Query_from_Cello_SQL_Server[[#This Row],[CMO MV]]/Table_Query_from_Cello_SQL_Server[[#This Row],[NAV]]*100</f>
        <v>61.245912978252193</v>
      </c>
    </row>
    <row r="262" spans="1:12" x14ac:dyDescent="0.2">
      <c r="A262" s="1">
        <v>41092</v>
      </c>
      <c r="B262">
        <v>707.40740000000005</v>
      </c>
      <c r="C262">
        <v>108.5159</v>
      </c>
      <c r="D262">
        <v>452.9776</v>
      </c>
      <c r="F262">
        <v>261760005.4181</v>
      </c>
      <c r="G262">
        <v>270.25037600000002</v>
      </c>
      <c r="H262">
        <v>41.456257000000001</v>
      </c>
      <c r="I262">
        <v>173.05072999999999</v>
      </c>
      <c r="K262" s="4">
        <f>VLOOKUP(Table_Query_from_Cello_SQL_Server[[#This Row],[AsOfDate]], 'CMO MV Raw'!$A:$B,2,FALSE)</f>
        <v>148600983.842031</v>
      </c>
      <c r="L262" s="5">
        <f>Table_Query_from_Cello_SQL_Server[[#This Row],[CMO MV]]/Table_Query_from_Cello_SQL_Server[[#This Row],[NAV]]*100</f>
        <v>56.769934583656465</v>
      </c>
    </row>
    <row r="263" spans="1:12" x14ac:dyDescent="0.2">
      <c r="A263" s="1">
        <v>41093</v>
      </c>
      <c r="B263">
        <v>714.48069999999996</v>
      </c>
      <c r="C263">
        <v>111.3869</v>
      </c>
      <c r="D263">
        <v>454.12509999999997</v>
      </c>
      <c r="F263">
        <v>261261238.5086</v>
      </c>
      <c r="G263">
        <v>273.47367100000002</v>
      </c>
      <c r="H263">
        <v>42.634300000000003</v>
      </c>
      <c r="I263">
        <v>173.820312</v>
      </c>
      <c r="K263" s="4">
        <f>VLOOKUP(Table_Query_from_Cello_SQL_Server[[#This Row],[AsOfDate]], 'CMO MV Raw'!$A:$B,2,FALSE)</f>
        <v>149901230.689183</v>
      </c>
      <c r="L263" s="5">
        <f>Table_Query_from_Cello_SQL_Server[[#This Row],[CMO MV]]/Table_Query_from_Cello_SQL_Server[[#This Row],[NAV]]*100</f>
        <v>57.375993295020947</v>
      </c>
    </row>
    <row r="264" spans="1:12" x14ac:dyDescent="0.2">
      <c r="A264" s="1">
        <v>41095</v>
      </c>
      <c r="B264">
        <v>717.72940000000006</v>
      </c>
      <c r="C264">
        <v>110.05840000000001</v>
      </c>
      <c r="D264">
        <v>456.71609999999998</v>
      </c>
      <c r="F264">
        <v>261864280.5174</v>
      </c>
      <c r="G264">
        <v>274.08449899999999</v>
      </c>
      <c r="H264">
        <v>42.028793999999998</v>
      </c>
      <c r="I264">
        <v>174.409469</v>
      </c>
      <c r="K264" s="4">
        <f>VLOOKUP(Table_Query_from_Cello_SQL_Server[[#This Row],[AsOfDate]], 'CMO MV Raw'!$A:$B,2,FALSE)</f>
        <v>149348419.53285</v>
      </c>
      <c r="L264" s="5">
        <f>Table_Query_from_Cello_SQL_Server[[#This Row],[CMO MV]]/Table_Query_from_Cello_SQL_Server[[#This Row],[NAV]]*100</f>
        <v>57.032757288532252</v>
      </c>
    </row>
    <row r="265" spans="1:12" x14ac:dyDescent="0.2">
      <c r="A265" s="1">
        <v>41096</v>
      </c>
      <c r="B265">
        <v>726.66899999999998</v>
      </c>
      <c r="C265">
        <v>106.0141</v>
      </c>
      <c r="D265">
        <v>462.99430000000001</v>
      </c>
      <c r="F265">
        <v>262310612.655</v>
      </c>
      <c r="G265">
        <v>277.02615300000002</v>
      </c>
      <c r="H265">
        <v>40.415483000000002</v>
      </c>
      <c r="I265">
        <v>176.50612599999999</v>
      </c>
      <c r="K265" s="4">
        <f>VLOOKUP(Table_Query_from_Cello_SQL_Server[[#This Row],[AsOfDate]], 'CMO MV Raw'!$A:$B,2,FALSE)</f>
        <v>147841434.582706</v>
      </c>
      <c r="L265" s="5">
        <f>Table_Query_from_Cello_SQL_Server[[#This Row],[CMO MV]]/Table_Query_from_Cello_SQL_Server[[#This Row],[NAV]]*100</f>
        <v>56.361209745315257</v>
      </c>
    </row>
    <row r="266" spans="1:12" x14ac:dyDescent="0.2">
      <c r="A266" s="1">
        <v>41099</v>
      </c>
      <c r="B266">
        <v>745.26139999999998</v>
      </c>
      <c r="C266">
        <v>107.0158</v>
      </c>
      <c r="D266">
        <v>466.21199999999999</v>
      </c>
      <c r="F266">
        <v>264294764.92660001</v>
      </c>
      <c r="G266">
        <v>281.98114299999997</v>
      </c>
      <c r="H266">
        <v>40.491078000000002</v>
      </c>
      <c r="I266">
        <v>176.39850000000001</v>
      </c>
      <c r="K266" s="4">
        <f>VLOOKUP(Table_Query_from_Cello_SQL_Server[[#This Row],[AsOfDate]], 'CMO MV Raw'!$A:$B,2,FALSE)</f>
        <v>148750801.480537</v>
      </c>
      <c r="L266" s="5">
        <f>Table_Query_from_Cello_SQL_Server[[#This Row],[CMO MV]]/Table_Query_from_Cello_SQL_Server[[#This Row],[NAV]]*100</f>
        <v>56.28215962652461</v>
      </c>
    </row>
    <row r="267" spans="1:12" x14ac:dyDescent="0.2">
      <c r="A267" s="1">
        <v>41100</v>
      </c>
      <c r="B267">
        <v>722.16200000000003</v>
      </c>
      <c r="C267">
        <v>102.9949</v>
      </c>
      <c r="D267">
        <v>460.21719999999999</v>
      </c>
      <c r="F267">
        <v>264106073.86840001</v>
      </c>
      <c r="G267">
        <v>273.43634700000001</v>
      </c>
      <c r="H267">
        <v>38.997551000000001</v>
      </c>
      <c r="I267">
        <v>174.254682</v>
      </c>
      <c r="K267" s="4">
        <f>VLOOKUP(Table_Query_from_Cello_SQL_Server[[#This Row],[AsOfDate]], 'CMO MV Raw'!$A:$B,2,FALSE)</f>
        <v>146281007.30831701</v>
      </c>
      <c r="L267" s="5">
        <f>Table_Query_from_Cello_SQL_Server[[#This Row],[CMO MV]]/Table_Query_from_Cello_SQL_Server[[#This Row],[NAV]]*100</f>
        <v>55.387218160384521</v>
      </c>
    </row>
    <row r="268" spans="1:12" x14ac:dyDescent="0.2">
      <c r="A268" s="1">
        <v>41101</v>
      </c>
      <c r="B268">
        <v>642.7586</v>
      </c>
      <c r="C268">
        <v>93.647499999999994</v>
      </c>
      <c r="D268">
        <v>722.21730000000002</v>
      </c>
      <c r="F268">
        <v>263716157.40470001</v>
      </c>
      <c r="G268">
        <v>243.73121699999999</v>
      </c>
      <c r="H268">
        <v>35.510717999999997</v>
      </c>
      <c r="I268">
        <v>273.861605</v>
      </c>
      <c r="K268" s="4">
        <f>VLOOKUP(Table_Query_from_Cello_SQL_Server[[#This Row],[AsOfDate]], 'CMO MV Raw'!$A:$B,2,FALSE)</f>
        <v>158861240.46990699</v>
      </c>
      <c r="L268" s="5">
        <f>Table_Query_from_Cello_SQL_Server[[#This Row],[CMO MV]]/Table_Query_from_Cello_SQL_Server[[#This Row],[NAV]]*100</f>
        <v>60.239479459014646</v>
      </c>
    </row>
    <row r="269" spans="1:12" x14ac:dyDescent="0.2">
      <c r="A269" s="1">
        <v>41102</v>
      </c>
      <c r="B269">
        <v>642.16780000000006</v>
      </c>
      <c r="C269">
        <v>93.028199999999998</v>
      </c>
      <c r="D269">
        <v>654.74400000000003</v>
      </c>
      <c r="F269">
        <v>264538374.8048</v>
      </c>
      <c r="G269">
        <v>242.750338</v>
      </c>
      <c r="H269">
        <v>35.166240000000002</v>
      </c>
      <c r="I269">
        <v>247.504356</v>
      </c>
      <c r="K269" s="4">
        <f>VLOOKUP(Table_Query_from_Cello_SQL_Server[[#This Row],[AsOfDate]], 'CMO MV Raw'!$A:$B,2,FALSE)</f>
        <v>155535320.24672201</v>
      </c>
      <c r="L269" s="5">
        <f>Table_Query_from_Cello_SQL_Server[[#This Row],[CMO MV]]/Table_Query_from_Cello_SQL_Server[[#This Row],[NAV]]*100</f>
        <v>58.794993490638113</v>
      </c>
    </row>
    <row r="270" spans="1:12" x14ac:dyDescent="0.2">
      <c r="A270" s="1">
        <v>41103</v>
      </c>
      <c r="B270">
        <v>656.18719999999996</v>
      </c>
      <c r="C270">
        <v>96.966700000000003</v>
      </c>
      <c r="D270">
        <v>541.27710000000002</v>
      </c>
      <c r="F270">
        <v>264806326.3348</v>
      </c>
      <c r="G270">
        <v>247.798914</v>
      </c>
      <c r="H270">
        <v>36.61797</v>
      </c>
      <c r="I270">
        <v>204.404898</v>
      </c>
      <c r="K270" s="4">
        <f>VLOOKUP(Table_Query_from_Cello_SQL_Server[[#This Row],[AsOfDate]], 'CMO MV Raw'!$A:$B,2,FALSE)</f>
        <v>157160865.79664099</v>
      </c>
      <c r="L270" s="5">
        <f>Table_Query_from_Cello_SQL_Server[[#This Row],[CMO MV]]/Table_Query_from_Cello_SQL_Server[[#This Row],[NAV]]*100</f>
        <v>59.349362219518618</v>
      </c>
    </row>
    <row r="271" spans="1:12" x14ac:dyDescent="0.2">
      <c r="A271" s="1">
        <v>41106</v>
      </c>
      <c r="B271">
        <v>709.81169999999997</v>
      </c>
      <c r="C271">
        <v>100.69750000000001</v>
      </c>
      <c r="D271">
        <v>551.21789999999999</v>
      </c>
      <c r="F271">
        <v>265020513.00999999</v>
      </c>
      <c r="G271">
        <v>267.832739</v>
      </c>
      <c r="H271">
        <v>37.996115000000003</v>
      </c>
      <c r="I271">
        <v>207.990655</v>
      </c>
      <c r="K271" s="4">
        <f>VLOOKUP(Table_Query_from_Cello_SQL_Server[[#This Row],[AsOfDate]], 'CMO MV Raw'!$A:$B,2,FALSE)</f>
        <v>154726722.96075299</v>
      </c>
      <c r="L271" s="5">
        <f>Table_Query_from_Cello_SQL_Server[[#This Row],[CMO MV]]/Table_Query_from_Cello_SQL_Server[[#This Row],[NAV]]*100</f>
        <v>58.382923345603331</v>
      </c>
    </row>
    <row r="272" spans="1:12" x14ac:dyDescent="0.2">
      <c r="A272" s="1">
        <v>41107</v>
      </c>
      <c r="B272">
        <v>713.89</v>
      </c>
      <c r="C272">
        <v>102.9547</v>
      </c>
      <c r="D272">
        <v>550.96789999999999</v>
      </c>
      <c r="F272">
        <v>264447843.94209999</v>
      </c>
      <c r="G272">
        <v>269.95493299999998</v>
      </c>
      <c r="H272">
        <v>38.931949000000003</v>
      </c>
      <c r="I272">
        <v>208.34652800000001</v>
      </c>
      <c r="K272" s="4">
        <f>VLOOKUP(Table_Query_from_Cello_SQL_Server[[#This Row],[AsOfDate]], 'CMO MV Raw'!$A:$B,2,FALSE)</f>
        <v>155623424.301963</v>
      </c>
      <c r="L272" s="5">
        <f>Table_Query_from_Cello_SQL_Server[[#This Row],[CMO MV]]/Table_Query_from_Cello_SQL_Server[[#This Row],[NAV]]*100</f>
        <v>58.848437552788766</v>
      </c>
    </row>
    <row r="273" spans="1:12" x14ac:dyDescent="0.2">
      <c r="A273" s="1">
        <v>41108</v>
      </c>
      <c r="B273">
        <v>704.55330000000004</v>
      </c>
      <c r="C273">
        <v>98.177300000000002</v>
      </c>
      <c r="D273">
        <v>522.50530000000003</v>
      </c>
      <c r="F273">
        <v>265183789.389</v>
      </c>
      <c r="G273">
        <v>265.68490500000001</v>
      </c>
      <c r="H273">
        <v>37.022360999999997</v>
      </c>
      <c r="I273">
        <v>197.03515899999999</v>
      </c>
      <c r="K273" s="4">
        <f>VLOOKUP(Table_Query_from_Cello_SQL_Server[[#This Row],[AsOfDate]], 'CMO MV Raw'!$A:$B,2,FALSE)</f>
        <v>147298527.04357299</v>
      </c>
      <c r="L273" s="5">
        <f>Table_Query_from_Cello_SQL_Server[[#This Row],[CMO MV]]/Table_Query_from_Cello_SQL_Server[[#This Row],[NAV]]*100</f>
        <v>55.545826305204393</v>
      </c>
    </row>
    <row r="274" spans="1:12" x14ac:dyDescent="0.2">
      <c r="A274" s="1">
        <v>41109</v>
      </c>
      <c r="B274">
        <v>741.17819999999995</v>
      </c>
      <c r="C274">
        <v>104.0515</v>
      </c>
      <c r="D274">
        <v>521.88480000000004</v>
      </c>
      <c r="F274">
        <v>264535858.067</v>
      </c>
      <c r="G274">
        <v>280.18061699999998</v>
      </c>
      <c r="H274">
        <v>39.333609000000003</v>
      </c>
      <c r="I274">
        <v>197.283198</v>
      </c>
      <c r="K274" s="4">
        <f>VLOOKUP(Table_Query_from_Cello_SQL_Server[[#This Row],[AsOfDate]], 'CMO MV Raw'!$A:$B,2,FALSE)</f>
        <v>150797055.65551099</v>
      </c>
      <c r="L274" s="5">
        <f>Table_Query_from_Cello_SQL_Server[[#This Row],[CMO MV]]/Table_Query_from_Cello_SQL_Server[[#This Row],[NAV]]*100</f>
        <v>57.004391297802073</v>
      </c>
    </row>
    <row r="275" spans="1:12" x14ac:dyDescent="0.2">
      <c r="A275" s="1">
        <v>41110</v>
      </c>
      <c r="B275">
        <v>755.88940000000002</v>
      </c>
      <c r="C275">
        <v>102.6446</v>
      </c>
      <c r="D275">
        <v>245.39760000000001</v>
      </c>
      <c r="F275">
        <v>265328213.68259999</v>
      </c>
      <c r="G275">
        <v>284.88843700000001</v>
      </c>
      <c r="H275">
        <v>38.685896999999997</v>
      </c>
      <c r="I275">
        <v>92.488316999999995</v>
      </c>
      <c r="K275" s="4">
        <f>VLOOKUP(Table_Query_from_Cello_SQL_Server[[#This Row],[AsOfDate]], 'CMO MV Raw'!$A:$B,2,FALSE)</f>
        <v>146117479.21373701</v>
      </c>
      <c r="L275" s="5">
        <f>Table_Query_from_Cello_SQL_Server[[#This Row],[CMO MV]]/Table_Query_from_Cello_SQL_Server[[#This Row],[NAV]]*100</f>
        <v>55.070464307474921</v>
      </c>
    </row>
    <row r="276" spans="1:12" x14ac:dyDescent="0.2">
      <c r="A276" s="1">
        <v>41113</v>
      </c>
      <c r="B276">
        <v>761.74540000000002</v>
      </c>
      <c r="C276">
        <v>100.1859</v>
      </c>
      <c r="D276">
        <v>248.14420000000001</v>
      </c>
      <c r="F276">
        <v>264707081.60530001</v>
      </c>
      <c r="G276">
        <v>287.769181</v>
      </c>
      <c r="H276">
        <v>37.847835000000003</v>
      </c>
      <c r="I276">
        <v>93.742940000000004</v>
      </c>
      <c r="K276" s="4">
        <f>VLOOKUP(Table_Query_from_Cello_SQL_Server[[#This Row],[AsOfDate]], 'CMO MV Raw'!$A:$B,2,FALSE)</f>
        <v>144893885.303819</v>
      </c>
      <c r="L276" s="5">
        <f>Table_Query_from_Cello_SQL_Server[[#This Row],[CMO MV]]/Table_Query_from_Cello_SQL_Server[[#This Row],[NAV]]*100</f>
        <v>54.737442015196137</v>
      </c>
    </row>
    <row r="277" spans="1:12" x14ac:dyDescent="0.2">
      <c r="A277" s="1">
        <v>41114</v>
      </c>
      <c r="B277">
        <v>774.87120000000004</v>
      </c>
      <c r="C277">
        <v>99.322599999999994</v>
      </c>
      <c r="D277">
        <v>250.72980000000001</v>
      </c>
      <c r="F277">
        <v>264599861.24759999</v>
      </c>
      <c r="G277">
        <v>292.84641199999999</v>
      </c>
      <c r="H277">
        <v>37.536906000000002</v>
      </c>
      <c r="I277">
        <v>94.758099999999999</v>
      </c>
      <c r="K277" s="4">
        <f>VLOOKUP(Table_Query_from_Cello_SQL_Server[[#This Row],[AsOfDate]], 'CMO MV Raw'!$A:$B,2,FALSE)</f>
        <v>144321333.43600199</v>
      </c>
      <c r="L277" s="5">
        <f>Table_Query_from_Cello_SQL_Server[[#This Row],[CMO MV]]/Table_Query_from_Cello_SQL_Server[[#This Row],[NAV]]*100</f>
        <v>54.54323851702739</v>
      </c>
    </row>
    <row r="278" spans="1:12" x14ac:dyDescent="0.2">
      <c r="A278" s="1">
        <v>41115</v>
      </c>
      <c r="B278">
        <v>775.75379999999996</v>
      </c>
      <c r="C278">
        <v>100.2653</v>
      </c>
      <c r="D278">
        <v>250.09729999999999</v>
      </c>
      <c r="F278">
        <v>264923377.82859999</v>
      </c>
      <c r="G278">
        <v>292.82195000000002</v>
      </c>
      <c r="H278">
        <v>37.846905</v>
      </c>
      <c r="I278">
        <v>94.403636000000006</v>
      </c>
      <c r="K278" s="4">
        <f>VLOOKUP(Table_Query_from_Cello_SQL_Server[[#This Row],[AsOfDate]], 'CMO MV Raw'!$A:$B,2,FALSE)</f>
        <v>144843137.45645699</v>
      </c>
      <c r="L278" s="5">
        <f>Table_Query_from_Cello_SQL_Server[[#This Row],[CMO MV]]/Table_Query_from_Cello_SQL_Server[[#This Row],[NAV]]*100</f>
        <v>54.673596057712778</v>
      </c>
    </row>
    <row r="279" spans="1:12" x14ac:dyDescent="0.2">
      <c r="A279" s="1">
        <v>41116</v>
      </c>
      <c r="B279">
        <v>753.2106</v>
      </c>
      <c r="C279">
        <v>100.25060000000001</v>
      </c>
      <c r="D279">
        <v>245.92699999999999</v>
      </c>
      <c r="F279">
        <v>265002938.07449999</v>
      </c>
      <c r="G279">
        <v>284.22726399999999</v>
      </c>
      <c r="H279">
        <v>37.829996000000001</v>
      </c>
      <c r="I279">
        <v>92.801613000000003</v>
      </c>
      <c r="K279" s="4">
        <f>VLOOKUP(Table_Query_from_Cello_SQL_Server[[#This Row],[AsOfDate]], 'CMO MV Raw'!$A:$B,2,FALSE)</f>
        <v>143864070.87652001</v>
      </c>
      <c r="L279" s="5">
        <f>Table_Query_from_Cello_SQL_Server[[#This Row],[CMO MV]]/Table_Query_from_Cello_SQL_Server[[#This Row],[NAV]]*100</f>
        <v>54.287726740627932</v>
      </c>
    </row>
    <row r="280" spans="1:12" x14ac:dyDescent="0.2">
      <c r="A280" s="1">
        <v>41117</v>
      </c>
      <c r="B280">
        <v>789.19200000000001</v>
      </c>
      <c r="C280">
        <v>112.5591</v>
      </c>
      <c r="D280">
        <v>244.7604</v>
      </c>
      <c r="F280">
        <v>267568670.1284</v>
      </c>
      <c r="G280">
        <v>294.94932999999997</v>
      </c>
      <c r="H280">
        <v>42.067368999999999</v>
      </c>
      <c r="I280">
        <v>91.475731999999994</v>
      </c>
      <c r="K280" s="4">
        <f>VLOOKUP(Table_Query_from_Cello_SQL_Server[[#This Row],[AsOfDate]], 'CMO MV Raw'!$A:$B,2,FALSE)</f>
        <v>148101099.58279601</v>
      </c>
      <c r="L280" s="5">
        <f>Table_Query_from_Cello_SQL_Server[[#This Row],[CMO MV]]/Table_Query_from_Cello_SQL_Server[[#This Row],[NAV]]*100</f>
        <v>55.350687923113618</v>
      </c>
    </row>
    <row r="281" spans="1:12" x14ac:dyDescent="0.2">
      <c r="A281" s="1">
        <v>41120</v>
      </c>
      <c r="B281">
        <v>741.01099999999997</v>
      </c>
      <c r="C281">
        <v>102.6322</v>
      </c>
      <c r="D281">
        <v>241.97139999999999</v>
      </c>
      <c r="F281">
        <v>265377444.73140001</v>
      </c>
      <c r="G281">
        <v>279.22908100000001</v>
      </c>
      <c r="H281">
        <v>38.674047999999999</v>
      </c>
      <c r="I281">
        <v>91.180092999999999</v>
      </c>
      <c r="K281" s="4">
        <f>VLOOKUP(Table_Query_from_Cello_SQL_Server[[#This Row],[AsOfDate]], 'CMO MV Raw'!$A:$B,2,FALSE)</f>
        <v>145176714.302513</v>
      </c>
      <c r="L281" s="5">
        <f>Table_Query_from_Cello_SQL_Server[[#This Row],[CMO MV]]/Table_Query_from_Cello_SQL_Server[[#This Row],[NAV]]*100</f>
        <v>54.705747298702278</v>
      </c>
    </row>
    <row r="282" spans="1:12" x14ac:dyDescent="0.2">
      <c r="A282" s="1">
        <v>41121</v>
      </c>
      <c r="B282">
        <v>765.34929999999997</v>
      </c>
      <c r="C282">
        <v>105.96299999999999</v>
      </c>
      <c r="D282">
        <v>240.74879999999999</v>
      </c>
      <c r="F282">
        <v>272196391.19419998</v>
      </c>
      <c r="G282">
        <v>281.17540300000002</v>
      </c>
      <c r="H282">
        <v>38.928877999999997</v>
      </c>
      <c r="I282">
        <v>88.446726999999996</v>
      </c>
      <c r="K282" s="4">
        <f>VLOOKUP(Table_Query_from_Cello_SQL_Server[[#This Row],[AsOfDate]], 'CMO MV Raw'!$A:$B,2,FALSE)</f>
        <v>150974422.99702701</v>
      </c>
      <c r="L282" s="5">
        <f>Table_Query_from_Cello_SQL_Server[[#This Row],[CMO MV]]/Table_Query_from_Cello_SQL_Server[[#This Row],[NAV]]*100</f>
        <v>55.465255191173156</v>
      </c>
    </row>
    <row r="283" spans="1:12" x14ac:dyDescent="0.2">
      <c r="A283" s="1">
        <v>41122</v>
      </c>
      <c r="B283">
        <v>778.01819999999998</v>
      </c>
      <c r="C283">
        <v>110.9759</v>
      </c>
      <c r="D283">
        <v>271.56700000000001</v>
      </c>
      <c r="F283">
        <v>360385275.91100001</v>
      </c>
      <c r="G283">
        <v>215.88512399999999</v>
      </c>
      <c r="H283">
        <v>30.793683000000001</v>
      </c>
      <c r="I283">
        <v>75.354631999999995</v>
      </c>
      <c r="K283" s="4">
        <f>VLOOKUP(Table_Query_from_Cello_SQL_Server[[#This Row],[AsOfDate]], 'CMO MV Raw'!$A:$B,2,FALSE)</f>
        <v>157565028.30939901</v>
      </c>
      <c r="L283" s="5">
        <f>Table_Query_from_Cello_SQL_Server[[#This Row],[CMO MV]]/Table_Query_from_Cello_SQL_Server[[#This Row],[NAV]]*100</f>
        <v>43.72127243853074</v>
      </c>
    </row>
    <row r="284" spans="1:12" x14ac:dyDescent="0.2">
      <c r="A284" s="1">
        <v>41123</v>
      </c>
      <c r="B284">
        <v>783.95060000000001</v>
      </c>
      <c r="C284">
        <v>110.43559999999999</v>
      </c>
      <c r="D284">
        <v>271.73719999999997</v>
      </c>
      <c r="F284">
        <v>360596794.97869998</v>
      </c>
      <c r="G284">
        <v>217.40365199999999</v>
      </c>
      <c r="H284">
        <v>30.625785</v>
      </c>
      <c r="I284">
        <v>75.35763</v>
      </c>
      <c r="K284" s="4">
        <f>VLOOKUP(Table_Query_from_Cello_SQL_Server[[#This Row],[AsOfDate]], 'CMO MV Raw'!$A:$B,2,FALSE)</f>
        <v>158802128.65368599</v>
      </c>
      <c r="L284" s="5">
        <f>Table_Query_from_Cello_SQL_Server[[#This Row],[CMO MV]]/Table_Query_from_Cello_SQL_Server[[#This Row],[NAV]]*100</f>
        <v>44.038696645394822</v>
      </c>
    </row>
    <row r="285" spans="1:12" x14ac:dyDescent="0.2">
      <c r="A285" s="1">
        <v>41124</v>
      </c>
      <c r="B285">
        <v>809.15909999999997</v>
      </c>
      <c r="C285">
        <v>118.871</v>
      </c>
      <c r="D285">
        <v>269.57470000000001</v>
      </c>
      <c r="F285">
        <v>361362943.3897</v>
      </c>
      <c r="G285">
        <v>223.91867099999999</v>
      </c>
      <c r="H285">
        <v>32.895183000000003</v>
      </c>
      <c r="I285">
        <v>74.599430999999996</v>
      </c>
      <c r="K285" s="4">
        <f>VLOOKUP(Table_Query_from_Cello_SQL_Server[[#This Row],[AsOfDate]], 'CMO MV Raw'!$A:$B,2,FALSE)</f>
        <v>164822163.62084299</v>
      </c>
      <c r="L285" s="5">
        <f>Table_Query_from_Cello_SQL_Server[[#This Row],[CMO MV]]/Table_Query_from_Cello_SQL_Server[[#This Row],[NAV]]*100</f>
        <v>45.611252242622989</v>
      </c>
    </row>
    <row r="286" spans="1:12" x14ac:dyDescent="0.2">
      <c r="A286" s="1">
        <v>41127</v>
      </c>
      <c r="B286">
        <v>814.92570000000001</v>
      </c>
      <c r="C286">
        <v>118.6473</v>
      </c>
      <c r="D286">
        <v>269.84500000000003</v>
      </c>
      <c r="F286">
        <v>361758409.63080001</v>
      </c>
      <c r="G286">
        <v>225.26793499999999</v>
      </c>
      <c r="H286">
        <v>32.797384999999998</v>
      </c>
      <c r="I286">
        <v>74.592599000000007</v>
      </c>
      <c r="K286" s="4">
        <f>VLOOKUP(Table_Query_from_Cello_SQL_Server[[#This Row],[AsOfDate]], 'CMO MV Raw'!$A:$B,2,FALSE)</f>
        <v>164998541.70555401</v>
      </c>
      <c r="L286" s="5">
        <f>Table_Query_from_Cello_SQL_Server[[#This Row],[CMO MV]]/Table_Query_from_Cello_SQL_Server[[#This Row],[NAV]]*100</f>
        <v>45.610146803206774</v>
      </c>
    </row>
    <row r="287" spans="1:12" x14ac:dyDescent="0.2">
      <c r="A287" s="1">
        <v>41128</v>
      </c>
      <c r="B287">
        <v>926.27739999999994</v>
      </c>
      <c r="C287">
        <v>136.54239999999999</v>
      </c>
      <c r="D287">
        <v>274.45429999999999</v>
      </c>
      <c r="F287">
        <v>369556402.3901</v>
      </c>
      <c r="G287">
        <v>250.645746</v>
      </c>
      <c r="H287">
        <v>36.947648000000001</v>
      </c>
      <c r="I287">
        <v>74.265876000000006</v>
      </c>
      <c r="K287" s="4">
        <f>VLOOKUP(Table_Query_from_Cello_SQL_Server[[#This Row],[AsOfDate]], 'CMO MV Raw'!$A:$B,2,FALSE)</f>
        <v>173604955.715691</v>
      </c>
      <c r="L287" s="5">
        <f>Table_Query_from_Cello_SQL_Server[[#This Row],[CMO MV]]/Table_Query_from_Cello_SQL_Server[[#This Row],[NAV]]*100</f>
        <v>46.976579107520202</v>
      </c>
    </row>
    <row r="288" spans="1:12" x14ac:dyDescent="0.2">
      <c r="A288" s="1">
        <v>41129</v>
      </c>
      <c r="B288">
        <v>772.37270000000001</v>
      </c>
      <c r="C288">
        <v>110.422</v>
      </c>
      <c r="D288">
        <v>217.49080000000001</v>
      </c>
      <c r="F288">
        <v>369875634.16070002</v>
      </c>
      <c r="G288">
        <v>208.819568</v>
      </c>
      <c r="H288">
        <v>29.853818</v>
      </c>
      <c r="I288">
        <v>58.801062000000002</v>
      </c>
      <c r="K288" s="4">
        <f>VLOOKUP(Table_Query_from_Cello_SQL_Server[[#This Row],[AsOfDate]], 'CMO MV Raw'!$A:$B,2,FALSE)</f>
        <v>182648610.994982</v>
      </c>
      <c r="L288" s="5">
        <f>Table_Query_from_Cello_SQL_Server[[#This Row],[CMO MV]]/Table_Query_from_Cello_SQL_Server[[#This Row],[NAV]]*100</f>
        <v>49.381087621366966</v>
      </c>
    </row>
    <row r="289" spans="1:12" x14ac:dyDescent="0.2">
      <c r="A289" s="1">
        <v>41130</v>
      </c>
      <c r="B289">
        <v>860.26620000000003</v>
      </c>
      <c r="C289">
        <v>123.8584</v>
      </c>
      <c r="D289">
        <v>238.63069999999999</v>
      </c>
      <c r="F289">
        <v>369620820.94639999</v>
      </c>
      <c r="G289">
        <v>232.742895</v>
      </c>
      <c r="H289">
        <v>33.509583999999997</v>
      </c>
      <c r="I289">
        <v>64.560946000000001</v>
      </c>
      <c r="K289" s="4">
        <f>VLOOKUP(Table_Query_from_Cello_SQL_Server[[#This Row],[AsOfDate]], 'CMO MV Raw'!$A:$B,2,FALSE)</f>
        <v>196648560.74004301</v>
      </c>
      <c r="L289" s="5">
        <f>Table_Query_from_Cello_SQL_Server[[#This Row],[CMO MV]]/Table_Query_from_Cello_SQL_Server[[#This Row],[NAV]]*100</f>
        <v>53.202782309863359</v>
      </c>
    </row>
    <row r="290" spans="1:12" x14ac:dyDescent="0.2">
      <c r="A290" s="1">
        <v>41131</v>
      </c>
      <c r="B290">
        <v>894.84069999999997</v>
      </c>
      <c r="C290">
        <v>131.55080000000001</v>
      </c>
      <c r="D290">
        <v>222.50049999999999</v>
      </c>
      <c r="F290">
        <v>369673872.06599998</v>
      </c>
      <c r="G290">
        <v>242.062198</v>
      </c>
      <c r="H290">
        <v>35.585636000000001</v>
      </c>
      <c r="I290">
        <v>60.188321999999999</v>
      </c>
      <c r="K290" s="4">
        <f>VLOOKUP(Table_Query_from_Cello_SQL_Server[[#This Row],[AsOfDate]], 'CMO MV Raw'!$A:$B,2,FALSE)</f>
        <v>196640790.72975099</v>
      </c>
      <c r="L290" s="5">
        <f>Table_Query_from_Cello_SQL_Server[[#This Row],[CMO MV]]/Table_Query_from_Cello_SQL_Server[[#This Row],[NAV]]*100</f>
        <v>53.193045435097339</v>
      </c>
    </row>
    <row r="291" spans="1:12" x14ac:dyDescent="0.2">
      <c r="A291" s="1">
        <v>41134</v>
      </c>
      <c r="B291">
        <v>1075.8136</v>
      </c>
      <c r="C291">
        <v>158.59299999999999</v>
      </c>
      <c r="D291">
        <v>202.2456</v>
      </c>
      <c r="F291">
        <v>369582354.94739997</v>
      </c>
      <c r="G291">
        <v>291.08900499999999</v>
      </c>
      <c r="H291">
        <v>42.911409999999997</v>
      </c>
      <c r="I291">
        <v>54.722741999999997</v>
      </c>
      <c r="K291" s="4">
        <f>VLOOKUP(Table_Query_from_Cello_SQL_Server[[#This Row],[AsOfDate]], 'CMO MV Raw'!$A:$B,2,FALSE)</f>
        <v>205467677.371562</v>
      </c>
      <c r="L291" s="5">
        <f>Table_Query_from_Cello_SQL_Server[[#This Row],[CMO MV]]/Table_Query_from_Cello_SQL_Server[[#This Row],[NAV]]*100</f>
        <v>55.594558187390945</v>
      </c>
    </row>
    <row r="292" spans="1:12" x14ac:dyDescent="0.2">
      <c r="A292" s="1">
        <v>41135</v>
      </c>
      <c r="B292">
        <v>1093.8987</v>
      </c>
      <c r="C292">
        <v>165.98169999999999</v>
      </c>
      <c r="D292">
        <v>198.43450000000001</v>
      </c>
      <c r="F292">
        <v>369770311.611</v>
      </c>
      <c r="G292">
        <v>295.83194400000002</v>
      </c>
      <c r="H292">
        <v>44.887784000000003</v>
      </c>
      <c r="I292">
        <v>53.664259999999999</v>
      </c>
      <c r="K292" s="4">
        <f>VLOOKUP(Table_Query_from_Cello_SQL_Server[[#This Row],[AsOfDate]], 'CMO MV Raw'!$A:$B,2,FALSE)</f>
        <v>207131436.197153</v>
      </c>
      <c r="L292" s="5">
        <f>Table_Query_from_Cello_SQL_Server[[#This Row],[CMO MV]]/Table_Query_from_Cello_SQL_Server[[#This Row],[NAV]]*100</f>
        <v>56.016242973842687</v>
      </c>
    </row>
    <row r="293" spans="1:12" x14ac:dyDescent="0.2">
      <c r="A293" s="1">
        <v>41136</v>
      </c>
      <c r="B293">
        <v>1131.6929</v>
      </c>
      <c r="C293">
        <v>179.46369999999999</v>
      </c>
      <c r="D293">
        <v>108.52119999999999</v>
      </c>
      <c r="F293">
        <v>370856494.19630003</v>
      </c>
      <c r="G293">
        <v>305.15655500000003</v>
      </c>
      <c r="H293">
        <v>48.391683</v>
      </c>
      <c r="I293">
        <v>29.262315999999998</v>
      </c>
      <c r="K293" s="4">
        <f>VLOOKUP(Table_Query_from_Cello_SQL_Server[[#This Row],[AsOfDate]], 'CMO MV Raw'!$A:$B,2,FALSE)</f>
        <v>211734375.647569</v>
      </c>
      <c r="L293" s="5">
        <f>Table_Query_from_Cello_SQL_Server[[#This Row],[CMO MV]]/Table_Query_from_Cello_SQL_Server[[#This Row],[NAV]]*100</f>
        <v>57.093344450237602</v>
      </c>
    </row>
    <row r="294" spans="1:12" x14ac:dyDescent="0.2">
      <c r="A294" s="1">
        <v>41137</v>
      </c>
      <c r="B294">
        <v>1112.8105</v>
      </c>
      <c r="C294">
        <v>180.23259999999999</v>
      </c>
      <c r="D294">
        <v>106.47110000000001</v>
      </c>
      <c r="F294">
        <v>371658516.55599999</v>
      </c>
      <c r="G294">
        <v>299.417463</v>
      </c>
      <c r="H294">
        <v>48.494140000000002</v>
      </c>
      <c r="I294">
        <v>28.647561</v>
      </c>
      <c r="K294" s="4">
        <f>VLOOKUP(Table_Query_from_Cello_SQL_Server[[#This Row],[AsOfDate]], 'CMO MV Raw'!$A:$B,2,FALSE)</f>
        <v>212241135.59631199</v>
      </c>
      <c r="L294" s="5">
        <f>Table_Query_from_Cello_SQL_Server[[#This Row],[CMO MV]]/Table_Query_from_Cello_SQL_Server[[#This Row],[NAV]]*100</f>
        <v>57.106490539503717</v>
      </c>
    </row>
    <row r="295" spans="1:12" x14ac:dyDescent="0.2">
      <c r="A295" s="1">
        <v>41138</v>
      </c>
      <c r="B295">
        <v>1109.4016999999999</v>
      </c>
      <c r="C295">
        <v>177.7149</v>
      </c>
      <c r="D295">
        <v>60.149500000000003</v>
      </c>
      <c r="F295">
        <v>371743159.29110003</v>
      </c>
      <c r="G295">
        <v>298.43231100000003</v>
      </c>
      <c r="H295">
        <v>47.805829000000003</v>
      </c>
      <c r="I295">
        <v>16.180392000000001</v>
      </c>
      <c r="K295" s="4">
        <f>VLOOKUP(Table_Query_from_Cello_SQL_Server[[#This Row],[AsOfDate]], 'CMO MV Raw'!$A:$B,2,FALSE)</f>
        <v>210884046.45781699</v>
      </c>
      <c r="L295" s="5">
        <f>Table_Query_from_Cello_SQL_Server[[#This Row],[CMO MV]]/Table_Query_from_Cello_SQL_Server[[#This Row],[NAV]]*100</f>
        <v>56.728426922492616</v>
      </c>
    </row>
    <row r="296" spans="1:12" x14ac:dyDescent="0.2">
      <c r="A296" s="1">
        <v>41141</v>
      </c>
      <c r="B296">
        <v>1108.4772</v>
      </c>
      <c r="C296">
        <v>176.1121</v>
      </c>
      <c r="D296">
        <v>60.780999999999999</v>
      </c>
      <c r="F296">
        <v>371246091.74830002</v>
      </c>
      <c r="G296">
        <v>298.58285999999998</v>
      </c>
      <c r="H296">
        <v>47.438102000000001</v>
      </c>
      <c r="I296">
        <v>16.372159</v>
      </c>
      <c r="K296" s="4">
        <f>VLOOKUP(Table_Query_from_Cello_SQL_Server[[#This Row],[AsOfDate]], 'CMO MV Raw'!$A:$B,2,FALSE)</f>
        <v>210408756.72825</v>
      </c>
      <c r="L296" s="5">
        <f>Table_Query_from_Cello_SQL_Server[[#This Row],[CMO MV]]/Table_Query_from_Cello_SQL_Server[[#This Row],[NAV]]*100</f>
        <v>56.676356035797518</v>
      </c>
    </row>
    <row r="297" spans="1:12" x14ac:dyDescent="0.2">
      <c r="A297" s="1">
        <v>41142</v>
      </c>
      <c r="B297">
        <v>1127.8793000000001</v>
      </c>
      <c r="C297">
        <v>180.3638</v>
      </c>
      <c r="D297">
        <v>79.719300000000004</v>
      </c>
      <c r="F297">
        <v>371557827.69840002</v>
      </c>
      <c r="G297">
        <v>303.55417499999999</v>
      </c>
      <c r="H297">
        <v>48.542591999999999</v>
      </c>
      <c r="I297">
        <v>21.455421999999999</v>
      </c>
      <c r="K297" s="4">
        <f>VLOOKUP(Table_Query_from_Cello_SQL_Server[[#This Row],[AsOfDate]], 'CMO MV Raw'!$A:$B,2,FALSE)</f>
        <v>213513371.87103799</v>
      </c>
      <c r="L297" s="5">
        <f>Table_Query_from_Cello_SQL_Server[[#This Row],[CMO MV]]/Table_Query_from_Cello_SQL_Server[[#This Row],[NAV]]*100</f>
        <v>57.464371883547159</v>
      </c>
    </row>
    <row r="298" spans="1:12" x14ac:dyDescent="0.2">
      <c r="A298" s="1">
        <v>41143</v>
      </c>
      <c r="B298">
        <v>1103.1708000000001</v>
      </c>
      <c r="C298">
        <v>172.41810000000001</v>
      </c>
      <c r="D298">
        <v>81.733500000000006</v>
      </c>
      <c r="F298">
        <v>370673213.99180001</v>
      </c>
      <c r="G298">
        <v>297.61276500000002</v>
      </c>
      <c r="H298">
        <v>46.514853000000002</v>
      </c>
      <c r="I298">
        <v>22.050014999999998</v>
      </c>
      <c r="K298" s="4">
        <f>VLOOKUP(Table_Query_from_Cello_SQL_Server[[#This Row],[AsOfDate]], 'CMO MV Raw'!$A:$B,2,FALSE)</f>
        <v>213311343.06040299</v>
      </c>
      <c r="L298" s="5">
        <f>Table_Query_from_Cello_SQL_Server[[#This Row],[CMO MV]]/Table_Query_from_Cello_SQL_Server[[#This Row],[NAV]]*100</f>
        <v>57.54700771691634</v>
      </c>
    </row>
    <row r="299" spans="1:12" x14ac:dyDescent="0.2">
      <c r="A299" s="1">
        <v>41144</v>
      </c>
      <c r="B299">
        <v>1108.9829999999999</v>
      </c>
      <c r="C299">
        <v>168.93610000000001</v>
      </c>
      <c r="D299">
        <v>266.75670000000002</v>
      </c>
      <c r="F299">
        <v>369970855.9756</v>
      </c>
      <c r="G299">
        <v>299.74874599999998</v>
      </c>
      <c r="H299">
        <v>45.662002000000001</v>
      </c>
      <c r="I299">
        <v>72.102085000000002</v>
      </c>
      <c r="K299" s="4">
        <f>VLOOKUP(Table_Query_from_Cello_SQL_Server[[#This Row],[AsOfDate]], 'CMO MV Raw'!$A:$B,2,FALSE)</f>
        <v>227989771.222693</v>
      </c>
      <c r="L299" s="5">
        <f>Table_Query_from_Cello_SQL_Server[[#This Row],[CMO MV]]/Table_Query_from_Cello_SQL_Server[[#This Row],[NAV]]*100</f>
        <v>61.623711041101345</v>
      </c>
    </row>
    <row r="300" spans="1:12" x14ac:dyDescent="0.2">
      <c r="A300" s="1">
        <v>41145</v>
      </c>
      <c r="B300">
        <v>1102.2081000000001</v>
      </c>
      <c r="C300">
        <v>170.7671</v>
      </c>
      <c r="D300">
        <v>264.05149999999998</v>
      </c>
      <c r="F300">
        <v>370508107.2094</v>
      </c>
      <c r="G300">
        <v>297.48555499999998</v>
      </c>
      <c r="H300">
        <v>46.089976999999998</v>
      </c>
      <c r="I300">
        <v>71.267401000000007</v>
      </c>
      <c r="K300" s="4">
        <f>VLOOKUP(Table_Query_from_Cello_SQL_Server[[#This Row],[AsOfDate]], 'CMO MV Raw'!$A:$B,2,FALSE)</f>
        <v>228742545.862748</v>
      </c>
      <c r="L300" s="5">
        <f>Table_Query_from_Cello_SQL_Server[[#This Row],[CMO MV]]/Table_Query_from_Cello_SQL_Server[[#This Row],[NAV]]*100</f>
        <v>61.737527846717164</v>
      </c>
    </row>
    <row r="301" spans="1:12" x14ac:dyDescent="0.2">
      <c r="A301" s="1">
        <v>41148</v>
      </c>
      <c r="B301">
        <v>1103.6876999999999</v>
      </c>
      <c r="C301">
        <v>168.86189999999999</v>
      </c>
      <c r="D301">
        <v>265.33269999999999</v>
      </c>
      <c r="F301">
        <v>370598606.82849997</v>
      </c>
      <c r="G301">
        <v>297.81215600000002</v>
      </c>
      <c r="H301">
        <v>45.564633999999998</v>
      </c>
      <c r="I301">
        <v>71.595708999999999</v>
      </c>
      <c r="K301" s="4">
        <f>VLOOKUP(Table_Query_from_Cello_SQL_Server[[#This Row],[AsOfDate]], 'CMO MV Raw'!$A:$B,2,FALSE)</f>
        <v>229681557.08665401</v>
      </c>
      <c r="L301" s="5">
        <f>Table_Query_from_Cello_SQL_Server[[#This Row],[CMO MV]]/Table_Query_from_Cello_SQL_Server[[#This Row],[NAV]]*100</f>
        <v>61.975828525697231</v>
      </c>
    </row>
    <row r="302" spans="1:12" x14ac:dyDescent="0.2">
      <c r="A302" s="1">
        <v>41149</v>
      </c>
      <c r="B302">
        <v>1079.7286999999999</v>
      </c>
      <c r="C302">
        <v>163.9528</v>
      </c>
      <c r="D302">
        <v>263.4273</v>
      </c>
      <c r="F302">
        <v>369685064.89279997</v>
      </c>
      <c r="G302">
        <v>292.06716799999998</v>
      </c>
      <c r="H302">
        <v>44.349316999999999</v>
      </c>
      <c r="I302">
        <v>71.257220000000004</v>
      </c>
      <c r="K302" s="4">
        <f>VLOOKUP(Table_Query_from_Cello_SQL_Server[[#This Row],[AsOfDate]], 'CMO MV Raw'!$A:$B,2,FALSE)</f>
        <v>227141355.448071</v>
      </c>
      <c r="L302" s="5">
        <f>Table_Query_from_Cello_SQL_Server[[#This Row],[CMO MV]]/Table_Query_from_Cello_SQL_Server[[#This Row],[NAV]]*100</f>
        <v>61.441853355351718</v>
      </c>
    </row>
    <row r="303" spans="1:12" x14ac:dyDescent="0.2">
      <c r="A303" s="1">
        <v>41150</v>
      </c>
      <c r="B303">
        <v>1092.0853</v>
      </c>
      <c r="C303">
        <v>169.21010000000001</v>
      </c>
      <c r="D303">
        <v>262.82979999999998</v>
      </c>
      <c r="F303">
        <v>370446312.2335</v>
      </c>
      <c r="G303">
        <v>294.80258400000002</v>
      </c>
      <c r="H303">
        <v>45.677360999999998</v>
      </c>
      <c r="I303">
        <v>70.949498000000006</v>
      </c>
      <c r="K303" s="4">
        <f>VLOOKUP(Table_Query_from_Cello_SQL_Server[[#This Row],[AsOfDate]], 'CMO MV Raw'!$A:$B,2,FALSE)</f>
        <v>228218194.45493099</v>
      </c>
      <c r="L303" s="5">
        <f>Table_Query_from_Cello_SQL_Server[[#This Row],[CMO MV]]/Table_Query_from_Cello_SQL_Server[[#This Row],[NAV]]*100</f>
        <v>61.606280564369698</v>
      </c>
    </row>
    <row r="304" spans="1:12" x14ac:dyDescent="0.2">
      <c r="A304" s="1">
        <v>41151</v>
      </c>
      <c r="B304">
        <v>1087.4593</v>
      </c>
      <c r="C304">
        <v>166.22309999999999</v>
      </c>
      <c r="D304">
        <v>263.77449999999999</v>
      </c>
      <c r="F304">
        <v>369911323.8664</v>
      </c>
      <c r="G304">
        <v>293.97837500000003</v>
      </c>
      <c r="H304">
        <v>44.935932000000001</v>
      </c>
      <c r="I304">
        <v>71.307495000000003</v>
      </c>
      <c r="K304" s="4">
        <f>VLOOKUP(Table_Query_from_Cello_SQL_Server[[#This Row],[AsOfDate]], 'CMO MV Raw'!$A:$B,2,FALSE)</f>
        <v>227814948.921444</v>
      </c>
      <c r="L304" s="5">
        <f>Table_Query_from_Cello_SQL_Server[[#This Row],[CMO MV]]/Table_Query_from_Cello_SQL_Server[[#This Row],[NAV]]*100</f>
        <v>61.586367927390995</v>
      </c>
    </row>
    <row r="305" spans="1:12" x14ac:dyDescent="0.2">
      <c r="A305" s="1">
        <v>41152</v>
      </c>
      <c r="B305">
        <v>1140.5458000000001</v>
      </c>
      <c r="C305">
        <v>170.70840000000001</v>
      </c>
      <c r="D305">
        <v>215.52950000000001</v>
      </c>
      <c r="F305">
        <v>372101832.9465</v>
      </c>
      <c r="G305">
        <v>306.51442700000001</v>
      </c>
      <c r="H305">
        <v>45.876795999999999</v>
      </c>
      <c r="I305">
        <v>57.922181999999999</v>
      </c>
      <c r="K305" s="4">
        <f>VLOOKUP(Table_Query_from_Cello_SQL_Server[[#This Row],[AsOfDate]], 'CMO MV Raw'!$A:$B,2,FALSE)</f>
        <v>227619435.04939499</v>
      </c>
      <c r="L305" s="5">
        <f>Table_Query_from_Cello_SQL_Server[[#This Row],[CMO MV]]/Table_Query_from_Cello_SQL_Server[[#This Row],[NAV]]*100</f>
        <v>61.171274875746619</v>
      </c>
    </row>
    <row r="306" spans="1:12" x14ac:dyDescent="0.2">
      <c r="A306" s="1">
        <v>41156</v>
      </c>
      <c r="B306">
        <v>1149.1524999999999</v>
      </c>
      <c r="C306">
        <v>172.10890000000001</v>
      </c>
      <c r="D306">
        <v>216.28299999999999</v>
      </c>
      <c r="F306">
        <v>382466999.09119999</v>
      </c>
      <c r="G306">
        <v>300.45794899999999</v>
      </c>
      <c r="H306">
        <v>44.999673000000001</v>
      </c>
      <c r="I306">
        <v>56.549453999999997</v>
      </c>
      <c r="K306" s="4">
        <f>VLOOKUP(Table_Query_from_Cello_SQL_Server[[#This Row],[AsOfDate]], 'CMO MV Raw'!$A:$B,2,FALSE)</f>
        <v>228514038.21615899</v>
      </c>
      <c r="L306" s="5">
        <f>Table_Query_from_Cello_SQL_Server[[#This Row],[CMO MV]]/Table_Query_from_Cello_SQL_Server[[#This Row],[NAV]]*100</f>
        <v>59.747387031859809</v>
      </c>
    </row>
    <row r="307" spans="1:12" x14ac:dyDescent="0.2">
      <c r="A307" s="1">
        <v>41157</v>
      </c>
      <c r="B307">
        <v>1151.9702</v>
      </c>
      <c r="C307">
        <v>173.04820000000001</v>
      </c>
      <c r="D307">
        <v>216.6583</v>
      </c>
      <c r="F307">
        <v>382681561.58939999</v>
      </c>
      <c r="G307">
        <v>301.02579200000002</v>
      </c>
      <c r="H307">
        <v>45.219895000000001</v>
      </c>
      <c r="I307">
        <v>56.615819000000002</v>
      </c>
      <c r="K307" s="4">
        <f>VLOOKUP(Table_Query_from_Cello_SQL_Server[[#This Row],[AsOfDate]], 'CMO MV Raw'!$A:$B,2,FALSE)</f>
        <v>228129284.86062899</v>
      </c>
      <c r="L307" s="5">
        <f>Table_Query_from_Cello_SQL_Server[[#This Row],[CMO MV]]/Table_Query_from_Cello_SQL_Server[[#This Row],[NAV]]*100</f>
        <v>59.613346384689777</v>
      </c>
    </row>
    <row r="308" spans="1:12" x14ac:dyDescent="0.2">
      <c r="A308" s="1">
        <v>41158</v>
      </c>
      <c r="B308">
        <v>1148.7152000000001</v>
      </c>
      <c r="C308">
        <v>177.1662</v>
      </c>
      <c r="D308">
        <v>213.6585</v>
      </c>
      <c r="F308">
        <v>383029250.77990001</v>
      </c>
      <c r="G308">
        <v>299.90273500000001</v>
      </c>
      <c r="H308">
        <v>46.253960999999997</v>
      </c>
      <c r="I308">
        <v>55.781249000000003</v>
      </c>
      <c r="K308" s="4">
        <f>VLOOKUP(Table_Query_from_Cello_SQL_Server[[#This Row],[AsOfDate]], 'CMO MV Raw'!$A:$B,2,FALSE)</f>
        <v>228198953.90193701</v>
      </c>
      <c r="L308" s="5">
        <f>Table_Query_from_Cello_SQL_Server[[#This Row],[CMO MV]]/Table_Query_from_Cello_SQL_Server[[#This Row],[NAV]]*100</f>
        <v>59.57742220399426</v>
      </c>
    </row>
    <row r="309" spans="1:12" x14ac:dyDescent="0.2">
      <c r="A309" s="1">
        <v>41159</v>
      </c>
      <c r="B309">
        <v>1167.5848000000001</v>
      </c>
      <c r="C309">
        <v>169.31649999999999</v>
      </c>
      <c r="D309">
        <v>212.36099999999999</v>
      </c>
      <c r="F309">
        <v>381774650.66659999</v>
      </c>
      <c r="G309">
        <v>305.83088700000002</v>
      </c>
      <c r="H309">
        <v>44.349854000000001</v>
      </c>
      <c r="I309">
        <v>55.624699</v>
      </c>
      <c r="K309" s="4">
        <f>VLOOKUP(Table_Query_from_Cello_SQL_Server[[#This Row],[AsOfDate]], 'CMO MV Raw'!$A:$B,2,FALSE)</f>
        <v>226890730.65184101</v>
      </c>
      <c r="L309" s="5">
        <f>Table_Query_from_Cello_SQL_Server[[#This Row],[CMO MV]]/Table_Query_from_Cello_SQL_Server[[#This Row],[NAV]]*100</f>
        <v>59.430538474903202</v>
      </c>
    </row>
    <row r="310" spans="1:12" x14ac:dyDescent="0.2">
      <c r="A310" s="1">
        <v>41162</v>
      </c>
      <c r="B310">
        <v>1254.4148</v>
      </c>
      <c r="C310">
        <v>178.2088</v>
      </c>
      <c r="D310">
        <v>211.3038</v>
      </c>
      <c r="F310">
        <v>384628241.15450001</v>
      </c>
      <c r="G310">
        <v>326.13694600000002</v>
      </c>
      <c r="H310">
        <v>46.332738999999997</v>
      </c>
      <c r="I310">
        <v>54.937151999999998</v>
      </c>
      <c r="K310" s="4">
        <f>VLOOKUP(Table_Query_from_Cello_SQL_Server[[#This Row],[AsOfDate]], 'CMO MV Raw'!$A:$B,2,FALSE)</f>
        <v>229586092.10090399</v>
      </c>
      <c r="L310" s="5">
        <f>Table_Query_from_Cello_SQL_Server[[#This Row],[CMO MV]]/Table_Query_from_Cello_SQL_Server[[#This Row],[NAV]]*100</f>
        <v>59.690388675511308</v>
      </c>
    </row>
    <row r="311" spans="1:12" x14ac:dyDescent="0.2">
      <c r="A311" s="1">
        <v>41163</v>
      </c>
      <c r="B311">
        <v>1201.5160000000001</v>
      </c>
      <c r="C311">
        <v>180.0857</v>
      </c>
      <c r="D311">
        <v>210.65260000000001</v>
      </c>
      <c r="F311">
        <v>384302996.9443</v>
      </c>
      <c r="G311">
        <v>312.64809500000001</v>
      </c>
      <c r="H311">
        <v>46.860342000000003</v>
      </c>
      <c r="I311">
        <v>54.814197</v>
      </c>
      <c r="K311" s="4">
        <f>VLOOKUP(Table_Query_from_Cello_SQL_Server[[#This Row],[AsOfDate]], 'CMO MV Raw'!$A:$B,2,FALSE)</f>
        <v>227575620.02989501</v>
      </c>
      <c r="L311" s="5">
        <f>Table_Query_from_Cello_SQL_Server[[#This Row],[CMO MV]]/Table_Query_from_Cello_SQL_Server[[#This Row],[NAV]]*100</f>
        <v>59.217758341572157</v>
      </c>
    </row>
    <row r="312" spans="1:12" x14ac:dyDescent="0.2">
      <c r="A312" s="1">
        <v>41164</v>
      </c>
      <c r="B312">
        <v>1199.7276999999999</v>
      </c>
      <c r="C312">
        <v>179.9744</v>
      </c>
      <c r="D312">
        <v>229.15469999999999</v>
      </c>
      <c r="F312">
        <v>384469049.08219999</v>
      </c>
      <c r="G312">
        <v>312.04792800000001</v>
      </c>
      <c r="H312">
        <v>46.811154000000002</v>
      </c>
      <c r="I312">
        <v>59.602899000000001</v>
      </c>
      <c r="K312" s="4">
        <f>VLOOKUP(Table_Query_from_Cello_SQL_Server[[#This Row],[AsOfDate]], 'CMO MV Raw'!$A:$B,2,FALSE)</f>
        <v>221676825.49942401</v>
      </c>
      <c r="L312" s="5">
        <f>Table_Query_from_Cello_SQL_Server[[#This Row],[CMO MV]]/Table_Query_from_Cello_SQL_Server[[#This Row],[NAV]]*100</f>
        <v>57.657911873168558</v>
      </c>
    </row>
    <row r="313" spans="1:12" x14ac:dyDescent="0.2">
      <c r="A313" s="1">
        <v>41165</v>
      </c>
      <c r="B313">
        <v>1253.6561999999999</v>
      </c>
      <c r="C313">
        <v>168.8005</v>
      </c>
      <c r="D313">
        <v>258.60739999999998</v>
      </c>
      <c r="F313">
        <v>381252923.48290002</v>
      </c>
      <c r="G313">
        <v>328.825334</v>
      </c>
      <c r="H313">
        <v>44.275201000000003</v>
      </c>
      <c r="I313">
        <v>67.830928999999998</v>
      </c>
      <c r="K313" s="4">
        <f>VLOOKUP(Table_Query_from_Cello_SQL_Server[[#This Row],[AsOfDate]], 'CMO MV Raw'!$A:$B,2,FALSE)</f>
        <v>214055787.88280699</v>
      </c>
      <c r="L313" s="5">
        <f>Table_Query_from_Cello_SQL_Server[[#This Row],[CMO MV]]/Table_Query_from_Cello_SQL_Server[[#This Row],[NAV]]*100</f>
        <v>56.145349897207495</v>
      </c>
    </row>
    <row r="314" spans="1:12" x14ac:dyDescent="0.2">
      <c r="A314" s="1">
        <v>41166</v>
      </c>
      <c r="B314">
        <v>1265.2193</v>
      </c>
      <c r="C314">
        <v>173.24860000000001</v>
      </c>
      <c r="D314">
        <v>243.1541</v>
      </c>
      <c r="F314">
        <v>381849724.97039998</v>
      </c>
      <c r="G314">
        <v>331.33958699999999</v>
      </c>
      <c r="H314">
        <v>45.370885000000001</v>
      </c>
      <c r="I314">
        <v>63.677956000000002</v>
      </c>
      <c r="K314" s="4">
        <f>VLOOKUP(Table_Query_from_Cello_SQL_Server[[#This Row],[AsOfDate]], 'CMO MV Raw'!$A:$B,2,FALSE)</f>
        <v>217865159.41273299</v>
      </c>
      <c r="L314" s="5">
        <f>Table_Query_from_Cello_SQL_Server[[#This Row],[CMO MV]]/Table_Query_from_Cello_SQL_Server[[#This Row],[NAV]]*100</f>
        <v>57.055209200326473</v>
      </c>
    </row>
    <row r="315" spans="1:12" x14ac:dyDescent="0.2">
      <c r="A315" s="1">
        <v>41169</v>
      </c>
      <c r="B315">
        <v>1224.6958</v>
      </c>
      <c r="C315">
        <v>168.59010000000001</v>
      </c>
      <c r="D315">
        <v>241.91759999999999</v>
      </c>
      <c r="F315">
        <v>382775291.98220003</v>
      </c>
      <c r="G315">
        <v>319.95163400000001</v>
      </c>
      <c r="H315">
        <v>44.044144000000003</v>
      </c>
      <c r="I315">
        <v>63.200944999999997</v>
      </c>
      <c r="K315" s="4">
        <f>VLOOKUP(Table_Query_from_Cello_SQL_Server[[#This Row],[AsOfDate]], 'CMO MV Raw'!$A:$B,2,FALSE)</f>
        <v>209664030.10308701</v>
      </c>
      <c r="L315" s="5">
        <f>Table_Query_from_Cello_SQL_Server[[#This Row],[CMO MV]]/Table_Query_from_Cello_SQL_Server[[#This Row],[NAV]]*100</f>
        <v>54.774703199191052</v>
      </c>
    </row>
    <row r="316" spans="1:12" x14ac:dyDescent="0.2">
      <c r="A316" s="1">
        <v>41170</v>
      </c>
      <c r="B316">
        <v>1179.4163000000001</v>
      </c>
      <c r="C316">
        <v>161.7039</v>
      </c>
      <c r="D316">
        <v>210.1575</v>
      </c>
      <c r="F316">
        <v>383224206.4939</v>
      </c>
      <c r="G316">
        <v>307.76143100000002</v>
      </c>
      <c r="H316">
        <v>42.195638000000002</v>
      </c>
      <c r="I316">
        <v>54.839306999999998</v>
      </c>
      <c r="K316" s="4">
        <f>VLOOKUP(Table_Query_from_Cello_SQL_Server[[#This Row],[AsOfDate]], 'CMO MV Raw'!$A:$B,2,FALSE)</f>
        <v>203975808.58456799</v>
      </c>
      <c r="L316" s="5">
        <f>Table_Query_from_Cello_SQL_Server[[#This Row],[CMO MV]]/Table_Query_from_Cello_SQL_Server[[#This Row],[NAV]]*100</f>
        <v>53.226232875718615</v>
      </c>
    </row>
    <row r="317" spans="1:12" x14ac:dyDescent="0.2">
      <c r="A317" s="1">
        <v>41171</v>
      </c>
      <c r="B317">
        <v>1126.3380999999999</v>
      </c>
      <c r="C317">
        <v>150.55350000000001</v>
      </c>
      <c r="D317">
        <v>212.28190000000001</v>
      </c>
      <c r="F317">
        <v>382743243.32730001</v>
      </c>
      <c r="G317">
        <v>294.28033499999998</v>
      </c>
      <c r="H317">
        <v>39.335377999999999</v>
      </c>
      <c r="I317">
        <v>55.463265</v>
      </c>
      <c r="K317" s="4">
        <f>VLOOKUP(Table_Query_from_Cello_SQL_Server[[#This Row],[AsOfDate]], 'CMO MV Raw'!$A:$B,2,FALSE)</f>
        <v>194132116.54617301</v>
      </c>
      <c r="L317" s="5">
        <f>Table_Query_from_Cello_SQL_Server[[#This Row],[CMO MV]]/Table_Query_from_Cello_SQL_Server[[#This Row],[NAV]]*100</f>
        <v>50.721239350569633</v>
      </c>
    </row>
    <row r="318" spans="1:12" x14ac:dyDescent="0.2">
      <c r="A318" s="1">
        <v>41172</v>
      </c>
      <c r="B318">
        <v>1070.3390999999999</v>
      </c>
      <c r="C318">
        <v>139.33410000000001</v>
      </c>
      <c r="D318">
        <v>204.7465</v>
      </c>
      <c r="F318">
        <v>382116370.9465</v>
      </c>
      <c r="G318">
        <v>280.10815100000002</v>
      </c>
      <c r="H318">
        <v>36.463787000000004</v>
      </c>
      <c r="I318">
        <v>53.582236999999999</v>
      </c>
      <c r="K318" s="4">
        <f>VLOOKUP(Table_Query_from_Cello_SQL_Server[[#This Row],[AsOfDate]], 'CMO MV Raw'!$A:$B,2,FALSE)</f>
        <v>185405743.88563401</v>
      </c>
      <c r="L318" s="5">
        <f>Table_Query_from_Cello_SQL_Server[[#This Row],[CMO MV]]/Table_Query_from_Cello_SQL_Server[[#This Row],[NAV]]*100</f>
        <v>48.520753880914619</v>
      </c>
    </row>
    <row r="319" spans="1:12" x14ac:dyDescent="0.2">
      <c r="A319" s="1">
        <v>41173</v>
      </c>
      <c r="B319">
        <v>1068.8929000000001</v>
      </c>
      <c r="C319">
        <v>133.40170000000001</v>
      </c>
      <c r="D319">
        <v>281.82119999999998</v>
      </c>
      <c r="F319">
        <v>380539522.57700002</v>
      </c>
      <c r="G319">
        <v>280.8888</v>
      </c>
      <c r="H319">
        <v>35.055937999999998</v>
      </c>
      <c r="I319">
        <v>74.058325999999994</v>
      </c>
      <c r="K319" s="4">
        <f>VLOOKUP(Table_Query_from_Cello_SQL_Server[[#This Row],[AsOfDate]], 'CMO MV Raw'!$A:$B,2,FALSE)</f>
        <v>182429187.251378</v>
      </c>
      <c r="L319" s="5">
        <f>Table_Query_from_Cello_SQL_Server[[#This Row],[CMO MV]]/Table_Query_from_Cello_SQL_Server[[#This Row],[NAV]]*100</f>
        <v>47.939616367827995</v>
      </c>
    </row>
    <row r="320" spans="1:12" x14ac:dyDescent="0.2">
      <c r="A320" s="1">
        <v>41176</v>
      </c>
      <c r="B320">
        <v>1080.7905000000001</v>
      </c>
      <c r="C320">
        <v>127.5539</v>
      </c>
      <c r="D320">
        <v>332.34469999999999</v>
      </c>
      <c r="F320">
        <v>380182345.92570001</v>
      </c>
      <c r="G320">
        <v>284.28213799999997</v>
      </c>
      <c r="H320">
        <v>33.550716000000001</v>
      </c>
      <c r="I320">
        <v>87.417184000000006</v>
      </c>
      <c r="K320" s="4">
        <f>VLOOKUP(Table_Query_from_Cello_SQL_Server[[#This Row],[AsOfDate]], 'CMO MV Raw'!$A:$B,2,FALSE)</f>
        <v>173725210.465404</v>
      </c>
      <c r="L320" s="5">
        <f>Table_Query_from_Cello_SQL_Server[[#This Row],[CMO MV]]/Table_Query_from_Cello_SQL_Server[[#This Row],[NAV]]*100</f>
        <v>45.695233439207499</v>
      </c>
    </row>
    <row r="321" spans="1:12" x14ac:dyDescent="0.2">
      <c r="A321" s="1">
        <v>41177</v>
      </c>
      <c r="B321">
        <v>987.97889999999995</v>
      </c>
      <c r="C321">
        <v>110.059</v>
      </c>
      <c r="D321">
        <v>348.90620000000001</v>
      </c>
      <c r="F321">
        <v>380208269.11839998</v>
      </c>
      <c r="G321">
        <v>259.85202900000002</v>
      </c>
      <c r="H321">
        <v>28.947030000000002</v>
      </c>
      <c r="I321">
        <v>91.767126000000005</v>
      </c>
      <c r="K321" s="4">
        <f>VLOOKUP(Table_Query_from_Cello_SQL_Server[[#This Row],[AsOfDate]], 'CMO MV Raw'!$A:$B,2,FALSE)</f>
        <v>157081892.284242</v>
      </c>
      <c r="L321" s="5">
        <f>Table_Query_from_Cello_SQL_Server[[#This Row],[CMO MV]]/Table_Query_from_Cello_SQL_Server[[#This Row],[NAV]]*100</f>
        <v>41.314696455306553</v>
      </c>
    </row>
    <row r="322" spans="1:12" x14ac:dyDescent="0.2">
      <c r="A322" s="1">
        <v>41178</v>
      </c>
      <c r="B322">
        <v>954.19669999999996</v>
      </c>
      <c r="C322">
        <v>105.8288</v>
      </c>
      <c r="D322">
        <v>344.1635</v>
      </c>
      <c r="F322">
        <v>381878438.11570001</v>
      </c>
      <c r="G322">
        <v>249.869227</v>
      </c>
      <c r="H322">
        <v>27.712693000000002</v>
      </c>
      <c r="I322">
        <v>90.123836999999995</v>
      </c>
      <c r="K322" s="4">
        <f>VLOOKUP(Table_Query_from_Cello_SQL_Server[[#This Row],[AsOfDate]], 'CMO MV Raw'!$A:$B,2,FALSE)</f>
        <v>152801641.50608999</v>
      </c>
      <c r="L322" s="5">
        <f>Table_Query_from_Cello_SQL_Server[[#This Row],[CMO MV]]/Table_Query_from_Cello_SQL_Server[[#This Row],[NAV]]*100</f>
        <v>40.0131628955167</v>
      </c>
    </row>
    <row r="323" spans="1:12" x14ac:dyDescent="0.2">
      <c r="A323" s="1">
        <v>41179</v>
      </c>
      <c r="B323">
        <v>913.77380000000005</v>
      </c>
      <c r="C323">
        <v>106.434</v>
      </c>
      <c r="D323">
        <v>334.39030000000002</v>
      </c>
      <c r="F323">
        <v>382763232.25749999</v>
      </c>
      <c r="G323">
        <v>238.730819</v>
      </c>
      <c r="H323">
        <v>27.806746</v>
      </c>
      <c r="I323">
        <v>87.362178999999998</v>
      </c>
      <c r="K323" s="4">
        <f>VLOOKUP(Table_Query_from_Cello_SQL_Server[[#This Row],[AsOfDate]], 'CMO MV Raw'!$A:$B,2,FALSE)</f>
        <v>144355331.71007499</v>
      </c>
      <c r="L323" s="5">
        <f>Table_Query_from_Cello_SQL_Server[[#This Row],[CMO MV]]/Table_Query_from_Cello_SQL_Server[[#This Row],[NAV]]*100</f>
        <v>37.71400164500686</v>
      </c>
    </row>
    <row r="324" spans="1:12" x14ac:dyDescent="0.2">
      <c r="A324" s="1">
        <v>41180</v>
      </c>
      <c r="B324">
        <v>934.65060000000005</v>
      </c>
      <c r="C324">
        <v>109.83329999999999</v>
      </c>
      <c r="D324">
        <v>333.89240000000001</v>
      </c>
      <c r="F324">
        <v>384906532.58569998</v>
      </c>
      <c r="G324">
        <v>242.82534100000001</v>
      </c>
      <c r="H324">
        <v>28.535056999999998</v>
      </c>
      <c r="I324">
        <v>86.746358000000001</v>
      </c>
      <c r="K324" s="4">
        <f>VLOOKUP(Table_Query_from_Cello_SQL_Server[[#This Row],[AsOfDate]], 'CMO MV Raw'!$A:$B,2,FALSE)</f>
        <v>147316447.43821201</v>
      </c>
      <c r="L324" s="5">
        <f>Table_Query_from_Cello_SQL_Server[[#This Row],[CMO MV]]/Table_Query_from_Cello_SQL_Server[[#This Row],[NAV]]*100</f>
        <v>38.273304027494461</v>
      </c>
    </row>
    <row r="325" spans="1:12" x14ac:dyDescent="0.2">
      <c r="A325" s="1">
        <v>41183</v>
      </c>
      <c r="B325">
        <v>905.90920000000006</v>
      </c>
      <c r="C325">
        <v>103.9979</v>
      </c>
      <c r="D325">
        <v>334.42180000000002</v>
      </c>
      <c r="F325">
        <v>391898669.37419999</v>
      </c>
      <c r="G325">
        <v>231.15904</v>
      </c>
      <c r="H325">
        <v>26.536936000000001</v>
      </c>
      <c r="I325">
        <v>85.333742000000001</v>
      </c>
      <c r="K325" s="4">
        <f>VLOOKUP(Table_Query_from_Cello_SQL_Server[[#This Row],[AsOfDate]], 'CMO MV Raw'!$A:$B,2,FALSE)</f>
        <v>144555216.35273901</v>
      </c>
      <c r="L325" s="5">
        <f>Table_Query_from_Cello_SQL_Server[[#This Row],[CMO MV]]/Table_Query_from_Cello_SQL_Server[[#This Row],[NAV]]*100</f>
        <v>36.885865569171429</v>
      </c>
    </row>
    <row r="326" spans="1:12" x14ac:dyDescent="0.2">
      <c r="A326" s="1">
        <v>41184</v>
      </c>
      <c r="B326">
        <v>900.2817</v>
      </c>
      <c r="C326">
        <v>101.46850000000001</v>
      </c>
      <c r="D326">
        <v>334.64420000000001</v>
      </c>
      <c r="F326">
        <v>392017795.64060003</v>
      </c>
      <c r="G326">
        <v>229.65327300000001</v>
      </c>
      <c r="H326">
        <v>25.883645999999999</v>
      </c>
      <c r="I326">
        <v>85.364542999999998</v>
      </c>
      <c r="K326" s="4">
        <f>VLOOKUP(Table_Query_from_Cello_SQL_Server[[#This Row],[AsOfDate]], 'CMO MV Raw'!$A:$B,2,FALSE)</f>
        <v>143803855.737721</v>
      </c>
      <c r="L326" s="5">
        <f>Table_Query_from_Cello_SQL_Server[[#This Row],[CMO MV]]/Table_Query_from_Cello_SQL_Server[[#This Row],[NAV]]*100</f>
        <v>36.682991776618138</v>
      </c>
    </row>
    <row r="327" spans="1:12" x14ac:dyDescent="0.2">
      <c r="A327" s="1">
        <v>41185</v>
      </c>
      <c r="B327">
        <v>933.8596</v>
      </c>
      <c r="C327">
        <v>105.1772</v>
      </c>
      <c r="D327">
        <v>333.15530000000001</v>
      </c>
      <c r="F327">
        <v>391997115.77920002</v>
      </c>
      <c r="G327">
        <v>238.23124300000001</v>
      </c>
      <c r="H327">
        <v>26.831116000000002</v>
      </c>
      <c r="I327">
        <v>84.989221999999998</v>
      </c>
      <c r="K327" s="4">
        <f>VLOOKUP(Table_Query_from_Cello_SQL_Server[[#This Row],[AsOfDate]], 'CMO MV Raw'!$A:$B,2,FALSE)</f>
        <v>144733641.08822599</v>
      </c>
      <c r="L327" s="5">
        <f>Table_Query_from_Cello_SQL_Server[[#This Row],[CMO MV]]/Table_Query_from_Cello_SQL_Server[[#This Row],[NAV]]*100</f>
        <v>36.922118878484305</v>
      </c>
    </row>
    <row r="328" spans="1:12" x14ac:dyDescent="0.2">
      <c r="A328" s="1">
        <v>41186</v>
      </c>
      <c r="B328">
        <v>955.6354</v>
      </c>
      <c r="C328">
        <v>110.8584</v>
      </c>
      <c r="D328">
        <v>379.8535</v>
      </c>
      <c r="F328">
        <v>391598188.75989997</v>
      </c>
      <c r="G328">
        <v>244.034683</v>
      </c>
      <c r="H328">
        <v>28.309221999999998</v>
      </c>
      <c r="I328">
        <v>97.000832000000003</v>
      </c>
      <c r="K328" s="4">
        <f>VLOOKUP(Table_Query_from_Cello_SQL_Server[[#This Row],[AsOfDate]], 'CMO MV Raw'!$A:$B,2,FALSE)</f>
        <v>146352113.25417</v>
      </c>
      <c r="L328" s="5">
        <f>Table_Query_from_Cello_SQL_Server[[#This Row],[CMO MV]]/Table_Query_from_Cello_SQL_Server[[#This Row],[NAV]]*100</f>
        <v>37.37303119752238</v>
      </c>
    </row>
    <row r="329" spans="1:12" x14ac:dyDescent="0.2">
      <c r="A329" s="1">
        <v>41187</v>
      </c>
      <c r="B329">
        <v>964.87419999999997</v>
      </c>
      <c r="C329">
        <v>112.476</v>
      </c>
      <c r="D329">
        <v>377.50009999999997</v>
      </c>
      <c r="F329">
        <v>390311738.37159997</v>
      </c>
      <c r="G329">
        <v>247.206042</v>
      </c>
      <c r="H329">
        <v>28.816966000000001</v>
      </c>
      <c r="I329">
        <v>96.717588000000006</v>
      </c>
      <c r="K329" s="4">
        <f>VLOOKUP(Table_Query_from_Cello_SQL_Server[[#This Row],[AsOfDate]], 'CMO MV Raw'!$A:$B,2,FALSE)</f>
        <v>146352278.34989899</v>
      </c>
      <c r="L329" s="5">
        <f>Table_Query_from_Cello_SQL_Server[[#This Row],[CMO MV]]/Table_Query_from_Cello_SQL_Server[[#This Row],[NAV]]*100</f>
        <v>37.496253369290919</v>
      </c>
    </row>
    <row r="330" spans="1:12" x14ac:dyDescent="0.2">
      <c r="A330" s="1">
        <v>41191</v>
      </c>
      <c r="B330">
        <v>1005.1638</v>
      </c>
      <c r="C330">
        <v>114.1721</v>
      </c>
      <c r="D330">
        <v>381.09879999999998</v>
      </c>
      <c r="F330">
        <v>392928484.48830003</v>
      </c>
      <c r="G330">
        <v>255.81342100000001</v>
      </c>
      <c r="H330">
        <v>29.056712000000001</v>
      </c>
      <c r="I330">
        <v>96.989354000000006</v>
      </c>
      <c r="K330" s="4">
        <f>VLOOKUP(Table_Query_from_Cello_SQL_Server[[#This Row],[AsOfDate]], 'CMO MV Raw'!$A:$B,2,FALSE)</f>
        <v>148370699.26774299</v>
      </c>
      <c r="L330" s="5">
        <f>Table_Query_from_Cello_SQL_Server[[#This Row],[CMO MV]]/Table_Query_from_Cello_SQL_Server[[#This Row],[NAV]]*100</f>
        <v>37.760229946414313</v>
      </c>
    </row>
    <row r="331" spans="1:12" x14ac:dyDescent="0.2">
      <c r="A331" s="1">
        <v>41192</v>
      </c>
      <c r="B331">
        <v>1010.7446</v>
      </c>
      <c r="C331">
        <v>111.2624</v>
      </c>
      <c r="D331">
        <v>382.29140000000001</v>
      </c>
      <c r="F331">
        <v>392962369.28619999</v>
      </c>
      <c r="G331">
        <v>257.21154999999999</v>
      </c>
      <c r="H331">
        <v>28.313753999999999</v>
      </c>
      <c r="I331">
        <v>97.284481</v>
      </c>
      <c r="K331" s="4">
        <f>VLOOKUP(Table_Query_from_Cello_SQL_Server[[#This Row],[AsOfDate]], 'CMO MV Raw'!$A:$B,2,FALSE)</f>
        <v>146709021.20787701</v>
      </c>
      <c r="L331" s="5">
        <f>Table_Query_from_Cello_SQL_Server[[#This Row],[CMO MV]]/Table_Query_from_Cello_SQL_Server[[#This Row],[NAV]]*100</f>
        <v>37.334114580581321</v>
      </c>
    </row>
    <row r="332" spans="1:12" x14ac:dyDescent="0.2">
      <c r="A332" s="1">
        <v>41193</v>
      </c>
      <c r="B332">
        <v>947.79489999999998</v>
      </c>
      <c r="C332">
        <v>106.9974</v>
      </c>
      <c r="D332">
        <v>383.13339999999999</v>
      </c>
      <c r="F332">
        <v>393836830.45420003</v>
      </c>
      <c r="G332">
        <v>240.656746</v>
      </c>
      <c r="H332">
        <v>27.167952</v>
      </c>
      <c r="I332">
        <v>97.282268000000002</v>
      </c>
      <c r="K332" s="4">
        <f>VLOOKUP(Table_Query_from_Cello_SQL_Server[[#This Row],[AsOfDate]], 'CMO MV Raw'!$A:$B,2,FALSE)</f>
        <v>141840811.24033901</v>
      </c>
      <c r="L332" s="5">
        <f>Table_Query_from_Cello_SQL_Server[[#This Row],[CMO MV]]/Table_Query_from_Cello_SQL_Server[[#This Row],[NAV]]*100</f>
        <v>36.015121053243881</v>
      </c>
    </row>
    <row r="333" spans="1:12" x14ac:dyDescent="0.2">
      <c r="A333" s="1">
        <v>41194</v>
      </c>
      <c r="B333">
        <v>908.77380000000005</v>
      </c>
      <c r="C333">
        <v>102.9123</v>
      </c>
      <c r="D333">
        <v>389.93830000000003</v>
      </c>
      <c r="F333">
        <v>393658313.58399999</v>
      </c>
      <c r="G333">
        <v>230.85345000000001</v>
      </c>
      <c r="H333">
        <v>26.142544999999998</v>
      </c>
      <c r="I333">
        <v>99.055014999999997</v>
      </c>
      <c r="K333" s="4">
        <f>VLOOKUP(Table_Query_from_Cello_SQL_Server[[#This Row],[AsOfDate]], 'CMO MV Raw'!$A:$B,2,FALSE)</f>
        <v>141149606.349814</v>
      </c>
      <c r="L333" s="5">
        <f>Table_Query_from_Cello_SQL_Server[[#This Row],[CMO MV]]/Table_Query_from_Cello_SQL_Server[[#This Row],[NAV]]*100</f>
        <v>35.855868269296707</v>
      </c>
    </row>
    <row r="334" spans="1:12" x14ac:dyDescent="0.2">
      <c r="A334" s="1">
        <v>41197</v>
      </c>
      <c r="B334">
        <v>908.41430000000003</v>
      </c>
      <c r="C334">
        <v>103.8616</v>
      </c>
      <c r="D334">
        <v>410.07279999999997</v>
      </c>
      <c r="F334">
        <v>393895218.36860001</v>
      </c>
      <c r="G334">
        <v>230.62333799999999</v>
      </c>
      <c r="H334">
        <v>26.367825</v>
      </c>
      <c r="I334">
        <v>104.107077</v>
      </c>
      <c r="K334" s="4">
        <f>VLOOKUP(Table_Query_from_Cello_SQL_Server[[#This Row],[AsOfDate]], 'CMO MV Raw'!$A:$B,2,FALSE)</f>
        <v>141966285.49755201</v>
      </c>
      <c r="L334" s="5">
        <f>Table_Query_from_Cello_SQL_Server[[#This Row],[CMO MV]]/Table_Query_from_Cello_SQL_Server[[#This Row],[NAV]]*100</f>
        <v>36.041637186035231</v>
      </c>
    </row>
    <row r="335" spans="1:12" x14ac:dyDescent="0.2">
      <c r="A335" s="1">
        <v>41198</v>
      </c>
      <c r="B335">
        <v>977.54139999999995</v>
      </c>
      <c r="C335">
        <v>113.6884</v>
      </c>
      <c r="D335">
        <v>483.85559999999998</v>
      </c>
      <c r="F335">
        <v>392745476.67549998</v>
      </c>
      <c r="G335">
        <v>248.89946699999999</v>
      </c>
      <c r="H335">
        <v>28.947092999999999</v>
      </c>
      <c r="I335">
        <v>123.198262</v>
      </c>
      <c r="K335" s="4">
        <f>VLOOKUP(Table_Query_from_Cello_SQL_Server[[#This Row],[AsOfDate]], 'CMO MV Raw'!$A:$B,2,FALSE)</f>
        <v>146503143.01394299</v>
      </c>
      <c r="L335" s="5">
        <f>Table_Query_from_Cello_SQL_Server[[#This Row],[CMO MV]]/Table_Query_from_Cello_SQL_Server[[#This Row],[NAV]]*100</f>
        <v>37.302311984356471</v>
      </c>
    </row>
    <row r="336" spans="1:12" x14ac:dyDescent="0.2">
      <c r="A336" s="1">
        <v>41199</v>
      </c>
      <c r="B336">
        <v>983.97739999999999</v>
      </c>
      <c r="C336">
        <v>119.9562</v>
      </c>
      <c r="D336">
        <v>465.1397</v>
      </c>
      <c r="F336">
        <v>391721535.52020001</v>
      </c>
      <c r="G336">
        <v>251.193083</v>
      </c>
      <c r="H336">
        <v>30.622824999999999</v>
      </c>
      <c r="I336">
        <v>118.74243800000001</v>
      </c>
      <c r="K336" s="4">
        <f>VLOOKUP(Table_Query_from_Cello_SQL_Server[[#This Row],[AsOfDate]], 'CMO MV Raw'!$A:$B,2,FALSE)</f>
        <v>148311496.69989699</v>
      </c>
      <c r="L336" s="5">
        <f>Table_Query_from_Cello_SQL_Server[[#This Row],[CMO MV]]/Table_Query_from_Cello_SQL_Server[[#This Row],[NAV]]*100</f>
        <v>37.861461076665506</v>
      </c>
    </row>
    <row r="337" spans="1:12" x14ac:dyDescent="0.2">
      <c r="A337" s="1">
        <v>41200</v>
      </c>
      <c r="B337">
        <v>958.37909999999999</v>
      </c>
      <c r="C337">
        <v>121.7718</v>
      </c>
      <c r="D337">
        <v>605.08669999999995</v>
      </c>
      <c r="F337">
        <v>391733262.63810003</v>
      </c>
      <c r="G337">
        <v>244.650938</v>
      </c>
      <c r="H337">
        <v>31.085387000000001</v>
      </c>
      <c r="I337">
        <v>154.46395699999999</v>
      </c>
      <c r="K337" s="4">
        <f>VLOOKUP(Table_Query_from_Cello_SQL_Server[[#This Row],[AsOfDate]], 'CMO MV Raw'!$A:$B,2,FALSE)</f>
        <v>149415248.530844</v>
      </c>
      <c r="L337" s="5">
        <f>Table_Query_from_Cello_SQL_Server[[#This Row],[CMO MV]]/Table_Query_from_Cello_SQL_Server[[#This Row],[NAV]]*100</f>
        <v>38.142088707151785</v>
      </c>
    </row>
    <row r="338" spans="1:12" x14ac:dyDescent="0.2">
      <c r="A338" s="1">
        <v>41201</v>
      </c>
      <c r="B338">
        <v>971.83699999999999</v>
      </c>
      <c r="C338">
        <v>118.5612</v>
      </c>
      <c r="D338">
        <v>606.03420000000006</v>
      </c>
      <c r="F338">
        <v>392581695.82859999</v>
      </c>
      <c r="G338">
        <v>247.55025800000001</v>
      </c>
      <c r="H338">
        <v>30.200389000000001</v>
      </c>
      <c r="I338">
        <v>154.371487</v>
      </c>
      <c r="K338" s="4">
        <f>VLOOKUP(Table_Query_from_Cello_SQL_Server[[#This Row],[AsOfDate]], 'CMO MV Raw'!$A:$B,2,FALSE)</f>
        <v>146926720.697391</v>
      </c>
      <c r="L338" s="5">
        <f>Table_Query_from_Cello_SQL_Server[[#This Row],[CMO MV]]/Table_Query_from_Cello_SQL_Server[[#This Row],[NAV]]*100</f>
        <v>37.425769529901558</v>
      </c>
    </row>
    <row r="339" spans="1:12" x14ac:dyDescent="0.2">
      <c r="A339" s="1">
        <v>41204</v>
      </c>
      <c r="B339">
        <v>987.38199999999995</v>
      </c>
      <c r="C339">
        <v>122.1895</v>
      </c>
      <c r="D339">
        <v>605.10299999999995</v>
      </c>
      <c r="F339">
        <v>393058590.34179997</v>
      </c>
      <c r="G339">
        <v>251.20478800000001</v>
      </c>
      <c r="H339">
        <v>31.086841</v>
      </c>
      <c r="I339">
        <v>153.94727800000001</v>
      </c>
      <c r="K339" s="4">
        <f>VLOOKUP(Table_Query_from_Cello_SQL_Server[[#This Row],[AsOfDate]], 'CMO MV Raw'!$A:$B,2,FALSE)</f>
        <v>147592969.055415</v>
      </c>
      <c r="L339" s="5">
        <f>Table_Query_from_Cello_SQL_Server[[#This Row],[CMO MV]]/Table_Query_from_Cello_SQL_Server[[#This Row],[NAV]]*100</f>
        <v>37.549864748425819</v>
      </c>
    </row>
    <row r="340" spans="1:12" x14ac:dyDescent="0.2">
      <c r="A340" s="1">
        <v>41205</v>
      </c>
      <c r="B340">
        <v>982.29020000000003</v>
      </c>
      <c r="C340">
        <v>119.5984</v>
      </c>
      <c r="D340">
        <v>605.66600000000005</v>
      </c>
      <c r="F340">
        <v>393256720.3466</v>
      </c>
      <c r="G340">
        <v>249.78344899999999</v>
      </c>
      <c r="H340">
        <v>30.412296999999999</v>
      </c>
      <c r="I340">
        <v>154.01288</v>
      </c>
      <c r="K340" s="4">
        <f>VLOOKUP(Table_Query_from_Cello_SQL_Server[[#This Row],[AsOfDate]], 'CMO MV Raw'!$A:$B,2,FALSE)</f>
        <v>147196027.82021499</v>
      </c>
      <c r="L340" s="5">
        <f>Table_Query_from_Cello_SQL_Server[[#This Row],[CMO MV]]/Table_Query_from_Cello_SQL_Server[[#This Row],[NAV]]*100</f>
        <v>37.43000950892398</v>
      </c>
    </row>
    <row r="341" spans="1:12" x14ac:dyDescent="0.2">
      <c r="A341" s="1">
        <v>41206</v>
      </c>
      <c r="B341">
        <v>975.57730000000004</v>
      </c>
      <c r="C341">
        <v>121.07380000000001</v>
      </c>
      <c r="D341">
        <v>605.35209999999995</v>
      </c>
      <c r="F341">
        <v>393246882.70370001</v>
      </c>
      <c r="G341">
        <v>248.08265299999999</v>
      </c>
      <c r="H341">
        <v>30.788242</v>
      </c>
      <c r="I341">
        <v>153.93691000000001</v>
      </c>
      <c r="K341" s="4">
        <f>VLOOKUP(Table_Query_from_Cello_SQL_Server[[#This Row],[AsOfDate]], 'CMO MV Raw'!$A:$B,2,FALSE)</f>
        <v>148363893.982014</v>
      </c>
      <c r="L341" s="5">
        <f>Table_Query_from_Cello_SQL_Server[[#This Row],[CMO MV]]/Table_Query_from_Cello_SQL_Server[[#This Row],[NAV]]*100</f>
        <v>37.72792627419296</v>
      </c>
    </row>
    <row r="342" spans="1:12" x14ac:dyDescent="0.2">
      <c r="A342" s="1">
        <v>41207</v>
      </c>
      <c r="B342">
        <v>964.83090000000004</v>
      </c>
      <c r="C342">
        <v>123.214</v>
      </c>
      <c r="D342">
        <v>604.38549999999998</v>
      </c>
      <c r="F342">
        <v>392744289.66299999</v>
      </c>
      <c r="G342">
        <v>245.66389000000001</v>
      </c>
      <c r="H342">
        <v>31.372575999999999</v>
      </c>
      <c r="I342">
        <v>153.887788</v>
      </c>
      <c r="K342" s="4">
        <f>VLOOKUP(Table_Query_from_Cello_SQL_Server[[#This Row],[AsOfDate]], 'CMO MV Raw'!$A:$B,2,FALSE)</f>
        <v>148790999.09091899</v>
      </c>
      <c r="L342" s="5">
        <f>Table_Query_from_Cello_SQL_Server[[#This Row],[CMO MV]]/Table_Query_from_Cello_SQL_Server[[#This Row],[NAV]]*100</f>
        <v>37.884955429547126</v>
      </c>
    </row>
    <row r="343" spans="1:12" x14ac:dyDescent="0.2">
      <c r="A343" s="1">
        <v>41208</v>
      </c>
      <c r="B343">
        <v>950.47180000000003</v>
      </c>
      <c r="C343">
        <v>117.6293</v>
      </c>
      <c r="D343">
        <v>556.19539999999995</v>
      </c>
      <c r="F343">
        <v>394058479.63990003</v>
      </c>
      <c r="G343">
        <v>241.20069699999999</v>
      </c>
      <c r="H343">
        <v>29.850722000000001</v>
      </c>
      <c r="I343">
        <v>141.14539600000001</v>
      </c>
      <c r="K343" s="4">
        <f>VLOOKUP(Table_Query_from_Cello_SQL_Server[[#This Row],[AsOfDate]], 'CMO MV Raw'!$A:$B,2,FALSE)</f>
        <v>145870286.80722699</v>
      </c>
      <c r="L343" s="5">
        <f>Table_Query_from_Cello_SQL_Server[[#This Row],[CMO MV]]/Table_Query_from_Cello_SQL_Server[[#This Row],[NAV]]*100</f>
        <v>37.017421104737224</v>
      </c>
    </row>
    <row r="344" spans="1:12" x14ac:dyDescent="0.2">
      <c r="A344" s="1">
        <v>41211</v>
      </c>
      <c r="B344">
        <v>948.44560000000001</v>
      </c>
      <c r="C344">
        <v>115.9208</v>
      </c>
      <c r="D344">
        <v>556.33249999999998</v>
      </c>
      <c r="F344">
        <v>394182809.46219999</v>
      </c>
      <c r="G344">
        <v>240.61059399999999</v>
      </c>
      <c r="H344">
        <v>29.407878</v>
      </c>
      <c r="I344">
        <v>141.13565800000001</v>
      </c>
      <c r="K344" s="4">
        <f>VLOOKUP(Table_Query_from_Cello_SQL_Server[[#This Row],[AsOfDate]], 'CMO MV Raw'!$A:$B,2,FALSE)</f>
        <v>145366535.612167</v>
      </c>
      <c r="L344" s="5">
        <f>Table_Query_from_Cello_SQL_Server[[#This Row],[CMO MV]]/Table_Query_from_Cello_SQL_Server[[#This Row],[NAV]]*100</f>
        <v>36.877949043616745</v>
      </c>
    </row>
    <row r="345" spans="1:12" x14ac:dyDescent="0.2">
      <c r="A345" s="1">
        <v>41213</v>
      </c>
      <c r="B345">
        <v>935.66279999999995</v>
      </c>
      <c r="C345">
        <v>112.5586</v>
      </c>
      <c r="D345">
        <v>556.04880000000003</v>
      </c>
      <c r="F345">
        <v>394653031.38789999</v>
      </c>
      <c r="G345">
        <v>237.084914</v>
      </c>
      <c r="H345">
        <v>28.520900999999999</v>
      </c>
      <c r="I345">
        <v>140.895611</v>
      </c>
      <c r="K345" s="4">
        <f>VLOOKUP(Table_Query_from_Cello_SQL_Server[[#This Row],[AsOfDate]], 'CMO MV Raw'!$A:$B,2,FALSE)</f>
        <v>145074200.37054801</v>
      </c>
      <c r="L345" s="5">
        <f>Table_Query_from_Cello_SQL_Server[[#This Row],[CMO MV]]/Table_Query_from_Cello_SQL_Server[[#This Row],[NAV]]*100</f>
        <v>36.759935647866904</v>
      </c>
    </row>
    <row r="346" spans="1:12" x14ac:dyDescent="0.2">
      <c r="A346" s="1">
        <v>41214</v>
      </c>
      <c r="B346">
        <v>961.6345</v>
      </c>
      <c r="C346">
        <v>119.2144</v>
      </c>
      <c r="D346">
        <v>705.24599999999998</v>
      </c>
      <c r="F346">
        <v>397772268.4479</v>
      </c>
      <c r="G346">
        <v>241.75503800000001</v>
      </c>
      <c r="H346">
        <v>29.970516</v>
      </c>
      <c r="I346">
        <v>177.298936</v>
      </c>
      <c r="K346" s="4">
        <f>VLOOKUP(Table_Query_from_Cello_SQL_Server[[#This Row],[AsOfDate]], 'CMO MV Raw'!$A:$B,2,FALSE)</f>
        <v>147049266.59317699</v>
      </c>
      <c r="L346" s="5">
        <f>Table_Query_from_Cello_SQL_Server[[#This Row],[CMO MV]]/Table_Query_from_Cello_SQL_Server[[#This Row],[NAV]]*100</f>
        <v>36.968204738595908</v>
      </c>
    </row>
    <row r="347" spans="1:12" x14ac:dyDescent="0.2">
      <c r="A347" s="1">
        <v>41215</v>
      </c>
      <c r="B347">
        <v>955.61980000000005</v>
      </c>
      <c r="C347">
        <v>117.02670000000001</v>
      </c>
      <c r="D347">
        <v>755.11279999999999</v>
      </c>
      <c r="F347">
        <v>398338423.12260002</v>
      </c>
      <c r="G347">
        <v>239.901487</v>
      </c>
      <c r="H347">
        <v>29.378712</v>
      </c>
      <c r="I347">
        <v>189.56564499999999</v>
      </c>
      <c r="K347" s="4">
        <f>VLOOKUP(Table_Query_from_Cello_SQL_Server[[#This Row],[AsOfDate]], 'CMO MV Raw'!$A:$B,2,FALSE)</f>
        <v>146285082.59665701</v>
      </c>
      <c r="L347" s="5">
        <f>Table_Query_from_Cello_SQL_Server[[#This Row],[CMO MV]]/Table_Query_from_Cello_SQL_Server[[#This Row],[NAV]]*100</f>
        <v>36.72381927154278</v>
      </c>
    </row>
    <row r="348" spans="1:12" x14ac:dyDescent="0.2">
      <c r="A348" s="1">
        <v>41218</v>
      </c>
      <c r="B348">
        <v>961.07320000000004</v>
      </c>
      <c r="C348">
        <v>114.71080000000001</v>
      </c>
      <c r="D348">
        <v>753.92660000000001</v>
      </c>
      <c r="F348">
        <v>399600367.34130001</v>
      </c>
      <c r="G348">
        <v>240.508588</v>
      </c>
      <c r="H348">
        <v>28.706379999999999</v>
      </c>
      <c r="I348">
        <v>188.67014699999999</v>
      </c>
      <c r="K348" s="4">
        <f>VLOOKUP(Table_Query_from_Cello_SQL_Server[[#This Row],[AsOfDate]], 'CMO MV Raw'!$A:$B,2,FALSE)</f>
        <v>145718567.03098601</v>
      </c>
      <c r="L348" s="5">
        <f>Table_Query_from_Cello_SQL_Server[[#This Row],[CMO MV]]/Table_Query_from_Cello_SQL_Server[[#This Row],[NAV]]*100</f>
        <v>36.46607434335197</v>
      </c>
    </row>
    <row r="349" spans="1:12" x14ac:dyDescent="0.2">
      <c r="A349" s="1">
        <v>41219</v>
      </c>
      <c r="B349">
        <v>979.34180000000003</v>
      </c>
      <c r="C349">
        <v>117.0239</v>
      </c>
      <c r="D349">
        <v>777.36990000000003</v>
      </c>
      <c r="F349">
        <v>397742700.7859</v>
      </c>
      <c r="G349">
        <v>246.22495900000001</v>
      </c>
      <c r="H349">
        <v>29.422011000000001</v>
      </c>
      <c r="I349">
        <v>195.44542200000001</v>
      </c>
      <c r="K349" s="4">
        <f>VLOOKUP(Table_Query_from_Cello_SQL_Server[[#This Row],[AsOfDate]], 'CMO MV Raw'!$A:$B,2,FALSE)</f>
        <v>147058521.03820699</v>
      </c>
      <c r="L349" s="5">
        <f>Table_Query_from_Cello_SQL_Server[[#This Row],[CMO MV]]/Table_Query_from_Cello_SQL_Server[[#This Row],[NAV]]*100</f>
        <v>36.973279647277998</v>
      </c>
    </row>
    <row r="350" spans="1:12" x14ac:dyDescent="0.2">
      <c r="A350" s="1">
        <v>41220</v>
      </c>
      <c r="B350">
        <v>956.2953</v>
      </c>
      <c r="C350">
        <v>116.51179999999999</v>
      </c>
      <c r="D350">
        <v>777.8895</v>
      </c>
      <c r="F350">
        <v>399897344.61799997</v>
      </c>
      <c r="G350">
        <v>239.13519600000001</v>
      </c>
      <c r="H350">
        <v>29.135427</v>
      </c>
      <c r="I350">
        <v>194.52229700000001</v>
      </c>
      <c r="K350" s="4">
        <f>VLOOKUP(Table_Query_from_Cello_SQL_Server[[#This Row],[AsOfDate]], 'CMO MV Raw'!$A:$B,2,FALSE)</f>
        <v>145170999.11620599</v>
      </c>
      <c r="L350" s="5">
        <f>Table_Query_from_Cello_SQL_Server[[#This Row],[CMO MV]]/Table_Query_from_Cello_SQL_Server[[#This Row],[NAV]]*100</f>
        <v>36.302066285256259</v>
      </c>
    </row>
    <row r="351" spans="1:12" x14ac:dyDescent="0.2">
      <c r="A351" s="1">
        <v>41221</v>
      </c>
      <c r="B351">
        <v>925.58140000000003</v>
      </c>
      <c r="C351">
        <v>111.4032</v>
      </c>
      <c r="D351">
        <v>778.07150000000001</v>
      </c>
      <c r="F351">
        <v>399126541.03780001</v>
      </c>
      <c r="G351">
        <v>231.90174200000001</v>
      </c>
      <c r="H351">
        <v>27.911749</v>
      </c>
      <c r="I351">
        <v>194.94356300000001</v>
      </c>
      <c r="K351" s="4">
        <f>VLOOKUP(Table_Query_from_Cello_SQL_Server[[#This Row],[AsOfDate]], 'CMO MV Raw'!$A:$B,2,FALSE)</f>
        <v>142784676.142443</v>
      </c>
      <c r="L351" s="5">
        <f>Table_Query_from_Cello_SQL_Server[[#This Row],[CMO MV]]/Table_Query_from_Cello_SQL_Server[[#This Row],[NAV]]*100</f>
        <v>35.774287465618656</v>
      </c>
    </row>
    <row r="352" spans="1:12" x14ac:dyDescent="0.2">
      <c r="A352" s="1">
        <v>41222</v>
      </c>
      <c r="B352">
        <v>882.28769999999997</v>
      </c>
      <c r="C352">
        <v>105.73569999999999</v>
      </c>
      <c r="D352">
        <v>885.58370000000002</v>
      </c>
      <c r="F352">
        <v>398855991.46789998</v>
      </c>
      <c r="G352">
        <v>221.20457500000001</v>
      </c>
      <c r="H352">
        <v>26.509743</v>
      </c>
      <c r="I352">
        <v>222.03093799999999</v>
      </c>
      <c r="K352" s="4">
        <f>VLOOKUP(Table_Query_from_Cello_SQL_Server[[#This Row],[AsOfDate]], 'CMO MV Raw'!$A:$B,2,FALSE)</f>
        <v>142824845.30554199</v>
      </c>
      <c r="L352" s="5">
        <f>Table_Query_from_Cello_SQL_Server[[#This Row],[CMO MV]]/Table_Query_from_Cello_SQL_Server[[#This Row],[NAV]]*100</f>
        <v>35.808624756997432</v>
      </c>
    </row>
    <row r="353" spans="1:12" x14ac:dyDescent="0.2">
      <c r="A353" s="1">
        <v>41226</v>
      </c>
      <c r="B353">
        <v>919.39480000000003</v>
      </c>
      <c r="C353">
        <v>110.60639999999999</v>
      </c>
      <c r="D353">
        <v>854.79089999999997</v>
      </c>
      <c r="F353">
        <v>397391025.11229998</v>
      </c>
      <c r="G353">
        <v>231.35771600000001</v>
      </c>
      <c r="H353">
        <v>27.83314</v>
      </c>
      <c r="I353">
        <v>215.100706</v>
      </c>
      <c r="K353" s="4">
        <f>VLOOKUP(Table_Query_from_Cello_SQL_Server[[#This Row],[AsOfDate]], 'CMO MV Raw'!$A:$B,2,FALSE)</f>
        <v>159503830.78797701</v>
      </c>
      <c r="L353" s="5">
        <f>Table_Query_from_Cello_SQL_Server[[#This Row],[CMO MV]]/Table_Query_from_Cello_SQL_Server[[#This Row],[NAV]]*100</f>
        <v>40.137753675464189</v>
      </c>
    </row>
    <row r="354" spans="1:12" x14ac:dyDescent="0.2">
      <c r="A354" s="1">
        <v>41227</v>
      </c>
      <c r="B354">
        <v>922.95060000000001</v>
      </c>
      <c r="C354">
        <v>113.1614</v>
      </c>
      <c r="D354">
        <v>778.31219999999996</v>
      </c>
      <c r="F354">
        <v>395843089.66790003</v>
      </c>
      <c r="G354">
        <v>233.160721</v>
      </c>
      <c r="H354">
        <v>28.587439</v>
      </c>
      <c r="I354">
        <v>196.62139400000001</v>
      </c>
      <c r="K354" s="4">
        <f>VLOOKUP(Table_Query_from_Cello_SQL_Server[[#This Row],[AsOfDate]], 'CMO MV Raw'!$A:$B,2,FALSE)</f>
        <v>159705428.988684</v>
      </c>
      <c r="L354" s="5">
        <f>Table_Query_from_Cello_SQL_Server[[#This Row],[CMO MV]]/Table_Query_from_Cello_SQL_Server[[#This Row],[NAV]]*100</f>
        <v>40.345640269398629</v>
      </c>
    </row>
    <row r="355" spans="1:12" x14ac:dyDescent="0.2">
      <c r="A355" s="1">
        <v>41228</v>
      </c>
      <c r="B355">
        <v>908.7473</v>
      </c>
      <c r="C355">
        <v>109.4408</v>
      </c>
      <c r="D355">
        <v>593.93240000000003</v>
      </c>
      <c r="F355">
        <v>394775170.43989998</v>
      </c>
      <c r="G355">
        <v>230.19363100000001</v>
      </c>
      <c r="H355">
        <v>27.722311000000001</v>
      </c>
      <c r="I355">
        <v>150.44826599999999</v>
      </c>
      <c r="K355" s="4">
        <f>VLOOKUP(Table_Query_from_Cello_SQL_Server[[#This Row],[AsOfDate]], 'CMO MV Raw'!$A:$B,2,FALSE)</f>
        <v>167349119.94204801</v>
      </c>
      <c r="L355" s="5">
        <f>Table_Query_from_Cello_SQL_Server[[#This Row],[CMO MV]]/Table_Query_from_Cello_SQL_Server[[#This Row],[NAV]]*100</f>
        <v>42.390994285575267</v>
      </c>
    </row>
    <row r="356" spans="1:12" x14ac:dyDescent="0.2">
      <c r="A356" s="1">
        <v>41229</v>
      </c>
      <c r="B356">
        <v>923.87929999999994</v>
      </c>
      <c r="C356">
        <v>108.8596</v>
      </c>
      <c r="D356">
        <v>392.75799999999998</v>
      </c>
      <c r="F356">
        <v>394917536.14300001</v>
      </c>
      <c r="G356">
        <v>233.94233399999999</v>
      </c>
      <c r="H356">
        <v>27.565147</v>
      </c>
      <c r="I356">
        <v>99.453168000000005</v>
      </c>
      <c r="K356" s="4">
        <f>VLOOKUP(Table_Query_from_Cello_SQL_Server[[#This Row],[AsOfDate]], 'CMO MV Raw'!$A:$B,2,FALSE)</f>
        <v>166354155.51571301</v>
      </c>
      <c r="L356" s="5">
        <f>Table_Query_from_Cello_SQL_Server[[#This Row],[CMO MV]]/Table_Query_from_Cello_SQL_Server[[#This Row],[NAV]]*100</f>
        <v>42.123770228191646</v>
      </c>
    </row>
    <row r="357" spans="1:12" x14ac:dyDescent="0.2">
      <c r="A357" s="1">
        <v>41232</v>
      </c>
      <c r="B357">
        <v>927.99400000000003</v>
      </c>
      <c r="C357">
        <v>110.7174</v>
      </c>
      <c r="D357">
        <v>380.92559999999997</v>
      </c>
      <c r="F357">
        <v>394565391.7647</v>
      </c>
      <c r="G357">
        <v>235.19396800000001</v>
      </c>
      <c r="H357">
        <v>28.060596</v>
      </c>
      <c r="I357">
        <v>96.543085000000005</v>
      </c>
      <c r="K357" s="4">
        <f>VLOOKUP(Table_Query_from_Cello_SQL_Server[[#This Row],[AsOfDate]], 'CMO MV Raw'!$A:$B,2,FALSE)</f>
        <v>166090910.962872</v>
      </c>
      <c r="L357" s="5">
        <f>Table_Query_from_Cello_SQL_Server[[#This Row],[CMO MV]]/Table_Query_from_Cello_SQL_Server[[#This Row],[NAV]]*100</f>
        <v>42.094647536122658</v>
      </c>
    </row>
    <row r="358" spans="1:12" x14ac:dyDescent="0.2">
      <c r="A358" s="1">
        <v>41233</v>
      </c>
      <c r="B358">
        <v>871.6789</v>
      </c>
      <c r="C358">
        <v>105.4635</v>
      </c>
      <c r="D358">
        <v>241.3432</v>
      </c>
      <c r="F358">
        <v>395094725.42729998</v>
      </c>
      <c r="G358">
        <v>220.625294</v>
      </c>
      <c r="H358">
        <v>26.693218999999999</v>
      </c>
      <c r="I358">
        <v>61.084895000000003</v>
      </c>
      <c r="K358" s="4">
        <f>VLOOKUP(Table_Query_from_Cello_SQL_Server[[#This Row],[AsOfDate]], 'CMO MV Raw'!$A:$B,2,FALSE)</f>
        <v>156768860.27537701</v>
      </c>
      <c r="L358" s="5">
        <f>Table_Query_from_Cello_SQL_Server[[#This Row],[CMO MV]]/Table_Query_from_Cello_SQL_Server[[#This Row],[NAV]]*100</f>
        <v>39.678803635211651</v>
      </c>
    </row>
    <row r="359" spans="1:12" x14ac:dyDescent="0.2">
      <c r="A359" s="1">
        <v>41234</v>
      </c>
      <c r="B359">
        <v>855.1454</v>
      </c>
      <c r="C359">
        <v>107.0943</v>
      </c>
      <c r="D359">
        <v>150.87440000000001</v>
      </c>
      <c r="F359">
        <v>395562245.22079998</v>
      </c>
      <c r="G359">
        <v>216.184788</v>
      </c>
      <c r="H359">
        <v>27.073944000000001</v>
      </c>
      <c r="I359">
        <v>38.141759</v>
      </c>
      <c r="K359" s="4">
        <f>VLOOKUP(Table_Query_from_Cello_SQL_Server[[#This Row],[AsOfDate]], 'CMO MV Raw'!$A:$B,2,FALSE)</f>
        <v>157270551.66658601</v>
      </c>
      <c r="L359" s="5">
        <f>Table_Query_from_Cello_SQL_Server[[#This Row],[CMO MV]]/Table_Query_from_Cello_SQL_Server[[#This Row],[NAV]]*100</f>
        <v>39.758736726453435</v>
      </c>
    </row>
    <row r="360" spans="1:12" x14ac:dyDescent="0.2">
      <c r="A360" s="1">
        <v>41236</v>
      </c>
      <c r="B360">
        <v>848.17600000000004</v>
      </c>
      <c r="C360">
        <v>107.3304</v>
      </c>
      <c r="D360">
        <v>150.51730000000001</v>
      </c>
      <c r="F360">
        <v>395916989.01770002</v>
      </c>
      <c r="G360">
        <v>214.23076599999999</v>
      </c>
      <c r="H360">
        <v>27.109318999999999</v>
      </c>
      <c r="I360">
        <v>38.017389000000001</v>
      </c>
      <c r="K360" s="4">
        <f>VLOOKUP(Table_Query_from_Cello_SQL_Server[[#This Row],[AsOfDate]], 'CMO MV Raw'!$A:$B,2,FALSE)</f>
        <v>157458112.52920201</v>
      </c>
      <c r="L360" s="5">
        <f>Table_Query_from_Cello_SQL_Server[[#This Row],[CMO MV]]/Table_Query_from_Cello_SQL_Server[[#This Row],[NAV]]*100</f>
        <v>39.770486464818674</v>
      </c>
    </row>
    <row r="361" spans="1:12" x14ac:dyDescent="0.2">
      <c r="A361" s="1">
        <v>41239</v>
      </c>
      <c r="B361">
        <v>835.83249999999998</v>
      </c>
      <c r="C361">
        <v>103.8271</v>
      </c>
      <c r="D361">
        <v>151.65199999999999</v>
      </c>
      <c r="F361">
        <v>395957975.03890002</v>
      </c>
      <c r="G361">
        <v>211.09121500000001</v>
      </c>
      <c r="H361">
        <v>26.221747000000001</v>
      </c>
      <c r="I361">
        <v>38.300024000000001</v>
      </c>
      <c r="K361" s="4">
        <f>VLOOKUP(Table_Query_from_Cello_SQL_Server[[#This Row],[AsOfDate]], 'CMO MV Raw'!$A:$B,2,FALSE)</f>
        <v>156971026.639144</v>
      </c>
      <c r="L361" s="5">
        <f>Table_Query_from_Cello_SQL_Server[[#This Row],[CMO MV]]/Table_Query_from_Cello_SQL_Server[[#This Row],[NAV]]*100</f>
        <v>39.643355238323643</v>
      </c>
    </row>
    <row r="362" spans="1:12" x14ac:dyDescent="0.2">
      <c r="A362" s="1">
        <v>41240</v>
      </c>
      <c r="B362">
        <v>814.87739999999997</v>
      </c>
      <c r="C362">
        <v>98.674300000000002</v>
      </c>
      <c r="D362">
        <v>153.74440000000001</v>
      </c>
      <c r="F362">
        <v>395833863.5122</v>
      </c>
      <c r="G362">
        <v>205.86348799999999</v>
      </c>
      <c r="H362">
        <v>24.928211000000001</v>
      </c>
      <c r="I362">
        <v>38.840639000000003</v>
      </c>
      <c r="K362" s="4">
        <f>VLOOKUP(Table_Query_from_Cello_SQL_Server[[#This Row],[AsOfDate]], 'CMO MV Raw'!$A:$B,2,FALSE)</f>
        <v>154296278.32615101</v>
      </c>
      <c r="L362" s="5">
        <f>Table_Query_from_Cello_SQL_Server[[#This Row],[CMO MV]]/Table_Query_from_Cello_SQL_Server[[#This Row],[NAV]]*100</f>
        <v>38.980060209375047</v>
      </c>
    </row>
    <row r="363" spans="1:12" x14ac:dyDescent="0.2">
      <c r="A363" s="1">
        <v>41241</v>
      </c>
      <c r="B363">
        <v>815.51369999999997</v>
      </c>
      <c r="C363">
        <v>99.163600000000002</v>
      </c>
      <c r="D363">
        <v>153.53919999999999</v>
      </c>
      <c r="F363">
        <v>395709080.81129998</v>
      </c>
      <c r="G363">
        <v>206.08920499999999</v>
      </c>
      <c r="H363">
        <v>25.059723000000002</v>
      </c>
      <c r="I363">
        <v>38.801029999999997</v>
      </c>
      <c r="K363" s="4">
        <f>VLOOKUP(Table_Query_from_Cello_SQL_Server[[#This Row],[AsOfDate]], 'CMO MV Raw'!$A:$B,2,FALSE)</f>
        <v>154977482.16077599</v>
      </c>
      <c r="L363" s="5">
        <f>Table_Query_from_Cello_SQL_Server[[#This Row],[CMO MV]]/Table_Query_from_Cello_SQL_Server[[#This Row],[NAV]]*100</f>
        <v>39.164499799457317</v>
      </c>
    </row>
    <row r="364" spans="1:12" x14ac:dyDescent="0.2">
      <c r="A364" s="1">
        <v>41242</v>
      </c>
      <c r="B364">
        <v>819.06349999999998</v>
      </c>
      <c r="C364">
        <v>99.959299999999999</v>
      </c>
      <c r="D364">
        <v>153.1841</v>
      </c>
      <c r="F364">
        <v>395336539.46810001</v>
      </c>
      <c r="G364">
        <v>207.18133</v>
      </c>
      <c r="H364">
        <v>25.284609</v>
      </c>
      <c r="I364">
        <v>38.747771999999998</v>
      </c>
      <c r="K364" s="4">
        <f>VLOOKUP(Table_Query_from_Cello_SQL_Server[[#This Row],[AsOfDate]], 'CMO MV Raw'!$A:$B,2,FALSE)</f>
        <v>155144130.792979</v>
      </c>
      <c r="L364" s="5">
        <f>Table_Query_from_Cello_SQL_Server[[#This Row],[CMO MV]]/Table_Query_from_Cello_SQL_Server[[#This Row],[NAV]]*100</f>
        <v>39.243559677462521</v>
      </c>
    </row>
    <row r="365" spans="1:12" x14ac:dyDescent="0.2">
      <c r="A365" s="1">
        <v>41243</v>
      </c>
      <c r="B365">
        <v>833.06079999999997</v>
      </c>
      <c r="C365">
        <v>100.8762</v>
      </c>
      <c r="D365">
        <v>152.86170000000001</v>
      </c>
      <c r="F365">
        <v>395462386.07779998</v>
      </c>
      <c r="G365">
        <v>210.654876</v>
      </c>
      <c r="H365">
        <v>25.508417999999999</v>
      </c>
      <c r="I365">
        <v>38.653916000000002</v>
      </c>
      <c r="K365" s="4">
        <f>VLOOKUP(Table_Query_from_Cello_SQL_Server[[#This Row],[AsOfDate]], 'CMO MV Raw'!$A:$B,2,FALSE)</f>
        <v>155080911.69022501</v>
      </c>
      <c r="L365" s="5">
        <f>Table_Query_from_Cello_SQL_Server[[#This Row],[CMO MV]]/Table_Query_from_Cello_SQL_Server[[#This Row],[NAV]]*100</f>
        <v>39.215085214125942</v>
      </c>
    </row>
    <row r="366" spans="1:12" x14ac:dyDescent="0.2">
      <c r="A366" s="1">
        <v>41246</v>
      </c>
      <c r="B366">
        <v>845.46590000000003</v>
      </c>
      <c r="C366">
        <v>102.58150000000001</v>
      </c>
      <c r="D366">
        <v>178.62190000000001</v>
      </c>
      <c r="F366">
        <v>397215487.329</v>
      </c>
      <c r="G366">
        <v>212.84817100000001</v>
      </c>
      <c r="H366">
        <v>25.825151000000002</v>
      </c>
      <c r="I366">
        <v>44.968513000000002</v>
      </c>
      <c r="K366" s="4">
        <f>VLOOKUP(Table_Query_from_Cello_SQL_Server[[#This Row],[AsOfDate]], 'CMO MV Raw'!$A:$B,2,FALSE)</f>
        <v>159017574.52535099</v>
      </c>
      <c r="L366" s="5">
        <f>Table_Query_from_Cello_SQL_Server[[#This Row],[CMO MV]]/Table_Query_from_Cello_SQL_Server[[#This Row],[NAV]]*100</f>
        <v>40.033075143830473</v>
      </c>
    </row>
    <row r="367" spans="1:12" x14ac:dyDescent="0.2">
      <c r="A367" s="1">
        <v>41247</v>
      </c>
      <c r="B367">
        <v>912.22739999999999</v>
      </c>
      <c r="C367">
        <v>109.3582</v>
      </c>
      <c r="D367">
        <v>204.88919999999999</v>
      </c>
      <c r="F367">
        <v>396897465.71880001</v>
      </c>
      <c r="G367">
        <v>229.839563</v>
      </c>
      <c r="H367">
        <v>27.553262</v>
      </c>
      <c r="I367">
        <v>51.622703000000001</v>
      </c>
      <c r="K367" s="4">
        <f>VLOOKUP(Table_Query_from_Cello_SQL_Server[[#This Row],[AsOfDate]], 'CMO MV Raw'!$A:$B,2,FALSE)</f>
        <v>165379546.64506599</v>
      </c>
      <c r="L367" s="5">
        <f>Table_Query_from_Cello_SQL_Server[[#This Row],[CMO MV]]/Table_Query_from_Cello_SQL_Server[[#This Row],[NAV]]*100</f>
        <v>41.668078264383936</v>
      </c>
    </row>
    <row r="368" spans="1:12" x14ac:dyDescent="0.2">
      <c r="A368" s="1">
        <v>41248</v>
      </c>
      <c r="B368">
        <v>935.0729</v>
      </c>
      <c r="C368">
        <v>109.89149999999999</v>
      </c>
      <c r="D368">
        <v>205.5711</v>
      </c>
      <c r="F368">
        <v>396235921.67409998</v>
      </c>
      <c r="G368">
        <v>235.98892699999999</v>
      </c>
      <c r="H368">
        <v>27.733855999999999</v>
      </c>
      <c r="I368">
        <v>51.880985000000003</v>
      </c>
      <c r="K368" s="4">
        <f>VLOOKUP(Table_Query_from_Cello_SQL_Server[[#This Row],[AsOfDate]], 'CMO MV Raw'!$A:$B,2,FALSE)</f>
        <v>165194022.724978</v>
      </c>
      <c r="L368" s="5">
        <f>Table_Query_from_Cello_SQL_Server[[#This Row],[CMO MV]]/Table_Query_from_Cello_SQL_Server[[#This Row],[NAV]]*100</f>
        <v>41.690824503500821</v>
      </c>
    </row>
    <row r="369" spans="1:12" x14ac:dyDescent="0.2">
      <c r="A369" s="1">
        <v>41249</v>
      </c>
      <c r="B369">
        <v>939.38840000000005</v>
      </c>
      <c r="C369">
        <v>111.6155</v>
      </c>
      <c r="D369">
        <v>204.84190000000001</v>
      </c>
      <c r="F369">
        <v>396092875.0341</v>
      </c>
      <c r="G369">
        <v>237.16367</v>
      </c>
      <c r="H369">
        <v>28.179123000000001</v>
      </c>
      <c r="I369">
        <v>51.715623999999998</v>
      </c>
      <c r="K369" s="4">
        <f>VLOOKUP(Table_Query_from_Cello_SQL_Server[[#This Row],[AsOfDate]], 'CMO MV Raw'!$A:$B,2,FALSE)</f>
        <v>165936918.90183699</v>
      </c>
      <c r="L369" s="5">
        <f>Table_Query_from_Cello_SQL_Server[[#This Row],[CMO MV]]/Table_Query_from_Cello_SQL_Server[[#This Row],[NAV]]*100</f>
        <v>41.893436959084738</v>
      </c>
    </row>
    <row r="370" spans="1:12" x14ac:dyDescent="0.2">
      <c r="A370" s="1">
        <v>41250</v>
      </c>
      <c r="B370">
        <v>971.47249999999997</v>
      </c>
      <c r="C370">
        <v>118.31529999999999</v>
      </c>
      <c r="D370">
        <v>202.36439999999999</v>
      </c>
      <c r="F370">
        <v>396815473.04509997</v>
      </c>
      <c r="G370">
        <v>244.81719200000001</v>
      </c>
      <c r="H370">
        <v>29.816201</v>
      </c>
      <c r="I370">
        <v>50.997104</v>
      </c>
      <c r="K370" s="4">
        <f>VLOOKUP(Table_Query_from_Cello_SQL_Server[[#This Row],[AsOfDate]], 'CMO MV Raw'!$A:$B,2,FALSE)</f>
        <v>166980951.06991699</v>
      </c>
      <c r="L370" s="5">
        <f>Table_Query_from_Cello_SQL_Server[[#This Row],[CMO MV]]/Table_Query_from_Cello_SQL_Server[[#This Row],[NAV]]*100</f>
        <v>42.080252009462043</v>
      </c>
    </row>
    <row r="371" spans="1:12" x14ac:dyDescent="0.2">
      <c r="A371" s="1">
        <v>41253</v>
      </c>
      <c r="B371">
        <v>1000.511</v>
      </c>
      <c r="C371">
        <v>123.84350000000001</v>
      </c>
      <c r="D371">
        <v>179.41970000000001</v>
      </c>
      <c r="F371">
        <v>397003257.13010001</v>
      </c>
      <c r="G371">
        <v>252.015817</v>
      </c>
      <c r="H371">
        <v>31.194579999999998</v>
      </c>
      <c r="I371">
        <v>45.193508000000001</v>
      </c>
      <c r="K371" s="4">
        <f>VLOOKUP(Table_Query_from_Cello_SQL_Server[[#This Row],[AsOfDate]], 'CMO MV Raw'!$A:$B,2,FALSE)</f>
        <v>173265687.09171501</v>
      </c>
      <c r="L371" s="5">
        <f>Table_Query_from_Cello_SQL_Server[[#This Row],[CMO MV]]/Table_Query_from_Cello_SQL_Server[[#This Row],[NAV]]*100</f>
        <v>43.643391831149373</v>
      </c>
    </row>
    <row r="372" spans="1:12" x14ac:dyDescent="0.2">
      <c r="A372" s="1">
        <v>41254</v>
      </c>
      <c r="B372">
        <v>973.40800000000002</v>
      </c>
      <c r="C372">
        <v>119.51949999999999</v>
      </c>
      <c r="D372">
        <v>193.73929999999999</v>
      </c>
      <c r="F372">
        <v>397170891.3452</v>
      </c>
      <c r="G372">
        <v>245.08543299999999</v>
      </c>
      <c r="H372">
        <v>30.092714000000001</v>
      </c>
      <c r="I372">
        <v>48.779834000000001</v>
      </c>
      <c r="K372" s="4">
        <f>VLOOKUP(Table_Query_from_Cello_SQL_Server[[#This Row],[AsOfDate]], 'CMO MV Raw'!$A:$B,2,FALSE)</f>
        <v>175037157.94011399</v>
      </c>
      <c r="L372" s="5">
        <f>Table_Query_from_Cello_SQL_Server[[#This Row],[CMO MV]]/Table_Query_from_Cello_SQL_Server[[#This Row],[NAV]]*100</f>
        <v>44.070993558281927</v>
      </c>
    </row>
    <row r="373" spans="1:12" x14ac:dyDescent="0.2">
      <c r="A373" s="1">
        <v>41255</v>
      </c>
      <c r="B373">
        <v>989.59370000000001</v>
      </c>
      <c r="C373">
        <v>123.7739</v>
      </c>
      <c r="D373">
        <v>226.52369999999999</v>
      </c>
      <c r="F373">
        <v>397002795.47920001</v>
      </c>
      <c r="G373">
        <v>249.26617899999999</v>
      </c>
      <c r="H373">
        <v>31.177085000000002</v>
      </c>
      <c r="I373">
        <v>57.058464999999998</v>
      </c>
      <c r="K373" s="4">
        <f>VLOOKUP(Table_Query_from_Cello_SQL_Server[[#This Row],[AsOfDate]], 'CMO MV Raw'!$A:$B,2,FALSE)</f>
        <v>177733451.77782699</v>
      </c>
      <c r="L373" s="5">
        <f>Table_Query_from_Cello_SQL_Server[[#This Row],[CMO MV]]/Table_Query_from_Cello_SQL_Server[[#This Row],[NAV]]*100</f>
        <v>44.76881619014668</v>
      </c>
    </row>
    <row r="374" spans="1:12" x14ac:dyDescent="0.2">
      <c r="A374" s="1">
        <v>41256</v>
      </c>
      <c r="B374">
        <v>980.1105</v>
      </c>
      <c r="C374">
        <v>124.3447</v>
      </c>
      <c r="D374">
        <v>250.48050000000001</v>
      </c>
      <c r="F374">
        <v>397170306.31440002</v>
      </c>
      <c r="G374">
        <v>246.773358</v>
      </c>
      <c r="H374">
        <v>31.307652999999998</v>
      </c>
      <c r="I374">
        <v>63.066271</v>
      </c>
      <c r="K374" s="4">
        <f>VLOOKUP(Table_Query_from_Cello_SQL_Server[[#This Row],[AsOfDate]], 'CMO MV Raw'!$A:$B,2,FALSE)</f>
        <v>177824188.75255099</v>
      </c>
      <c r="L374" s="5">
        <f>Table_Query_from_Cello_SQL_Server[[#This Row],[CMO MV]]/Table_Query_from_Cello_SQL_Server[[#This Row],[NAV]]*100</f>
        <v>44.772780322551448</v>
      </c>
    </row>
    <row r="375" spans="1:12" x14ac:dyDescent="0.2">
      <c r="A375" s="1">
        <v>41257</v>
      </c>
      <c r="B375">
        <v>985.11199999999997</v>
      </c>
      <c r="C375">
        <v>124.43559999999999</v>
      </c>
      <c r="D375">
        <v>250.5992</v>
      </c>
      <c r="F375">
        <v>397716423.1031</v>
      </c>
      <c r="G375">
        <v>247.69206</v>
      </c>
      <c r="H375">
        <v>31.287519</v>
      </c>
      <c r="I375">
        <v>63.009518</v>
      </c>
      <c r="K375" s="4">
        <f>VLOOKUP(Table_Query_from_Cello_SQL_Server[[#This Row],[AsOfDate]], 'CMO MV Raw'!$A:$B,2,FALSE)</f>
        <v>176973579.184383</v>
      </c>
      <c r="L375" s="5">
        <f>Table_Query_from_Cello_SQL_Server[[#This Row],[CMO MV]]/Table_Query_from_Cello_SQL_Server[[#This Row],[NAV]]*100</f>
        <v>44.497428042720315</v>
      </c>
    </row>
    <row r="376" spans="1:12" x14ac:dyDescent="0.2">
      <c r="A376" s="1">
        <v>41260</v>
      </c>
      <c r="B376">
        <v>1075.4739</v>
      </c>
      <c r="C376">
        <v>138.42949999999999</v>
      </c>
      <c r="D376">
        <v>335.41980000000001</v>
      </c>
      <c r="F376">
        <v>397383399.0966</v>
      </c>
      <c r="G376">
        <v>270.63886000000002</v>
      </c>
      <c r="H376">
        <v>34.835250000000002</v>
      </c>
      <c r="I376">
        <v>84.407099000000002</v>
      </c>
      <c r="K376" s="4">
        <f>VLOOKUP(Table_Query_from_Cello_SQL_Server[[#This Row],[AsOfDate]], 'CMO MV Raw'!$A:$B,2,FALSE)</f>
        <v>187832670.10638201</v>
      </c>
      <c r="L376" s="5">
        <f>Table_Query_from_Cello_SQL_Server[[#This Row],[CMO MV]]/Table_Query_from_Cello_SQL_Server[[#This Row],[NAV]]*100</f>
        <v>47.267367115333805</v>
      </c>
    </row>
    <row r="377" spans="1:12" x14ac:dyDescent="0.2">
      <c r="A377" s="1">
        <v>41261</v>
      </c>
      <c r="B377">
        <v>1067.4432999999999</v>
      </c>
      <c r="C377">
        <v>141.53749999999999</v>
      </c>
      <c r="D377">
        <v>332.93239999999997</v>
      </c>
      <c r="F377">
        <v>396587588.57169998</v>
      </c>
      <c r="G377">
        <v>269.15701100000001</v>
      </c>
      <c r="H377">
        <v>35.688836999999999</v>
      </c>
      <c r="I377">
        <v>83.949274000000003</v>
      </c>
      <c r="K377" s="4">
        <f>VLOOKUP(Table_Query_from_Cello_SQL_Server[[#This Row],[AsOfDate]], 'CMO MV Raw'!$A:$B,2,FALSE)</f>
        <v>188360694.7949</v>
      </c>
      <c r="L377" s="5">
        <f>Table_Query_from_Cello_SQL_Server[[#This Row],[CMO MV]]/Table_Query_from_Cello_SQL_Server[[#This Row],[NAV]]*100</f>
        <v>47.495357954412093</v>
      </c>
    </row>
    <row r="378" spans="1:12" x14ac:dyDescent="0.2">
      <c r="A378" s="1">
        <v>41262</v>
      </c>
      <c r="B378">
        <v>1069.4110000000001</v>
      </c>
      <c r="C378">
        <v>138.99430000000001</v>
      </c>
      <c r="D378">
        <v>333.90879999999999</v>
      </c>
      <c r="F378">
        <v>397269137.52630001</v>
      </c>
      <c r="G378">
        <v>269.19055600000002</v>
      </c>
      <c r="H378">
        <v>34.987439999999999</v>
      </c>
      <c r="I378">
        <v>84.051029999999997</v>
      </c>
      <c r="K378" s="4">
        <f>VLOOKUP(Table_Query_from_Cello_SQL_Server[[#This Row],[AsOfDate]], 'CMO MV Raw'!$A:$B,2,FALSE)</f>
        <v>186641514.12448901</v>
      </c>
      <c r="L378" s="5">
        <f>Table_Query_from_Cello_SQL_Server[[#This Row],[CMO MV]]/Table_Query_from_Cello_SQL_Server[[#This Row],[NAV]]*100</f>
        <v>46.981126016146412</v>
      </c>
    </row>
    <row r="379" spans="1:12" x14ac:dyDescent="0.2">
      <c r="A379" s="1">
        <v>41263</v>
      </c>
      <c r="B379">
        <v>1070.4175</v>
      </c>
      <c r="C379">
        <v>137.78970000000001</v>
      </c>
      <c r="D379">
        <v>333.98160000000001</v>
      </c>
      <c r="F379">
        <v>397169672.26289999</v>
      </c>
      <c r="G379">
        <v>269.51138900000001</v>
      </c>
      <c r="H379">
        <v>34.692906000000001</v>
      </c>
      <c r="I379">
        <v>84.090408999999994</v>
      </c>
      <c r="K379" s="4">
        <f>VLOOKUP(Table_Query_from_Cello_SQL_Server[[#This Row],[AsOfDate]], 'CMO MV Raw'!$A:$B,2,FALSE)</f>
        <v>186280065.237488</v>
      </c>
      <c r="L379" s="5">
        <f>Table_Query_from_Cello_SQL_Server[[#This Row],[CMO MV]]/Table_Query_from_Cello_SQL_Server[[#This Row],[NAV]]*100</f>
        <v>46.901885578560226</v>
      </c>
    </row>
    <row r="380" spans="1:12" x14ac:dyDescent="0.2">
      <c r="A380" s="1">
        <v>41264</v>
      </c>
      <c r="B380">
        <v>1088.3823</v>
      </c>
      <c r="C380">
        <v>136.4665</v>
      </c>
      <c r="D380">
        <v>335.49250000000001</v>
      </c>
      <c r="F380">
        <v>397805795.75510001</v>
      </c>
      <c r="G380">
        <v>273.59639099999998</v>
      </c>
      <c r="H380">
        <v>34.304803999999997</v>
      </c>
      <c r="I380">
        <v>84.335750000000004</v>
      </c>
      <c r="K380" s="4">
        <f>VLOOKUP(Table_Query_from_Cello_SQL_Server[[#This Row],[AsOfDate]], 'CMO MV Raw'!$A:$B,2,FALSE)</f>
        <v>185757173.06927899</v>
      </c>
      <c r="L380" s="5">
        <f>Table_Query_from_Cello_SQL_Server[[#This Row],[CMO MV]]/Table_Query_from_Cello_SQL_Server[[#This Row],[NAV]]*100</f>
        <v>46.695441607803048</v>
      </c>
    </row>
    <row r="381" spans="1:12" x14ac:dyDescent="0.2">
      <c r="A381" s="1">
        <v>41267</v>
      </c>
      <c r="B381">
        <v>1089.5912000000001</v>
      </c>
      <c r="C381">
        <v>137.74510000000001</v>
      </c>
      <c r="D381">
        <v>334.76710000000003</v>
      </c>
      <c r="F381">
        <v>397745988.85140002</v>
      </c>
      <c r="G381">
        <v>273.94146799999999</v>
      </c>
      <c r="H381">
        <v>34.631424000000003</v>
      </c>
      <c r="I381">
        <v>84.166053000000005</v>
      </c>
      <c r="K381" s="4">
        <f>VLOOKUP(Table_Query_from_Cello_SQL_Server[[#This Row],[AsOfDate]], 'CMO MV Raw'!$A:$B,2,FALSE)</f>
        <v>185897746.567494</v>
      </c>
      <c r="L381" s="5">
        <f>Table_Query_from_Cello_SQL_Server[[#This Row],[CMO MV]]/Table_Query_from_Cello_SQL_Server[[#This Row],[NAV]]*100</f>
        <v>46.737805478397007</v>
      </c>
    </row>
    <row r="382" spans="1:12" x14ac:dyDescent="0.2">
      <c r="A382" s="1">
        <v>41269</v>
      </c>
      <c r="B382">
        <v>1075.1151</v>
      </c>
      <c r="C382">
        <v>134.64240000000001</v>
      </c>
      <c r="D382">
        <v>336.03820000000002</v>
      </c>
      <c r="F382">
        <v>397905810.53439999</v>
      </c>
      <c r="G382">
        <v>270.19336499999997</v>
      </c>
      <c r="H382">
        <v>33.837757000000003</v>
      </c>
      <c r="I382">
        <v>84.451695000000001</v>
      </c>
      <c r="K382" s="4">
        <f>VLOOKUP(Table_Query_from_Cello_SQL_Server[[#This Row],[AsOfDate]], 'CMO MV Raw'!$A:$B,2,FALSE)</f>
        <v>183117033.79561201</v>
      </c>
      <c r="L382" s="5">
        <f>Table_Query_from_Cello_SQL_Server[[#This Row],[CMO MV]]/Table_Query_from_Cello_SQL_Server[[#This Row],[NAV]]*100</f>
        <v>46.020195972931404</v>
      </c>
    </row>
    <row r="383" spans="1:12" x14ac:dyDescent="0.2">
      <c r="A383" s="1">
        <v>41270</v>
      </c>
      <c r="B383">
        <v>1082.3543999999999</v>
      </c>
      <c r="C383">
        <v>133.5275</v>
      </c>
      <c r="D383">
        <v>336.26519999999999</v>
      </c>
      <c r="F383">
        <v>398254031.68000001</v>
      </c>
      <c r="G383">
        <v>271.77487600000001</v>
      </c>
      <c r="H383">
        <v>33.528222999999997</v>
      </c>
      <c r="I383">
        <v>84.434850999999995</v>
      </c>
      <c r="K383" s="4">
        <f>VLOOKUP(Table_Query_from_Cello_SQL_Server[[#This Row],[AsOfDate]], 'CMO MV Raw'!$A:$B,2,FALSE)</f>
        <v>183131022.832708</v>
      </c>
      <c r="L383" s="5">
        <f>Table_Query_from_Cello_SQL_Server[[#This Row],[CMO MV]]/Table_Query_from_Cello_SQL_Server[[#This Row],[NAV]]*100</f>
        <v>45.983469912454048</v>
      </c>
    </row>
    <row r="384" spans="1:12" x14ac:dyDescent="0.2">
      <c r="A384" s="1">
        <v>41271</v>
      </c>
      <c r="B384">
        <v>1085.2783999999999</v>
      </c>
      <c r="C384">
        <v>134.6619</v>
      </c>
      <c r="D384">
        <v>335.28480000000002</v>
      </c>
      <c r="F384">
        <v>398364083.37870002</v>
      </c>
      <c r="G384">
        <v>272.43379700000003</v>
      </c>
      <c r="H384">
        <v>33.803725</v>
      </c>
      <c r="I384">
        <v>84.165419</v>
      </c>
      <c r="K384" s="4">
        <f>VLOOKUP(Table_Query_from_Cello_SQL_Server[[#This Row],[AsOfDate]], 'CMO MV Raw'!$A:$B,2,FALSE)</f>
        <v>183607462.406423</v>
      </c>
      <c r="L384" s="5">
        <f>Table_Query_from_Cello_SQL_Server[[#This Row],[CMO MV]]/Table_Query_from_Cello_SQL_Server[[#This Row],[NAV]]*100</f>
        <v>46.090365589479809</v>
      </c>
    </row>
    <row r="385" spans="1:12" x14ac:dyDescent="0.2">
      <c r="A385" s="1">
        <v>41274</v>
      </c>
      <c r="B385">
        <v>1114.6356000000001</v>
      </c>
      <c r="C385">
        <v>138.3329</v>
      </c>
      <c r="D385">
        <v>333.52550000000002</v>
      </c>
      <c r="F385">
        <v>399884722.51959997</v>
      </c>
      <c r="G385">
        <v>278.73923100000002</v>
      </c>
      <c r="H385">
        <v>34.593195000000001</v>
      </c>
      <c r="I385">
        <v>83.405411999999998</v>
      </c>
      <c r="K385" s="4">
        <f>VLOOKUP(Table_Query_from_Cello_SQL_Server[[#This Row],[AsOfDate]], 'CMO MV Raw'!$A:$B,2,FALSE)</f>
        <v>183686524.78032801</v>
      </c>
      <c r="L385" s="5">
        <f>Table_Query_from_Cello_SQL_Server[[#This Row],[CMO MV]]/Table_Query_from_Cello_SQL_Server[[#This Row],[NAV]]*100</f>
        <v>45.934869335080627</v>
      </c>
    </row>
    <row r="386" spans="1:12" x14ac:dyDescent="0.2">
      <c r="A386" s="1">
        <v>41276</v>
      </c>
      <c r="B386">
        <v>1094.2118</v>
      </c>
      <c r="C386">
        <v>139.7028</v>
      </c>
      <c r="D386">
        <v>351.5607</v>
      </c>
      <c r="F386">
        <v>384353548.92750001</v>
      </c>
      <c r="G386">
        <v>284.68887599999999</v>
      </c>
      <c r="H386">
        <v>36.347472000000003</v>
      </c>
      <c r="I386">
        <v>91.468051000000003</v>
      </c>
      <c r="K386" s="4">
        <f>VLOOKUP(Table_Query_from_Cello_SQL_Server[[#This Row],[AsOfDate]], 'CMO MV Raw'!$A:$B,2,FALSE)</f>
        <v>186752656.912577</v>
      </c>
      <c r="L386" s="5">
        <f>Table_Query_from_Cello_SQL_Server[[#This Row],[CMO MV]]/Table_Query_from_Cello_SQL_Server[[#This Row],[NAV]]*100</f>
        <v>48.588768708833712</v>
      </c>
    </row>
    <row r="387" spans="1:12" x14ac:dyDescent="0.2">
      <c r="A387" s="1">
        <v>41277</v>
      </c>
      <c r="B387">
        <v>1112.463</v>
      </c>
      <c r="C387">
        <v>150.1507</v>
      </c>
      <c r="D387">
        <v>413.1703</v>
      </c>
      <c r="F387">
        <v>384437442.9364</v>
      </c>
      <c r="G387">
        <v>289.374259</v>
      </c>
      <c r="H387">
        <v>39.057251999999998</v>
      </c>
      <c r="I387">
        <v>107.474001</v>
      </c>
      <c r="K387" s="4">
        <f>VLOOKUP(Table_Query_from_Cello_SQL_Server[[#This Row],[AsOfDate]], 'CMO MV Raw'!$A:$B,2,FALSE)</f>
        <v>192649084.05489901</v>
      </c>
      <c r="L387" s="5">
        <f>Table_Query_from_Cello_SQL_Server[[#This Row],[CMO MV]]/Table_Query_from_Cello_SQL_Server[[#This Row],[NAV]]*100</f>
        <v>50.111946064205362</v>
      </c>
    </row>
    <row r="388" spans="1:12" x14ac:dyDescent="0.2">
      <c r="A388" s="1">
        <v>41278</v>
      </c>
      <c r="B388">
        <v>1095.287</v>
      </c>
      <c r="C388">
        <v>150.49760000000001</v>
      </c>
      <c r="D388">
        <v>362.15339999999998</v>
      </c>
      <c r="F388">
        <v>384335086.76910001</v>
      </c>
      <c r="G388">
        <v>284.98230799999999</v>
      </c>
      <c r="H388">
        <v>39.157913000000001</v>
      </c>
      <c r="I388">
        <v>94.228555</v>
      </c>
      <c r="K388" s="4">
        <f>VLOOKUP(Table_Query_from_Cello_SQL_Server[[#This Row],[AsOfDate]], 'CMO MV Raw'!$A:$B,2,FALSE)</f>
        <v>193238991.124093</v>
      </c>
      <c r="L388" s="5">
        <f>Table_Query_from_Cello_SQL_Server[[#This Row],[CMO MV]]/Table_Query_from_Cello_SQL_Server[[#This Row],[NAV]]*100</f>
        <v>50.278779579702203</v>
      </c>
    </row>
    <row r="389" spans="1:12" x14ac:dyDescent="0.2">
      <c r="A389" s="1">
        <v>41281</v>
      </c>
      <c r="B389">
        <v>1112.6902</v>
      </c>
      <c r="C389">
        <v>144.5934</v>
      </c>
      <c r="D389">
        <v>360.47770000000003</v>
      </c>
      <c r="F389">
        <v>384207334.2992</v>
      </c>
      <c r="G389">
        <v>289.60670499999998</v>
      </c>
      <c r="H389">
        <v>37.634211000000001</v>
      </c>
      <c r="I389">
        <v>93.823742999999993</v>
      </c>
      <c r="K389" s="4">
        <f>VLOOKUP(Table_Query_from_Cello_SQL_Server[[#This Row],[AsOfDate]], 'CMO MV Raw'!$A:$B,2,FALSE)</f>
        <v>192487092.873959</v>
      </c>
      <c r="L389" s="5">
        <f>Table_Query_from_Cello_SQL_Server[[#This Row],[CMO MV]]/Table_Query_from_Cello_SQL_Server[[#This Row],[NAV]]*100</f>
        <v>50.099796565585706</v>
      </c>
    </row>
    <row r="390" spans="1:12" x14ac:dyDescent="0.2">
      <c r="A390" s="1">
        <v>41282</v>
      </c>
      <c r="B390">
        <v>1217.1213</v>
      </c>
      <c r="C390">
        <v>162.7098</v>
      </c>
      <c r="D390">
        <v>373.73719999999997</v>
      </c>
      <c r="F390">
        <v>385858451.25120002</v>
      </c>
      <c r="G390">
        <v>315.43207000000001</v>
      </c>
      <c r="H390">
        <v>42.168261000000001</v>
      </c>
      <c r="I390">
        <v>96.858627999999996</v>
      </c>
      <c r="K390" s="4">
        <f>VLOOKUP(Table_Query_from_Cello_SQL_Server[[#This Row],[AsOfDate]], 'CMO MV Raw'!$A:$B,2,FALSE)</f>
        <v>202621106.096937</v>
      </c>
      <c r="L390" s="5">
        <f>Table_Query_from_Cello_SQL_Server[[#This Row],[CMO MV]]/Table_Query_from_Cello_SQL_Server[[#This Row],[NAV]]*100</f>
        <v>52.51177094603208</v>
      </c>
    </row>
    <row r="391" spans="1:12" x14ac:dyDescent="0.2">
      <c r="A391" s="1">
        <v>41283</v>
      </c>
      <c r="B391">
        <v>1231.5573999999999</v>
      </c>
      <c r="C391">
        <v>166.89009999999999</v>
      </c>
      <c r="D391">
        <v>336.87670000000003</v>
      </c>
      <c r="F391">
        <v>386010535.28570002</v>
      </c>
      <c r="G391">
        <v>319.04761300000001</v>
      </c>
      <c r="H391">
        <v>43.234597000000001</v>
      </c>
      <c r="I391">
        <v>87.271375000000006</v>
      </c>
      <c r="K391" s="4">
        <f>VLOOKUP(Table_Query_from_Cello_SQL_Server[[#This Row],[AsOfDate]], 'CMO MV Raw'!$A:$B,2,FALSE)</f>
        <v>203807433.519811</v>
      </c>
      <c r="L391" s="5">
        <f>Table_Query_from_Cello_SQL_Server[[#This Row],[CMO MV]]/Table_Query_from_Cello_SQL_Server[[#This Row],[NAV]]*100</f>
        <v>52.79841219073618</v>
      </c>
    </row>
    <row r="392" spans="1:12" x14ac:dyDescent="0.2">
      <c r="A392" s="1">
        <v>41284</v>
      </c>
      <c r="B392">
        <v>1206.5373</v>
      </c>
      <c r="C392">
        <v>166.88339999999999</v>
      </c>
      <c r="D392">
        <v>317.44150000000002</v>
      </c>
      <c r="F392">
        <v>384999971.98559999</v>
      </c>
      <c r="G392">
        <v>313.38633399999998</v>
      </c>
      <c r="H392">
        <v>43.346341000000002</v>
      </c>
      <c r="I392">
        <v>82.452343999999997</v>
      </c>
      <c r="K392" s="4">
        <f>VLOOKUP(Table_Query_from_Cello_SQL_Server[[#This Row],[AsOfDate]], 'CMO MV Raw'!$A:$B,2,FALSE)</f>
        <v>203059047.58684599</v>
      </c>
      <c r="L392" s="5">
        <f>Table_Query_from_Cello_SQL_Server[[#This Row],[CMO MV]]/Table_Query_from_Cello_SQL_Server[[#This Row],[NAV]]*100</f>
        <v>52.742613600616295</v>
      </c>
    </row>
    <row r="393" spans="1:12" x14ac:dyDescent="0.2">
      <c r="A393" s="1">
        <v>41285</v>
      </c>
      <c r="B393">
        <v>1235.2112</v>
      </c>
      <c r="C393">
        <v>167.91069999999999</v>
      </c>
      <c r="D393">
        <v>381.94450000000001</v>
      </c>
      <c r="F393">
        <v>385235035.91790003</v>
      </c>
      <c r="G393">
        <v>320.63833399999999</v>
      </c>
      <c r="H393">
        <v>43.586559999999999</v>
      </c>
      <c r="I393">
        <v>99.145837</v>
      </c>
      <c r="K393" s="4">
        <f>VLOOKUP(Table_Query_from_Cello_SQL_Server[[#This Row],[AsOfDate]], 'CMO MV Raw'!$A:$B,2,FALSE)</f>
        <v>210518815.192826</v>
      </c>
      <c r="L393" s="5">
        <f>Table_Query_from_Cello_SQL_Server[[#This Row],[CMO MV]]/Table_Query_from_Cello_SQL_Server[[#This Row],[NAV]]*100</f>
        <v>54.646850770263541</v>
      </c>
    </row>
    <row r="394" spans="1:12" x14ac:dyDescent="0.2">
      <c r="A394" s="1">
        <v>41288</v>
      </c>
      <c r="B394">
        <v>1237.251</v>
      </c>
      <c r="C394">
        <v>165.74119999999999</v>
      </c>
      <c r="D394">
        <v>399.41109999999998</v>
      </c>
      <c r="F394">
        <v>385541435.59130001</v>
      </c>
      <c r="G394">
        <v>320.91258800000003</v>
      </c>
      <c r="H394">
        <v>42.989204999999998</v>
      </c>
      <c r="I394">
        <v>103.59745100000001</v>
      </c>
      <c r="K394" s="4">
        <f>VLOOKUP(Table_Query_from_Cello_SQL_Server[[#This Row],[AsOfDate]], 'CMO MV Raw'!$A:$B,2,FALSE)</f>
        <v>210755453.61860499</v>
      </c>
      <c r="L394" s="5">
        <f>Table_Query_from_Cello_SQL_Server[[#This Row],[CMO MV]]/Table_Query_from_Cello_SQL_Server[[#This Row],[NAV]]*100</f>
        <v>54.66479972389272</v>
      </c>
    </row>
    <row r="395" spans="1:12" x14ac:dyDescent="0.2">
      <c r="A395" s="1">
        <v>41289</v>
      </c>
      <c r="B395">
        <v>1270.0377000000001</v>
      </c>
      <c r="C395">
        <v>169.3296</v>
      </c>
      <c r="D395">
        <v>408.197</v>
      </c>
      <c r="F395">
        <v>385790003.25330001</v>
      </c>
      <c r="G395">
        <v>329.204409</v>
      </c>
      <c r="H395">
        <v>43.891651000000003</v>
      </c>
      <c r="I395">
        <v>105.808081</v>
      </c>
      <c r="K395" s="4">
        <f>VLOOKUP(Table_Query_from_Cello_SQL_Server[[#This Row],[AsOfDate]], 'CMO MV Raw'!$A:$B,2,FALSE)</f>
        <v>215310474.14746401</v>
      </c>
      <c r="L395" s="5">
        <f>Table_Query_from_Cello_SQL_Server[[#This Row],[CMO MV]]/Table_Query_from_Cello_SQL_Server[[#This Row],[NAV]]*100</f>
        <v>55.81027821659147</v>
      </c>
    </row>
    <row r="396" spans="1:12" x14ac:dyDescent="0.2">
      <c r="A396" s="1">
        <v>41290</v>
      </c>
      <c r="B396">
        <v>1264.0335</v>
      </c>
      <c r="C396">
        <v>168.7235</v>
      </c>
      <c r="D396">
        <v>415.69740000000002</v>
      </c>
      <c r="F396">
        <v>385884423.54570001</v>
      </c>
      <c r="G396">
        <v>327.56789900000001</v>
      </c>
      <c r="H396">
        <v>43.723843000000002</v>
      </c>
      <c r="I396">
        <v>107.725882</v>
      </c>
      <c r="K396" s="4">
        <f>VLOOKUP(Table_Query_from_Cello_SQL_Server[[#This Row],[AsOfDate]], 'CMO MV Raw'!$A:$B,2,FALSE)</f>
        <v>215562436.23130101</v>
      </c>
      <c r="L396" s="5">
        <f>Table_Query_from_Cello_SQL_Server[[#This Row],[CMO MV]]/Table_Query_from_Cello_SQL_Server[[#This Row],[NAV]]*100</f>
        <v>55.861916957052848</v>
      </c>
    </row>
    <row r="397" spans="1:12" x14ac:dyDescent="0.2">
      <c r="A397" s="1">
        <v>41291</v>
      </c>
      <c r="B397">
        <v>1336.0002999999999</v>
      </c>
      <c r="C397">
        <v>184.2901</v>
      </c>
      <c r="D397">
        <v>462.52839999999998</v>
      </c>
      <c r="F397">
        <v>385761465.03860003</v>
      </c>
      <c r="G397">
        <v>346.32808599999998</v>
      </c>
      <c r="H397">
        <v>47.773071000000002</v>
      </c>
      <c r="I397">
        <v>119.900105</v>
      </c>
      <c r="K397" s="4">
        <f>VLOOKUP(Table_Query_from_Cello_SQL_Server[[#This Row],[AsOfDate]], 'CMO MV Raw'!$A:$B,2,FALSE)</f>
        <v>227024598.87645099</v>
      </c>
      <c r="L397" s="5">
        <f>Table_Query_from_Cello_SQL_Server[[#This Row],[CMO MV]]/Table_Query_from_Cello_SQL_Server[[#This Row],[NAV]]*100</f>
        <v>58.851030870523701</v>
      </c>
    </row>
    <row r="398" spans="1:12" x14ac:dyDescent="0.2">
      <c r="A398" s="1">
        <v>41292</v>
      </c>
      <c r="B398">
        <v>1329.711</v>
      </c>
      <c r="C398">
        <v>182.72380000000001</v>
      </c>
      <c r="D398">
        <v>470.81599999999997</v>
      </c>
      <c r="F398">
        <v>386201033.7277</v>
      </c>
      <c r="G398">
        <v>344.30539599999997</v>
      </c>
      <c r="H398">
        <v>47.313130999999998</v>
      </c>
      <c r="I398">
        <v>121.909565</v>
      </c>
      <c r="K398" s="4">
        <f>VLOOKUP(Table_Query_from_Cello_SQL_Server[[#This Row],[AsOfDate]], 'CMO MV Raw'!$A:$B,2,FALSE)</f>
        <v>225654041.53132701</v>
      </c>
      <c r="L398" s="5">
        <f>Table_Query_from_Cello_SQL_Server[[#This Row],[CMO MV]]/Table_Query_from_Cello_SQL_Server[[#This Row],[NAV]]*100</f>
        <v>58.429165596286211</v>
      </c>
    </row>
    <row r="399" spans="1:12" x14ac:dyDescent="0.2">
      <c r="A399" s="1">
        <v>41296</v>
      </c>
      <c r="B399">
        <v>1303.8172</v>
      </c>
      <c r="C399">
        <v>178.33150000000001</v>
      </c>
      <c r="D399">
        <v>494.79379999999998</v>
      </c>
      <c r="F399">
        <v>386442660.37480003</v>
      </c>
      <c r="G399">
        <v>337.38956200000001</v>
      </c>
      <c r="H399">
        <v>46.146949999999997</v>
      </c>
      <c r="I399">
        <v>128.03809000000001</v>
      </c>
      <c r="K399" s="4">
        <f>VLOOKUP(Table_Query_from_Cello_SQL_Server[[#This Row],[AsOfDate]], 'CMO MV Raw'!$A:$B,2,FALSE)</f>
        <v>219244887.33117899</v>
      </c>
      <c r="L399" s="5">
        <f>Table_Query_from_Cello_SQL_Server[[#This Row],[CMO MV]]/Table_Query_from_Cello_SQL_Server[[#This Row],[NAV]]*100</f>
        <v>56.734131557457822</v>
      </c>
    </row>
    <row r="400" spans="1:12" x14ac:dyDescent="0.2">
      <c r="A400" s="1">
        <v>41297</v>
      </c>
      <c r="B400">
        <v>1323.7570000000001</v>
      </c>
      <c r="C400">
        <v>179.88419999999999</v>
      </c>
      <c r="D400">
        <v>523.00289999999995</v>
      </c>
      <c r="F400">
        <v>386514055.72100002</v>
      </c>
      <c r="G400">
        <v>342.48612200000002</v>
      </c>
      <c r="H400">
        <v>46.540143999999998</v>
      </c>
      <c r="I400">
        <v>135.31277600000001</v>
      </c>
      <c r="K400" s="4">
        <f>VLOOKUP(Table_Query_from_Cello_SQL_Server[[#This Row],[AsOfDate]], 'CMO MV Raw'!$A:$B,2,FALSE)</f>
        <v>222844473.96615401</v>
      </c>
      <c r="L400" s="5">
        <f>Table_Query_from_Cello_SQL_Server[[#This Row],[CMO MV]]/Table_Query_from_Cello_SQL_Server[[#This Row],[NAV]]*100</f>
        <v>57.654946998101231</v>
      </c>
    </row>
    <row r="401" spans="1:12" x14ac:dyDescent="0.2">
      <c r="A401" s="1">
        <v>41298</v>
      </c>
      <c r="B401">
        <v>1323.5154</v>
      </c>
      <c r="C401">
        <v>181.9016</v>
      </c>
      <c r="D401">
        <v>494.0274</v>
      </c>
      <c r="F401">
        <v>386503437.4558</v>
      </c>
      <c r="G401">
        <v>342.43302199999999</v>
      </c>
      <c r="H401">
        <v>47.063384999999997</v>
      </c>
      <c r="I401">
        <v>127.819665</v>
      </c>
      <c r="K401" s="4">
        <f>VLOOKUP(Table_Query_from_Cello_SQL_Server[[#This Row],[AsOfDate]], 'CMO MV Raw'!$A:$B,2,FALSE)</f>
        <v>228005442.11406201</v>
      </c>
      <c r="L401" s="5">
        <f>Table_Query_from_Cello_SQL_Server[[#This Row],[CMO MV]]/Table_Query_from_Cello_SQL_Server[[#This Row],[NAV]]*100</f>
        <v>58.991827760946215</v>
      </c>
    </row>
    <row r="402" spans="1:12" x14ac:dyDescent="0.2">
      <c r="A402" s="1">
        <v>41299</v>
      </c>
      <c r="B402">
        <v>1280.3480999999999</v>
      </c>
      <c r="C402">
        <v>189.6173</v>
      </c>
      <c r="D402">
        <v>490.1968</v>
      </c>
      <c r="F402">
        <v>385971756.70590001</v>
      </c>
      <c r="G402">
        <v>331.72067099999998</v>
      </c>
      <c r="H402">
        <v>49.127246999999997</v>
      </c>
      <c r="I402">
        <v>127.003282</v>
      </c>
      <c r="K402" s="4">
        <f>VLOOKUP(Table_Query_from_Cello_SQL_Server[[#This Row],[AsOfDate]], 'CMO MV Raw'!$A:$B,2,FALSE)</f>
        <v>231171548.249084</v>
      </c>
      <c r="L402" s="5">
        <f>Table_Query_from_Cello_SQL_Server[[#This Row],[CMO MV]]/Table_Query_from_Cello_SQL_Server[[#This Row],[NAV]]*100</f>
        <v>59.893384485443178</v>
      </c>
    </row>
    <row r="403" spans="1:12" x14ac:dyDescent="0.2">
      <c r="A403" s="1">
        <v>41302</v>
      </c>
      <c r="B403">
        <v>1254.3107</v>
      </c>
      <c r="C403">
        <v>188.3201</v>
      </c>
      <c r="D403">
        <v>490.85109999999997</v>
      </c>
      <c r="F403">
        <v>385668252.85339999</v>
      </c>
      <c r="G403">
        <v>325.23047700000001</v>
      </c>
      <c r="H403">
        <v>48.829557000000001</v>
      </c>
      <c r="I403">
        <v>127.272882</v>
      </c>
      <c r="K403" s="4">
        <f>VLOOKUP(Table_Query_from_Cello_SQL_Server[[#This Row],[AsOfDate]], 'CMO MV Raw'!$A:$B,2,FALSE)</f>
        <v>228075485.13341501</v>
      </c>
      <c r="L403" s="5">
        <f>Table_Query_from_Cello_SQL_Server[[#This Row],[CMO MV]]/Table_Query_from_Cello_SQL_Server[[#This Row],[NAV]]*100</f>
        <v>59.137739092076878</v>
      </c>
    </row>
    <row r="404" spans="1:12" x14ac:dyDescent="0.2">
      <c r="A404" s="1">
        <v>41303</v>
      </c>
      <c r="B404">
        <v>1251.5684000000001</v>
      </c>
      <c r="C404">
        <v>189.4461</v>
      </c>
      <c r="D404">
        <v>489.95330000000001</v>
      </c>
      <c r="F404">
        <v>385567321.12919998</v>
      </c>
      <c r="G404">
        <v>324.604377</v>
      </c>
      <c r="H404">
        <v>49.134377000000001</v>
      </c>
      <c r="I404">
        <v>127.073347</v>
      </c>
      <c r="K404" s="4">
        <f>VLOOKUP(Table_Query_from_Cello_SQL_Server[[#This Row],[AsOfDate]], 'CMO MV Raw'!$A:$B,2,FALSE)</f>
        <v>228863143.342884</v>
      </c>
      <c r="L404" s="5">
        <f>Table_Query_from_Cello_SQL_Server[[#This Row],[CMO MV]]/Table_Query_from_Cello_SQL_Server[[#This Row],[NAV]]*100</f>
        <v>59.357505369650895</v>
      </c>
    </row>
    <row r="405" spans="1:12" x14ac:dyDescent="0.2">
      <c r="A405" s="1">
        <v>41304</v>
      </c>
      <c r="B405">
        <v>1210.4644000000001</v>
      </c>
      <c r="C405">
        <v>185.63669999999999</v>
      </c>
      <c r="D405">
        <v>489.24279999999999</v>
      </c>
      <c r="F405">
        <v>385412853.61220002</v>
      </c>
      <c r="G405">
        <v>314.069546</v>
      </c>
      <c r="H405">
        <v>48.165674000000003</v>
      </c>
      <c r="I405">
        <v>126.93992799999999</v>
      </c>
      <c r="K405" s="4">
        <f>VLOOKUP(Table_Query_from_Cello_SQL_Server[[#This Row],[AsOfDate]], 'CMO MV Raw'!$A:$B,2,FALSE)</f>
        <v>223926835.236339</v>
      </c>
      <c r="L405" s="5">
        <f>Table_Query_from_Cello_SQL_Server[[#This Row],[CMO MV]]/Table_Query_from_Cello_SQL_Server[[#This Row],[NAV]]*100</f>
        <v>58.100510436440388</v>
      </c>
    </row>
    <row r="406" spans="1:12" x14ac:dyDescent="0.2">
      <c r="A406" s="1">
        <v>41305</v>
      </c>
      <c r="B406">
        <v>1228.8223</v>
      </c>
      <c r="C406">
        <v>187.0335</v>
      </c>
      <c r="D406">
        <v>489.82580000000002</v>
      </c>
      <c r="F406">
        <v>387061190.00730002</v>
      </c>
      <c r="G406">
        <v>317.47494499999999</v>
      </c>
      <c r="H406">
        <v>48.321429000000002</v>
      </c>
      <c r="I406">
        <v>126.549965</v>
      </c>
      <c r="K406" s="4">
        <f>VLOOKUP(Table_Query_from_Cello_SQL_Server[[#This Row],[AsOfDate]], 'CMO MV Raw'!$A:$B,2,FALSE)</f>
        <v>224435614.53264499</v>
      </c>
      <c r="L406" s="5">
        <f>Table_Query_from_Cello_SQL_Server[[#This Row],[CMO MV]]/Table_Query_from_Cello_SQL_Server[[#This Row],[NAV]]*100</f>
        <v>57.984530696144475</v>
      </c>
    </row>
    <row r="407" spans="1:12" x14ac:dyDescent="0.2">
      <c r="A407" s="1">
        <v>41306</v>
      </c>
      <c r="B407">
        <v>1210.6194</v>
      </c>
      <c r="C407">
        <v>185.29839999999999</v>
      </c>
      <c r="D407">
        <v>489.72309999999999</v>
      </c>
      <c r="F407">
        <v>392845190.6789</v>
      </c>
      <c r="G407">
        <v>308.16704099999998</v>
      </c>
      <c r="H407">
        <v>47.168300000000002</v>
      </c>
      <c r="I407">
        <v>124.66058200000001</v>
      </c>
      <c r="K407" s="4">
        <f>VLOOKUP(Table_Query_from_Cello_SQL_Server[[#This Row],[AsOfDate]], 'CMO MV Raw'!$A:$B,2,FALSE)</f>
        <v>223958764.67546201</v>
      </c>
      <c r="L407" s="5">
        <f>Table_Query_from_Cello_SQL_Server[[#This Row],[CMO MV]]/Table_Query_from_Cello_SQL_Server[[#This Row],[NAV]]*100</f>
        <v>57.009419992752122</v>
      </c>
    </row>
    <row r="408" spans="1:12" x14ac:dyDescent="0.2">
      <c r="A408" s="1">
        <v>41309</v>
      </c>
      <c r="B408">
        <v>1212.4165</v>
      </c>
      <c r="C408">
        <v>183.70509999999999</v>
      </c>
      <c r="D408">
        <v>489.47590000000002</v>
      </c>
      <c r="F408">
        <v>393981930.47909999</v>
      </c>
      <c r="G408">
        <v>307.734037</v>
      </c>
      <c r="H408">
        <v>46.627797999999999</v>
      </c>
      <c r="I408">
        <v>124.23815999999999</v>
      </c>
      <c r="K408" s="4">
        <f>VLOOKUP(Table_Query_from_Cello_SQL_Server[[#This Row],[AsOfDate]], 'CMO MV Raw'!$A:$B,2,FALSE)</f>
        <v>223689943.210558</v>
      </c>
      <c r="L408" s="5">
        <f>Table_Query_from_Cello_SQL_Server[[#This Row],[CMO MV]]/Table_Query_from_Cello_SQL_Server[[#This Row],[NAV]]*100</f>
        <v>56.776701139197129</v>
      </c>
    </row>
    <row r="409" spans="1:12" x14ac:dyDescent="0.2">
      <c r="A409" s="1">
        <v>41310</v>
      </c>
      <c r="B409">
        <v>1197.0368000000001</v>
      </c>
      <c r="C409">
        <v>186.0634</v>
      </c>
      <c r="D409">
        <v>487.65620000000001</v>
      </c>
      <c r="F409">
        <v>394013886.18940002</v>
      </c>
      <c r="G409">
        <v>303.80573900000002</v>
      </c>
      <c r="H409">
        <v>47.222549000000001</v>
      </c>
      <c r="I409">
        <v>123.76624700000001</v>
      </c>
      <c r="K409" s="4">
        <f>VLOOKUP(Table_Query_from_Cello_SQL_Server[[#This Row],[AsOfDate]], 'CMO MV Raw'!$A:$B,2,FALSE)</f>
        <v>225230494.64026701</v>
      </c>
      <c r="L409" s="5">
        <f>Table_Query_from_Cello_SQL_Server[[#This Row],[CMO MV]]/Table_Query_from_Cello_SQL_Server[[#This Row],[NAV]]*100</f>
        <v>57.163085498971512</v>
      </c>
    </row>
    <row r="410" spans="1:12" x14ac:dyDescent="0.2">
      <c r="A410" s="1">
        <v>41311</v>
      </c>
      <c r="B410">
        <v>1183.9357</v>
      </c>
      <c r="C410">
        <v>180.93629999999999</v>
      </c>
      <c r="D410">
        <v>490.95119999999997</v>
      </c>
      <c r="F410">
        <v>396006734.26859999</v>
      </c>
      <c r="G410">
        <v>298.96857699999998</v>
      </c>
      <c r="H410">
        <v>45.690207999999998</v>
      </c>
      <c r="I410">
        <v>123.97546699999999</v>
      </c>
      <c r="K410" s="4">
        <f>VLOOKUP(Table_Query_from_Cello_SQL_Server[[#This Row],[AsOfDate]], 'CMO MV Raw'!$A:$B,2,FALSE)</f>
        <v>226373930.64376301</v>
      </c>
      <c r="L410" s="5">
        <f>Table_Query_from_Cello_SQL_Server[[#This Row],[CMO MV]]/Table_Query_from_Cello_SQL_Server[[#This Row],[NAV]]*100</f>
        <v>57.16416188271689</v>
      </c>
    </row>
    <row r="411" spans="1:12" x14ac:dyDescent="0.2">
      <c r="A411" s="1">
        <v>41312</v>
      </c>
      <c r="B411">
        <v>1228.7571</v>
      </c>
      <c r="C411">
        <v>195.74170000000001</v>
      </c>
      <c r="D411">
        <v>485.35770000000002</v>
      </c>
      <c r="F411">
        <v>396179082.00120002</v>
      </c>
      <c r="G411">
        <v>310.15193799999997</v>
      </c>
      <c r="H411">
        <v>49.407378999999999</v>
      </c>
      <c r="I411">
        <v>122.509674</v>
      </c>
      <c r="K411" s="4">
        <f>VLOOKUP(Table_Query_from_Cello_SQL_Server[[#This Row],[AsOfDate]], 'CMO MV Raw'!$A:$B,2,FALSE)</f>
        <v>226401943.85587999</v>
      </c>
      <c r="L411" s="5">
        <f>Table_Query_from_Cello_SQL_Server[[#This Row],[CMO MV]]/Table_Query_from_Cello_SQL_Server[[#This Row],[NAV]]*100</f>
        <v>57.146364899496191</v>
      </c>
    </row>
    <row r="412" spans="1:12" x14ac:dyDescent="0.2">
      <c r="A412" s="1">
        <v>41313</v>
      </c>
      <c r="B412">
        <v>1057.5535</v>
      </c>
      <c r="C412">
        <v>169.7876</v>
      </c>
      <c r="D412">
        <v>594.28139999999996</v>
      </c>
      <c r="F412">
        <v>396287186.23299998</v>
      </c>
      <c r="G412">
        <v>266.86542900000001</v>
      </c>
      <c r="H412">
        <v>42.844585000000002</v>
      </c>
      <c r="I412">
        <v>149.96230499999999</v>
      </c>
      <c r="K412" s="4">
        <f>VLOOKUP(Table_Query_from_Cello_SQL_Server[[#This Row],[AsOfDate]], 'CMO MV Raw'!$A:$B,2,FALSE)</f>
        <v>227903863.70640001</v>
      </c>
      <c r="L412" s="5">
        <f>Table_Query_from_Cello_SQL_Server[[#This Row],[CMO MV]]/Table_Query_from_Cello_SQL_Server[[#This Row],[NAV]]*100</f>
        <v>57.509773624727359</v>
      </c>
    </row>
    <row r="413" spans="1:12" x14ac:dyDescent="0.2">
      <c r="A413" s="1">
        <v>41316</v>
      </c>
      <c r="B413">
        <v>1024.3241</v>
      </c>
      <c r="C413">
        <v>160.6781</v>
      </c>
      <c r="D413">
        <v>597.11239999999998</v>
      </c>
      <c r="F413">
        <v>395671120.18769997</v>
      </c>
      <c r="G413">
        <v>258.88270499999999</v>
      </c>
      <c r="H413">
        <v>40.609003999999999</v>
      </c>
      <c r="I413">
        <v>150.911292</v>
      </c>
      <c r="K413" s="4">
        <f>VLOOKUP(Table_Query_from_Cello_SQL_Server[[#This Row],[AsOfDate]], 'CMO MV Raw'!$A:$B,2,FALSE)</f>
        <v>225621410.09988099</v>
      </c>
      <c r="L413" s="5">
        <f>Table_Query_from_Cello_SQL_Server[[#This Row],[CMO MV]]/Table_Query_from_Cello_SQL_Server[[#This Row],[NAV]]*100</f>
        <v>57.02246097538022</v>
      </c>
    </row>
    <row r="414" spans="1:12" x14ac:dyDescent="0.2">
      <c r="A414" s="1">
        <v>41317</v>
      </c>
      <c r="B414">
        <v>1026.1901</v>
      </c>
      <c r="C414">
        <v>163.83750000000001</v>
      </c>
      <c r="D414">
        <v>587.46109999999999</v>
      </c>
      <c r="F414">
        <v>395268929.47140002</v>
      </c>
      <c r="G414">
        <v>259.61820499999999</v>
      </c>
      <c r="H414">
        <v>41.449627999999997</v>
      </c>
      <c r="I414">
        <v>148.623141</v>
      </c>
      <c r="K414" s="4">
        <f>VLOOKUP(Table_Query_from_Cello_SQL_Server[[#This Row],[AsOfDate]], 'CMO MV Raw'!$A:$B,2,FALSE)</f>
        <v>226653930.80716601</v>
      </c>
      <c r="L414" s="5">
        <f>Table_Query_from_Cello_SQL_Server[[#This Row],[CMO MV]]/Table_Query_from_Cello_SQL_Server[[#This Row],[NAV]]*100</f>
        <v>57.341701790291047</v>
      </c>
    </row>
    <row r="415" spans="1:12" x14ac:dyDescent="0.2">
      <c r="A415" s="1">
        <v>41318</v>
      </c>
      <c r="B415">
        <v>1324.3176000000001</v>
      </c>
      <c r="C415">
        <v>259.88529999999997</v>
      </c>
      <c r="D415">
        <v>482.90570000000002</v>
      </c>
      <c r="F415">
        <v>394793830.09020001</v>
      </c>
      <c r="G415">
        <v>335.44536399999998</v>
      </c>
      <c r="H415">
        <v>65.828106000000005</v>
      </c>
      <c r="I415">
        <v>122.31845199999999</v>
      </c>
      <c r="K415" s="4">
        <f>VLOOKUP(Table_Query_from_Cello_SQL_Server[[#This Row],[AsOfDate]], 'CMO MV Raw'!$A:$B,2,FALSE)</f>
        <v>231262826.11074999</v>
      </c>
      <c r="L415" s="5">
        <f>Table_Query_from_Cello_SQL_Server[[#This Row],[CMO MV]]/Table_Query_from_Cello_SQL_Server[[#This Row],[NAV]]*100</f>
        <v>58.578125716380249</v>
      </c>
    </row>
    <row r="416" spans="1:12" x14ac:dyDescent="0.2">
      <c r="A416" s="1">
        <v>41319</v>
      </c>
      <c r="B416">
        <v>1331.854</v>
      </c>
      <c r="C416">
        <v>258.54950000000002</v>
      </c>
      <c r="D416">
        <v>484.44600000000003</v>
      </c>
      <c r="F416">
        <v>395412383.70060003</v>
      </c>
      <c r="G416">
        <v>336.82657799999998</v>
      </c>
      <c r="H416">
        <v>65.387304999999998</v>
      </c>
      <c r="I416">
        <v>122.516648</v>
      </c>
      <c r="K416" s="4">
        <f>VLOOKUP(Table_Query_from_Cello_SQL_Server[[#This Row],[AsOfDate]], 'CMO MV Raw'!$A:$B,2,FALSE)</f>
        <v>230494259.871521</v>
      </c>
      <c r="L416" s="5">
        <f>Table_Query_from_Cello_SQL_Server[[#This Row],[CMO MV]]/Table_Query_from_Cello_SQL_Server[[#This Row],[NAV]]*100</f>
        <v>58.292119663618728</v>
      </c>
    </row>
    <row r="417" spans="1:12" x14ac:dyDescent="0.2">
      <c r="A417" s="1">
        <v>41320</v>
      </c>
      <c r="B417">
        <v>1378.0121999999999</v>
      </c>
      <c r="C417">
        <v>268.60059999999999</v>
      </c>
      <c r="D417">
        <v>487.11110000000002</v>
      </c>
      <c r="F417">
        <v>395272327</v>
      </c>
      <c r="G417">
        <v>348.62349499999999</v>
      </c>
      <c r="H417">
        <v>67.953301999999994</v>
      </c>
      <c r="I417">
        <v>123.23430399999999</v>
      </c>
      <c r="K417" s="4">
        <f>VLOOKUP(Table_Query_from_Cello_SQL_Server[[#This Row],[AsOfDate]], 'CMO MV Raw'!$A:$B,2,FALSE)</f>
        <v>242889070.76242101</v>
      </c>
      <c r="L417" s="5">
        <f>Table_Query_from_Cello_SQL_Server[[#This Row],[CMO MV]]/Table_Query_from_Cello_SQL_Server[[#This Row],[NAV]]*100</f>
        <v>61.448539189646077</v>
      </c>
    </row>
    <row r="418" spans="1:12" x14ac:dyDescent="0.2">
      <c r="A418" s="1">
        <v>41324</v>
      </c>
      <c r="B418">
        <v>1375.8373999999999</v>
      </c>
      <c r="C418">
        <v>269.08030000000002</v>
      </c>
      <c r="D418">
        <v>486.54149999999998</v>
      </c>
      <c r="F418">
        <v>394745480.48720002</v>
      </c>
      <c r="G418">
        <v>348.537847</v>
      </c>
      <c r="H418">
        <v>68.165518000000006</v>
      </c>
      <c r="I418">
        <v>123.25448299999999</v>
      </c>
      <c r="K418" s="4">
        <f>VLOOKUP(Table_Query_from_Cello_SQL_Server[[#This Row],[AsOfDate]], 'CMO MV Raw'!$A:$B,2,FALSE)</f>
        <v>241720963.669552</v>
      </c>
      <c r="L418" s="5">
        <f>Table_Query_from_Cello_SQL_Server[[#This Row],[CMO MV]]/Table_Query_from_Cello_SQL_Server[[#This Row],[NAV]]*100</f>
        <v>61.234637410216031</v>
      </c>
    </row>
    <row r="419" spans="1:12" x14ac:dyDescent="0.2">
      <c r="A419" s="1">
        <v>41325</v>
      </c>
      <c r="B419">
        <v>1378.653</v>
      </c>
      <c r="C419">
        <v>255.8638</v>
      </c>
      <c r="D419">
        <v>461.02370000000002</v>
      </c>
      <c r="F419">
        <v>394850596.46640003</v>
      </c>
      <c r="G419">
        <v>349.15814</v>
      </c>
      <c r="H419">
        <v>64.800155000000004</v>
      </c>
      <c r="I419">
        <v>116.759023</v>
      </c>
      <c r="K419" s="4">
        <f>VLOOKUP(Table_Query_from_Cello_SQL_Server[[#This Row],[AsOfDate]], 'CMO MV Raw'!$A:$B,2,FALSE)</f>
        <v>241915083.171345</v>
      </c>
      <c r="L419" s="5">
        <f>Table_Query_from_Cello_SQL_Server[[#This Row],[CMO MV]]/Table_Query_from_Cello_SQL_Server[[#This Row],[NAV]]*100</f>
        <v>61.267498475700258</v>
      </c>
    </row>
    <row r="420" spans="1:12" x14ac:dyDescent="0.2">
      <c r="A420" s="1">
        <v>41326</v>
      </c>
      <c r="B420">
        <v>1388.902</v>
      </c>
      <c r="C420">
        <v>256.14760000000001</v>
      </c>
      <c r="D420">
        <v>461.53199999999998</v>
      </c>
      <c r="F420">
        <v>395227888.73390001</v>
      </c>
      <c r="G420">
        <v>351.41801500000003</v>
      </c>
      <c r="H420">
        <v>64.810102999999998</v>
      </c>
      <c r="I420">
        <v>116.776172</v>
      </c>
      <c r="K420" s="4">
        <f>VLOOKUP(Table_Query_from_Cello_SQL_Server[[#This Row],[AsOfDate]], 'CMO MV Raw'!$A:$B,2,FALSE)</f>
        <v>242063955.269366</v>
      </c>
      <c r="L420" s="5">
        <f>Table_Query_from_Cello_SQL_Server[[#This Row],[CMO MV]]/Table_Query_from_Cello_SQL_Server[[#This Row],[NAV]]*100</f>
        <v>61.246678731303646</v>
      </c>
    </row>
    <row r="421" spans="1:12" x14ac:dyDescent="0.2">
      <c r="A421" s="1">
        <v>41327</v>
      </c>
      <c r="B421">
        <v>1372.9386999999999</v>
      </c>
      <c r="C421">
        <v>255.7</v>
      </c>
      <c r="D421">
        <v>461.73349999999999</v>
      </c>
      <c r="F421">
        <v>395702493.49260002</v>
      </c>
      <c r="G421">
        <v>346.962357</v>
      </c>
      <c r="H421">
        <v>64.619253999999998</v>
      </c>
      <c r="I421">
        <v>116.687033</v>
      </c>
      <c r="K421" s="4">
        <f>VLOOKUP(Table_Query_from_Cello_SQL_Server[[#This Row],[AsOfDate]], 'CMO MV Raw'!$A:$B,2,FALSE)</f>
        <v>242673890.34687799</v>
      </c>
      <c r="L421" s="5">
        <f>Table_Query_from_Cello_SQL_Server[[#This Row],[CMO MV]]/Table_Query_from_Cello_SQL_Server[[#This Row],[NAV]]*100</f>
        <v>61.327359401998869</v>
      </c>
    </row>
    <row r="422" spans="1:12" x14ac:dyDescent="0.2">
      <c r="A422" s="1">
        <v>41330</v>
      </c>
      <c r="B422">
        <v>1359.8371</v>
      </c>
      <c r="C422">
        <v>249.3349</v>
      </c>
      <c r="D422">
        <v>465.38760000000002</v>
      </c>
      <c r="F422">
        <v>396579030.80779999</v>
      </c>
      <c r="G422">
        <v>342.89183100000002</v>
      </c>
      <c r="H422">
        <v>62.871428000000002</v>
      </c>
      <c r="I422">
        <v>117.350531</v>
      </c>
      <c r="K422" s="4">
        <f>VLOOKUP(Table_Query_from_Cello_SQL_Server[[#This Row],[AsOfDate]], 'CMO MV Raw'!$A:$B,2,FALSE)</f>
        <v>238087225.97804999</v>
      </c>
      <c r="L422" s="5">
        <f>Table_Query_from_Cello_SQL_Server[[#This Row],[CMO MV]]/Table_Query_from_Cello_SQL_Server[[#This Row],[NAV]]*100</f>
        <v>60.035253375118003</v>
      </c>
    </row>
    <row r="423" spans="1:12" x14ac:dyDescent="0.2">
      <c r="A423" s="1">
        <v>41331</v>
      </c>
      <c r="B423">
        <v>1367.6307999999999</v>
      </c>
      <c r="C423">
        <v>249.16820000000001</v>
      </c>
      <c r="D423">
        <v>465.53910000000002</v>
      </c>
      <c r="F423">
        <v>396823011.71969998</v>
      </c>
      <c r="G423">
        <v>344.64503300000001</v>
      </c>
      <c r="H423">
        <v>62.790764000000003</v>
      </c>
      <c r="I423">
        <v>117.316558</v>
      </c>
      <c r="K423" s="4">
        <f>VLOOKUP(Table_Query_from_Cello_SQL_Server[[#This Row],[AsOfDate]], 'CMO MV Raw'!$A:$B,2,FALSE)</f>
        <v>237670914.779358</v>
      </c>
      <c r="L423" s="5">
        <f>Table_Query_from_Cello_SQL_Server[[#This Row],[CMO MV]]/Table_Query_from_Cello_SQL_Server[[#This Row],[NAV]]*100</f>
        <v>59.893430511847257</v>
      </c>
    </row>
    <row r="424" spans="1:12" x14ac:dyDescent="0.2">
      <c r="A424" s="1">
        <v>41332</v>
      </c>
      <c r="B424">
        <v>1341.8811000000001</v>
      </c>
      <c r="C424">
        <v>246.2654</v>
      </c>
      <c r="D424">
        <v>463.74799999999999</v>
      </c>
      <c r="F424">
        <v>396341593.56129998</v>
      </c>
      <c r="G424">
        <v>338.56681300000002</v>
      </c>
      <c r="H424">
        <v>62.134633999999998</v>
      </c>
      <c r="I424">
        <v>117.007149</v>
      </c>
      <c r="K424" s="4">
        <f>VLOOKUP(Table_Query_from_Cello_SQL_Server[[#This Row],[AsOfDate]], 'CMO MV Raw'!$A:$B,2,FALSE)</f>
        <v>232987979.421581</v>
      </c>
      <c r="L424" s="5">
        <f>Table_Query_from_Cello_SQL_Server[[#This Row],[CMO MV]]/Table_Query_from_Cello_SQL_Server[[#This Row],[NAV]]*100</f>
        <v>58.784640120176036</v>
      </c>
    </row>
    <row r="425" spans="1:12" x14ac:dyDescent="0.2">
      <c r="A425" s="1">
        <v>41333</v>
      </c>
      <c r="B425">
        <v>1301.8434</v>
      </c>
      <c r="C425">
        <v>238.6326</v>
      </c>
      <c r="D425">
        <v>450.05919999999998</v>
      </c>
      <c r="F425">
        <v>398593497.2044</v>
      </c>
      <c r="G425">
        <v>326.60929199999998</v>
      </c>
      <c r="H425">
        <v>59.868664000000003</v>
      </c>
      <c r="I425">
        <v>112.911827</v>
      </c>
      <c r="K425" s="4">
        <f>VLOOKUP(Table_Query_from_Cello_SQL_Server[[#This Row],[AsOfDate]], 'CMO MV Raw'!$A:$B,2,FALSE)</f>
        <v>226233312.49943</v>
      </c>
      <c r="L425" s="5">
        <f>Table_Query_from_Cello_SQL_Server[[#This Row],[CMO MV]]/Table_Query_from_Cello_SQL_Server[[#This Row],[NAV]]*100</f>
        <v>56.757903499719376</v>
      </c>
    </row>
    <row r="426" spans="1:12" x14ac:dyDescent="0.2">
      <c r="A426" s="1">
        <v>41334</v>
      </c>
      <c r="B426">
        <v>1292.201</v>
      </c>
      <c r="C426">
        <v>237.18799999999999</v>
      </c>
      <c r="D426">
        <v>450.46800000000002</v>
      </c>
      <c r="F426">
        <v>398206380.42430001</v>
      </c>
      <c r="G426">
        <v>324.50534800000003</v>
      </c>
      <c r="H426">
        <v>59.564087999999998</v>
      </c>
      <c r="I426">
        <v>113.12425500000001</v>
      </c>
      <c r="K426" s="4">
        <f>VLOOKUP(Table_Query_from_Cello_SQL_Server[[#This Row],[AsOfDate]], 'CMO MV Raw'!$A:$B,2,FALSE)</f>
        <v>226189722.58062699</v>
      </c>
      <c r="L426" s="5">
        <f>Table_Query_from_Cello_SQL_Server[[#This Row],[CMO MV]]/Table_Query_from_Cello_SQL_Server[[#This Row],[NAV]]*100</f>
        <v>56.802134194739807</v>
      </c>
    </row>
    <row r="427" spans="1:12" x14ac:dyDescent="0.2">
      <c r="A427" s="1">
        <v>41337</v>
      </c>
      <c r="B427">
        <v>1293.5923</v>
      </c>
      <c r="C427">
        <v>238.15979999999999</v>
      </c>
      <c r="D427">
        <v>449.66129999999998</v>
      </c>
      <c r="F427">
        <v>398138654.52899998</v>
      </c>
      <c r="G427">
        <v>324.90999900000003</v>
      </c>
      <c r="H427">
        <v>59.818306</v>
      </c>
      <c r="I427">
        <v>112.94088000000001</v>
      </c>
      <c r="K427" s="4">
        <f>VLOOKUP(Table_Query_from_Cello_SQL_Server[[#This Row],[AsOfDate]], 'CMO MV Raw'!$A:$B,2,FALSE)</f>
        <v>226424946.00582901</v>
      </c>
      <c r="L427" s="5">
        <f>Table_Query_from_Cello_SQL_Server[[#This Row],[CMO MV]]/Table_Query_from_Cello_SQL_Server[[#This Row],[NAV]]*100</f>
        <v>56.870877376548847</v>
      </c>
    </row>
    <row r="428" spans="1:12" x14ac:dyDescent="0.2">
      <c r="A428" s="1">
        <v>41338</v>
      </c>
      <c r="B428">
        <v>1282.8698999999999</v>
      </c>
      <c r="C428">
        <v>239.1</v>
      </c>
      <c r="D428">
        <v>583.12300000000005</v>
      </c>
      <c r="F428">
        <v>398715397.03140002</v>
      </c>
      <c r="G428">
        <v>321.75078000000002</v>
      </c>
      <c r="H428">
        <v>59.967585999999997</v>
      </c>
      <c r="I428">
        <v>146.25043400000001</v>
      </c>
      <c r="K428" s="4">
        <f>VLOOKUP(Table_Query_from_Cello_SQL_Server[[#This Row],[AsOfDate]], 'CMO MV Raw'!$A:$B,2,FALSE)</f>
        <v>227440306.255602</v>
      </c>
      <c r="L428" s="5">
        <f>Table_Query_from_Cello_SQL_Server[[#This Row],[CMO MV]]/Table_Query_from_Cello_SQL_Server[[#This Row],[NAV]]*100</f>
        <v>57.04327145352012</v>
      </c>
    </row>
    <row r="429" spans="1:12" x14ac:dyDescent="0.2">
      <c r="A429" s="1">
        <v>41339</v>
      </c>
      <c r="B429">
        <v>1279.8614</v>
      </c>
      <c r="C429">
        <v>241.2449</v>
      </c>
      <c r="D429">
        <v>578.77319999999997</v>
      </c>
      <c r="F429">
        <v>398017422.95609999</v>
      </c>
      <c r="G429">
        <v>321.55913900000002</v>
      </c>
      <c r="H429">
        <v>60.611643000000001</v>
      </c>
      <c r="I429">
        <v>145.41403600000001</v>
      </c>
      <c r="K429" s="4">
        <f>VLOOKUP(Table_Query_from_Cello_SQL_Server[[#This Row],[AsOfDate]], 'CMO MV Raw'!$A:$B,2,FALSE)</f>
        <v>229184883.01162201</v>
      </c>
      <c r="L429" s="5">
        <f>Table_Query_from_Cello_SQL_Server[[#This Row],[CMO MV]]/Table_Query_from_Cello_SQL_Server[[#This Row],[NAV]]*100</f>
        <v>57.581620751536889</v>
      </c>
    </row>
    <row r="430" spans="1:12" x14ac:dyDescent="0.2">
      <c r="A430" s="1">
        <v>41340</v>
      </c>
      <c r="B430">
        <v>1257.0749000000001</v>
      </c>
      <c r="C430">
        <v>241.95820000000001</v>
      </c>
      <c r="D430">
        <v>575.78769999999997</v>
      </c>
      <c r="F430">
        <v>397454894.21289998</v>
      </c>
      <c r="G430">
        <v>316.28114699999998</v>
      </c>
      <c r="H430">
        <v>60.876894999999998</v>
      </c>
      <c r="I430">
        <v>144.86868999999999</v>
      </c>
      <c r="K430" s="4">
        <f>VLOOKUP(Table_Query_from_Cello_SQL_Server[[#This Row],[AsOfDate]], 'CMO MV Raw'!$A:$B,2,FALSE)</f>
        <v>229762669.671022</v>
      </c>
      <c r="L430" s="5">
        <f>Table_Query_from_Cello_SQL_Server[[#This Row],[CMO MV]]/Table_Query_from_Cello_SQL_Server[[#This Row],[NAV]]*100</f>
        <v>57.808489218891779</v>
      </c>
    </row>
    <row r="431" spans="1:12" x14ac:dyDescent="0.2">
      <c r="A431" s="1">
        <v>41341</v>
      </c>
      <c r="B431">
        <v>1235.2174</v>
      </c>
      <c r="C431">
        <v>244.61859999999999</v>
      </c>
      <c r="D431">
        <v>576.82389999999998</v>
      </c>
      <c r="F431">
        <v>396693721.6268</v>
      </c>
      <c r="G431">
        <v>311.378107</v>
      </c>
      <c r="H431">
        <v>61.664349000000001</v>
      </c>
      <c r="I431">
        <v>145.407872</v>
      </c>
      <c r="K431" s="4">
        <f>VLOOKUP(Table_Query_from_Cello_SQL_Server[[#This Row],[AsOfDate]], 'CMO MV Raw'!$A:$B,2,FALSE)</f>
        <v>232171976.46115801</v>
      </c>
      <c r="L431" s="5">
        <f>Table_Query_from_Cello_SQL_Server[[#This Row],[CMO MV]]/Table_Query_from_Cello_SQL_Server[[#This Row],[NAV]]*100</f>
        <v>58.526758505036256</v>
      </c>
    </row>
    <row r="432" spans="1:12" x14ac:dyDescent="0.2">
      <c r="A432" s="1">
        <v>41344</v>
      </c>
      <c r="B432">
        <v>1227.5075999999999</v>
      </c>
      <c r="C432">
        <v>241.09479999999999</v>
      </c>
      <c r="D432">
        <v>577.28110000000004</v>
      </c>
      <c r="F432">
        <v>397086370.03969997</v>
      </c>
      <c r="G432">
        <v>309.12861600000002</v>
      </c>
      <c r="H432">
        <v>60.715960000000003</v>
      </c>
      <c r="I432">
        <v>145.37922800000001</v>
      </c>
      <c r="K432" s="4">
        <f>VLOOKUP(Table_Query_from_Cello_SQL_Server[[#This Row],[AsOfDate]], 'CMO MV Raw'!$A:$B,2,FALSE)</f>
        <v>231041862.45893401</v>
      </c>
      <c r="L432" s="5">
        <f>Table_Query_from_Cello_SQL_Server[[#This Row],[CMO MV]]/Table_Query_from_Cello_SQL_Server[[#This Row],[NAV]]*100</f>
        <v>58.184284299618461</v>
      </c>
    </row>
    <row r="433" spans="1:12" x14ac:dyDescent="0.2">
      <c r="A433" s="1">
        <v>41345</v>
      </c>
      <c r="B433">
        <v>1237.3601000000001</v>
      </c>
      <c r="C433">
        <v>241.38820000000001</v>
      </c>
      <c r="D433">
        <v>578.05229999999995</v>
      </c>
      <c r="F433">
        <v>397677416.92970002</v>
      </c>
      <c r="G433">
        <v>311.14668499999999</v>
      </c>
      <c r="H433">
        <v>60.699499000000003</v>
      </c>
      <c r="I433">
        <v>145.35708500000001</v>
      </c>
      <c r="K433" s="4">
        <f>VLOOKUP(Table_Query_from_Cello_SQL_Server[[#This Row],[AsOfDate]], 'CMO MV Raw'!$A:$B,2,FALSE)</f>
        <v>230654299.06941801</v>
      </c>
      <c r="L433" s="5">
        <f>Table_Query_from_Cello_SQL_Server[[#This Row],[CMO MV]]/Table_Query_from_Cello_SQL_Server[[#This Row],[NAV]]*100</f>
        <v>58.000351352662364</v>
      </c>
    </row>
    <row r="434" spans="1:12" x14ac:dyDescent="0.2">
      <c r="A434" s="1">
        <v>41346</v>
      </c>
      <c r="B434">
        <v>1230.4575</v>
      </c>
      <c r="C434">
        <v>240.3399</v>
      </c>
      <c r="D434">
        <v>577.52610000000004</v>
      </c>
      <c r="F434">
        <v>397940386.33710003</v>
      </c>
      <c r="G434">
        <v>309.20648999999997</v>
      </c>
      <c r="H434">
        <v>60.395955999999998</v>
      </c>
      <c r="I434">
        <v>145.12879799999999</v>
      </c>
      <c r="K434" s="4">
        <f>VLOOKUP(Table_Query_from_Cello_SQL_Server[[#This Row],[AsOfDate]], 'CMO MV Raw'!$A:$B,2,FALSE)</f>
        <v>230617999.42903399</v>
      </c>
      <c r="L434" s="5">
        <f>Table_Query_from_Cello_SQL_Server[[#This Row],[CMO MV]]/Table_Query_from_Cello_SQL_Server[[#This Row],[NAV]]*100</f>
        <v>57.952901325696239</v>
      </c>
    </row>
    <row r="435" spans="1:12" x14ac:dyDescent="0.2">
      <c r="A435" s="1">
        <v>41347</v>
      </c>
      <c r="B435">
        <v>1225.3353999999999</v>
      </c>
      <c r="C435">
        <v>240.20349999999999</v>
      </c>
      <c r="D435">
        <v>576.59040000000005</v>
      </c>
      <c r="F435">
        <v>397958235.76300001</v>
      </c>
      <c r="G435">
        <v>307.90552600000001</v>
      </c>
      <c r="H435">
        <v>60.358972000000001</v>
      </c>
      <c r="I435">
        <v>144.88716400000001</v>
      </c>
      <c r="K435" s="4">
        <f>VLOOKUP(Table_Query_from_Cello_SQL_Server[[#This Row],[AsOfDate]], 'CMO MV Raw'!$A:$B,2,FALSE)</f>
        <v>229739851.135095</v>
      </c>
      <c r="L435" s="5">
        <f>Table_Query_from_Cello_SQL_Server[[#This Row],[CMO MV]]/Table_Query_from_Cello_SQL_Server[[#This Row],[NAV]]*100</f>
        <v>57.729638562352612</v>
      </c>
    </row>
    <row r="436" spans="1:12" x14ac:dyDescent="0.2">
      <c r="A436" s="1">
        <v>41348</v>
      </c>
      <c r="B436">
        <v>1262.3686</v>
      </c>
      <c r="C436">
        <v>242.65129999999999</v>
      </c>
      <c r="D436">
        <v>578.0086</v>
      </c>
      <c r="F436">
        <v>398999666.28250003</v>
      </c>
      <c r="G436">
        <v>316.38337200000001</v>
      </c>
      <c r="H436">
        <v>60.814912999999997</v>
      </c>
      <c r="I436">
        <v>144.86443199999999</v>
      </c>
      <c r="K436" s="4">
        <f>VLOOKUP(Table_Query_from_Cello_SQL_Server[[#This Row],[AsOfDate]], 'CMO MV Raw'!$A:$B,2,FALSE)</f>
        <v>229433705.67712399</v>
      </c>
      <c r="L436" s="5">
        <f>Table_Query_from_Cello_SQL_Server[[#This Row],[CMO MV]]/Table_Query_from_Cello_SQL_Server[[#This Row],[NAV]]*100</f>
        <v>57.502229967951948</v>
      </c>
    </row>
    <row r="437" spans="1:12" x14ac:dyDescent="0.2">
      <c r="A437" s="1">
        <v>41351</v>
      </c>
      <c r="B437">
        <v>1256.7883999999999</v>
      </c>
      <c r="C437">
        <v>240.11420000000001</v>
      </c>
      <c r="D437">
        <v>579.20119999999997</v>
      </c>
      <c r="F437">
        <v>399387818.17559999</v>
      </c>
      <c r="G437">
        <v>314.67870099999999</v>
      </c>
      <c r="H437">
        <v>60.120562</v>
      </c>
      <c r="I437">
        <v>145.02225000000001</v>
      </c>
      <c r="K437" s="4">
        <f>VLOOKUP(Table_Query_from_Cello_SQL_Server[[#This Row],[AsOfDate]], 'CMO MV Raw'!$A:$B,2,FALSE)</f>
        <v>228294213.28505301</v>
      </c>
      <c r="L437" s="5">
        <f>Table_Query_from_Cello_SQL_Server[[#This Row],[CMO MV]]/Table_Query_from_Cello_SQL_Server[[#This Row],[NAV]]*100</f>
        <v>57.161035689045036</v>
      </c>
    </row>
    <row r="438" spans="1:12" x14ac:dyDescent="0.2">
      <c r="A438" s="1">
        <v>41352</v>
      </c>
      <c r="B438">
        <v>1265.9481000000001</v>
      </c>
      <c r="C438">
        <v>239.39869999999999</v>
      </c>
      <c r="D438">
        <v>598.67079999999999</v>
      </c>
      <c r="F438">
        <v>399982507.25919998</v>
      </c>
      <c r="G438">
        <v>316.50086599999997</v>
      </c>
      <c r="H438">
        <v>59.852291999999998</v>
      </c>
      <c r="I438">
        <v>149.67424600000001</v>
      </c>
      <c r="K438" s="4">
        <f>VLOOKUP(Table_Query_from_Cello_SQL_Server[[#This Row],[AsOfDate]], 'CMO MV Raw'!$A:$B,2,FALSE)</f>
        <v>226725982.387256</v>
      </c>
      <c r="L438" s="5">
        <f>Table_Query_from_Cello_SQL_Server[[#This Row],[CMO MV]]/Table_Query_from_Cello_SQL_Server[[#This Row],[NAV]]*100</f>
        <v>56.683974491997255</v>
      </c>
    </row>
    <row r="439" spans="1:12" x14ac:dyDescent="0.2">
      <c r="A439" s="1">
        <v>41353</v>
      </c>
      <c r="B439">
        <v>1327.5904</v>
      </c>
      <c r="C439">
        <v>253.4512</v>
      </c>
      <c r="D439">
        <v>620.94690000000003</v>
      </c>
      <c r="F439">
        <v>399705916.31349999</v>
      </c>
      <c r="G439">
        <v>332.141794</v>
      </c>
      <c r="H439">
        <v>63.409419</v>
      </c>
      <c r="I439">
        <v>155.35094000000001</v>
      </c>
      <c r="K439" s="4">
        <f>VLOOKUP(Table_Query_from_Cello_SQL_Server[[#This Row],[AsOfDate]], 'CMO MV Raw'!$A:$B,2,FALSE)</f>
        <v>241203148.267827</v>
      </c>
      <c r="L439" s="5">
        <f>Table_Query_from_Cello_SQL_Server[[#This Row],[CMO MV]]/Table_Query_from_Cello_SQL_Server[[#This Row],[NAV]]*100</f>
        <v>60.345153379877658</v>
      </c>
    </row>
    <row r="440" spans="1:12" x14ac:dyDescent="0.2">
      <c r="A440" s="1">
        <v>41354</v>
      </c>
      <c r="B440">
        <v>1400.4444000000001</v>
      </c>
      <c r="C440">
        <v>268.77949999999998</v>
      </c>
      <c r="D440">
        <v>665.6</v>
      </c>
      <c r="F440">
        <v>399667458.935</v>
      </c>
      <c r="G440">
        <v>350.40240799999998</v>
      </c>
      <c r="H440">
        <v>67.250783999999996</v>
      </c>
      <c r="I440">
        <v>166.53845200000001</v>
      </c>
      <c r="K440" s="4">
        <f>VLOOKUP(Table_Query_from_Cello_SQL_Server[[#This Row],[AsOfDate]], 'CMO MV Raw'!$A:$B,2,FALSE)</f>
        <v>259910553.72793701</v>
      </c>
      <c r="L440" s="5">
        <f>Table_Query_from_Cello_SQL_Server[[#This Row],[CMO MV]]/Table_Query_from_Cello_SQL_Server[[#This Row],[NAV]]*100</f>
        <v>65.031702711180102</v>
      </c>
    </row>
    <row r="441" spans="1:12" x14ac:dyDescent="0.2">
      <c r="A441" s="1">
        <v>41355</v>
      </c>
      <c r="B441">
        <v>1416.7021</v>
      </c>
      <c r="C441">
        <v>270.7079</v>
      </c>
      <c r="D441">
        <v>664.90009999999995</v>
      </c>
      <c r="F441">
        <v>400545321.35540003</v>
      </c>
      <c r="G441">
        <v>353.69333399999999</v>
      </c>
      <c r="H441">
        <v>67.584835999999996</v>
      </c>
      <c r="I441">
        <v>165.998718</v>
      </c>
      <c r="K441" s="4">
        <f>VLOOKUP(Table_Query_from_Cello_SQL_Server[[#This Row],[AsOfDate]], 'CMO MV Raw'!$A:$B,2,FALSE)</f>
        <v>261891099.040849</v>
      </c>
      <c r="L441" s="5">
        <f>Table_Query_from_Cello_SQL_Server[[#This Row],[CMO MV]]/Table_Query_from_Cello_SQL_Server[[#This Row],[NAV]]*100</f>
        <v>65.383637026301827</v>
      </c>
    </row>
    <row r="442" spans="1:12" x14ac:dyDescent="0.2">
      <c r="A442" s="1">
        <v>41358</v>
      </c>
      <c r="B442">
        <v>1399.6459</v>
      </c>
      <c r="C442">
        <v>267.34129999999999</v>
      </c>
      <c r="D442">
        <v>666.03510000000006</v>
      </c>
      <c r="F442">
        <v>400552432.24239999</v>
      </c>
      <c r="G442">
        <v>349.42888599999998</v>
      </c>
      <c r="H442">
        <v>66.743146999999993</v>
      </c>
      <c r="I442">
        <v>166.27913000000001</v>
      </c>
      <c r="K442" s="4">
        <f>VLOOKUP(Table_Query_from_Cello_SQL_Server[[#This Row],[AsOfDate]], 'CMO MV Raw'!$A:$B,2,FALSE)</f>
        <v>258740256.39123601</v>
      </c>
      <c r="L442" s="5">
        <f>Table_Query_from_Cello_SQL_Server[[#This Row],[CMO MV]]/Table_Query_from_Cello_SQL_Server[[#This Row],[NAV]]*100</f>
        <v>64.595852019357025</v>
      </c>
    </row>
    <row r="443" spans="1:12" x14ac:dyDescent="0.2">
      <c r="A443" s="1">
        <v>41359</v>
      </c>
      <c r="B443">
        <v>1402.136</v>
      </c>
      <c r="C443">
        <v>268.15769999999998</v>
      </c>
      <c r="D443">
        <v>665.48710000000005</v>
      </c>
      <c r="F443">
        <v>400537591.4673</v>
      </c>
      <c r="G443">
        <v>350.06352199999998</v>
      </c>
      <c r="H443">
        <v>66.949445999999995</v>
      </c>
      <c r="I443">
        <v>166.14847499999999</v>
      </c>
      <c r="K443" s="4">
        <f>VLOOKUP(Table_Query_from_Cello_SQL_Server[[#This Row],[AsOfDate]], 'CMO MV Raw'!$A:$B,2,FALSE)</f>
        <v>258880590.58186001</v>
      </c>
      <c r="L443" s="5">
        <f>Table_Query_from_Cello_SQL_Server[[#This Row],[CMO MV]]/Table_Query_from_Cello_SQL_Server[[#This Row],[NAV]]*100</f>
        <v>64.633281893341362</v>
      </c>
    </row>
    <row r="444" spans="1:12" x14ac:dyDescent="0.2">
      <c r="A444" s="1">
        <v>41360</v>
      </c>
      <c r="B444">
        <v>1407.6045999999999</v>
      </c>
      <c r="C444">
        <v>267.33609999999999</v>
      </c>
      <c r="D444">
        <v>666.53420000000006</v>
      </c>
      <c r="F444">
        <v>401405274.70899999</v>
      </c>
      <c r="G444">
        <v>350.66918399999997</v>
      </c>
      <c r="H444">
        <v>66.600047000000004</v>
      </c>
      <c r="I444">
        <v>166.050185</v>
      </c>
      <c r="K444" s="4">
        <f>VLOOKUP(Table_Query_from_Cello_SQL_Server[[#This Row],[AsOfDate]], 'CMO MV Raw'!$A:$B,2,FALSE)</f>
        <v>258820072.03140599</v>
      </c>
      <c r="L444" s="5">
        <f>Table_Query_from_Cello_SQL_Server[[#This Row],[CMO MV]]/Table_Query_from_Cello_SQL_Server[[#This Row],[NAV]]*100</f>
        <v>64.478493019066178</v>
      </c>
    </row>
    <row r="445" spans="1:12" x14ac:dyDescent="0.2">
      <c r="A445" s="1">
        <v>41361</v>
      </c>
      <c r="B445">
        <v>1398.3486</v>
      </c>
      <c r="C445">
        <v>266.15359999999998</v>
      </c>
      <c r="D445">
        <v>666.18769999999995</v>
      </c>
      <c r="F445">
        <v>400871802.22049999</v>
      </c>
      <c r="G445">
        <v>348.82688000000002</v>
      </c>
      <c r="H445">
        <v>66.393694999999994</v>
      </c>
      <c r="I445">
        <v>166.18472399999999</v>
      </c>
      <c r="K445" s="4">
        <f>VLOOKUP(Table_Query_from_Cello_SQL_Server[[#This Row],[AsOfDate]], 'CMO MV Raw'!$A:$B,2,FALSE)</f>
        <v>258611836.144604</v>
      </c>
      <c r="L445" s="5">
        <f>Table_Query_from_Cello_SQL_Server[[#This Row],[CMO MV]]/Table_Query_from_Cello_SQL_Server[[#This Row],[NAV]]*100</f>
        <v>64.512354002478389</v>
      </c>
    </row>
    <row r="446" spans="1:12" x14ac:dyDescent="0.2">
      <c r="A446" s="1">
        <v>41365</v>
      </c>
      <c r="B446">
        <v>1415.6774</v>
      </c>
      <c r="C446">
        <v>268.23630000000003</v>
      </c>
      <c r="D446">
        <v>666.37270000000001</v>
      </c>
      <c r="F446">
        <v>383781043.10549998</v>
      </c>
      <c r="G446">
        <v>368.87632300000001</v>
      </c>
      <c r="H446">
        <v>69.893056000000001</v>
      </c>
      <c r="I446">
        <v>173.63356300000001</v>
      </c>
      <c r="K446" s="4">
        <f>VLOOKUP(Table_Query_from_Cello_SQL_Server[[#This Row],[AsOfDate]], 'CMO MV Raw'!$A:$B,2,FALSE)</f>
        <v>258559056.59079099</v>
      </c>
      <c r="L446" s="5">
        <f>Table_Query_from_Cello_SQL_Server[[#This Row],[CMO MV]]/Table_Query_from_Cello_SQL_Server[[#This Row],[NAV]]*100</f>
        <v>67.371502901385895</v>
      </c>
    </row>
    <row r="447" spans="1:12" x14ac:dyDescent="0.2">
      <c r="A447" s="1">
        <v>41366</v>
      </c>
      <c r="B447">
        <v>1425.7074</v>
      </c>
      <c r="C447">
        <v>268.93150000000003</v>
      </c>
      <c r="D447">
        <v>666.02359999999999</v>
      </c>
      <c r="F447">
        <v>382682366.49650002</v>
      </c>
      <c r="G447">
        <v>372.55633499999999</v>
      </c>
      <c r="H447">
        <v>70.275383000000005</v>
      </c>
      <c r="I447">
        <v>174.04083900000001</v>
      </c>
      <c r="K447" s="4">
        <f>VLOOKUP(Table_Query_from_Cello_SQL_Server[[#This Row],[AsOfDate]], 'CMO MV Raw'!$A:$B,2,FALSE)</f>
        <v>257993074.52075699</v>
      </c>
      <c r="L447" s="5">
        <f>Table_Query_from_Cello_SQL_Server[[#This Row],[CMO MV]]/Table_Query_from_Cello_SQL_Server[[#This Row],[NAV]]*100</f>
        <v>67.417027045879465</v>
      </c>
    </row>
    <row r="448" spans="1:12" x14ac:dyDescent="0.2">
      <c r="A448" s="1">
        <v>41367</v>
      </c>
      <c r="B448">
        <v>1437.3341</v>
      </c>
      <c r="C448">
        <v>266.97620000000001</v>
      </c>
      <c r="D448">
        <v>667.46220000000005</v>
      </c>
      <c r="F448">
        <v>382671142.84869999</v>
      </c>
      <c r="G448">
        <v>375.60556300000002</v>
      </c>
      <c r="H448">
        <v>69.766484000000005</v>
      </c>
      <c r="I448">
        <v>174.42187999999999</v>
      </c>
      <c r="K448" s="4">
        <f>VLOOKUP(Table_Query_from_Cello_SQL_Server[[#This Row],[AsOfDate]], 'CMO MV Raw'!$A:$B,2,FALSE)</f>
        <v>256685014.83978</v>
      </c>
      <c r="L448" s="5">
        <f>Table_Query_from_Cello_SQL_Server[[#This Row],[CMO MV]]/Table_Query_from_Cello_SQL_Server[[#This Row],[NAV]]*100</f>
        <v>67.077180925886481</v>
      </c>
    </row>
    <row r="449" spans="1:12" x14ac:dyDescent="0.2">
      <c r="A449" s="1">
        <v>41368</v>
      </c>
      <c r="B449">
        <v>1426.5700999999999</v>
      </c>
      <c r="C449">
        <v>258.17430000000002</v>
      </c>
      <c r="D449">
        <v>706.12929999999994</v>
      </c>
      <c r="F449">
        <v>381738037.56809998</v>
      </c>
      <c r="G449">
        <v>373.70394299999998</v>
      </c>
      <c r="H449">
        <v>67.631274000000005</v>
      </c>
      <c r="I449">
        <v>184.977453</v>
      </c>
      <c r="K449" s="4">
        <f>VLOOKUP(Table_Query_from_Cello_SQL_Server[[#This Row],[AsOfDate]], 'CMO MV Raw'!$A:$B,2,FALSE)</f>
        <v>252361735.416794</v>
      </c>
      <c r="L449" s="5">
        <f>Table_Query_from_Cello_SQL_Server[[#This Row],[CMO MV]]/Table_Query_from_Cello_SQL_Server[[#This Row],[NAV]]*100</f>
        <v>66.108616533078418</v>
      </c>
    </row>
    <row r="450" spans="1:12" x14ac:dyDescent="0.2">
      <c r="A450" s="1">
        <v>41369</v>
      </c>
      <c r="B450">
        <v>1433.0952</v>
      </c>
      <c r="C450">
        <v>252.77979999999999</v>
      </c>
      <c r="D450">
        <v>708.89080000000001</v>
      </c>
      <c r="F450">
        <v>381364569.1566</v>
      </c>
      <c r="G450">
        <v>375.78089699999998</v>
      </c>
      <c r="H450">
        <v>66.282979999999995</v>
      </c>
      <c r="I450">
        <v>185.882711</v>
      </c>
      <c r="K450" s="4">
        <f>VLOOKUP(Table_Query_from_Cello_SQL_Server[[#This Row],[AsOfDate]], 'CMO MV Raw'!$A:$B,2,FALSE)</f>
        <v>249351815.45295501</v>
      </c>
      <c r="L450" s="5">
        <f>Table_Query_from_Cello_SQL_Server[[#This Row],[CMO MV]]/Table_Query_from_Cello_SQL_Server[[#This Row],[NAV]]*100</f>
        <v>65.384106343283165</v>
      </c>
    </row>
    <row r="451" spans="1:12" x14ac:dyDescent="0.2">
      <c r="A451" s="1">
        <v>41372</v>
      </c>
      <c r="B451">
        <v>1405.6449</v>
      </c>
      <c r="C451">
        <v>253.76230000000001</v>
      </c>
      <c r="D451">
        <v>706.92049999999995</v>
      </c>
      <c r="F451">
        <v>380401986.33329999</v>
      </c>
      <c r="G451">
        <v>369.51565699999998</v>
      </c>
      <c r="H451">
        <v>66.708984000000001</v>
      </c>
      <c r="I451">
        <v>185.83512300000001</v>
      </c>
      <c r="K451" s="4">
        <f>VLOOKUP(Table_Query_from_Cello_SQL_Server[[#This Row],[AsOfDate]], 'CMO MV Raw'!$A:$B,2,FALSE)</f>
        <v>250371434.89568099</v>
      </c>
      <c r="L451" s="5">
        <f>Table_Query_from_Cello_SQL_Server[[#This Row],[CMO MV]]/Table_Query_from_Cello_SQL_Server[[#This Row],[NAV]]*100</f>
        <v>65.817593990245612</v>
      </c>
    </row>
    <row r="452" spans="1:12" x14ac:dyDescent="0.2">
      <c r="A452" s="1">
        <v>41373</v>
      </c>
      <c r="B452">
        <v>1389.6505</v>
      </c>
      <c r="C452">
        <v>253.80950000000001</v>
      </c>
      <c r="D452">
        <v>711.86130000000003</v>
      </c>
      <c r="F452">
        <v>380141972.30839998</v>
      </c>
      <c r="G452">
        <v>365.56092200000001</v>
      </c>
      <c r="H452">
        <v>66.767028999999994</v>
      </c>
      <c r="I452">
        <v>187.26195799999999</v>
      </c>
      <c r="K452" s="4">
        <f>VLOOKUP(Table_Query_from_Cello_SQL_Server[[#This Row],[AsOfDate]], 'CMO MV Raw'!$A:$B,2,FALSE)</f>
        <v>249787877.97580701</v>
      </c>
      <c r="L452" s="5">
        <f>Table_Query_from_Cello_SQL_Server[[#This Row],[CMO MV]]/Table_Query_from_Cello_SQL_Server[[#This Row],[NAV]]*100</f>
        <v>65.709102433224643</v>
      </c>
    </row>
    <row r="453" spans="1:12" x14ac:dyDescent="0.2">
      <c r="A453" s="1">
        <v>41374</v>
      </c>
      <c r="B453">
        <v>1361.1873000000001</v>
      </c>
      <c r="C453">
        <v>254.6875</v>
      </c>
      <c r="D453">
        <v>709.42750000000001</v>
      </c>
      <c r="F453">
        <v>379388032.73049998</v>
      </c>
      <c r="G453">
        <v>358.784986</v>
      </c>
      <c r="H453">
        <v>67.131136999999995</v>
      </c>
      <c r="I453">
        <v>186.99258800000001</v>
      </c>
      <c r="K453" s="4">
        <f>VLOOKUP(Table_Query_from_Cello_SQL_Server[[#This Row],[AsOfDate]], 'CMO MV Raw'!$A:$B,2,FALSE)</f>
        <v>250668097.58368</v>
      </c>
      <c r="L453" s="5">
        <f>Table_Query_from_Cello_SQL_Server[[#This Row],[CMO MV]]/Table_Query_from_Cello_SQL_Server[[#This Row],[NAV]]*100</f>
        <v>66.071693347729607</v>
      </c>
    </row>
    <row r="454" spans="1:12" x14ac:dyDescent="0.2">
      <c r="A454" s="1">
        <v>41375</v>
      </c>
      <c r="B454">
        <v>1324.8705</v>
      </c>
      <c r="C454">
        <v>243.85509999999999</v>
      </c>
      <c r="D454">
        <v>711.9606</v>
      </c>
      <c r="F454">
        <v>377648109.27880001</v>
      </c>
      <c r="G454">
        <v>350.82143100000002</v>
      </c>
      <c r="H454">
        <v>64.572042999999994</v>
      </c>
      <c r="I454">
        <v>188.524868</v>
      </c>
      <c r="K454" s="4">
        <f>VLOOKUP(Table_Query_from_Cello_SQL_Server[[#This Row],[AsOfDate]], 'CMO MV Raw'!$A:$B,2,FALSE)</f>
        <v>247844511.73623201</v>
      </c>
      <c r="L454" s="5">
        <f>Table_Query_from_Cello_SQL_Server[[#This Row],[CMO MV]]/Table_Query_from_Cello_SQL_Server[[#This Row],[NAV]]*100</f>
        <v>65.628426476050478</v>
      </c>
    </row>
    <row r="455" spans="1:12" x14ac:dyDescent="0.2">
      <c r="A455" s="1">
        <v>41376</v>
      </c>
      <c r="B455">
        <v>1328.0966000000001</v>
      </c>
      <c r="C455">
        <v>240.63800000000001</v>
      </c>
      <c r="D455">
        <v>714.42539999999997</v>
      </c>
      <c r="F455">
        <v>379472703.13120002</v>
      </c>
      <c r="G455">
        <v>349.98475200000001</v>
      </c>
      <c r="H455">
        <v>63.413784</v>
      </c>
      <c r="I455">
        <v>188.26792900000001</v>
      </c>
      <c r="K455" s="4">
        <f>VLOOKUP(Table_Query_from_Cello_SQL_Server[[#This Row],[AsOfDate]], 'CMO MV Raw'!$A:$B,2,FALSE)</f>
        <v>247457787.70083699</v>
      </c>
      <c r="L455" s="5">
        <f>Table_Query_from_Cello_SQL_Server[[#This Row],[CMO MV]]/Table_Query_from_Cello_SQL_Server[[#This Row],[NAV]]*100</f>
        <v>65.210958695830143</v>
      </c>
    </row>
    <row r="456" spans="1:12" x14ac:dyDescent="0.2">
      <c r="A456" s="1">
        <v>41379</v>
      </c>
      <c r="B456">
        <v>1336.4692</v>
      </c>
      <c r="C456">
        <v>239.3409</v>
      </c>
      <c r="D456">
        <v>715.54909999999995</v>
      </c>
      <c r="F456">
        <v>379634406.25400001</v>
      </c>
      <c r="G456">
        <v>352.04111599999999</v>
      </c>
      <c r="H456">
        <v>63.045102</v>
      </c>
      <c r="I456">
        <v>188.483733</v>
      </c>
      <c r="K456" s="4">
        <f>VLOOKUP(Table_Query_from_Cello_SQL_Server[[#This Row],[AsOfDate]], 'CMO MV Raw'!$A:$B,2,FALSE)</f>
        <v>245904796.174667</v>
      </c>
      <c r="L456" s="5">
        <f>Table_Query_from_Cello_SQL_Server[[#This Row],[CMO MV]]/Table_Query_from_Cello_SQL_Server[[#This Row],[NAV]]*100</f>
        <v>64.774106910146799</v>
      </c>
    </row>
    <row r="457" spans="1:12" x14ac:dyDescent="0.2">
      <c r="A457" s="1">
        <v>41380</v>
      </c>
      <c r="B457">
        <v>1332.2773</v>
      </c>
      <c r="C457">
        <v>240.15219999999999</v>
      </c>
      <c r="D457">
        <v>714.13350000000003</v>
      </c>
      <c r="F457">
        <v>379116935.42650002</v>
      </c>
      <c r="G457">
        <v>351.41592900000001</v>
      </c>
      <c r="H457">
        <v>63.345151999999999</v>
      </c>
      <c r="I457">
        <v>188.36760699999999</v>
      </c>
      <c r="K457" s="4">
        <f>VLOOKUP(Table_Query_from_Cello_SQL_Server[[#This Row],[AsOfDate]], 'CMO MV Raw'!$A:$B,2,FALSE)</f>
        <v>245420883.53177899</v>
      </c>
      <c r="L457" s="5">
        <f>Table_Query_from_Cello_SQL_Server[[#This Row],[CMO MV]]/Table_Query_from_Cello_SQL_Server[[#This Row],[NAV]]*100</f>
        <v>64.734877447688987</v>
      </c>
    </row>
    <row r="458" spans="1:12" x14ac:dyDescent="0.2">
      <c r="A458" s="1">
        <v>41381</v>
      </c>
      <c r="B458">
        <v>1285.5118</v>
      </c>
      <c r="C458">
        <v>231.23650000000001</v>
      </c>
      <c r="D458">
        <v>711.08849999999995</v>
      </c>
      <c r="F458">
        <v>379875256.505</v>
      </c>
      <c r="G458">
        <v>338.40366799999998</v>
      </c>
      <c r="H458">
        <v>60.871693</v>
      </c>
      <c r="I458">
        <v>187.19000199999999</v>
      </c>
      <c r="K458" s="4">
        <f>VLOOKUP(Table_Query_from_Cello_SQL_Server[[#This Row],[AsOfDate]], 'CMO MV Raw'!$A:$B,2,FALSE)</f>
        <v>233955552.54902601</v>
      </c>
      <c r="L458" s="5">
        <f>Table_Query_from_Cello_SQL_Server[[#This Row],[CMO MV]]/Table_Query_from_Cello_SQL_Server[[#This Row],[NAV]]*100</f>
        <v>61.587468134015367</v>
      </c>
    </row>
    <row r="459" spans="1:12" x14ac:dyDescent="0.2">
      <c r="A459" s="1">
        <v>41382</v>
      </c>
      <c r="B459">
        <v>1281.4722999999999</v>
      </c>
      <c r="C459">
        <v>230.0171</v>
      </c>
      <c r="D459">
        <v>711.2328</v>
      </c>
      <c r="F459">
        <v>380717376.52139997</v>
      </c>
      <c r="G459">
        <v>336.59411899999998</v>
      </c>
      <c r="H459">
        <v>60.416758999999999</v>
      </c>
      <c r="I459">
        <v>186.81385299999999</v>
      </c>
      <c r="K459" s="4">
        <f>VLOOKUP(Table_Query_from_Cello_SQL_Server[[#This Row],[AsOfDate]], 'CMO MV Raw'!$A:$B,2,FALSE)</f>
        <v>233884536.27329001</v>
      </c>
      <c r="L459" s="5">
        <f>Table_Query_from_Cello_SQL_Server[[#This Row],[CMO MV]]/Table_Query_from_Cello_SQL_Server[[#This Row],[NAV]]*100</f>
        <v>61.43258771382699</v>
      </c>
    </row>
    <row r="460" spans="1:12" x14ac:dyDescent="0.2">
      <c r="A460" s="1">
        <v>41383</v>
      </c>
      <c r="B460">
        <v>1259.6193000000001</v>
      </c>
      <c r="C460">
        <v>229.1549</v>
      </c>
      <c r="D460">
        <v>710.28679999999997</v>
      </c>
      <c r="F460">
        <v>380351915.94880003</v>
      </c>
      <c r="G460">
        <v>331.17206599999997</v>
      </c>
      <c r="H460">
        <v>60.248125999999999</v>
      </c>
      <c r="I460">
        <v>186.74463600000001</v>
      </c>
      <c r="K460" s="4">
        <f>VLOOKUP(Table_Query_from_Cello_SQL_Server[[#This Row],[AsOfDate]], 'CMO MV Raw'!$A:$B,2,FALSE)</f>
        <v>232954138.73639101</v>
      </c>
      <c r="L460" s="5">
        <f>Table_Query_from_Cello_SQL_Server[[#This Row],[CMO MV]]/Table_Query_from_Cello_SQL_Server[[#This Row],[NAV]]*100</f>
        <v>61.247000203818992</v>
      </c>
    </row>
    <row r="461" spans="1:12" x14ac:dyDescent="0.2">
      <c r="A461" s="1">
        <v>41386</v>
      </c>
      <c r="B461">
        <v>1258.7316000000001</v>
      </c>
      <c r="C461">
        <v>228.70779999999999</v>
      </c>
      <c r="D461">
        <v>710.42570000000001</v>
      </c>
      <c r="F461">
        <v>380310022.40369999</v>
      </c>
      <c r="G461">
        <v>330.97513199999997</v>
      </c>
      <c r="H461">
        <v>60.1372</v>
      </c>
      <c r="I461">
        <v>186.80172999999999</v>
      </c>
      <c r="K461" s="4">
        <f>VLOOKUP(Table_Query_from_Cello_SQL_Server[[#This Row],[AsOfDate]], 'CMO MV Raw'!$A:$B,2,FALSE)</f>
        <v>232873119.945052</v>
      </c>
      <c r="L461" s="5">
        <f>Table_Query_from_Cello_SQL_Server[[#This Row],[CMO MV]]/Table_Query_from_Cello_SQL_Server[[#This Row],[NAV]]*100</f>
        <v>61.232443592521633</v>
      </c>
    </row>
    <row r="462" spans="1:12" x14ac:dyDescent="0.2">
      <c r="A462" s="1">
        <v>41387</v>
      </c>
      <c r="B462">
        <v>1255.9556</v>
      </c>
      <c r="C462">
        <v>227.91669999999999</v>
      </c>
      <c r="D462">
        <v>710.30960000000005</v>
      </c>
      <c r="F462">
        <v>380300120.8229</v>
      </c>
      <c r="G462">
        <v>330.25380000000001</v>
      </c>
      <c r="H462">
        <v>59.930745999999999</v>
      </c>
      <c r="I462">
        <v>186.77606499999999</v>
      </c>
      <c r="K462" s="4">
        <f>VLOOKUP(Table_Query_from_Cello_SQL_Server[[#This Row],[AsOfDate]], 'CMO MV Raw'!$A:$B,2,FALSE)</f>
        <v>232548470.244578</v>
      </c>
      <c r="L462" s="5">
        <f>Table_Query_from_Cello_SQL_Server[[#This Row],[CMO MV]]/Table_Query_from_Cello_SQL_Server[[#This Row],[NAV]]*100</f>
        <v>61.14867114461746</v>
      </c>
    </row>
    <row r="463" spans="1:12" x14ac:dyDescent="0.2">
      <c r="A463" s="1">
        <v>41388</v>
      </c>
      <c r="B463">
        <v>1249.9898000000001</v>
      </c>
      <c r="C463">
        <v>226.93940000000001</v>
      </c>
      <c r="D463">
        <v>710.16430000000003</v>
      </c>
      <c r="F463">
        <v>380212818.0298</v>
      </c>
      <c r="G463">
        <v>328.76056299999999</v>
      </c>
      <c r="H463">
        <v>59.687466999999998</v>
      </c>
      <c r="I463">
        <v>186.78073599999999</v>
      </c>
      <c r="K463" s="4">
        <f>VLOOKUP(Table_Query_from_Cello_SQL_Server[[#This Row],[AsOfDate]], 'CMO MV Raw'!$A:$B,2,FALSE)</f>
        <v>232465221.35945201</v>
      </c>
      <c r="L463" s="5">
        <f>Table_Query_from_Cello_SQL_Server[[#This Row],[CMO MV]]/Table_Query_from_Cello_SQL_Server[[#This Row],[NAV]]*100</f>
        <v>61.140816494311892</v>
      </c>
    </row>
    <row r="464" spans="1:12" x14ac:dyDescent="0.2">
      <c r="A464" s="1">
        <v>41389</v>
      </c>
      <c r="B464">
        <v>1206.0989</v>
      </c>
      <c r="C464">
        <v>218.13159999999999</v>
      </c>
      <c r="D464">
        <v>712.6943</v>
      </c>
      <c r="F464">
        <v>377717896.11199999</v>
      </c>
      <c r="G464">
        <v>319.31208800000002</v>
      </c>
      <c r="H464">
        <v>57.749872000000003</v>
      </c>
      <c r="I464">
        <v>188.684282</v>
      </c>
      <c r="K464" s="4">
        <f>VLOOKUP(Table_Query_from_Cello_SQL_Server[[#This Row],[AsOfDate]], 'CMO MV Raw'!$A:$B,2,FALSE)</f>
        <v>226274309.22044301</v>
      </c>
      <c r="L464" s="5">
        <f>Table_Query_from_Cello_SQL_Server[[#This Row],[CMO MV]]/Table_Query_from_Cello_SQL_Server[[#This Row],[NAV]]*100</f>
        <v>59.905636335893576</v>
      </c>
    </row>
    <row r="465" spans="1:12" x14ac:dyDescent="0.2">
      <c r="A465" s="1">
        <v>41390</v>
      </c>
      <c r="B465">
        <v>1201.0926999999999</v>
      </c>
      <c r="C465">
        <v>213.95750000000001</v>
      </c>
      <c r="D465">
        <v>714.17089999999996</v>
      </c>
      <c r="F465">
        <v>378634941.86930001</v>
      </c>
      <c r="G465">
        <v>317.21654999999998</v>
      </c>
      <c r="H465">
        <v>56.507595000000002</v>
      </c>
      <c r="I465">
        <v>188.61727200000001</v>
      </c>
      <c r="K465" s="4">
        <f>VLOOKUP(Table_Query_from_Cello_SQL_Server[[#This Row],[AsOfDate]], 'CMO MV Raw'!$A:$B,2,FALSE)</f>
        <v>225387344.273646</v>
      </c>
      <c r="L465" s="5">
        <f>Table_Query_from_Cello_SQL_Server[[#This Row],[CMO MV]]/Table_Query_from_Cello_SQL_Server[[#This Row],[NAV]]*100</f>
        <v>59.526292835236227</v>
      </c>
    </row>
    <row r="466" spans="1:12" x14ac:dyDescent="0.2">
      <c r="A466" s="1">
        <v>41393</v>
      </c>
      <c r="B466">
        <v>1209.5098</v>
      </c>
      <c r="C466">
        <v>214.79689999999999</v>
      </c>
      <c r="D466">
        <v>712.71879999999999</v>
      </c>
      <c r="F466">
        <v>378312566.162</v>
      </c>
      <c r="G466">
        <v>319.71177</v>
      </c>
      <c r="H466">
        <v>56.777628</v>
      </c>
      <c r="I466">
        <v>188.39416499999999</v>
      </c>
      <c r="K466" s="4">
        <f>VLOOKUP(Table_Query_from_Cello_SQL_Server[[#This Row],[AsOfDate]], 'CMO MV Raw'!$A:$B,2,FALSE)</f>
        <v>225370469.813124</v>
      </c>
      <c r="L466" s="5">
        <f>Table_Query_from_Cello_SQL_Server[[#This Row],[CMO MV]]/Table_Query_from_Cello_SQL_Server[[#This Row],[NAV]]*100</f>
        <v>59.572557184530972</v>
      </c>
    </row>
    <row r="467" spans="1:12" x14ac:dyDescent="0.2">
      <c r="A467" s="1">
        <v>41394</v>
      </c>
      <c r="B467">
        <v>1219.0463</v>
      </c>
      <c r="C467">
        <v>214.3124</v>
      </c>
      <c r="D467">
        <v>711.64380000000006</v>
      </c>
      <c r="F467">
        <v>377307185.39179999</v>
      </c>
      <c r="G467">
        <v>323.09119700000002</v>
      </c>
      <c r="H467">
        <v>56.800508999999998</v>
      </c>
      <c r="I467">
        <v>188.61125000000001</v>
      </c>
      <c r="K467" s="4">
        <f>VLOOKUP(Table_Query_from_Cello_SQL_Server[[#This Row],[AsOfDate]], 'CMO MV Raw'!$A:$B,2,FALSE)</f>
        <v>224032345.48899201</v>
      </c>
      <c r="L467" s="5">
        <f>Table_Query_from_Cello_SQL_Server[[#This Row],[CMO MV]]/Table_Query_from_Cello_SQL_Server[[#This Row],[NAV]]*100</f>
        <v>59.376644326652382</v>
      </c>
    </row>
    <row r="468" spans="1:12" x14ac:dyDescent="0.2">
      <c r="A468" s="1">
        <v>41395</v>
      </c>
      <c r="B468">
        <v>1223.2195999999999</v>
      </c>
      <c r="C468">
        <v>211.31819999999999</v>
      </c>
      <c r="D468">
        <v>713.88130000000001</v>
      </c>
      <c r="F468">
        <v>387291085.45469999</v>
      </c>
      <c r="G468">
        <v>315.839854</v>
      </c>
      <c r="H468">
        <v>54.563146000000003</v>
      </c>
      <c r="I468">
        <v>184.326809</v>
      </c>
      <c r="K468" s="4">
        <f>VLOOKUP(Table_Query_from_Cello_SQL_Server[[#This Row],[AsOfDate]], 'CMO MV Raw'!$A:$B,2,FALSE)</f>
        <v>223230149.070104</v>
      </c>
      <c r="L468" s="5">
        <f>Table_Query_from_Cello_SQL_Server[[#This Row],[CMO MV]]/Table_Query_from_Cello_SQL_Server[[#This Row],[NAV]]*100</f>
        <v>57.638855489797848</v>
      </c>
    </row>
    <row r="469" spans="1:12" x14ac:dyDescent="0.2">
      <c r="A469" s="1">
        <v>41396</v>
      </c>
      <c r="B469">
        <v>1218.69</v>
      </c>
      <c r="C469">
        <v>214.4528</v>
      </c>
      <c r="D469">
        <v>713.76120000000003</v>
      </c>
      <c r="F469">
        <v>388579138.87029999</v>
      </c>
      <c r="G469">
        <v>313.62723299999999</v>
      </c>
      <c r="H469">
        <v>55.188963999999999</v>
      </c>
      <c r="I469">
        <v>183.684899</v>
      </c>
      <c r="K469" s="4">
        <f>VLOOKUP(Table_Query_from_Cello_SQL_Server[[#This Row],[AsOfDate]], 'CMO MV Raw'!$A:$B,2,FALSE)</f>
        <v>225631854.512288</v>
      </c>
      <c r="L469" s="5">
        <f>Table_Query_from_Cello_SQL_Server[[#This Row],[CMO MV]]/Table_Query_from_Cello_SQL_Server[[#This Row],[NAV]]*100</f>
        <v>58.065869199324013</v>
      </c>
    </row>
    <row r="470" spans="1:12" x14ac:dyDescent="0.2">
      <c r="A470" s="1">
        <v>41397</v>
      </c>
      <c r="B470">
        <v>1208.1595</v>
      </c>
      <c r="C470">
        <v>221.58949999999999</v>
      </c>
      <c r="D470">
        <v>501.3476</v>
      </c>
      <c r="F470">
        <v>387624879.59960002</v>
      </c>
      <c r="G470">
        <v>311.68265100000002</v>
      </c>
      <c r="H470">
        <v>57.165964000000002</v>
      </c>
      <c r="I470">
        <v>129.33834400000001</v>
      </c>
      <c r="K470" s="4">
        <f>VLOOKUP(Table_Query_from_Cello_SQL_Server[[#This Row],[AsOfDate]], 'CMO MV Raw'!$A:$B,2,FALSE)</f>
        <v>228451763.71996999</v>
      </c>
      <c r="L470" s="5">
        <f>Table_Query_from_Cello_SQL_Server[[#This Row],[CMO MV]]/Table_Query_from_Cello_SQL_Server[[#This Row],[NAV]]*100</f>
        <v>58.936300465530209</v>
      </c>
    </row>
    <row r="471" spans="1:12" x14ac:dyDescent="0.2">
      <c r="A471" s="1">
        <v>41400</v>
      </c>
      <c r="B471">
        <v>1183.2731000000001</v>
      </c>
      <c r="C471">
        <v>217.48949999999999</v>
      </c>
      <c r="D471">
        <v>400.08449999999999</v>
      </c>
      <c r="F471">
        <v>385146009.82450002</v>
      </c>
      <c r="G471">
        <v>307.227148</v>
      </c>
      <c r="H471">
        <v>56.469363000000001</v>
      </c>
      <c r="I471">
        <v>103.87865600000001</v>
      </c>
      <c r="K471" s="4">
        <f>VLOOKUP(Table_Query_from_Cello_SQL_Server[[#This Row],[AsOfDate]], 'CMO MV Raw'!$A:$B,2,FALSE)</f>
        <v>227207611.57085499</v>
      </c>
      <c r="L471" s="5">
        <f>Table_Query_from_Cello_SQL_Server[[#This Row],[CMO MV]]/Table_Query_from_Cello_SQL_Server[[#This Row],[NAV]]*100</f>
        <v>58.992591322544655</v>
      </c>
    </row>
    <row r="472" spans="1:12" x14ac:dyDescent="0.2">
      <c r="A472" s="1">
        <v>41401</v>
      </c>
      <c r="B472">
        <v>1153.8282999999999</v>
      </c>
      <c r="C472">
        <v>214.7013</v>
      </c>
      <c r="D472">
        <v>352.12360000000001</v>
      </c>
      <c r="F472">
        <v>383564912.88950002</v>
      </c>
      <c r="G472">
        <v>300.816957</v>
      </c>
      <c r="H472">
        <v>55.975219000000003</v>
      </c>
      <c r="I472">
        <v>91.802869999999999</v>
      </c>
      <c r="K472" s="4">
        <f>VLOOKUP(Table_Query_from_Cello_SQL_Server[[#This Row],[AsOfDate]], 'CMO MV Raw'!$A:$B,2,FALSE)</f>
        <v>226980556.64566699</v>
      </c>
      <c r="L472" s="5">
        <f>Table_Query_from_Cello_SQL_Server[[#This Row],[CMO MV]]/Table_Query_from_Cello_SQL_Server[[#This Row],[NAV]]*100</f>
        <v>59.176569341486427</v>
      </c>
    </row>
    <row r="473" spans="1:12" x14ac:dyDescent="0.2">
      <c r="A473" s="1">
        <v>41402</v>
      </c>
      <c r="B473">
        <v>1175.3154</v>
      </c>
      <c r="C473">
        <v>217.13980000000001</v>
      </c>
      <c r="D473">
        <v>352.0641</v>
      </c>
      <c r="F473">
        <v>383050190.13419998</v>
      </c>
      <c r="G473">
        <v>306.83065299999998</v>
      </c>
      <c r="H473">
        <v>56.687035999999999</v>
      </c>
      <c r="I473">
        <v>91.910696999999999</v>
      </c>
      <c r="K473" s="4">
        <f>VLOOKUP(Table_Query_from_Cello_SQL_Server[[#This Row],[AsOfDate]], 'CMO MV Raw'!$A:$B,2,FALSE)</f>
        <v>229142864.49825999</v>
      </c>
      <c r="L473" s="5">
        <f>Table_Query_from_Cello_SQL_Server[[#This Row],[CMO MV]]/Table_Query_from_Cello_SQL_Server[[#This Row],[NAV]]*100</f>
        <v>59.820584978167169</v>
      </c>
    </row>
    <row r="474" spans="1:12" x14ac:dyDescent="0.2">
      <c r="A474" s="1">
        <v>41403</v>
      </c>
      <c r="B474">
        <v>1189.1159</v>
      </c>
      <c r="C474">
        <v>220.52500000000001</v>
      </c>
      <c r="D474">
        <v>353.04059999999998</v>
      </c>
      <c r="F474">
        <v>382061743.33240002</v>
      </c>
      <c r="G474">
        <v>311.23657900000001</v>
      </c>
      <c r="H474">
        <v>57.719728000000003</v>
      </c>
      <c r="I474">
        <v>92.404070000000004</v>
      </c>
      <c r="K474" s="4">
        <f>VLOOKUP(Table_Query_from_Cello_SQL_Server[[#This Row],[AsOfDate]], 'CMO MV Raw'!$A:$B,2,FALSE)</f>
        <v>232054595.72747901</v>
      </c>
      <c r="L474" s="5">
        <f>Table_Query_from_Cello_SQL_Server[[#This Row],[CMO MV]]/Table_Query_from_Cello_SQL_Server[[#This Row],[NAV]]*100</f>
        <v>60.737459265998183</v>
      </c>
    </row>
    <row r="475" spans="1:12" x14ac:dyDescent="0.2">
      <c r="A475" s="1">
        <v>41404</v>
      </c>
      <c r="B475">
        <v>1147.6410000000001</v>
      </c>
      <c r="C475">
        <v>216.71270000000001</v>
      </c>
      <c r="D475">
        <v>351.39159999999998</v>
      </c>
      <c r="F475">
        <v>381614206.5363</v>
      </c>
      <c r="G475">
        <v>300.73330099999998</v>
      </c>
      <c r="H475">
        <v>56.788426000000001</v>
      </c>
      <c r="I475">
        <v>92.080325000000002</v>
      </c>
      <c r="K475" s="4">
        <f>VLOOKUP(Table_Query_from_Cello_SQL_Server[[#This Row],[AsOfDate]], 'CMO MV Raw'!$A:$B,2,FALSE)</f>
        <v>232579341.057531</v>
      </c>
      <c r="L475" s="5">
        <f>Table_Query_from_Cello_SQL_Server[[#This Row],[CMO MV]]/Table_Query_from_Cello_SQL_Server[[#This Row],[NAV]]*100</f>
        <v>60.946195679800383</v>
      </c>
    </row>
    <row r="476" spans="1:12" x14ac:dyDescent="0.2">
      <c r="A476" s="1">
        <v>41407</v>
      </c>
      <c r="B476">
        <v>1104.0751</v>
      </c>
      <c r="C476">
        <v>210.9965</v>
      </c>
      <c r="D476">
        <v>251.4975</v>
      </c>
      <c r="F476">
        <v>379585401.33200002</v>
      </c>
      <c r="G476">
        <v>290.86342500000001</v>
      </c>
      <c r="H476">
        <v>55.586041999999999</v>
      </c>
      <c r="I476">
        <v>66.255841000000004</v>
      </c>
      <c r="K476" s="4">
        <f>VLOOKUP(Table_Query_from_Cello_SQL_Server[[#This Row],[AsOfDate]], 'CMO MV Raw'!$A:$B,2,FALSE)</f>
        <v>230827476.753483</v>
      </c>
      <c r="L476" s="5">
        <f>Table_Query_from_Cello_SQL_Server[[#This Row],[CMO MV]]/Table_Query_from_Cello_SQL_Server[[#This Row],[NAV]]*100</f>
        <v>60.810419985459973</v>
      </c>
    </row>
    <row r="477" spans="1:12" x14ac:dyDescent="0.2">
      <c r="A477" s="1">
        <v>41408</v>
      </c>
      <c r="B477">
        <v>1097.6597999999999</v>
      </c>
      <c r="C477">
        <v>212.42920000000001</v>
      </c>
      <c r="D477">
        <v>200.5419</v>
      </c>
      <c r="F477">
        <v>379066511.33410001</v>
      </c>
      <c r="G477">
        <v>289.56918300000001</v>
      </c>
      <c r="H477">
        <v>56.040086000000002</v>
      </c>
      <c r="I477">
        <v>52.904145999999997</v>
      </c>
      <c r="K477" s="4">
        <f>VLOOKUP(Table_Query_from_Cello_SQL_Server[[#This Row],[AsOfDate]], 'CMO MV Raw'!$A:$B,2,FALSE)</f>
        <v>233093698.08771801</v>
      </c>
      <c r="L477" s="5">
        <f>Table_Query_from_Cello_SQL_Server[[#This Row],[CMO MV]]/Table_Query_from_Cello_SQL_Server[[#This Row],[NAV]]*100</f>
        <v>61.491503764698138</v>
      </c>
    </row>
    <row r="478" spans="1:12" x14ac:dyDescent="0.2">
      <c r="A478" s="1">
        <v>41409</v>
      </c>
      <c r="B478">
        <v>1111.4277999999999</v>
      </c>
      <c r="C478">
        <v>215.53049999999999</v>
      </c>
      <c r="D478">
        <v>152.56639999999999</v>
      </c>
      <c r="F478">
        <v>378353714.99309999</v>
      </c>
      <c r="G478">
        <v>293.75363700000003</v>
      </c>
      <c r="H478">
        <v>56.965344999999999</v>
      </c>
      <c r="I478">
        <v>40.323748000000002</v>
      </c>
      <c r="K478" s="4">
        <f>VLOOKUP(Table_Query_from_Cello_SQL_Server[[#This Row],[AsOfDate]], 'CMO MV Raw'!$A:$B,2,FALSE)</f>
        <v>240297357.50993699</v>
      </c>
      <c r="L478" s="5">
        <f>Table_Query_from_Cello_SQL_Server[[#This Row],[CMO MV]]/Table_Query_from_Cello_SQL_Server[[#This Row],[NAV]]*100</f>
        <v>63.511298551494143</v>
      </c>
    </row>
    <row r="479" spans="1:12" x14ac:dyDescent="0.2">
      <c r="A479" s="1">
        <v>41410</v>
      </c>
      <c r="B479">
        <v>1156.7243000000001</v>
      </c>
      <c r="C479">
        <v>218.8141</v>
      </c>
      <c r="D479">
        <v>154.4795</v>
      </c>
      <c r="F479">
        <v>375985811.93419999</v>
      </c>
      <c r="G479">
        <v>307.65105</v>
      </c>
      <c r="H479">
        <v>58.197434999999999</v>
      </c>
      <c r="I479">
        <v>41.086523999999997</v>
      </c>
      <c r="K479" s="4">
        <f>VLOOKUP(Table_Query_from_Cello_SQL_Server[[#This Row],[AsOfDate]], 'CMO MV Raw'!$A:$B,2,FALSE)</f>
        <v>244591834.92895499</v>
      </c>
      <c r="L479" s="5">
        <f>Table_Query_from_Cello_SQL_Server[[#This Row],[CMO MV]]/Table_Query_from_Cello_SQL_Server[[#This Row],[NAV]]*100</f>
        <v>65.05347466987935</v>
      </c>
    </row>
    <row r="480" spans="1:12" x14ac:dyDescent="0.2">
      <c r="A480" s="1">
        <v>41411</v>
      </c>
      <c r="B480">
        <v>1136.6946</v>
      </c>
      <c r="C480">
        <v>219.39019999999999</v>
      </c>
      <c r="D480">
        <v>152.20849999999999</v>
      </c>
      <c r="F480">
        <v>376102304.69889998</v>
      </c>
      <c r="G480">
        <v>302.23016100000001</v>
      </c>
      <c r="H480">
        <v>58.332585999999999</v>
      </c>
      <c r="I480">
        <v>40.469973000000003</v>
      </c>
      <c r="K480" s="4">
        <f>VLOOKUP(Table_Query_from_Cello_SQL_Server[[#This Row],[AsOfDate]], 'CMO MV Raw'!$A:$B,2,FALSE)</f>
        <v>245070568.58357501</v>
      </c>
      <c r="L480" s="5">
        <f>Table_Query_from_Cello_SQL_Server[[#This Row],[CMO MV]]/Table_Query_from_Cello_SQL_Server[[#This Row],[NAV]]*100</f>
        <v>65.160613354861951</v>
      </c>
    </row>
    <row r="481" spans="1:12" x14ac:dyDescent="0.2">
      <c r="A481" s="1">
        <v>41414</v>
      </c>
      <c r="B481">
        <v>1125.2045000000001</v>
      </c>
      <c r="C481">
        <v>217.97329999999999</v>
      </c>
      <c r="D481">
        <v>152.1311</v>
      </c>
      <c r="F481">
        <v>375541665.99760002</v>
      </c>
      <c r="G481">
        <v>299.62174700000003</v>
      </c>
      <c r="H481">
        <v>58.042374000000002</v>
      </c>
      <c r="I481">
        <v>40.509779000000002</v>
      </c>
      <c r="K481" s="4">
        <f>VLOOKUP(Table_Query_from_Cello_SQL_Server[[#This Row],[AsOfDate]], 'CMO MV Raw'!$A:$B,2,FALSE)</f>
        <v>244564450.176043</v>
      </c>
      <c r="L481" s="5">
        <f>Table_Query_from_Cello_SQL_Server[[#This Row],[CMO MV]]/Table_Query_from_Cello_SQL_Server[[#This Row],[NAV]]*100</f>
        <v>65.123120100768247</v>
      </c>
    </row>
    <row r="482" spans="1:12" x14ac:dyDescent="0.2">
      <c r="A482" s="1">
        <v>41415</v>
      </c>
      <c r="B482">
        <v>1132.8786</v>
      </c>
      <c r="C482">
        <v>217.78890000000001</v>
      </c>
      <c r="D482">
        <v>102.7115</v>
      </c>
      <c r="F482">
        <v>375331010.07679999</v>
      </c>
      <c r="G482">
        <v>301.83453300000002</v>
      </c>
      <c r="H482">
        <v>58.025821000000001</v>
      </c>
      <c r="I482">
        <v>27.365577999999999</v>
      </c>
      <c r="K482" s="4">
        <f>VLOOKUP(Table_Query_from_Cello_SQL_Server[[#This Row],[AsOfDate]], 'CMO MV Raw'!$A:$B,2,FALSE)</f>
        <v>243090195.441717</v>
      </c>
      <c r="L482" s="5">
        <f>Table_Query_from_Cello_SQL_Server[[#This Row],[CMO MV]]/Table_Query_from_Cello_SQL_Server[[#This Row],[NAV]]*100</f>
        <v>64.766882808850795</v>
      </c>
    </row>
    <row r="483" spans="1:12" x14ac:dyDescent="0.2">
      <c r="A483" s="1">
        <v>41416</v>
      </c>
      <c r="B483">
        <v>1086.0568000000001</v>
      </c>
      <c r="C483">
        <v>217.3604</v>
      </c>
      <c r="D483">
        <v>199.5976</v>
      </c>
      <c r="F483">
        <v>376547846.78799999</v>
      </c>
      <c r="G483">
        <v>288.42464799999999</v>
      </c>
      <c r="H483">
        <v>57.724510000000002</v>
      </c>
      <c r="I483">
        <v>53.007233999999997</v>
      </c>
      <c r="K483" s="4">
        <f>VLOOKUP(Table_Query_from_Cello_SQL_Server[[#This Row],[AsOfDate]], 'CMO MV Raw'!$A:$B,2,FALSE)</f>
        <v>245656192.70491499</v>
      </c>
      <c r="L483" s="5">
        <f>Table_Query_from_Cello_SQL_Server[[#This Row],[CMO MV]]/Table_Query_from_Cello_SQL_Server[[#This Row],[NAV]]*100</f>
        <v>65.23903796035296</v>
      </c>
    </row>
    <row r="484" spans="1:12" x14ac:dyDescent="0.2">
      <c r="A484" s="1">
        <v>41417</v>
      </c>
      <c r="B484">
        <v>1086.2322999999999</v>
      </c>
      <c r="C484">
        <v>218.84350000000001</v>
      </c>
      <c r="D484">
        <v>198.90520000000001</v>
      </c>
      <c r="F484">
        <v>377639443.64319998</v>
      </c>
      <c r="G484">
        <v>287.637406</v>
      </c>
      <c r="H484">
        <v>57.950381999999998</v>
      </c>
      <c r="I484">
        <v>52.670662999999998</v>
      </c>
      <c r="K484" s="4">
        <f>VLOOKUP(Table_Query_from_Cello_SQL_Server[[#This Row],[AsOfDate]], 'CMO MV Raw'!$A:$B,2,FALSE)</f>
        <v>247218516.31214699</v>
      </c>
      <c r="L484" s="5">
        <f>Table_Query_from_Cello_SQL_Server[[#This Row],[CMO MV]]/Table_Query_from_Cello_SQL_Server[[#This Row],[NAV]]*100</f>
        <v>65.464167070885509</v>
      </c>
    </row>
    <row r="485" spans="1:12" x14ac:dyDescent="0.2">
      <c r="A485" s="1">
        <v>41418</v>
      </c>
      <c r="B485">
        <v>1094.1491000000001</v>
      </c>
      <c r="C485">
        <v>219.77430000000001</v>
      </c>
      <c r="D485">
        <v>199.32409999999999</v>
      </c>
      <c r="F485">
        <v>378112559.19679999</v>
      </c>
      <c r="G485">
        <v>289.37126599999999</v>
      </c>
      <c r="H485">
        <v>58.124040999999998</v>
      </c>
      <c r="I485">
        <v>52.715546000000003</v>
      </c>
      <c r="K485" s="4">
        <f>VLOOKUP(Table_Query_from_Cello_SQL_Server[[#This Row],[AsOfDate]], 'CMO MV Raw'!$A:$B,2,FALSE)</f>
        <v>247331527.503501</v>
      </c>
      <c r="L485" s="5">
        <f>Table_Query_from_Cello_SQL_Server[[#This Row],[CMO MV]]/Table_Query_from_Cello_SQL_Server[[#This Row],[NAV]]*100</f>
        <v>65.41214288911516</v>
      </c>
    </row>
    <row r="486" spans="1:12" x14ac:dyDescent="0.2">
      <c r="A486" s="1">
        <v>41422</v>
      </c>
      <c r="B486">
        <v>1064.6858</v>
      </c>
      <c r="C486">
        <v>216.77770000000001</v>
      </c>
      <c r="D486">
        <v>197.928</v>
      </c>
      <c r="F486">
        <v>380548184.14999998</v>
      </c>
      <c r="G486">
        <v>279.77686999999997</v>
      </c>
      <c r="H486">
        <v>56.964587000000002</v>
      </c>
      <c r="I486">
        <v>52.011285000000001</v>
      </c>
      <c r="K486" s="4">
        <f>VLOOKUP(Table_Query_from_Cello_SQL_Server[[#This Row],[AsOfDate]], 'CMO MV Raw'!$A:$B,2,FALSE)</f>
        <v>245882432.681122</v>
      </c>
      <c r="L486" s="5">
        <f>Table_Query_from_Cello_SQL_Server[[#This Row],[CMO MV]]/Table_Query_from_Cello_SQL_Server[[#This Row],[NAV]]*100</f>
        <v>64.61269371980579</v>
      </c>
    </row>
    <row r="487" spans="1:12" x14ac:dyDescent="0.2">
      <c r="A487" s="1">
        <v>41423</v>
      </c>
      <c r="B487">
        <v>1071.5318</v>
      </c>
      <c r="C487">
        <v>216.92140000000001</v>
      </c>
      <c r="D487">
        <v>198.33580000000001</v>
      </c>
      <c r="F487">
        <v>381016894.62330002</v>
      </c>
      <c r="G487">
        <v>281.22947199999999</v>
      </c>
      <c r="H487">
        <v>56.932226</v>
      </c>
      <c r="I487">
        <v>52.054332000000002</v>
      </c>
      <c r="K487" s="4">
        <f>VLOOKUP(Table_Query_from_Cello_SQL_Server[[#This Row],[AsOfDate]], 'CMO MV Raw'!$A:$B,2,FALSE)</f>
        <v>245617656.71412501</v>
      </c>
      <c r="L487" s="5">
        <f>Table_Query_from_Cello_SQL_Server[[#This Row],[CMO MV]]/Table_Query_from_Cello_SQL_Server[[#This Row],[NAV]]*100</f>
        <v>64.463718060838175</v>
      </c>
    </row>
    <row r="488" spans="1:12" x14ac:dyDescent="0.2">
      <c r="A488" s="1">
        <v>41424</v>
      </c>
      <c r="B488">
        <v>1084.0301999999999</v>
      </c>
      <c r="C488">
        <v>218.858</v>
      </c>
      <c r="D488">
        <v>595.75969999999995</v>
      </c>
      <c r="F488">
        <v>380215014.83990002</v>
      </c>
      <c r="G488">
        <v>285.109782</v>
      </c>
      <c r="H488">
        <v>57.561641000000002</v>
      </c>
      <c r="I488">
        <v>156.69020900000001</v>
      </c>
      <c r="K488" s="4">
        <f>VLOOKUP(Table_Query_from_Cello_SQL_Server[[#This Row],[AsOfDate]], 'CMO MV Raw'!$A:$B,2,FALSE)</f>
        <v>248133095.68386599</v>
      </c>
      <c r="L488" s="5">
        <f>Table_Query_from_Cello_SQL_Server[[#This Row],[CMO MV]]/Table_Query_from_Cello_SQL_Server[[#This Row],[NAV]]*100</f>
        <v>65.261256394187711</v>
      </c>
    </row>
    <row r="489" spans="1:12" x14ac:dyDescent="0.2">
      <c r="A489" s="1">
        <v>41425</v>
      </c>
      <c r="B489">
        <v>1081.7657999999999</v>
      </c>
      <c r="C489">
        <v>220.10650000000001</v>
      </c>
      <c r="D489">
        <v>715.14509999999996</v>
      </c>
      <c r="F489">
        <v>381109937.89459997</v>
      </c>
      <c r="G489">
        <v>283.84612700000002</v>
      </c>
      <c r="H489">
        <v>57.754069999999999</v>
      </c>
      <c r="I489">
        <v>187.64797999999999</v>
      </c>
      <c r="K489" s="4">
        <f>VLOOKUP(Table_Query_from_Cello_SQL_Server[[#This Row],[AsOfDate]], 'CMO MV Raw'!$A:$B,2,FALSE)</f>
        <v>251217898.864885</v>
      </c>
      <c r="L489" s="5">
        <f>Table_Query_from_Cello_SQL_Server[[#This Row],[CMO MV]]/Table_Query_from_Cello_SQL_Server[[#This Row],[NAV]]*100</f>
        <v>65.917435859245941</v>
      </c>
    </row>
    <row r="490" spans="1:12" x14ac:dyDescent="0.2">
      <c r="A490" s="1">
        <v>41428</v>
      </c>
      <c r="B490">
        <v>1065.8687</v>
      </c>
      <c r="C490">
        <v>217.2901</v>
      </c>
      <c r="D490">
        <v>715.56849999999997</v>
      </c>
      <c r="F490">
        <v>379587468.71969998</v>
      </c>
      <c r="G490">
        <v>280.79659800000002</v>
      </c>
      <c r="H490">
        <v>57.243749999999999</v>
      </c>
      <c r="I490">
        <v>188.51214999999999</v>
      </c>
      <c r="K490" s="4">
        <f>VLOOKUP(Table_Query_from_Cello_SQL_Server[[#This Row],[AsOfDate]], 'CMO MV Raw'!$A:$B,2,FALSE)</f>
        <v>249992287.18285701</v>
      </c>
      <c r="L490" s="5">
        <f>Table_Query_from_Cello_SQL_Server[[#This Row],[CMO MV]]/Table_Query_from_Cello_SQL_Server[[#This Row],[NAV]]*100</f>
        <v>65.858941030389929</v>
      </c>
    </row>
    <row r="491" spans="1:12" x14ac:dyDescent="0.2">
      <c r="A491" s="1">
        <v>41429</v>
      </c>
      <c r="B491">
        <v>1076.2112999999999</v>
      </c>
      <c r="C491">
        <v>218.47819999999999</v>
      </c>
      <c r="D491">
        <v>714.76930000000004</v>
      </c>
      <c r="F491">
        <v>378168298.53920001</v>
      </c>
      <c r="G491">
        <v>284.58527700000002</v>
      </c>
      <c r="H491">
        <v>57.772742999999998</v>
      </c>
      <c r="I491">
        <v>189.00825399999999</v>
      </c>
      <c r="K491" s="4">
        <f>VLOOKUP(Table_Query_from_Cello_SQL_Server[[#This Row],[AsOfDate]], 'CMO MV Raw'!$A:$B,2,FALSE)</f>
        <v>250420119.926496</v>
      </c>
      <c r="L491" s="5">
        <f>Table_Query_from_Cello_SQL_Server[[#This Row],[CMO MV]]/Table_Query_from_Cello_SQL_Server[[#This Row],[NAV]]*100</f>
        <v>66.219225909159078</v>
      </c>
    </row>
    <row r="492" spans="1:12" x14ac:dyDescent="0.2">
      <c r="A492" s="1">
        <v>41430</v>
      </c>
      <c r="B492">
        <v>1098.0488</v>
      </c>
      <c r="C492">
        <v>219.74019999999999</v>
      </c>
      <c r="D492">
        <v>715.44809999999995</v>
      </c>
      <c r="F492">
        <v>378415332.43110001</v>
      </c>
      <c r="G492">
        <v>290.17027200000001</v>
      </c>
      <c r="H492">
        <v>58.068523999999996</v>
      </c>
      <c r="I492">
        <v>189.06424699999999</v>
      </c>
      <c r="K492" s="4">
        <f>VLOOKUP(Table_Query_from_Cello_SQL_Server[[#This Row],[AsOfDate]], 'CMO MV Raw'!$A:$B,2,FALSE)</f>
        <v>249723491.36884201</v>
      </c>
      <c r="L492" s="5">
        <f>Table_Query_from_Cello_SQL_Server[[#This Row],[CMO MV]]/Table_Query_from_Cello_SQL_Server[[#This Row],[NAV]]*100</f>
        <v>65.991906238183532</v>
      </c>
    </row>
    <row r="493" spans="1:12" x14ac:dyDescent="0.2">
      <c r="A493" s="1">
        <v>41431</v>
      </c>
      <c r="B493">
        <v>1105.8178</v>
      </c>
      <c r="C493">
        <v>221.56620000000001</v>
      </c>
      <c r="D493">
        <v>711.37720000000002</v>
      </c>
      <c r="F493">
        <v>378941420.45910001</v>
      </c>
      <c r="G493">
        <v>291.817611</v>
      </c>
      <c r="H493">
        <v>58.469776000000003</v>
      </c>
      <c r="I493">
        <v>187.727485</v>
      </c>
      <c r="K493" s="4">
        <f>VLOOKUP(Table_Query_from_Cello_SQL_Server[[#This Row],[AsOfDate]], 'CMO MV Raw'!$A:$B,2,FALSE)</f>
        <v>248436913.31112</v>
      </c>
      <c r="L493" s="5">
        <f>Table_Query_from_Cello_SQL_Server[[#This Row],[CMO MV]]/Table_Query_from_Cello_SQL_Server[[#This Row],[NAV]]*100</f>
        <v>65.560770055205495</v>
      </c>
    </row>
    <row r="494" spans="1:12" x14ac:dyDescent="0.2">
      <c r="A494" s="1">
        <v>41432</v>
      </c>
      <c r="B494">
        <v>1102.7873999999999</v>
      </c>
      <c r="C494">
        <v>224.6866</v>
      </c>
      <c r="D494">
        <v>658.63589999999999</v>
      </c>
      <c r="F494">
        <v>379221370.36500001</v>
      </c>
      <c r="G494">
        <v>290.80307299999998</v>
      </c>
      <c r="H494">
        <v>59.249456000000002</v>
      </c>
      <c r="I494">
        <v>173.68111400000001</v>
      </c>
      <c r="K494" s="4">
        <f>VLOOKUP(Table_Query_from_Cello_SQL_Server[[#This Row],[AsOfDate]], 'CMO MV Raw'!$A:$B,2,FALSE)</f>
        <v>251125869.95699701</v>
      </c>
      <c r="L494" s="5">
        <f>Table_Query_from_Cello_SQL_Server[[#This Row],[CMO MV]]/Table_Query_from_Cello_SQL_Server[[#This Row],[NAV]]*100</f>
        <v>66.221444671034419</v>
      </c>
    </row>
    <row r="495" spans="1:12" x14ac:dyDescent="0.2">
      <c r="A495" s="1">
        <v>41435</v>
      </c>
      <c r="B495">
        <v>1091.3823</v>
      </c>
      <c r="C495">
        <v>224.15610000000001</v>
      </c>
      <c r="D495">
        <v>658.3587</v>
      </c>
      <c r="F495">
        <v>378999586.79979998</v>
      </c>
      <c r="G495">
        <v>287.96398199999999</v>
      </c>
      <c r="H495">
        <v>59.144154</v>
      </c>
      <c r="I495">
        <v>173.709609</v>
      </c>
      <c r="K495" s="4">
        <f>VLOOKUP(Table_Query_from_Cello_SQL_Server[[#This Row],[AsOfDate]], 'CMO MV Raw'!$A:$B,2,FALSE)</f>
        <v>251397031.88642699</v>
      </c>
      <c r="L495" s="5">
        <f>Table_Query_from_Cello_SQL_Server[[#This Row],[CMO MV]]/Table_Query_from_Cello_SQL_Server[[#This Row],[NAV]]*100</f>
        <v>66.331742999821046</v>
      </c>
    </row>
    <row r="496" spans="1:12" x14ac:dyDescent="0.2">
      <c r="A496" s="1">
        <v>41436</v>
      </c>
      <c r="B496">
        <v>1080.2573</v>
      </c>
      <c r="C496">
        <v>220.61109999999999</v>
      </c>
      <c r="D496">
        <v>714.2278</v>
      </c>
      <c r="F496">
        <v>380684752.77109998</v>
      </c>
      <c r="G496">
        <v>283.76689399999998</v>
      </c>
      <c r="H496">
        <v>57.951126000000002</v>
      </c>
      <c r="I496">
        <v>187.616603</v>
      </c>
      <c r="K496" s="4">
        <f>VLOOKUP(Table_Query_from_Cello_SQL_Server[[#This Row],[AsOfDate]], 'CMO MV Raw'!$A:$B,2,FALSE)</f>
        <v>250181078.986821</v>
      </c>
      <c r="L496" s="5">
        <f>Table_Query_from_Cello_SQL_Server[[#This Row],[CMO MV]]/Table_Query_from_Cello_SQL_Server[[#This Row],[NAV]]*100</f>
        <v>65.718702197997175</v>
      </c>
    </row>
    <row r="497" spans="1:12" x14ac:dyDescent="0.2">
      <c r="A497" s="1">
        <v>41437</v>
      </c>
      <c r="B497">
        <v>1078.9378999999999</v>
      </c>
      <c r="C497">
        <v>221.27189999999999</v>
      </c>
      <c r="D497">
        <v>713.577</v>
      </c>
      <c r="F497">
        <v>379662493.10659999</v>
      </c>
      <c r="G497">
        <v>284.18343099999998</v>
      </c>
      <c r="H497">
        <v>58.281210999999999</v>
      </c>
      <c r="I497">
        <v>187.950354</v>
      </c>
      <c r="K497" s="4">
        <f>VLOOKUP(Table_Query_from_Cello_SQL_Server[[#This Row],[AsOfDate]], 'CMO MV Raw'!$A:$B,2,FALSE)</f>
        <v>250970463.91898599</v>
      </c>
      <c r="L497" s="5">
        <f>Table_Query_from_Cello_SQL_Server[[#This Row],[CMO MV]]/Table_Query_from_Cello_SQL_Server[[#This Row],[NAV]]*100</f>
        <v>66.103570533241907</v>
      </c>
    </row>
    <row r="498" spans="1:12" x14ac:dyDescent="0.2">
      <c r="A498" s="1">
        <v>41438</v>
      </c>
      <c r="B498">
        <v>1089.6921</v>
      </c>
      <c r="C498">
        <v>222.20490000000001</v>
      </c>
      <c r="D498">
        <v>714.68560000000002</v>
      </c>
      <c r="F498">
        <v>381904039.21569997</v>
      </c>
      <c r="G498">
        <v>285.331389</v>
      </c>
      <c r="H498">
        <v>58.183438000000002</v>
      </c>
      <c r="I498">
        <v>187.13748100000001</v>
      </c>
      <c r="K498" s="4">
        <f>VLOOKUP(Table_Query_from_Cello_SQL_Server[[#This Row],[AsOfDate]], 'CMO MV Raw'!$A:$B,2,FALSE)</f>
        <v>250849215.643769</v>
      </c>
      <c r="L498" s="5">
        <f>Table_Query_from_Cello_SQL_Server[[#This Row],[CMO MV]]/Table_Query_from_Cello_SQL_Server[[#This Row],[NAV]]*100</f>
        <v>65.683834127265925</v>
      </c>
    </row>
    <row r="499" spans="1:12" x14ac:dyDescent="0.2">
      <c r="A499" s="1">
        <v>41439</v>
      </c>
      <c r="B499">
        <v>1175.6113</v>
      </c>
      <c r="C499">
        <v>238.74029999999999</v>
      </c>
      <c r="D499">
        <v>772.45479999999998</v>
      </c>
      <c r="F499">
        <v>383333184.93400002</v>
      </c>
      <c r="G499">
        <v>306.68132700000001</v>
      </c>
      <c r="H499">
        <v>62.280101999999999</v>
      </c>
      <c r="I499">
        <v>201.51002600000001</v>
      </c>
      <c r="K499" s="4">
        <f>VLOOKUP(Table_Query_from_Cello_SQL_Server[[#This Row],[AsOfDate]], 'CMO MV Raw'!$A:$B,2,FALSE)</f>
        <v>262253521.81451499</v>
      </c>
      <c r="L499" s="5">
        <f>Table_Query_from_Cello_SQL_Server[[#This Row],[CMO MV]]/Table_Query_from_Cello_SQL_Server[[#This Row],[NAV]]*100</f>
        <v>68.413988697500386</v>
      </c>
    </row>
    <row r="500" spans="1:12" x14ac:dyDescent="0.2">
      <c r="A500" s="1">
        <v>41442</v>
      </c>
      <c r="B500">
        <v>1198.2684999999999</v>
      </c>
      <c r="C500">
        <v>245.3083</v>
      </c>
      <c r="D500">
        <v>767.65200000000004</v>
      </c>
      <c r="F500">
        <v>381037161.64139998</v>
      </c>
      <c r="G500">
        <v>314.47549500000002</v>
      </c>
      <c r="H500">
        <v>64.379101000000006</v>
      </c>
      <c r="I500">
        <v>201.46381400000001</v>
      </c>
      <c r="K500" s="4">
        <f>VLOOKUP(Table_Query_from_Cello_SQL_Server[[#This Row],[AsOfDate]], 'CMO MV Raw'!$A:$B,2,FALSE)</f>
        <v>263391976.27873799</v>
      </c>
      <c r="L500" s="5">
        <f>Table_Query_from_Cello_SQL_Server[[#This Row],[CMO MV]]/Table_Query_from_Cello_SQL_Server[[#This Row],[NAV]]*100</f>
        <v>69.125010049969944</v>
      </c>
    </row>
    <row r="501" spans="1:12" x14ac:dyDescent="0.2">
      <c r="A501" s="1">
        <v>41443</v>
      </c>
      <c r="B501">
        <v>1198.5576000000001</v>
      </c>
      <c r="C501">
        <v>246.21279999999999</v>
      </c>
      <c r="D501">
        <v>767.01840000000004</v>
      </c>
      <c r="F501">
        <v>381855100.62730002</v>
      </c>
      <c r="G501">
        <v>313.87759299999999</v>
      </c>
      <c r="H501">
        <v>64.478070000000002</v>
      </c>
      <c r="I501">
        <v>200.86634900000001</v>
      </c>
      <c r="K501" s="4">
        <f>VLOOKUP(Table_Query_from_Cello_SQL_Server[[#This Row],[AsOfDate]], 'CMO MV Raw'!$A:$B,2,FALSE)</f>
        <v>264114153.54069501</v>
      </c>
      <c r="L501" s="5">
        <f>Table_Query_from_Cello_SQL_Server[[#This Row],[CMO MV]]/Table_Query_from_Cello_SQL_Server[[#This Row],[NAV]]*100</f>
        <v>69.166066685194522</v>
      </c>
    </row>
    <row r="502" spans="1:12" x14ac:dyDescent="0.2">
      <c r="A502" s="1">
        <v>41444</v>
      </c>
      <c r="B502">
        <v>1192.1547</v>
      </c>
      <c r="C502">
        <v>249.46459999999999</v>
      </c>
      <c r="D502">
        <v>580.53560000000004</v>
      </c>
      <c r="F502">
        <v>380749352.53570002</v>
      </c>
      <c r="G502">
        <v>313.10747900000001</v>
      </c>
      <c r="H502">
        <v>65.519375999999994</v>
      </c>
      <c r="I502">
        <v>152.47185500000001</v>
      </c>
      <c r="K502" s="4">
        <f>VLOOKUP(Table_Query_from_Cello_SQL_Server[[#This Row],[AsOfDate]], 'CMO MV Raw'!$A:$B,2,FALSE)</f>
        <v>267755246.57460001</v>
      </c>
      <c r="L502" s="5">
        <f>Table_Query_from_Cello_SQL_Server[[#This Row],[CMO MV]]/Table_Query_from_Cello_SQL_Server[[#This Row],[NAV]]*100</f>
        <v>70.323230963208161</v>
      </c>
    </row>
    <row r="503" spans="1:12" x14ac:dyDescent="0.2">
      <c r="A503" s="1">
        <v>41445</v>
      </c>
      <c r="B503">
        <v>1223.6903</v>
      </c>
      <c r="C503">
        <v>256.36489999999998</v>
      </c>
      <c r="D503">
        <v>527.68389999999999</v>
      </c>
      <c r="F503">
        <v>380719931.64719999</v>
      </c>
      <c r="G503">
        <v>321.41482400000001</v>
      </c>
      <c r="H503">
        <v>67.336873999999995</v>
      </c>
      <c r="I503">
        <v>138.601596</v>
      </c>
      <c r="K503" s="4">
        <f>VLOOKUP(Table_Query_from_Cello_SQL_Server[[#This Row],[AsOfDate]], 'CMO MV Raw'!$A:$B,2,FALSE)</f>
        <v>272972851.69490498</v>
      </c>
      <c r="L503" s="5">
        <f>Table_Query_from_Cello_SQL_Server[[#This Row],[CMO MV]]/Table_Query_from_Cello_SQL_Server[[#This Row],[NAV]]*100</f>
        <v>71.6991228995753</v>
      </c>
    </row>
    <row r="504" spans="1:12" x14ac:dyDescent="0.2">
      <c r="A504" s="1">
        <v>41446</v>
      </c>
      <c r="B504">
        <v>1240.0468000000001</v>
      </c>
      <c r="C504">
        <v>260.8809</v>
      </c>
      <c r="D504">
        <v>474.92599999999999</v>
      </c>
      <c r="F504">
        <v>380293011.25209999</v>
      </c>
      <c r="G504">
        <v>326.07667300000003</v>
      </c>
      <c r="H504">
        <v>68.599971999999994</v>
      </c>
      <c r="I504">
        <v>124.88423</v>
      </c>
      <c r="K504" s="4">
        <f>VLOOKUP(Table_Query_from_Cello_SQL_Server[[#This Row],[AsOfDate]], 'CMO MV Raw'!$A:$B,2,FALSE)</f>
        <v>277783763.16250902</v>
      </c>
      <c r="L504" s="5">
        <f>Table_Query_from_Cello_SQL_Server[[#This Row],[CMO MV]]/Table_Query_from_Cello_SQL_Server[[#This Row],[NAV]]*100</f>
        <v>73.044666860407645</v>
      </c>
    </row>
    <row r="505" spans="1:12" x14ac:dyDescent="0.2">
      <c r="A505" s="1">
        <v>41449</v>
      </c>
      <c r="B505">
        <v>1246.9249</v>
      </c>
      <c r="C505">
        <v>262.43090000000001</v>
      </c>
      <c r="D505">
        <v>473.80189999999999</v>
      </c>
      <c r="F505">
        <v>380707212.04070002</v>
      </c>
      <c r="G505">
        <v>327.52857299999999</v>
      </c>
      <c r="H505">
        <v>68.932473999999999</v>
      </c>
      <c r="I505">
        <v>124.453093</v>
      </c>
      <c r="K505" s="4">
        <f>VLOOKUP(Table_Query_from_Cello_SQL_Server[[#This Row],[AsOfDate]], 'CMO MV Raw'!$A:$B,2,FALSE)</f>
        <v>279320868.22633499</v>
      </c>
      <c r="L505" s="5">
        <f>Table_Query_from_Cello_SQL_Server[[#This Row],[CMO MV]]/Table_Query_from_Cello_SQL_Server[[#This Row],[NAV]]*100</f>
        <v>73.368945843997778</v>
      </c>
    </row>
    <row r="506" spans="1:12" x14ac:dyDescent="0.2">
      <c r="A506" s="1">
        <v>41450</v>
      </c>
      <c r="B506">
        <v>1119.6224</v>
      </c>
      <c r="C506">
        <v>243.82140000000001</v>
      </c>
      <c r="D506">
        <v>615.38720000000001</v>
      </c>
      <c r="F506">
        <v>380653690.23769999</v>
      </c>
      <c r="G506">
        <v>294.13149800000002</v>
      </c>
      <c r="H506">
        <v>64.053338999999994</v>
      </c>
      <c r="I506">
        <v>161.665896</v>
      </c>
      <c r="K506" s="4">
        <f>VLOOKUP(Table_Query_from_Cello_SQL_Server[[#This Row],[AsOfDate]], 'CMO MV Raw'!$A:$B,2,FALSE)</f>
        <v>270997517.01587301</v>
      </c>
      <c r="L506" s="5">
        <f>Table_Query_from_Cello_SQL_Server[[#This Row],[CMO MV]]/Table_Query_from_Cello_SQL_Server[[#This Row],[NAV]]*100</f>
        <v>71.19266776230333</v>
      </c>
    </row>
    <row r="507" spans="1:12" x14ac:dyDescent="0.2">
      <c r="A507" s="1">
        <v>41451</v>
      </c>
      <c r="B507">
        <v>1124.1596</v>
      </c>
      <c r="C507">
        <v>242.98390000000001</v>
      </c>
      <c r="D507">
        <v>566.84100000000001</v>
      </c>
      <c r="F507">
        <v>381119741.26539999</v>
      </c>
      <c r="G507">
        <v>294.962312</v>
      </c>
      <c r="H507">
        <v>63.755265000000001</v>
      </c>
      <c r="I507">
        <v>148.730422</v>
      </c>
      <c r="K507" s="4">
        <f>VLOOKUP(Table_Query_from_Cello_SQL_Server[[#This Row],[AsOfDate]], 'CMO MV Raw'!$A:$B,2,FALSE)</f>
        <v>269437437.42731601</v>
      </c>
      <c r="L507" s="5">
        <f>Table_Query_from_Cello_SQL_Server[[#This Row],[CMO MV]]/Table_Query_from_Cello_SQL_Server[[#This Row],[NAV]]*100</f>
        <v>70.696268981692057</v>
      </c>
    </row>
    <row r="508" spans="1:12" x14ac:dyDescent="0.2">
      <c r="A508" s="1">
        <v>41452</v>
      </c>
      <c r="B508">
        <v>1146.6862000000001</v>
      </c>
      <c r="C508">
        <v>243.1275</v>
      </c>
      <c r="D508">
        <v>571.10230000000001</v>
      </c>
      <c r="F508">
        <v>382371772.8488</v>
      </c>
      <c r="G508">
        <v>299.88777499999998</v>
      </c>
      <c r="H508">
        <v>63.584060999999998</v>
      </c>
      <c r="I508">
        <v>149.35786100000001</v>
      </c>
      <c r="K508" s="4">
        <f>VLOOKUP(Table_Query_from_Cello_SQL_Server[[#This Row],[AsOfDate]], 'CMO MV Raw'!$A:$B,2,FALSE)</f>
        <v>266110478.38997999</v>
      </c>
      <c r="L508" s="5">
        <f>Table_Query_from_Cello_SQL_Server[[#This Row],[CMO MV]]/Table_Query_from_Cello_SQL_Server[[#This Row],[NAV]]*100</f>
        <v>69.594697434741647</v>
      </c>
    </row>
    <row r="509" spans="1:12" x14ac:dyDescent="0.2">
      <c r="A509" s="1">
        <v>41453</v>
      </c>
      <c r="B509">
        <v>1142.5931</v>
      </c>
      <c r="C509">
        <v>242.0558</v>
      </c>
      <c r="D509">
        <v>622.74649999999997</v>
      </c>
      <c r="F509">
        <v>384584336.54350001</v>
      </c>
      <c r="G509">
        <v>297.09818899999999</v>
      </c>
      <c r="H509">
        <v>62.939588999999998</v>
      </c>
      <c r="I509">
        <v>161.92716200000001</v>
      </c>
      <c r="K509" s="4">
        <f>VLOOKUP(Table_Query_from_Cello_SQL_Server[[#This Row],[AsOfDate]], 'CMO MV Raw'!$A:$B,2,FALSE)</f>
        <v>291289055.71758401</v>
      </c>
      <c r="L509" s="5">
        <f>Table_Query_from_Cello_SQL_Server[[#This Row],[CMO MV]]/Table_Query_from_Cello_SQL_Server[[#This Row],[NAV]]*100</f>
        <v>75.741268699495407</v>
      </c>
    </row>
    <row r="510" spans="1:12" x14ac:dyDescent="0.2">
      <c r="A510" s="1">
        <v>41456</v>
      </c>
      <c r="B510">
        <v>1138.0512000000001</v>
      </c>
      <c r="C510">
        <v>243.34469999999999</v>
      </c>
      <c r="D510">
        <v>621.13980000000004</v>
      </c>
      <c r="F510">
        <v>344115414.54820001</v>
      </c>
      <c r="G510">
        <v>330.71787899999998</v>
      </c>
      <c r="H510">
        <v>70.716013000000004</v>
      </c>
      <c r="I510">
        <v>180.50333499999999</v>
      </c>
      <c r="K510" s="4">
        <f>VLOOKUP(Table_Query_from_Cello_SQL_Server[[#This Row],[AsOfDate]], 'CMO MV Raw'!$A:$B,2,FALSE)</f>
        <v>266471022.40197799</v>
      </c>
      <c r="L510" s="5">
        <f>Table_Query_from_Cello_SQL_Server[[#This Row],[CMO MV]]/Table_Query_from_Cello_SQL_Server[[#This Row],[NAV]]*100</f>
        <v>77.436525984119669</v>
      </c>
    </row>
    <row r="511" spans="1:12" x14ac:dyDescent="0.2">
      <c r="A511" s="1">
        <v>41457</v>
      </c>
      <c r="B511">
        <v>1128.6974</v>
      </c>
      <c r="C511">
        <v>242.8518</v>
      </c>
      <c r="D511">
        <v>621.02639999999997</v>
      </c>
      <c r="F511">
        <v>344477964.7252</v>
      </c>
      <c r="G511">
        <v>327.65445599999998</v>
      </c>
      <c r="H511">
        <v>70.498501000000005</v>
      </c>
      <c r="I511">
        <v>180.28044299999999</v>
      </c>
      <c r="K511" s="4">
        <f>VLOOKUP(Table_Query_from_Cello_SQL_Server[[#This Row],[AsOfDate]], 'CMO MV Raw'!$A:$B,2,FALSE)</f>
        <v>267169499.171992</v>
      </c>
      <c r="L511" s="5">
        <f>Table_Query_from_Cello_SQL_Server[[#This Row],[CMO MV]]/Table_Query_from_Cello_SQL_Server[[#This Row],[NAV]]*100</f>
        <v>77.557790782095694</v>
      </c>
    </row>
    <row r="512" spans="1:12" x14ac:dyDescent="0.2">
      <c r="A512" s="1">
        <v>41458</v>
      </c>
      <c r="B512">
        <v>1122.0582999999999</v>
      </c>
      <c r="C512">
        <v>243.40350000000001</v>
      </c>
      <c r="D512">
        <v>618.94629999999995</v>
      </c>
      <c r="F512">
        <v>344468398.8197</v>
      </c>
      <c r="G512">
        <v>325.73620799999998</v>
      </c>
      <c r="H512">
        <v>70.660617999999999</v>
      </c>
      <c r="I512">
        <v>179.681591</v>
      </c>
      <c r="K512" s="4">
        <f>VLOOKUP(Table_Query_from_Cello_SQL_Server[[#This Row],[AsOfDate]], 'CMO MV Raw'!$A:$B,2,FALSE)</f>
        <v>269043378.11245698</v>
      </c>
      <c r="L512" s="5">
        <f>Table_Query_from_Cello_SQL_Server[[#This Row],[CMO MV]]/Table_Query_from_Cello_SQL_Server[[#This Row],[NAV]]*100</f>
        <v>78.103936103955462</v>
      </c>
    </row>
    <row r="513" spans="1:12" x14ac:dyDescent="0.2">
      <c r="A513" s="1">
        <v>41460</v>
      </c>
      <c r="B513">
        <v>1122.2793999999999</v>
      </c>
      <c r="C513">
        <v>251.488</v>
      </c>
      <c r="D513">
        <v>574.95280000000002</v>
      </c>
      <c r="F513">
        <v>338467283.0262</v>
      </c>
      <c r="G513">
        <v>331.57692200000002</v>
      </c>
      <c r="H513">
        <v>74.302012000000005</v>
      </c>
      <c r="I513">
        <v>169.86953500000001</v>
      </c>
      <c r="K513" s="4">
        <f>VLOOKUP(Table_Query_from_Cello_SQL_Server[[#This Row],[AsOfDate]], 'CMO MV Raw'!$A:$B,2,FALSE)</f>
        <v>277036939.763771</v>
      </c>
      <c r="L513" s="5">
        <f>Table_Query_from_Cello_SQL_Server[[#This Row],[CMO MV]]/Table_Query_from_Cello_SQL_Server[[#This Row],[NAV]]*100</f>
        <v>81.850433899197924</v>
      </c>
    </row>
    <row r="514" spans="1:12" x14ac:dyDescent="0.2">
      <c r="A514" s="1">
        <v>41463</v>
      </c>
      <c r="B514">
        <v>1132.1713999999999</v>
      </c>
      <c r="C514">
        <v>252.2304</v>
      </c>
      <c r="D514">
        <v>578.78319999999997</v>
      </c>
      <c r="F514">
        <v>341100943.05489999</v>
      </c>
      <c r="G514">
        <v>331.91681899999998</v>
      </c>
      <c r="H514">
        <v>73.945970000000003</v>
      </c>
      <c r="I514">
        <v>169.680915</v>
      </c>
      <c r="K514" s="4">
        <f>VLOOKUP(Table_Query_from_Cello_SQL_Server[[#This Row],[AsOfDate]], 'CMO MV Raw'!$A:$B,2,FALSE)</f>
        <v>274814147.98331302</v>
      </c>
      <c r="L514" s="5">
        <f>Table_Query_from_Cello_SQL_Server[[#This Row],[CMO MV]]/Table_Query_from_Cello_SQL_Server[[#This Row],[NAV]]*100</f>
        <v>80.566809790110099</v>
      </c>
    </row>
    <row r="515" spans="1:12" x14ac:dyDescent="0.2">
      <c r="A515" s="1">
        <v>41464</v>
      </c>
      <c r="B515">
        <v>1128.3977</v>
      </c>
      <c r="C515">
        <v>253.08090000000001</v>
      </c>
      <c r="D515">
        <v>579.28009999999995</v>
      </c>
      <c r="F515">
        <v>344007551.11519998</v>
      </c>
      <c r="G515">
        <v>328.01538699999998</v>
      </c>
      <c r="H515">
        <v>73.568414000000004</v>
      </c>
      <c r="I515">
        <v>168.391682</v>
      </c>
      <c r="K515" s="4">
        <f>VLOOKUP(Table_Query_from_Cello_SQL_Server[[#This Row],[AsOfDate]], 'CMO MV Raw'!$A:$B,2,FALSE)</f>
        <v>274834227.71584398</v>
      </c>
      <c r="L515" s="5">
        <f>Table_Query_from_Cello_SQL_Server[[#This Row],[CMO MV]]/Table_Query_from_Cello_SQL_Server[[#This Row],[NAV]]*100</f>
        <v>79.891917146844406</v>
      </c>
    </row>
    <row r="516" spans="1:12" x14ac:dyDescent="0.2">
      <c r="A516" s="1">
        <v>41465</v>
      </c>
      <c r="B516">
        <v>1113.7528</v>
      </c>
      <c r="C516">
        <v>253.7346</v>
      </c>
      <c r="D516">
        <v>574.84190000000001</v>
      </c>
      <c r="F516">
        <v>343685835.34530002</v>
      </c>
      <c r="G516">
        <v>324.06130400000001</v>
      </c>
      <c r="H516">
        <v>73.827483000000001</v>
      </c>
      <c r="I516">
        <v>167.25795500000001</v>
      </c>
      <c r="K516" s="4">
        <f>VLOOKUP(Table_Query_from_Cello_SQL_Server[[#This Row],[AsOfDate]], 'CMO MV Raw'!$A:$B,2,FALSE)</f>
        <v>278461568.03781199</v>
      </c>
      <c r="L516" s="5">
        <f>Table_Query_from_Cello_SQL_Server[[#This Row],[CMO MV]]/Table_Query_from_Cello_SQL_Server[[#This Row],[NAV]]*100</f>
        <v>81.022125266827643</v>
      </c>
    </row>
    <row r="517" spans="1:12" x14ac:dyDescent="0.2">
      <c r="A517" s="1">
        <v>41466</v>
      </c>
      <c r="B517">
        <v>1144.2378000000001</v>
      </c>
      <c r="C517">
        <v>258.69979999999998</v>
      </c>
      <c r="D517">
        <v>595.52350000000001</v>
      </c>
      <c r="F517">
        <v>348049580.09210002</v>
      </c>
      <c r="G517">
        <v>328.75712700000003</v>
      </c>
      <c r="H517">
        <v>74.328433000000004</v>
      </c>
      <c r="I517">
        <v>171.10306499999999</v>
      </c>
      <c r="K517" s="4">
        <f>VLOOKUP(Table_Query_from_Cello_SQL_Server[[#This Row],[AsOfDate]], 'CMO MV Raw'!$A:$B,2,FALSE)</f>
        <v>283412437.24422598</v>
      </c>
      <c r="L517" s="5">
        <f>Table_Query_from_Cello_SQL_Server[[#This Row],[CMO MV]]/Table_Query_from_Cello_SQL_Server[[#This Row],[NAV]]*100</f>
        <v>81.428754250825435</v>
      </c>
    </row>
    <row r="518" spans="1:12" x14ac:dyDescent="0.2">
      <c r="A518" s="1">
        <v>41467</v>
      </c>
      <c r="B518">
        <v>1036.5174</v>
      </c>
      <c r="C518">
        <v>233.68430000000001</v>
      </c>
      <c r="D518">
        <v>600.0367</v>
      </c>
      <c r="F518">
        <v>350570373.55320001</v>
      </c>
      <c r="G518">
        <v>295.666</v>
      </c>
      <c r="H518">
        <v>66.658314000000004</v>
      </c>
      <c r="I518">
        <v>171.16012799999999</v>
      </c>
      <c r="K518" s="4">
        <f>VLOOKUP(Table_Query_from_Cello_SQL_Server[[#This Row],[AsOfDate]], 'CMO MV Raw'!$A:$B,2,FALSE)</f>
        <v>257811445.71945</v>
      </c>
      <c r="L518" s="5">
        <f>Table_Query_from_Cello_SQL_Server[[#This Row],[CMO MV]]/Table_Query_from_Cello_SQL_Server[[#This Row],[NAV]]*100</f>
        <v>73.540568504522071</v>
      </c>
    </row>
    <row r="519" spans="1:12" x14ac:dyDescent="0.2">
      <c r="A519" s="1">
        <v>41470</v>
      </c>
      <c r="B519">
        <v>1023.3977</v>
      </c>
      <c r="C519">
        <v>228.26650000000001</v>
      </c>
      <c r="D519">
        <v>604.40599999999995</v>
      </c>
      <c r="F519">
        <v>351659816.36580002</v>
      </c>
      <c r="G519">
        <v>291.01923299999999</v>
      </c>
      <c r="H519">
        <v>64.911169999999998</v>
      </c>
      <c r="I519">
        <v>171.872353</v>
      </c>
      <c r="K519" s="4">
        <f>VLOOKUP(Table_Query_from_Cello_SQL_Server[[#This Row],[AsOfDate]], 'CMO MV Raw'!$A:$B,2,FALSE)</f>
        <v>251560256.027751</v>
      </c>
      <c r="L519" s="5">
        <f>Table_Query_from_Cello_SQL_Server[[#This Row],[CMO MV]]/Table_Query_from_Cello_SQL_Server[[#This Row],[NAV]]*100</f>
        <v>71.535115563523917</v>
      </c>
    </row>
    <row r="520" spans="1:12" x14ac:dyDescent="0.2">
      <c r="A520" s="1">
        <v>41471</v>
      </c>
      <c r="B520">
        <v>1115.2333000000001</v>
      </c>
      <c r="C520">
        <v>246.5848</v>
      </c>
      <c r="D520">
        <v>662.34870000000001</v>
      </c>
      <c r="F520">
        <v>350075946.14609998</v>
      </c>
      <c r="G520">
        <v>318.56896</v>
      </c>
      <c r="H520">
        <v>70.437516000000002</v>
      </c>
      <c r="I520">
        <v>189.20143100000001</v>
      </c>
      <c r="K520" s="4">
        <f>VLOOKUP(Table_Query_from_Cello_SQL_Server[[#This Row],[AsOfDate]], 'CMO MV Raw'!$A:$B,2,FALSE)</f>
        <v>269623734.60130501</v>
      </c>
      <c r="L520" s="5">
        <f>Table_Query_from_Cello_SQL_Server[[#This Row],[CMO MV]]/Table_Query_from_Cello_SQL_Server[[#This Row],[NAV]]*100</f>
        <v>77.018640546294719</v>
      </c>
    </row>
    <row r="521" spans="1:12" x14ac:dyDescent="0.2">
      <c r="A521" s="1">
        <v>41472</v>
      </c>
      <c r="B521">
        <v>1102.2138</v>
      </c>
      <c r="C521">
        <v>242.7884</v>
      </c>
      <c r="D521">
        <v>665.02170000000001</v>
      </c>
      <c r="F521">
        <v>349255010.07740003</v>
      </c>
      <c r="G521">
        <v>315.58997499999998</v>
      </c>
      <c r="H521">
        <v>69.516081999999997</v>
      </c>
      <c r="I521">
        <v>190.41149899999999</v>
      </c>
      <c r="K521" s="4">
        <f>VLOOKUP(Table_Query_from_Cello_SQL_Server[[#This Row],[AsOfDate]], 'CMO MV Raw'!$A:$B,2,FALSE)</f>
        <v>267003104.87551701</v>
      </c>
      <c r="L521" s="5">
        <f>Table_Query_from_Cello_SQL_Server[[#This Row],[CMO MV]]/Table_Query_from_Cello_SQL_Server[[#This Row],[NAV]]*100</f>
        <v>76.44932704511389</v>
      </c>
    </row>
    <row r="522" spans="1:12" x14ac:dyDescent="0.2">
      <c r="A522" s="1">
        <v>41473</v>
      </c>
      <c r="B522">
        <v>1006.0456</v>
      </c>
      <c r="C522">
        <v>222.17599999999999</v>
      </c>
      <c r="D522">
        <v>646.80110000000002</v>
      </c>
      <c r="F522">
        <v>348129736.18349999</v>
      </c>
      <c r="G522">
        <v>288.98582800000003</v>
      </c>
      <c r="H522">
        <v>63.819885999999997</v>
      </c>
      <c r="I522">
        <v>185.79311999999999</v>
      </c>
      <c r="K522" s="4">
        <f>VLOOKUP(Table_Query_from_Cello_SQL_Server[[#This Row],[AsOfDate]], 'CMO MV Raw'!$A:$B,2,FALSE)</f>
        <v>250970302.39581999</v>
      </c>
      <c r="L522" s="5">
        <f>Table_Query_from_Cello_SQL_Server[[#This Row],[CMO MV]]/Table_Query_from_Cello_SQL_Server[[#This Row],[NAV]]*100</f>
        <v>72.091027082941565</v>
      </c>
    </row>
    <row r="523" spans="1:12" x14ac:dyDescent="0.2">
      <c r="A523" s="1">
        <v>41474</v>
      </c>
      <c r="B523">
        <v>1006.3462</v>
      </c>
      <c r="C523">
        <v>220.95480000000001</v>
      </c>
      <c r="D523">
        <v>649.42719999999997</v>
      </c>
      <c r="F523">
        <v>349204783.2766</v>
      </c>
      <c r="G523">
        <v>288.18225000000001</v>
      </c>
      <c r="H523">
        <v>63.273704000000002</v>
      </c>
      <c r="I523">
        <v>185.97316900000001</v>
      </c>
      <c r="K523" s="4">
        <f>VLOOKUP(Table_Query_from_Cello_SQL_Server[[#This Row],[AsOfDate]], 'CMO MV Raw'!$A:$B,2,FALSE)</f>
        <v>248403069.895145</v>
      </c>
      <c r="L523" s="5">
        <f>Table_Query_from_Cello_SQL_Server[[#This Row],[CMO MV]]/Table_Query_from_Cello_SQL_Server[[#This Row],[NAV]]*100</f>
        <v>71.133925361608959</v>
      </c>
    </row>
    <row r="524" spans="1:12" x14ac:dyDescent="0.2">
      <c r="A524" s="1">
        <v>41477</v>
      </c>
      <c r="B524">
        <v>1008.4902</v>
      </c>
      <c r="C524">
        <v>221.21100000000001</v>
      </c>
      <c r="D524">
        <v>649.20479999999998</v>
      </c>
      <c r="F524">
        <v>349588720.0959</v>
      </c>
      <c r="G524">
        <v>288.47904499999999</v>
      </c>
      <c r="H524">
        <v>63.277498999999999</v>
      </c>
      <c r="I524">
        <v>185.70530500000001</v>
      </c>
      <c r="K524" s="4">
        <f>VLOOKUP(Table_Query_from_Cello_SQL_Server[[#This Row],[AsOfDate]], 'CMO MV Raw'!$A:$B,2,FALSE)</f>
        <v>248194624.837484</v>
      </c>
      <c r="L524" s="5">
        <f>Table_Query_from_Cello_SQL_Server[[#This Row],[CMO MV]]/Table_Query_from_Cello_SQL_Server[[#This Row],[NAV]]*100</f>
        <v>70.996176526919598</v>
      </c>
    </row>
    <row r="525" spans="1:12" x14ac:dyDescent="0.2">
      <c r="A525" s="1">
        <v>41478</v>
      </c>
      <c r="B525">
        <v>1009.1682</v>
      </c>
      <c r="C525">
        <v>222.71950000000001</v>
      </c>
      <c r="D525">
        <v>645.71050000000002</v>
      </c>
      <c r="F525">
        <v>349404810.00099999</v>
      </c>
      <c r="G525">
        <v>288.82493099999999</v>
      </c>
      <c r="H525">
        <v>63.742539999999998</v>
      </c>
      <c r="I525">
        <v>184.80297999999999</v>
      </c>
      <c r="K525" s="4">
        <f>VLOOKUP(Table_Query_from_Cello_SQL_Server[[#This Row],[AsOfDate]], 'CMO MV Raw'!$A:$B,2,FALSE)</f>
        <v>250389636.33410999</v>
      </c>
      <c r="L525" s="5">
        <f>Table_Query_from_Cello_SQL_Server[[#This Row],[CMO MV]]/Table_Query_from_Cello_SQL_Server[[#This Row],[NAV]]*100</f>
        <v>71.661759989335408</v>
      </c>
    </row>
    <row r="526" spans="1:12" x14ac:dyDescent="0.2">
      <c r="A526" s="1">
        <v>41479</v>
      </c>
      <c r="B526">
        <v>1002.0453</v>
      </c>
      <c r="C526">
        <v>222.80860000000001</v>
      </c>
      <c r="D526">
        <v>692.57719999999995</v>
      </c>
      <c r="F526">
        <v>348720209.10759997</v>
      </c>
      <c r="G526">
        <v>287.34936299999998</v>
      </c>
      <c r="H526">
        <v>63.893228000000001</v>
      </c>
      <c r="I526">
        <v>198.60541000000001</v>
      </c>
      <c r="K526" s="4">
        <f>VLOOKUP(Table_Query_from_Cello_SQL_Server[[#This Row],[AsOfDate]], 'CMO MV Raw'!$A:$B,2,FALSE)</f>
        <v>252320667.84389901</v>
      </c>
      <c r="L526" s="5">
        <f>Table_Query_from_Cello_SQL_Server[[#This Row],[CMO MV]]/Table_Query_from_Cello_SQL_Server[[#This Row],[NAV]]*100</f>
        <v>72.356193089470125</v>
      </c>
    </row>
    <row r="527" spans="1:12" x14ac:dyDescent="0.2">
      <c r="A527" s="1">
        <v>41480</v>
      </c>
      <c r="B527">
        <v>997.27710000000002</v>
      </c>
      <c r="C527">
        <v>221.84530000000001</v>
      </c>
      <c r="D527">
        <v>615.20669999999996</v>
      </c>
      <c r="F527">
        <v>347771795.73970002</v>
      </c>
      <c r="G527">
        <v>286.76192600000002</v>
      </c>
      <c r="H527">
        <v>63.790481</v>
      </c>
      <c r="I527">
        <v>176.89953800000001</v>
      </c>
      <c r="K527" s="4">
        <f>VLOOKUP(Table_Query_from_Cello_SQL_Server[[#This Row],[AsOfDate]], 'CMO MV Raw'!$A:$B,2,FALSE)</f>
        <v>252043558.72919899</v>
      </c>
      <c r="L527" s="5">
        <f>Table_Query_from_Cello_SQL_Server[[#This Row],[CMO MV]]/Table_Query_from_Cello_SQL_Server[[#This Row],[NAV]]*100</f>
        <v>72.473835376186855</v>
      </c>
    </row>
    <row r="528" spans="1:12" x14ac:dyDescent="0.2">
      <c r="A528" s="1">
        <v>41481</v>
      </c>
      <c r="B528">
        <v>964.16809999999998</v>
      </c>
      <c r="C528">
        <v>213.55520000000001</v>
      </c>
      <c r="D528">
        <v>620.92909999999995</v>
      </c>
      <c r="F528">
        <v>348767910.01499999</v>
      </c>
      <c r="G528">
        <v>276.44977399999999</v>
      </c>
      <c r="H528">
        <v>61.231321000000001</v>
      </c>
      <c r="I528">
        <v>178.035043</v>
      </c>
      <c r="K528" s="4">
        <f>VLOOKUP(Table_Query_from_Cello_SQL_Server[[#This Row],[AsOfDate]], 'CMO MV Raw'!$A:$B,2,FALSE)</f>
        <v>247069877.27821699</v>
      </c>
      <c r="L528" s="5">
        <f>Table_Query_from_Cello_SQL_Server[[#This Row],[CMO MV]]/Table_Query_from_Cello_SQL_Server[[#This Row],[NAV]]*100</f>
        <v>70.840771235974927</v>
      </c>
    </row>
    <row r="529" spans="1:12" x14ac:dyDescent="0.2">
      <c r="A529" s="1">
        <v>41484</v>
      </c>
      <c r="B529">
        <v>961.1884</v>
      </c>
      <c r="C529">
        <v>213.29640000000001</v>
      </c>
      <c r="D529">
        <v>620.40859999999998</v>
      </c>
      <c r="F529">
        <v>348773059.43769997</v>
      </c>
      <c r="G529">
        <v>275.59135500000002</v>
      </c>
      <c r="H529">
        <v>61.156213999999999</v>
      </c>
      <c r="I529">
        <v>177.88317699999999</v>
      </c>
      <c r="K529" s="4">
        <f>VLOOKUP(Table_Query_from_Cello_SQL_Server[[#This Row],[AsOfDate]], 'CMO MV Raw'!$A:$B,2,FALSE)</f>
        <v>247220077.90059</v>
      </c>
      <c r="L529" s="5">
        <f>Table_Query_from_Cello_SQL_Server[[#This Row],[CMO MV]]/Table_Query_from_Cello_SQL_Server[[#This Row],[NAV]]*100</f>
        <v>70.882790746270359</v>
      </c>
    </row>
    <row r="530" spans="1:12" x14ac:dyDescent="0.2">
      <c r="A530" s="1">
        <v>41485</v>
      </c>
      <c r="B530">
        <v>951.83339999999998</v>
      </c>
      <c r="C530">
        <v>214.131</v>
      </c>
      <c r="D530">
        <v>618.44159999999999</v>
      </c>
      <c r="F530">
        <v>349852022.26990002</v>
      </c>
      <c r="G530">
        <v>272.06742800000001</v>
      </c>
      <c r="H530">
        <v>61.206162999999997</v>
      </c>
      <c r="I530">
        <v>176.77233799999999</v>
      </c>
      <c r="K530" s="4">
        <f>VLOOKUP(Table_Query_from_Cello_SQL_Server[[#This Row],[AsOfDate]], 'CMO MV Raw'!$A:$B,2,FALSE)</f>
        <v>249587086.976639</v>
      </c>
      <c r="L530" s="5">
        <f>Table_Query_from_Cello_SQL_Server[[#This Row],[CMO MV]]/Table_Query_from_Cello_SQL_Server[[#This Row],[NAV]]*100</f>
        <v>71.340758689138084</v>
      </c>
    </row>
    <row r="531" spans="1:12" x14ac:dyDescent="0.2">
      <c r="A531" s="1">
        <v>41486</v>
      </c>
      <c r="B531">
        <v>959.33510000000001</v>
      </c>
      <c r="C531">
        <v>217.77500000000001</v>
      </c>
      <c r="D531">
        <v>566.21010000000001</v>
      </c>
      <c r="F531">
        <v>351818189.01490003</v>
      </c>
      <c r="G531">
        <v>272.67922199999998</v>
      </c>
      <c r="H531">
        <v>61.89987</v>
      </c>
      <c r="I531">
        <v>160.93826799999999</v>
      </c>
      <c r="K531" s="4">
        <f>VLOOKUP(Table_Query_from_Cello_SQL_Server[[#This Row],[AsOfDate]], 'CMO MV Raw'!$A:$B,2,FALSE)</f>
        <v>251460854.43631199</v>
      </c>
      <c r="L531" s="5">
        <f>Table_Query_from_Cello_SQL_Server[[#This Row],[CMO MV]]/Table_Query_from_Cello_SQL_Server[[#This Row],[NAV]]*100</f>
        <v>71.474660005615078</v>
      </c>
    </row>
    <row r="532" spans="1:12" x14ac:dyDescent="0.2">
      <c r="A532" s="1">
        <v>41487</v>
      </c>
      <c r="B532">
        <v>949.60569999999996</v>
      </c>
      <c r="C532">
        <v>219.2201</v>
      </c>
      <c r="D532">
        <v>536.39340000000004</v>
      </c>
      <c r="F532">
        <v>387501861.58859998</v>
      </c>
      <c r="G532">
        <v>245.058358</v>
      </c>
      <c r="H532">
        <v>56.572657</v>
      </c>
      <c r="I532">
        <v>138.423438</v>
      </c>
      <c r="K532" s="4">
        <f>VLOOKUP(Table_Query_from_Cello_SQL_Server[[#This Row],[AsOfDate]], 'CMO MV Raw'!$A:$B,2,FALSE)</f>
        <v>255761835.19521701</v>
      </c>
      <c r="L532" s="5">
        <f>Table_Query_from_Cello_SQL_Server[[#This Row],[CMO MV]]/Table_Query_from_Cello_SQL_Server[[#This Row],[NAV]]*100</f>
        <v>66.002737160202926</v>
      </c>
    </row>
    <row r="533" spans="1:12" x14ac:dyDescent="0.2">
      <c r="A533" s="1">
        <v>41488</v>
      </c>
      <c r="B533">
        <v>966.57439999999997</v>
      </c>
      <c r="C533">
        <v>219.9391</v>
      </c>
      <c r="D533">
        <v>540.64380000000006</v>
      </c>
      <c r="F533">
        <v>389802126.78289998</v>
      </c>
      <c r="G533">
        <v>247.96539899999999</v>
      </c>
      <c r="H533">
        <v>56.423268</v>
      </c>
      <c r="I533">
        <v>138.69698600000001</v>
      </c>
      <c r="K533" s="4">
        <f>VLOOKUP(Table_Query_from_Cello_SQL_Server[[#This Row],[AsOfDate]], 'CMO MV Raw'!$A:$B,2,FALSE)</f>
        <v>253679187.95187101</v>
      </c>
      <c r="L533" s="5">
        <f>Table_Query_from_Cello_SQL_Server[[#This Row],[CMO MV]]/Table_Query_from_Cello_SQL_Server[[#This Row],[NAV]]*100</f>
        <v>65.078964562232215</v>
      </c>
    </row>
    <row r="534" spans="1:12" x14ac:dyDescent="0.2">
      <c r="A534" s="1">
        <v>41491</v>
      </c>
      <c r="B534">
        <v>964.40009999999995</v>
      </c>
      <c r="C534">
        <v>219.99340000000001</v>
      </c>
      <c r="D534">
        <v>539.91650000000004</v>
      </c>
      <c r="F534">
        <v>390096348.70649999</v>
      </c>
      <c r="G534">
        <v>247.221001</v>
      </c>
      <c r="H534">
        <v>56.394632000000001</v>
      </c>
      <c r="I534">
        <v>138.405935</v>
      </c>
      <c r="K534" s="4">
        <f>VLOOKUP(Table_Query_from_Cello_SQL_Server[[#This Row],[AsOfDate]], 'CMO MV Raw'!$A:$B,2,FALSE)</f>
        <v>254050321.95251599</v>
      </c>
      <c r="L534" s="5">
        <f>Table_Query_from_Cello_SQL_Server[[#This Row],[CMO MV]]/Table_Query_from_Cello_SQL_Server[[#This Row],[NAV]]*100</f>
        <v>65.125019189466428</v>
      </c>
    </row>
    <row r="535" spans="1:12" x14ac:dyDescent="0.2">
      <c r="A535" s="1">
        <v>41492</v>
      </c>
      <c r="B535">
        <v>968.51340000000005</v>
      </c>
      <c r="C535">
        <v>221.02420000000001</v>
      </c>
      <c r="D535">
        <v>535.50840000000005</v>
      </c>
      <c r="F535">
        <v>388189385.1825</v>
      </c>
      <c r="G535">
        <v>249.49507600000001</v>
      </c>
      <c r="H535">
        <v>56.937209000000003</v>
      </c>
      <c r="I535">
        <v>137.95029400000001</v>
      </c>
      <c r="K535" s="4">
        <f>VLOOKUP(Table_Query_from_Cello_SQL_Server[[#This Row],[AsOfDate]], 'CMO MV Raw'!$A:$B,2,FALSE)</f>
        <v>254856954.638147</v>
      </c>
      <c r="L535" s="5">
        <f>Table_Query_from_Cello_SQL_Server[[#This Row],[CMO MV]]/Table_Query_from_Cello_SQL_Server[[#This Row],[NAV]]*100</f>
        <v>65.652736619351586</v>
      </c>
    </row>
    <row r="536" spans="1:12" x14ac:dyDescent="0.2">
      <c r="A536" s="1">
        <v>41493</v>
      </c>
      <c r="B536">
        <v>991.16629999999998</v>
      </c>
      <c r="C536">
        <v>224.2791</v>
      </c>
      <c r="D536">
        <v>536.22670000000005</v>
      </c>
      <c r="F536">
        <v>390116015.2719</v>
      </c>
      <c r="G536">
        <v>254.069626</v>
      </c>
      <c r="H536">
        <v>57.490360000000003</v>
      </c>
      <c r="I536">
        <v>137.453137</v>
      </c>
      <c r="K536" s="4">
        <f>VLOOKUP(Table_Query_from_Cello_SQL_Server[[#This Row],[AsOfDate]], 'CMO MV Raw'!$A:$B,2,FALSE)</f>
        <v>253550224.54599199</v>
      </c>
      <c r="L536" s="5">
        <f>Table_Query_from_Cello_SQL_Server[[#This Row],[CMO MV]]/Table_Query_from_Cello_SQL_Server[[#This Row],[NAV]]*100</f>
        <v>64.993544130526033</v>
      </c>
    </row>
    <row r="537" spans="1:12" x14ac:dyDescent="0.2">
      <c r="A537" s="1">
        <v>41494</v>
      </c>
      <c r="B537">
        <v>989.91459999999995</v>
      </c>
      <c r="C537">
        <v>223.01429999999999</v>
      </c>
      <c r="D537">
        <v>558.05179999999996</v>
      </c>
      <c r="F537">
        <v>390282818.72729999</v>
      </c>
      <c r="G537">
        <v>253.640322</v>
      </c>
      <c r="H537">
        <v>57.141716000000002</v>
      </c>
      <c r="I537">
        <v>142.986515</v>
      </c>
      <c r="K537" s="4">
        <f>VLOOKUP(Table_Query_from_Cello_SQL_Server[[#This Row],[AsOfDate]], 'CMO MV Raw'!$A:$B,2,FALSE)</f>
        <v>262656891.31554699</v>
      </c>
      <c r="L537" s="5">
        <f>Table_Query_from_Cello_SQL_Server[[#This Row],[CMO MV]]/Table_Query_from_Cello_SQL_Server[[#This Row],[NAV]]*100</f>
        <v>67.299117130511377</v>
      </c>
    </row>
    <row r="538" spans="1:12" x14ac:dyDescent="0.2">
      <c r="A538" s="1">
        <v>41495</v>
      </c>
      <c r="B538">
        <v>977.95450000000005</v>
      </c>
      <c r="C538">
        <v>219.88419999999999</v>
      </c>
      <c r="D538">
        <v>557.70349999999996</v>
      </c>
      <c r="F538">
        <v>391049263.50040001</v>
      </c>
      <c r="G538">
        <v>250.084731</v>
      </c>
      <c r="H538">
        <v>56.229284</v>
      </c>
      <c r="I538">
        <v>142.617197</v>
      </c>
      <c r="K538" s="4">
        <f>VLOOKUP(Table_Query_from_Cello_SQL_Server[[#This Row],[AsOfDate]], 'CMO MV Raw'!$A:$B,2,FALSE)</f>
        <v>261653368.17488399</v>
      </c>
      <c r="L538" s="5">
        <f>Table_Query_from_Cello_SQL_Server[[#This Row],[CMO MV]]/Table_Query_from_Cello_SQL_Server[[#This Row],[NAV]]*100</f>
        <v>66.910589687024526</v>
      </c>
    </row>
    <row r="539" spans="1:12" x14ac:dyDescent="0.2">
      <c r="A539" s="1">
        <v>41498</v>
      </c>
      <c r="B539">
        <v>992.1549</v>
      </c>
      <c r="C539">
        <v>224.571</v>
      </c>
      <c r="D539">
        <v>554.30560000000003</v>
      </c>
      <c r="F539">
        <v>391299753.59939998</v>
      </c>
      <c r="G539">
        <v>253.553674</v>
      </c>
      <c r="H539">
        <v>57.391039999999997</v>
      </c>
      <c r="I539">
        <v>141.65753900000001</v>
      </c>
      <c r="K539" s="4">
        <f>VLOOKUP(Table_Query_from_Cello_SQL_Server[[#This Row],[AsOfDate]], 'CMO MV Raw'!$A:$B,2,FALSE)</f>
        <v>267488108.46226299</v>
      </c>
      <c r="L539" s="5">
        <f>Table_Query_from_Cello_SQL_Server[[#This Row],[CMO MV]]/Table_Query_from_Cello_SQL_Server[[#This Row],[NAV]]*100</f>
        <v>68.358874750559806</v>
      </c>
    </row>
    <row r="540" spans="1:12" x14ac:dyDescent="0.2">
      <c r="A540" s="1">
        <v>41499</v>
      </c>
      <c r="B540">
        <v>1019.4068</v>
      </c>
      <c r="C540">
        <v>234.6626</v>
      </c>
      <c r="D540">
        <v>521.60450000000003</v>
      </c>
      <c r="F540">
        <v>390328990.9659</v>
      </c>
      <c r="G540">
        <v>261.16604799999999</v>
      </c>
      <c r="H540">
        <v>60.119183</v>
      </c>
      <c r="I540">
        <v>133.63201599999999</v>
      </c>
      <c r="K540" s="4">
        <f>VLOOKUP(Table_Query_from_Cello_SQL_Server[[#This Row],[AsOfDate]], 'CMO MV Raw'!$A:$B,2,FALSE)</f>
        <v>280303147.524333</v>
      </c>
      <c r="L540" s="5">
        <f>Table_Query_from_Cello_SQL_Server[[#This Row],[CMO MV]]/Table_Query_from_Cello_SQL_Server[[#This Row],[NAV]]*100</f>
        <v>71.812023706130731</v>
      </c>
    </row>
    <row r="541" spans="1:12" x14ac:dyDescent="0.2">
      <c r="A541" s="1">
        <v>41500</v>
      </c>
      <c r="B541">
        <v>1019.9827</v>
      </c>
      <c r="C541">
        <v>234.89359999999999</v>
      </c>
      <c r="D541">
        <v>521.62400000000002</v>
      </c>
      <c r="F541">
        <v>390485382.48610002</v>
      </c>
      <c r="G541">
        <v>261.208933</v>
      </c>
      <c r="H541">
        <v>60.154262000000003</v>
      </c>
      <c r="I541">
        <v>133.58349000000001</v>
      </c>
      <c r="K541" s="4">
        <f>VLOOKUP(Table_Query_from_Cello_SQL_Server[[#This Row],[AsOfDate]], 'CMO MV Raw'!$A:$B,2,FALSE)</f>
        <v>279220351.46748602</v>
      </c>
      <c r="L541" s="5">
        <f>Table_Query_from_Cello_SQL_Server[[#This Row],[CMO MV]]/Table_Query_from_Cello_SQL_Server[[#This Row],[NAV]]*100</f>
        <v>71.505967698400426</v>
      </c>
    </row>
    <row r="542" spans="1:12" x14ac:dyDescent="0.2">
      <c r="A542" s="1">
        <v>41501</v>
      </c>
      <c r="B542">
        <v>1010.6988</v>
      </c>
      <c r="C542">
        <v>233.64109999999999</v>
      </c>
      <c r="D542">
        <v>468.98559999999998</v>
      </c>
      <c r="F542">
        <v>388218564.42309999</v>
      </c>
      <c r="G542">
        <v>260.34272800000002</v>
      </c>
      <c r="H542">
        <v>60.182876999999998</v>
      </c>
      <c r="I542">
        <v>120.80452699999999</v>
      </c>
      <c r="K542" s="4">
        <f>VLOOKUP(Table_Query_from_Cello_SQL_Server[[#This Row],[AsOfDate]], 'CMO MV Raw'!$A:$B,2,FALSE)</f>
        <v>278859372.97438502</v>
      </c>
      <c r="L542" s="5">
        <f>Table_Query_from_Cello_SQL_Server[[#This Row],[CMO MV]]/Table_Query_from_Cello_SQL_Server[[#This Row],[NAV]]*100</f>
        <v>71.830509545254557</v>
      </c>
    </row>
    <row r="543" spans="1:12" x14ac:dyDescent="0.2">
      <c r="A543" s="1">
        <v>41502</v>
      </c>
      <c r="B543">
        <v>1007.0616</v>
      </c>
      <c r="C543">
        <v>234.20240000000001</v>
      </c>
      <c r="D543">
        <v>315.59870000000001</v>
      </c>
      <c r="F543">
        <v>386849821.30440003</v>
      </c>
      <c r="G543">
        <v>260.32365700000003</v>
      </c>
      <c r="H543">
        <v>60.540908999999999</v>
      </c>
      <c r="I543">
        <v>81.581710000000001</v>
      </c>
      <c r="K543" s="4">
        <f>VLOOKUP(Table_Query_from_Cello_SQL_Server[[#This Row],[AsOfDate]], 'CMO MV Raw'!$A:$B,2,FALSE)</f>
        <v>280275355.21178001</v>
      </c>
      <c r="L543" s="5">
        <f>Table_Query_from_Cello_SQL_Server[[#This Row],[CMO MV]]/Table_Query_from_Cello_SQL_Server[[#This Row],[NAV]]*100</f>
        <v>72.450687521770902</v>
      </c>
    </row>
    <row r="544" spans="1:12" x14ac:dyDescent="0.2">
      <c r="A544" s="1">
        <v>41505</v>
      </c>
      <c r="B544">
        <v>1006.7338</v>
      </c>
      <c r="C544">
        <v>234.06379999999999</v>
      </c>
      <c r="D544">
        <v>239.52869999999999</v>
      </c>
      <c r="F544">
        <v>386191252.66750002</v>
      </c>
      <c r="G544">
        <v>260.682704</v>
      </c>
      <c r="H544">
        <v>60.608260000000001</v>
      </c>
      <c r="I544">
        <v>62.023336</v>
      </c>
      <c r="K544" s="4">
        <f>VLOOKUP(Table_Query_from_Cello_SQL_Server[[#This Row],[AsOfDate]], 'CMO MV Raw'!$A:$B,2,FALSE)</f>
        <v>280625806.04419398</v>
      </c>
      <c r="L544" s="5">
        <f>Table_Query_from_Cello_SQL_Server[[#This Row],[CMO MV]]/Table_Query_from_Cello_SQL_Server[[#This Row],[NAV]]*100</f>
        <v>72.664982468104995</v>
      </c>
    </row>
    <row r="545" spans="1:12" x14ac:dyDescent="0.2">
      <c r="A545" s="1">
        <v>41506</v>
      </c>
      <c r="B545">
        <v>1013.3013</v>
      </c>
      <c r="C545">
        <v>233.78380000000001</v>
      </c>
      <c r="D545">
        <v>240.5558</v>
      </c>
      <c r="F545">
        <v>385680414.76539999</v>
      </c>
      <c r="G545">
        <v>262.730816</v>
      </c>
      <c r="H545">
        <v>60.615938</v>
      </c>
      <c r="I545">
        <v>62.371796000000003</v>
      </c>
      <c r="K545" s="4">
        <f>VLOOKUP(Table_Query_from_Cello_SQL_Server[[#This Row],[AsOfDate]], 'CMO MV Raw'!$A:$B,2,FALSE)</f>
        <v>278653080.40446198</v>
      </c>
      <c r="L545" s="5">
        <f>Table_Query_from_Cello_SQL_Server[[#This Row],[CMO MV]]/Table_Query_from_Cello_SQL_Server[[#This Row],[NAV]]*100</f>
        <v>72.249735723282669</v>
      </c>
    </row>
    <row r="546" spans="1:12" x14ac:dyDescent="0.2">
      <c r="A546" s="1">
        <v>41507</v>
      </c>
      <c r="B546">
        <v>1042.2003999999999</v>
      </c>
      <c r="C546">
        <v>240.71860000000001</v>
      </c>
      <c r="D546">
        <v>217.54759999999999</v>
      </c>
      <c r="F546">
        <v>385894298.82499999</v>
      </c>
      <c r="G546">
        <v>270.07405999999997</v>
      </c>
      <c r="H546">
        <v>62.379413</v>
      </c>
      <c r="I546">
        <v>56.374918999999998</v>
      </c>
      <c r="K546" s="4">
        <f>VLOOKUP(Table_Query_from_Cello_SQL_Server[[#This Row],[AsOfDate]], 'CMO MV Raw'!$A:$B,2,FALSE)</f>
        <v>287243831.27059698</v>
      </c>
      <c r="L546" s="5">
        <f>Table_Query_from_Cello_SQL_Server[[#This Row],[CMO MV]]/Table_Query_from_Cello_SQL_Server[[#This Row],[NAV]]*100</f>
        <v>74.435883646174261</v>
      </c>
    </row>
    <row r="547" spans="1:12" x14ac:dyDescent="0.2">
      <c r="A547" s="1">
        <v>41508</v>
      </c>
      <c r="B547">
        <v>1047.2662</v>
      </c>
      <c r="C547">
        <v>241.49879999999999</v>
      </c>
      <c r="D547">
        <v>217.12540000000001</v>
      </c>
      <c r="F547">
        <v>386455297.86360002</v>
      </c>
      <c r="G547">
        <v>270.99284299999999</v>
      </c>
      <c r="H547">
        <v>62.490746000000001</v>
      </c>
      <c r="I547">
        <v>56.183833</v>
      </c>
      <c r="K547" s="4">
        <f>VLOOKUP(Table_Query_from_Cello_SQL_Server[[#This Row],[AsOfDate]], 'CMO MV Raw'!$A:$B,2,FALSE)</f>
        <v>287101708.16426998</v>
      </c>
      <c r="L547" s="5">
        <f>Table_Query_from_Cello_SQL_Server[[#This Row],[CMO MV]]/Table_Query_from_Cello_SQL_Server[[#This Row],[NAV]]*100</f>
        <v>74.291052484316822</v>
      </c>
    </row>
    <row r="548" spans="1:12" x14ac:dyDescent="0.2">
      <c r="A548" s="1">
        <v>41509</v>
      </c>
      <c r="B548">
        <v>1088.4277999999999</v>
      </c>
      <c r="C548">
        <v>248.92500000000001</v>
      </c>
      <c r="D548">
        <v>178.69589999999999</v>
      </c>
      <c r="F548">
        <v>387184415.76550001</v>
      </c>
      <c r="G548">
        <v>281.11353500000001</v>
      </c>
      <c r="H548">
        <v>64.291068999999993</v>
      </c>
      <c r="I548">
        <v>46.152658000000002</v>
      </c>
      <c r="K548" s="4">
        <f>VLOOKUP(Table_Query_from_Cello_SQL_Server[[#This Row],[AsOfDate]], 'CMO MV Raw'!$A:$B,2,FALSE)</f>
        <v>294935119.03667098</v>
      </c>
      <c r="L548" s="5">
        <f>Table_Query_from_Cello_SQL_Server[[#This Row],[CMO MV]]/Table_Query_from_Cello_SQL_Server[[#This Row],[NAV]]*100</f>
        <v>76.174325987154347</v>
      </c>
    </row>
    <row r="549" spans="1:12" x14ac:dyDescent="0.2">
      <c r="A549" s="1">
        <v>41512</v>
      </c>
      <c r="B549">
        <v>1060.9758999999999</v>
      </c>
      <c r="C549">
        <v>242.59059999999999</v>
      </c>
      <c r="D549">
        <v>208.93350000000001</v>
      </c>
      <c r="F549">
        <v>387426640.18709999</v>
      </c>
      <c r="G549">
        <v>273.85207700000001</v>
      </c>
      <c r="H549">
        <v>62.615879999999997</v>
      </c>
      <c r="I549">
        <v>53.928531999999997</v>
      </c>
      <c r="K549" s="4">
        <f>VLOOKUP(Table_Query_from_Cello_SQL_Server[[#This Row],[AsOfDate]], 'CMO MV Raw'!$A:$B,2,FALSE)</f>
        <v>286486740.97507298</v>
      </c>
      <c r="L549" s="5">
        <f>Table_Query_from_Cello_SQL_Server[[#This Row],[CMO MV]]/Table_Query_from_Cello_SQL_Server[[#This Row],[NAV]]*100</f>
        <v>73.946061333500424</v>
      </c>
    </row>
    <row r="550" spans="1:12" x14ac:dyDescent="0.2">
      <c r="A550" s="1">
        <v>41513</v>
      </c>
      <c r="B550">
        <v>1043.5468000000001</v>
      </c>
      <c r="C550">
        <v>237.892</v>
      </c>
      <c r="D550">
        <v>215.0675</v>
      </c>
      <c r="F550">
        <v>387702763.77789998</v>
      </c>
      <c r="G550">
        <v>269.16155800000001</v>
      </c>
      <c r="H550">
        <v>61.359377000000002</v>
      </c>
      <c r="I550">
        <v>55.472264000000003</v>
      </c>
      <c r="K550" s="4">
        <f>VLOOKUP(Table_Query_from_Cello_SQL_Server[[#This Row],[AsOfDate]], 'CMO MV Raw'!$A:$B,2,FALSE)</f>
        <v>284952812.03542399</v>
      </c>
      <c r="L550" s="5">
        <f>Table_Query_from_Cello_SQL_Server[[#This Row],[CMO MV]]/Table_Query_from_Cello_SQL_Server[[#This Row],[NAV]]*100</f>
        <v>73.497751024200213</v>
      </c>
    </row>
    <row r="551" spans="1:12" x14ac:dyDescent="0.2">
      <c r="A551" s="1">
        <v>41514</v>
      </c>
      <c r="B551">
        <v>1041.6741</v>
      </c>
      <c r="C551">
        <v>238.38040000000001</v>
      </c>
      <c r="D551">
        <v>213.74369999999999</v>
      </c>
      <c r="F551">
        <v>388043849.14109999</v>
      </c>
      <c r="G551">
        <v>268.44236899999999</v>
      </c>
      <c r="H551">
        <v>61.431305000000002</v>
      </c>
      <c r="I551">
        <v>55.082357000000002</v>
      </c>
      <c r="K551" s="4">
        <f>VLOOKUP(Table_Query_from_Cello_SQL_Server[[#This Row],[AsOfDate]], 'CMO MV Raw'!$A:$B,2,FALSE)</f>
        <v>285698260.00753403</v>
      </c>
      <c r="L551" s="5">
        <f>Table_Query_from_Cello_SQL_Server[[#This Row],[CMO MV]]/Table_Query_from_Cello_SQL_Server[[#This Row],[NAV]]*100</f>
        <v>73.625251537912874</v>
      </c>
    </row>
    <row r="552" spans="1:12" x14ac:dyDescent="0.2">
      <c r="A552" s="1">
        <v>41515</v>
      </c>
      <c r="B552">
        <v>1045.3121000000001</v>
      </c>
      <c r="C552">
        <v>238.6557</v>
      </c>
      <c r="D552">
        <v>214.3682</v>
      </c>
      <c r="F552">
        <v>388132635.93910003</v>
      </c>
      <c r="G552">
        <v>269.31826999999998</v>
      </c>
      <c r="H552">
        <v>61.488182000000002</v>
      </c>
      <c r="I552">
        <v>55.230656000000003</v>
      </c>
      <c r="K552" s="4">
        <f>VLOOKUP(Table_Query_from_Cello_SQL_Server[[#This Row],[AsOfDate]], 'CMO MV Raw'!$A:$B,2,FALSE)</f>
        <v>285222570.08581197</v>
      </c>
      <c r="L552" s="5">
        <f>Table_Query_from_Cello_SQL_Server[[#This Row],[CMO MV]]/Table_Query_from_Cello_SQL_Server[[#This Row],[NAV]]*100</f>
        <v>73.485850885923654</v>
      </c>
    </row>
    <row r="553" spans="1:12" x14ac:dyDescent="0.2">
      <c r="A553" s="1">
        <v>41516</v>
      </c>
      <c r="B553">
        <v>1116.3094000000001</v>
      </c>
      <c r="C553">
        <v>255.19159999999999</v>
      </c>
      <c r="D553">
        <v>187.1773</v>
      </c>
      <c r="F553">
        <v>392148070.88859999</v>
      </c>
      <c r="G553">
        <v>284.665279</v>
      </c>
      <c r="H553">
        <v>65.075316999999998</v>
      </c>
      <c r="I553">
        <v>47.731282</v>
      </c>
      <c r="K553" s="4">
        <f>VLOOKUP(Table_Query_from_Cello_SQL_Server[[#This Row],[AsOfDate]], 'CMO MV Raw'!$A:$B,2,FALSE)</f>
        <v>298555159.07659799</v>
      </c>
      <c r="L553" s="5">
        <f>Table_Query_from_Cello_SQL_Server[[#This Row],[CMO MV]]/Table_Query_from_Cello_SQL_Server[[#This Row],[NAV]]*100</f>
        <v>76.13327241418726</v>
      </c>
    </row>
    <row r="554" spans="1:12" x14ac:dyDescent="0.2">
      <c r="A554" s="1">
        <v>41520</v>
      </c>
      <c r="B554">
        <v>1057.4722999999999</v>
      </c>
      <c r="C554">
        <v>244.1593</v>
      </c>
      <c r="D554">
        <v>188.38140000000001</v>
      </c>
      <c r="F554">
        <v>393777303.9127</v>
      </c>
      <c r="G554">
        <v>268.545772</v>
      </c>
      <c r="H554">
        <v>62.004412000000002</v>
      </c>
      <c r="I554">
        <v>47.839578000000003</v>
      </c>
      <c r="K554" s="4">
        <f>VLOOKUP(Table_Query_from_Cello_SQL_Server[[#This Row],[AsOfDate]], 'CMO MV Raw'!$A:$B,2,FALSE)</f>
        <v>294745089.73440999</v>
      </c>
      <c r="L554" s="5">
        <f>Table_Query_from_Cello_SQL_Server[[#This Row],[CMO MV]]/Table_Query_from_Cello_SQL_Server[[#This Row],[NAV]]*100</f>
        <v>74.850705412863178</v>
      </c>
    </row>
    <row r="555" spans="1:12" x14ac:dyDescent="0.2">
      <c r="A555" s="1">
        <v>41521</v>
      </c>
      <c r="B555">
        <v>1040.0241000000001</v>
      </c>
      <c r="C555">
        <v>243.48609999999999</v>
      </c>
      <c r="D555">
        <v>187.02539999999999</v>
      </c>
      <c r="F555">
        <v>395029018.17400002</v>
      </c>
      <c r="G555">
        <v>263.27789899999999</v>
      </c>
      <c r="H555">
        <v>61.637523000000002</v>
      </c>
      <c r="I555">
        <v>47.344723999999999</v>
      </c>
      <c r="K555" s="4">
        <f>VLOOKUP(Table_Query_from_Cello_SQL_Server[[#This Row],[AsOfDate]], 'CMO MV Raw'!$A:$B,2,FALSE)</f>
        <v>295990929.386356</v>
      </c>
      <c r="L555" s="5">
        <f>Table_Query_from_Cello_SQL_Server[[#This Row],[CMO MV]]/Table_Query_from_Cello_SQL_Server[[#This Row],[NAV]]*100</f>
        <v>74.928907945689119</v>
      </c>
    </row>
    <row r="556" spans="1:12" x14ac:dyDescent="0.2">
      <c r="A556" s="1">
        <v>41522</v>
      </c>
      <c r="B556">
        <v>1020.2251</v>
      </c>
      <c r="C556">
        <v>243.0932</v>
      </c>
      <c r="D556">
        <v>184.93</v>
      </c>
      <c r="F556">
        <v>396442078.89069998</v>
      </c>
      <c r="G556">
        <v>257.34531099999998</v>
      </c>
      <c r="H556">
        <v>61.318717999999997</v>
      </c>
      <c r="I556">
        <v>46.647419999999997</v>
      </c>
      <c r="K556" s="4">
        <f>VLOOKUP(Table_Query_from_Cello_SQL_Server[[#This Row],[AsOfDate]], 'CMO MV Raw'!$A:$B,2,FALSE)</f>
        <v>297738988.53196901</v>
      </c>
      <c r="L556" s="5">
        <f>Table_Query_from_Cello_SQL_Server[[#This Row],[CMO MV]]/Table_Query_from_Cello_SQL_Server[[#This Row],[NAV]]*100</f>
        <v>75.102771472968783</v>
      </c>
    </row>
    <row r="557" spans="1:12" x14ac:dyDescent="0.2">
      <c r="A557" s="1">
        <v>41523</v>
      </c>
      <c r="B557">
        <v>1046.6873000000001</v>
      </c>
      <c r="C557">
        <v>249.3683</v>
      </c>
      <c r="D557">
        <v>181.83850000000001</v>
      </c>
      <c r="F557">
        <v>398907204.77630001</v>
      </c>
      <c r="G557">
        <v>262.388668</v>
      </c>
      <c r="H557">
        <v>62.512858999999999</v>
      </c>
      <c r="I557">
        <v>45.584159999999997</v>
      </c>
      <c r="K557" s="4">
        <f>VLOOKUP(Table_Query_from_Cello_SQL_Server[[#This Row],[AsOfDate]], 'CMO MV Raw'!$A:$B,2,FALSE)</f>
        <v>300224965.97203797</v>
      </c>
      <c r="L557" s="5">
        <f>Table_Query_from_Cello_SQL_Server[[#This Row],[CMO MV]]/Table_Query_from_Cello_SQL_Server[[#This Row],[NAV]]*100</f>
        <v>75.261855984877172</v>
      </c>
    </row>
    <row r="558" spans="1:12" x14ac:dyDescent="0.2">
      <c r="A558" s="1">
        <v>41526</v>
      </c>
      <c r="B558">
        <v>1051.7855999999999</v>
      </c>
      <c r="C558">
        <v>250.85409999999999</v>
      </c>
      <c r="D558">
        <v>181.83500000000001</v>
      </c>
      <c r="F558">
        <v>400039685.44029999</v>
      </c>
      <c r="G558">
        <v>262.92031500000002</v>
      </c>
      <c r="H558">
        <v>62.707304000000001</v>
      </c>
      <c r="I558">
        <v>45.454239999999999</v>
      </c>
      <c r="K558" s="4">
        <f>VLOOKUP(Table_Query_from_Cello_SQL_Server[[#This Row],[AsOfDate]], 'CMO MV Raw'!$A:$B,2,FALSE)</f>
        <v>301527148.41054797</v>
      </c>
      <c r="L558" s="5">
        <f>Table_Query_from_Cello_SQL_Server[[#This Row],[CMO MV]]/Table_Query_from_Cello_SQL_Server[[#This Row],[NAV]]*100</f>
        <v>75.374308946042419</v>
      </c>
    </row>
    <row r="559" spans="1:12" x14ac:dyDescent="0.2">
      <c r="A559" s="1">
        <v>41527</v>
      </c>
      <c r="B559">
        <v>1040.3150000000001</v>
      </c>
      <c r="C559">
        <v>250.98429999999999</v>
      </c>
      <c r="D559">
        <v>181.68049999999999</v>
      </c>
      <c r="F559">
        <v>401030718.50639999</v>
      </c>
      <c r="G559">
        <v>259.410303</v>
      </c>
      <c r="H559">
        <v>62.584806999999998</v>
      </c>
      <c r="I559">
        <v>45.303387000000001</v>
      </c>
      <c r="K559" s="4">
        <f>VLOOKUP(Table_Query_from_Cello_SQL_Server[[#This Row],[AsOfDate]], 'CMO MV Raw'!$A:$B,2,FALSE)</f>
        <v>301256586.47373098</v>
      </c>
      <c r="L559" s="5">
        <f>Table_Query_from_Cello_SQL_Server[[#This Row],[CMO MV]]/Table_Query_from_Cello_SQL_Server[[#This Row],[NAV]]*100</f>
        <v>75.120576198185489</v>
      </c>
    </row>
    <row r="560" spans="1:12" x14ac:dyDescent="0.2">
      <c r="A560" s="1">
        <v>41528</v>
      </c>
      <c r="B560">
        <v>1034.4398000000001</v>
      </c>
      <c r="C560">
        <v>247.62469999999999</v>
      </c>
      <c r="D560">
        <v>182.41929999999999</v>
      </c>
      <c r="F560">
        <v>400599084.65439999</v>
      </c>
      <c r="G560">
        <v>258.223206</v>
      </c>
      <c r="H560">
        <v>61.813595999999997</v>
      </c>
      <c r="I560">
        <v>45.536624000000003</v>
      </c>
      <c r="K560" s="4">
        <f>VLOOKUP(Table_Query_from_Cello_SQL_Server[[#This Row],[AsOfDate]], 'CMO MV Raw'!$A:$B,2,FALSE)</f>
        <v>300936771.17246902</v>
      </c>
      <c r="L560" s="5">
        <f>Table_Query_from_Cello_SQL_Server[[#This Row],[CMO MV]]/Table_Query_from_Cello_SQL_Server[[#This Row],[NAV]]*100</f>
        <v>75.121682175606949</v>
      </c>
    </row>
    <row r="561" spans="1:12" x14ac:dyDescent="0.2">
      <c r="A561" s="1">
        <v>41529</v>
      </c>
      <c r="B561">
        <v>1178.4319</v>
      </c>
      <c r="C561">
        <v>284.964</v>
      </c>
      <c r="D561">
        <v>178.03569999999999</v>
      </c>
      <c r="F561">
        <v>400966108.84460002</v>
      </c>
      <c r="G561">
        <v>293.89813099999998</v>
      </c>
      <c r="H561">
        <v>71.069348000000005</v>
      </c>
      <c r="I561">
        <v>44.401682999999998</v>
      </c>
      <c r="K561" s="4">
        <f>VLOOKUP(Table_Query_from_Cello_SQL_Server[[#This Row],[AsOfDate]], 'CMO MV Raw'!$A:$B,2,FALSE)</f>
        <v>346595869.44639403</v>
      </c>
      <c r="L561" s="5">
        <f>Table_Query_from_Cello_SQL_Server[[#This Row],[CMO MV]]/Table_Query_from_Cello_SQL_Server[[#This Row],[NAV]]*100</f>
        <v>86.440190779496049</v>
      </c>
    </row>
    <row r="562" spans="1:12" x14ac:dyDescent="0.2">
      <c r="A562" s="1">
        <v>41530</v>
      </c>
      <c r="B562">
        <v>1176.7476999999999</v>
      </c>
      <c r="C562">
        <v>285.08769999999998</v>
      </c>
      <c r="D562">
        <v>178.1182</v>
      </c>
      <c r="F562">
        <v>401415232.39310002</v>
      </c>
      <c r="G562">
        <v>293.14973700000002</v>
      </c>
      <c r="H562">
        <v>71.020647999999994</v>
      </c>
      <c r="I562">
        <v>44.372556000000003</v>
      </c>
      <c r="K562" s="4">
        <f>VLOOKUP(Table_Query_from_Cello_SQL_Server[[#This Row],[AsOfDate]], 'CMO MV Raw'!$A:$B,2,FALSE)</f>
        <v>346650983.935978</v>
      </c>
      <c r="L562" s="5">
        <f>Table_Query_from_Cello_SQL_Server[[#This Row],[CMO MV]]/Table_Query_from_Cello_SQL_Server[[#This Row],[NAV]]*100</f>
        <v>86.357207191506831</v>
      </c>
    </row>
    <row r="563" spans="1:12" x14ac:dyDescent="0.2">
      <c r="A563" s="1">
        <v>41533</v>
      </c>
      <c r="B563">
        <v>1176.0126</v>
      </c>
      <c r="C563">
        <v>283.9187</v>
      </c>
      <c r="D563">
        <v>178.9425</v>
      </c>
      <c r="F563">
        <v>400254747.35750002</v>
      </c>
      <c r="G563">
        <v>293.81602800000002</v>
      </c>
      <c r="H563">
        <v>70.934499000000002</v>
      </c>
      <c r="I563">
        <v>44.707152000000001</v>
      </c>
      <c r="K563" s="4">
        <f>VLOOKUP(Table_Query_from_Cello_SQL_Server[[#This Row],[AsOfDate]], 'CMO MV Raw'!$A:$B,2,FALSE)</f>
        <v>344706223.19938302</v>
      </c>
      <c r="L563" s="5">
        <f>Table_Query_from_Cello_SQL_Server[[#This Row],[CMO MV]]/Table_Query_from_Cello_SQL_Server[[#This Row],[NAV]]*100</f>
        <v>86.121707606255555</v>
      </c>
    </row>
    <row r="564" spans="1:12" x14ac:dyDescent="0.2">
      <c r="A564" s="1">
        <v>41534</v>
      </c>
      <c r="B564">
        <v>1183.1564000000001</v>
      </c>
      <c r="C564">
        <v>284.45890000000003</v>
      </c>
      <c r="D564">
        <v>179.2098</v>
      </c>
      <c r="F564">
        <v>400096715.85479999</v>
      </c>
      <c r="G564">
        <v>295.71759900000001</v>
      </c>
      <c r="H564">
        <v>71.097533999999996</v>
      </c>
      <c r="I564">
        <v>44.791620000000002</v>
      </c>
      <c r="K564" s="4">
        <f>VLOOKUP(Table_Query_from_Cello_SQL_Server[[#This Row],[AsOfDate]], 'CMO MV Raw'!$A:$B,2,FALSE)</f>
        <v>344747623.11213303</v>
      </c>
      <c r="L564" s="5">
        <f>Table_Query_from_Cello_SQL_Server[[#This Row],[CMO MV]]/Table_Query_from_Cello_SQL_Server[[#This Row],[NAV]]*100</f>
        <v>86.166071714831617</v>
      </c>
    </row>
    <row r="565" spans="1:12" x14ac:dyDescent="0.2">
      <c r="A565" s="1">
        <v>41535</v>
      </c>
      <c r="B565">
        <v>1203.0437999999999</v>
      </c>
      <c r="C565">
        <v>283.16149999999999</v>
      </c>
      <c r="D565">
        <v>182.37620000000001</v>
      </c>
      <c r="F565">
        <v>396391458.204</v>
      </c>
      <c r="G565">
        <v>303.498921</v>
      </c>
      <c r="H565">
        <v>71.434814000000003</v>
      </c>
      <c r="I565">
        <v>46.009115000000001</v>
      </c>
      <c r="K565" s="4">
        <f>VLOOKUP(Table_Query_from_Cello_SQL_Server[[#This Row],[AsOfDate]], 'CMO MV Raw'!$A:$B,2,FALSE)</f>
        <v>340398160.16506797</v>
      </c>
      <c r="L565" s="5">
        <f>Table_Query_from_Cello_SQL_Server[[#This Row],[CMO MV]]/Table_Query_from_Cello_SQL_Server[[#This Row],[NAV]]*100</f>
        <v>85.874242020090293</v>
      </c>
    </row>
    <row r="566" spans="1:12" x14ac:dyDescent="0.2">
      <c r="A566" s="1">
        <v>41536</v>
      </c>
      <c r="B566">
        <v>1199.5708999999999</v>
      </c>
      <c r="C566">
        <v>281.33170000000001</v>
      </c>
      <c r="D566">
        <v>182.03030000000001</v>
      </c>
      <c r="F566">
        <v>394628910.2105</v>
      </c>
      <c r="G566">
        <v>303.97440999999998</v>
      </c>
      <c r="H566">
        <v>71.290189999999996</v>
      </c>
      <c r="I566">
        <v>46.126955000000002</v>
      </c>
      <c r="K566" s="4">
        <f>VLOOKUP(Table_Query_from_Cello_SQL_Server[[#This Row],[AsOfDate]], 'CMO MV Raw'!$A:$B,2,FALSE)</f>
        <v>337722944.51469499</v>
      </c>
      <c r="L566" s="5">
        <f>Table_Query_from_Cello_SQL_Server[[#This Row],[CMO MV]]/Table_Query_from_Cello_SQL_Server[[#This Row],[NAV]]*100</f>
        <v>85.579879166619932</v>
      </c>
    </row>
    <row r="567" spans="1:12" x14ac:dyDescent="0.2">
      <c r="A567" s="1">
        <v>41537</v>
      </c>
      <c r="B567">
        <v>1194.5317</v>
      </c>
      <c r="C567">
        <v>282.73180000000002</v>
      </c>
      <c r="D567">
        <v>206.7587</v>
      </c>
      <c r="F567">
        <v>396687820.26050001</v>
      </c>
      <c r="G567">
        <v>301.12638700000002</v>
      </c>
      <c r="H567">
        <v>71.273122999999998</v>
      </c>
      <c r="I567">
        <v>52.121262000000002</v>
      </c>
      <c r="K567" s="4">
        <f>VLOOKUP(Table_Query_from_Cello_SQL_Server[[#This Row],[AsOfDate]], 'CMO MV Raw'!$A:$B,2,FALSE)</f>
        <v>339957347.82707</v>
      </c>
      <c r="L567" s="5">
        <f>Table_Query_from_Cello_SQL_Server[[#This Row],[CMO MV]]/Table_Query_from_Cello_SQL_Server[[#This Row],[NAV]]*100</f>
        <v>85.69896287812017</v>
      </c>
    </row>
    <row r="568" spans="1:12" x14ac:dyDescent="0.2">
      <c r="A568" s="1">
        <v>41540</v>
      </c>
      <c r="B568">
        <v>1202.3028999999999</v>
      </c>
      <c r="C568">
        <v>282.8143</v>
      </c>
      <c r="D568">
        <v>382.7962</v>
      </c>
      <c r="F568">
        <v>396124639.25019997</v>
      </c>
      <c r="G568">
        <v>303.51631300000003</v>
      </c>
      <c r="H568">
        <v>71.395280999999997</v>
      </c>
      <c r="I568">
        <v>96.635292000000007</v>
      </c>
      <c r="K568" s="4">
        <f>VLOOKUP(Table_Query_from_Cello_SQL_Server[[#This Row],[AsOfDate]], 'CMO MV Raw'!$A:$B,2,FALSE)</f>
        <v>339084886.58111501</v>
      </c>
      <c r="L568" s="5">
        <f>Table_Query_from_Cello_SQL_Server[[#This Row],[CMO MV]]/Table_Query_from_Cello_SQL_Server[[#This Row],[NAV]]*100</f>
        <v>85.600554215195501</v>
      </c>
    </row>
    <row r="569" spans="1:12" x14ac:dyDescent="0.2">
      <c r="A569" s="1">
        <v>41541</v>
      </c>
      <c r="B569">
        <v>1210.5254</v>
      </c>
      <c r="C569">
        <v>282.60289999999998</v>
      </c>
      <c r="D569">
        <v>504.81349999999998</v>
      </c>
      <c r="F569">
        <v>396374115.61790001</v>
      </c>
      <c r="G569">
        <v>305.39971000000003</v>
      </c>
      <c r="H569">
        <v>71.297011999999995</v>
      </c>
      <c r="I569">
        <v>127.357837</v>
      </c>
      <c r="K569" s="4">
        <f>VLOOKUP(Table_Query_from_Cello_SQL_Server[[#This Row],[AsOfDate]], 'CMO MV Raw'!$A:$B,2,FALSE)</f>
        <v>337496294.94016099</v>
      </c>
      <c r="L569" s="5">
        <f>Table_Query_from_Cello_SQL_Server[[#This Row],[CMO MV]]/Table_Query_from_Cello_SQL_Server[[#This Row],[NAV]]*100</f>
        <v>85.145896677446885</v>
      </c>
    </row>
    <row r="570" spans="1:12" x14ac:dyDescent="0.2">
      <c r="A570" s="1">
        <v>41542</v>
      </c>
      <c r="B570">
        <v>1209.6469</v>
      </c>
      <c r="C570">
        <v>280.61430000000001</v>
      </c>
      <c r="D570">
        <v>508.0403</v>
      </c>
      <c r="F570">
        <v>397606445.82980001</v>
      </c>
      <c r="G570">
        <v>304.23221599999999</v>
      </c>
      <c r="H570">
        <v>70.575892999999994</v>
      </c>
      <c r="I570">
        <v>127.774664</v>
      </c>
      <c r="K570" s="4">
        <f>VLOOKUP(Table_Query_from_Cello_SQL_Server[[#This Row],[AsOfDate]], 'CMO MV Raw'!$A:$B,2,FALSE)</f>
        <v>333142874.11035502</v>
      </c>
      <c r="L570" s="5">
        <f>Table_Query_from_Cello_SQL_Server[[#This Row],[CMO MV]]/Table_Query_from_Cello_SQL_Server[[#This Row],[NAV]]*100</f>
        <v>83.787090879547918</v>
      </c>
    </row>
    <row r="571" spans="1:12" x14ac:dyDescent="0.2">
      <c r="A571" s="1">
        <v>41543</v>
      </c>
      <c r="B571">
        <v>1204.5634</v>
      </c>
      <c r="C571">
        <v>281.62520000000001</v>
      </c>
      <c r="D571">
        <v>506.8288</v>
      </c>
      <c r="F571">
        <v>398340836.36699998</v>
      </c>
      <c r="G571">
        <v>302.39515799999998</v>
      </c>
      <c r="H571">
        <v>70.699555000000004</v>
      </c>
      <c r="I571">
        <v>127.234959</v>
      </c>
      <c r="K571" s="4">
        <f>VLOOKUP(Table_Query_from_Cello_SQL_Server[[#This Row],[AsOfDate]], 'CMO MV Raw'!$A:$B,2,FALSE)</f>
        <v>334912618.153952</v>
      </c>
      <c r="L571" s="5">
        <f>Table_Query_from_Cello_SQL_Server[[#This Row],[CMO MV]]/Table_Query_from_Cello_SQL_Server[[#This Row],[NAV]]*100</f>
        <v>84.07689786677804</v>
      </c>
    </row>
    <row r="572" spans="1:12" x14ac:dyDescent="0.2">
      <c r="A572" s="1">
        <v>41544</v>
      </c>
      <c r="B572">
        <v>1158.4263000000001</v>
      </c>
      <c r="C572">
        <v>270.45850000000002</v>
      </c>
      <c r="D572">
        <v>509.79399999999998</v>
      </c>
      <c r="F572">
        <v>399782564.47670001</v>
      </c>
      <c r="G572">
        <v>289.76408800000002</v>
      </c>
      <c r="H572">
        <v>67.651399999999995</v>
      </c>
      <c r="I572">
        <v>127.51781699999999</v>
      </c>
      <c r="K572" s="4">
        <f>VLOOKUP(Table_Query_from_Cello_SQL_Server[[#This Row],[AsOfDate]], 'CMO MV Raw'!$A:$B,2,FALSE)</f>
        <v>321671331.37373</v>
      </c>
      <c r="L572" s="5">
        <f>Table_Query_from_Cello_SQL_Server[[#This Row],[CMO MV]]/Table_Query_from_Cello_SQL_Server[[#This Row],[NAV]]*100</f>
        <v>80.461570852842328</v>
      </c>
    </row>
    <row r="573" spans="1:12" x14ac:dyDescent="0.2">
      <c r="A573" s="1">
        <v>41547</v>
      </c>
      <c r="B573">
        <v>1170.2162000000001</v>
      </c>
      <c r="C573">
        <v>273.32420000000002</v>
      </c>
      <c r="D573">
        <v>508.75479999999999</v>
      </c>
      <c r="F573">
        <v>400256010.00880003</v>
      </c>
      <c r="G573">
        <v>292.36692799999997</v>
      </c>
      <c r="H573">
        <v>68.287344000000004</v>
      </c>
      <c r="I573">
        <v>127.107348</v>
      </c>
      <c r="K573" s="4">
        <f>VLOOKUP(Table_Query_from_Cello_SQL_Server[[#This Row],[AsOfDate]], 'CMO MV Raw'!$A:$B,2,FALSE)</f>
        <v>323313447.19679201</v>
      </c>
      <c r="L573" s="5">
        <f>Table_Query_from_Cello_SQL_Server[[#This Row],[CMO MV]]/Table_Query_from_Cello_SQL_Server[[#This Row],[NAV]]*100</f>
        <v>80.776662713867466</v>
      </c>
    </row>
    <row r="574" spans="1:12" x14ac:dyDescent="0.2">
      <c r="A574" s="1">
        <v>41548</v>
      </c>
      <c r="B574">
        <v>1147.7016000000001</v>
      </c>
      <c r="C574">
        <v>270.15030000000002</v>
      </c>
      <c r="D574">
        <v>508.68920000000003</v>
      </c>
      <c r="F574">
        <v>397343160.15350002</v>
      </c>
      <c r="G574">
        <v>288.84393</v>
      </c>
      <c r="H574">
        <v>67.989165999999997</v>
      </c>
      <c r="I574">
        <v>128.022639</v>
      </c>
      <c r="K574" s="4">
        <f>VLOOKUP(Table_Query_from_Cello_SQL_Server[[#This Row],[AsOfDate]], 'CMO MV Raw'!$A:$B,2,FALSE)</f>
        <v>323250201.06650299</v>
      </c>
      <c r="L574" s="5">
        <f>Table_Query_from_Cello_SQL_Server[[#This Row],[CMO MV]]/Table_Query_from_Cello_SQL_Server[[#This Row],[NAV]]*100</f>
        <v>81.35290436146586</v>
      </c>
    </row>
    <row r="575" spans="1:12" x14ac:dyDescent="0.2">
      <c r="A575" s="1">
        <v>41549</v>
      </c>
      <c r="B575">
        <v>1148.9516000000001</v>
      </c>
      <c r="C575">
        <v>270.37259999999998</v>
      </c>
      <c r="D575">
        <v>508.74790000000002</v>
      </c>
      <c r="F575">
        <v>397465084.00650001</v>
      </c>
      <c r="G575">
        <v>289.069819</v>
      </c>
      <c r="H575">
        <v>68.024238999999994</v>
      </c>
      <c r="I575">
        <v>127.998136</v>
      </c>
      <c r="K575" s="4">
        <f>VLOOKUP(Table_Query_from_Cello_SQL_Server[[#This Row],[AsOfDate]], 'CMO MV Raw'!$A:$B,2,FALSE)</f>
        <v>323487114.94239497</v>
      </c>
      <c r="L575" s="5">
        <f>Table_Query_from_Cello_SQL_Server[[#This Row],[CMO MV]]/Table_Query_from_Cello_SQL_Server[[#This Row],[NAV]]*100</f>
        <v>81.387555274441354</v>
      </c>
    </row>
    <row r="576" spans="1:12" x14ac:dyDescent="0.2">
      <c r="A576" s="1">
        <v>41550</v>
      </c>
      <c r="B576">
        <v>1150.1501000000001</v>
      </c>
      <c r="C576">
        <v>269.68439999999998</v>
      </c>
      <c r="D576">
        <v>508.37920000000003</v>
      </c>
      <c r="F576">
        <v>397396750.77039999</v>
      </c>
      <c r="G576">
        <v>289.42111299999999</v>
      </c>
      <c r="H576">
        <v>67.862758999999997</v>
      </c>
      <c r="I576">
        <v>127.927367</v>
      </c>
      <c r="K576" s="4">
        <f>VLOOKUP(Table_Query_from_Cello_SQL_Server[[#This Row],[AsOfDate]], 'CMO MV Raw'!$A:$B,2,FALSE)</f>
        <v>322505992.00911897</v>
      </c>
      <c r="L576" s="5">
        <f>Table_Query_from_Cello_SQL_Server[[#This Row],[CMO MV]]/Table_Query_from_Cello_SQL_Server[[#This Row],[NAV]]*100</f>
        <v>81.154662534080472</v>
      </c>
    </row>
    <row r="577" spans="1:12" x14ac:dyDescent="0.2">
      <c r="A577" s="1">
        <v>41551</v>
      </c>
      <c r="B577">
        <v>1140.8780999999999</v>
      </c>
      <c r="C577">
        <v>270.52670000000001</v>
      </c>
      <c r="D577">
        <v>504.9196</v>
      </c>
      <c r="F577">
        <v>397306644.41930002</v>
      </c>
      <c r="G577">
        <v>287.15303799999998</v>
      </c>
      <c r="H577">
        <v>68.090152000000003</v>
      </c>
      <c r="I577">
        <v>127.085617</v>
      </c>
      <c r="K577" s="4">
        <f>VLOOKUP(Table_Query_from_Cello_SQL_Server[[#This Row],[AsOfDate]], 'CMO MV Raw'!$A:$B,2,FALSE)</f>
        <v>324462236.035896</v>
      </c>
      <c r="L577" s="5">
        <f>Table_Query_from_Cello_SQL_Server[[#This Row],[CMO MV]]/Table_Query_from_Cello_SQL_Server[[#This Row],[NAV]]*100</f>
        <v>81.665444208748937</v>
      </c>
    </row>
    <row r="578" spans="1:12" x14ac:dyDescent="0.2">
      <c r="A578" s="1">
        <v>41554</v>
      </c>
      <c r="B578">
        <v>1159.8144</v>
      </c>
      <c r="C578">
        <v>276.75389999999999</v>
      </c>
      <c r="D578">
        <v>502.0068</v>
      </c>
      <c r="F578">
        <v>401703449.97039998</v>
      </c>
      <c r="G578">
        <v>288.72403300000002</v>
      </c>
      <c r="H578">
        <v>68.895077000000001</v>
      </c>
      <c r="I578">
        <v>124.96950200000001</v>
      </c>
      <c r="K578" s="4">
        <f>VLOOKUP(Table_Query_from_Cello_SQL_Server[[#This Row],[AsOfDate]], 'CMO MV Raw'!$A:$B,2,FALSE)</f>
        <v>327616578.926732</v>
      </c>
      <c r="L578" s="5">
        <f>Table_Query_from_Cello_SQL_Server[[#This Row],[CMO MV]]/Table_Query_from_Cello_SQL_Server[[#This Row],[NAV]]*100</f>
        <v>81.556824804684354</v>
      </c>
    </row>
    <row r="579" spans="1:12" x14ac:dyDescent="0.2">
      <c r="A579" s="1">
        <v>41555</v>
      </c>
      <c r="B579">
        <v>1167.6210000000001</v>
      </c>
      <c r="C579">
        <v>279.27730000000003</v>
      </c>
      <c r="D579">
        <v>512.14689999999996</v>
      </c>
      <c r="F579">
        <v>402737506.04939997</v>
      </c>
      <c r="G579">
        <v>289.92109799999997</v>
      </c>
      <c r="H579">
        <v>69.344746000000001</v>
      </c>
      <c r="I579">
        <v>127.166428</v>
      </c>
      <c r="K579" s="4">
        <f>VLOOKUP(Table_Query_from_Cello_SQL_Server[[#This Row],[AsOfDate]], 'CMO MV Raw'!$A:$B,2,FALSE)</f>
        <v>327882420.09955198</v>
      </c>
      <c r="L579" s="5">
        <f>Table_Query_from_Cello_SQL_Server[[#This Row],[CMO MV]]/Table_Query_from_Cello_SQL_Server[[#This Row],[NAV]]*100</f>
        <v>81.413430627773167</v>
      </c>
    </row>
    <row r="580" spans="1:12" x14ac:dyDescent="0.2">
      <c r="A580" s="1">
        <v>41556</v>
      </c>
      <c r="B580">
        <v>1111.3136999999999</v>
      </c>
      <c r="C580">
        <v>264.52820000000003</v>
      </c>
      <c r="D580">
        <v>495.67200000000003</v>
      </c>
      <c r="F580">
        <v>402015640.75080001</v>
      </c>
      <c r="G580">
        <v>276.43543899999997</v>
      </c>
      <c r="H580">
        <v>65.800475000000006</v>
      </c>
      <c r="I580">
        <v>123.296695</v>
      </c>
      <c r="K580" s="4">
        <f>VLOOKUP(Table_Query_from_Cello_SQL_Server[[#This Row],[AsOfDate]], 'CMO MV Raw'!$A:$B,2,FALSE)</f>
        <v>314187871.66361701</v>
      </c>
      <c r="L580" s="5">
        <f>Table_Query_from_Cello_SQL_Server[[#This Row],[CMO MV]]/Table_Query_from_Cello_SQL_Server[[#This Row],[NAV]]*100</f>
        <v>78.153146249942708</v>
      </c>
    </row>
    <row r="581" spans="1:12" x14ac:dyDescent="0.2">
      <c r="A581" s="1">
        <v>41557</v>
      </c>
      <c r="B581">
        <v>1113.2286999999999</v>
      </c>
      <c r="C581">
        <v>265.27100000000002</v>
      </c>
      <c r="D581">
        <v>495.56470000000002</v>
      </c>
      <c r="F581">
        <v>401720677.07520002</v>
      </c>
      <c r="G581">
        <v>277.11511100000001</v>
      </c>
      <c r="H581">
        <v>66.033693</v>
      </c>
      <c r="I581">
        <v>123.360516</v>
      </c>
      <c r="K581" s="4">
        <f>VLOOKUP(Table_Query_from_Cello_SQL_Server[[#This Row],[AsOfDate]], 'CMO MV Raw'!$A:$B,2,FALSE)</f>
        <v>314753561.08081502</v>
      </c>
      <c r="L581" s="5">
        <f>Table_Query_from_Cello_SQL_Server[[#This Row],[CMO MV]]/Table_Query_from_Cello_SQL_Server[[#This Row],[NAV]]*100</f>
        <v>78.351346854345465</v>
      </c>
    </row>
    <row r="582" spans="1:12" x14ac:dyDescent="0.2">
      <c r="A582" s="1">
        <v>41558</v>
      </c>
      <c r="B582">
        <v>1107.1827000000001</v>
      </c>
      <c r="C582">
        <v>262.072</v>
      </c>
      <c r="D582">
        <v>495.86430000000001</v>
      </c>
      <c r="F582">
        <v>401556116.7586</v>
      </c>
      <c r="G582">
        <v>275.72303199999999</v>
      </c>
      <c r="H582">
        <v>65.264104000000003</v>
      </c>
      <c r="I582">
        <v>123.48568</v>
      </c>
      <c r="K582" s="4">
        <f>VLOOKUP(Table_Query_from_Cello_SQL_Server[[#This Row],[AsOfDate]], 'CMO MV Raw'!$A:$B,2,FALSE)</f>
        <v>315109041.81302601</v>
      </c>
      <c r="L582" s="5">
        <f>Table_Query_from_Cello_SQL_Server[[#This Row],[CMO MV]]/Table_Query_from_Cello_SQL_Server[[#This Row],[NAV]]*100</f>
        <v>78.471981539371598</v>
      </c>
    </row>
    <row r="583" spans="1:12" x14ac:dyDescent="0.2">
      <c r="A583" s="1">
        <v>41562</v>
      </c>
      <c r="B583">
        <v>1107.6775</v>
      </c>
      <c r="C583">
        <v>262.11959999999999</v>
      </c>
      <c r="D583">
        <v>494.55099999999999</v>
      </c>
      <c r="F583">
        <v>400317862.62</v>
      </c>
      <c r="G583">
        <v>276.69949400000002</v>
      </c>
      <c r="H583">
        <v>65.477868000000001</v>
      </c>
      <c r="I583">
        <v>123.53957800000001</v>
      </c>
      <c r="K583" s="4">
        <f>VLOOKUP(Table_Query_from_Cello_SQL_Server[[#This Row],[AsOfDate]], 'CMO MV Raw'!$A:$B,2,FALSE)</f>
        <v>314599980.80537301</v>
      </c>
      <c r="L583" s="5">
        <f>Table_Query_from_Cello_SQL_Server[[#This Row],[CMO MV]]/Table_Query_from_Cello_SQL_Server[[#This Row],[NAV]]*100</f>
        <v>78.587545093885979</v>
      </c>
    </row>
    <row r="584" spans="1:12" x14ac:dyDescent="0.2">
      <c r="A584" s="1">
        <v>41563</v>
      </c>
      <c r="B584">
        <v>1106.9631999999999</v>
      </c>
      <c r="C584">
        <v>260.85140000000001</v>
      </c>
      <c r="D584">
        <v>495.30560000000003</v>
      </c>
      <c r="F584">
        <v>400562615.83810002</v>
      </c>
      <c r="G584">
        <v>276.35210000000001</v>
      </c>
      <c r="H584">
        <v>65.121253999999993</v>
      </c>
      <c r="I584">
        <v>123.652478</v>
      </c>
      <c r="K584" s="4">
        <f>VLOOKUP(Table_Query_from_Cello_SQL_Server[[#This Row],[AsOfDate]], 'CMO MV Raw'!$A:$B,2,FALSE)</f>
        <v>313194186.35465002</v>
      </c>
      <c r="L584" s="5">
        <f>Table_Query_from_Cello_SQL_Server[[#This Row],[CMO MV]]/Table_Query_from_Cello_SQL_Server[[#This Row],[NAV]]*100</f>
        <v>78.188571267279045</v>
      </c>
    </row>
    <row r="585" spans="1:12" x14ac:dyDescent="0.2">
      <c r="A585" s="1">
        <v>41564</v>
      </c>
      <c r="B585">
        <v>1033.3905999999999</v>
      </c>
      <c r="C585">
        <v>240.7013</v>
      </c>
      <c r="D585">
        <v>498.96039999999999</v>
      </c>
      <c r="F585">
        <v>402415785.35079998</v>
      </c>
      <c r="G585">
        <v>256.79673600000001</v>
      </c>
      <c r="H585">
        <v>59.814079999999997</v>
      </c>
      <c r="I585">
        <v>123.991259</v>
      </c>
      <c r="K585" s="4">
        <f>VLOOKUP(Table_Query_from_Cello_SQL_Server[[#This Row],[AsOfDate]], 'CMO MV Raw'!$A:$B,2,FALSE)</f>
        <v>291976475.98638499</v>
      </c>
      <c r="L585" s="5">
        <f>Table_Query_from_Cello_SQL_Server[[#This Row],[CMO MV]]/Table_Query_from_Cello_SQL_Server[[#This Row],[NAV]]*100</f>
        <v>72.555920173921322</v>
      </c>
    </row>
    <row r="586" spans="1:12" x14ac:dyDescent="0.2">
      <c r="A586" s="1">
        <v>41565</v>
      </c>
      <c r="B586">
        <v>1023.7492999999999</v>
      </c>
      <c r="C586">
        <v>239.3974</v>
      </c>
      <c r="D586">
        <v>499.02370000000002</v>
      </c>
      <c r="F586">
        <v>402150648.15390003</v>
      </c>
      <c r="G586">
        <v>254.56860599999999</v>
      </c>
      <c r="H586">
        <v>59.529283999999997</v>
      </c>
      <c r="I586">
        <v>124.088747</v>
      </c>
      <c r="K586" s="4">
        <f>VLOOKUP(Table_Query_from_Cello_SQL_Server[[#This Row],[AsOfDate]], 'CMO MV Raw'!$A:$B,2,FALSE)</f>
        <v>291712640.77182299</v>
      </c>
      <c r="L586" s="5">
        <f>Table_Query_from_Cello_SQL_Server[[#This Row],[CMO MV]]/Table_Query_from_Cello_SQL_Server[[#This Row],[NAV]]*100</f>
        <v>72.538150096474979</v>
      </c>
    </row>
    <row r="587" spans="1:12" x14ac:dyDescent="0.2">
      <c r="A587" s="1">
        <v>41568</v>
      </c>
      <c r="B587">
        <v>1023.9448</v>
      </c>
      <c r="C587">
        <v>240.0249</v>
      </c>
      <c r="D587">
        <v>497.97550000000001</v>
      </c>
      <c r="F587">
        <v>401861379.06330001</v>
      </c>
      <c r="G587">
        <v>254.800499</v>
      </c>
      <c r="H587">
        <v>59.728282999999998</v>
      </c>
      <c r="I587">
        <v>123.917233</v>
      </c>
      <c r="K587" s="4">
        <f>VLOOKUP(Table_Query_from_Cello_SQL_Server[[#This Row],[AsOfDate]], 'CMO MV Raw'!$A:$B,2,FALSE)</f>
        <v>291050870.45726001</v>
      </c>
      <c r="L587" s="5">
        <f>Table_Query_from_Cello_SQL_Server[[#This Row],[CMO MV]]/Table_Query_from_Cello_SQL_Server[[#This Row],[NAV]]*100</f>
        <v>72.425688463935359</v>
      </c>
    </row>
    <row r="588" spans="1:12" x14ac:dyDescent="0.2">
      <c r="A588" s="1">
        <v>41569</v>
      </c>
      <c r="B588">
        <v>1010.5410000000001</v>
      </c>
      <c r="C588">
        <v>232.87870000000001</v>
      </c>
      <c r="D588">
        <v>500.21780000000001</v>
      </c>
      <c r="F588">
        <v>403095469.14660001</v>
      </c>
      <c r="G588">
        <v>250.69520199999999</v>
      </c>
      <c r="H588">
        <v>57.772592000000003</v>
      </c>
      <c r="I588">
        <v>124.094126</v>
      </c>
      <c r="K588" s="4">
        <f>VLOOKUP(Table_Query_from_Cello_SQL_Server[[#This Row],[AsOfDate]], 'CMO MV Raw'!$A:$B,2,FALSE)</f>
        <v>279399721.615215</v>
      </c>
      <c r="L588" s="5">
        <f>Table_Query_from_Cello_SQL_Server[[#This Row],[CMO MV]]/Table_Query_from_Cello_SQL_Server[[#This Row],[NAV]]*100</f>
        <v>69.313535626370765</v>
      </c>
    </row>
    <row r="589" spans="1:12" x14ac:dyDescent="0.2">
      <c r="A589" s="1">
        <v>41570</v>
      </c>
      <c r="B589">
        <v>997.92819999999995</v>
      </c>
      <c r="C589">
        <v>228.5034</v>
      </c>
      <c r="D589">
        <v>527.68079999999998</v>
      </c>
      <c r="F589">
        <v>403385224.7245</v>
      </c>
      <c r="G589">
        <v>247.38838699999999</v>
      </c>
      <c r="H589">
        <v>56.646447999999999</v>
      </c>
      <c r="I589">
        <v>130.81312</v>
      </c>
      <c r="K589" s="4">
        <f>VLOOKUP(Table_Query_from_Cello_SQL_Server[[#This Row],[AsOfDate]], 'CMO MV Raw'!$A:$B,2,FALSE)</f>
        <v>273629235.66517198</v>
      </c>
      <c r="L589" s="5">
        <f>Table_Query_from_Cello_SQL_Server[[#This Row],[CMO MV]]/Table_Query_from_Cello_SQL_Server[[#This Row],[NAV]]*100</f>
        <v>67.83323208034021</v>
      </c>
    </row>
    <row r="590" spans="1:12" x14ac:dyDescent="0.2">
      <c r="A590" s="1">
        <v>41571</v>
      </c>
      <c r="B590">
        <v>752.96979999999996</v>
      </c>
      <c r="C590">
        <v>172.9605</v>
      </c>
      <c r="D590">
        <v>537.38940000000002</v>
      </c>
      <c r="F590">
        <v>402769478.60600001</v>
      </c>
      <c r="G590">
        <v>186.94807800000001</v>
      </c>
      <c r="H590">
        <v>42.942802</v>
      </c>
      <c r="I590">
        <v>133.42356599999999</v>
      </c>
      <c r="K590" s="4">
        <f>VLOOKUP(Table_Query_from_Cello_SQL_Server[[#This Row],[AsOfDate]], 'CMO MV Raw'!$A:$B,2,FALSE)</f>
        <v>274080896.90258503</v>
      </c>
      <c r="L590" s="5">
        <f>Table_Query_from_Cello_SQL_Server[[#This Row],[CMO MV]]/Table_Query_from_Cello_SQL_Server[[#This Row],[NAV]]*100</f>
        <v>68.049073095406612</v>
      </c>
    </row>
    <row r="591" spans="1:12" x14ac:dyDescent="0.2">
      <c r="A591" s="1">
        <v>41572</v>
      </c>
      <c r="B591">
        <v>741.08349999999996</v>
      </c>
      <c r="C591">
        <v>169.1721</v>
      </c>
      <c r="D591">
        <v>531.24289999999996</v>
      </c>
      <c r="F591">
        <v>402697409.26450002</v>
      </c>
      <c r="G591">
        <v>184.029865</v>
      </c>
      <c r="H591">
        <v>42.009731000000002</v>
      </c>
      <c r="I591">
        <v>131.92111199999999</v>
      </c>
      <c r="K591" s="4">
        <f>VLOOKUP(Table_Query_from_Cello_SQL_Server[[#This Row],[AsOfDate]], 'CMO MV Raw'!$A:$B,2,FALSE)</f>
        <v>273045544.96896398</v>
      </c>
      <c r="L591" s="5">
        <f>Table_Query_from_Cello_SQL_Server[[#This Row],[CMO MV]]/Table_Query_from_Cello_SQL_Server[[#This Row],[NAV]]*100</f>
        <v>67.804147403794687</v>
      </c>
    </row>
    <row r="592" spans="1:12" x14ac:dyDescent="0.2">
      <c r="A592" s="1">
        <v>41575</v>
      </c>
      <c r="B592">
        <v>966.03570000000002</v>
      </c>
      <c r="C592">
        <v>219.7073</v>
      </c>
      <c r="D592">
        <v>529.70090000000005</v>
      </c>
      <c r="F592">
        <v>402037048.7317</v>
      </c>
      <c r="G592">
        <v>240.28524300000001</v>
      </c>
      <c r="H592">
        <v>54.648521000000002</v>
      </c>
      <c r="I592">
        <v>131.75425000000001</v>
      </c>
      <c r="K592" s="4">
        <f>VLOOKUP(Table_Query_from_Cello_SQL_Server[[#This Row],[AsOfDate]], 'CMO MV Raw'!$A:$B,2,FALSE)</f>
        <v>269280018.153193</v>
      </c>
      <c r="L592" s="5">
        <f>Table_Query_from_Cello_SQL_Server[[#This Row],[CMO MV]]/Table_Query_from_Cello_SQL_Server[[#This Row],[NAV]]*100</f>
        <v>66.978906297985844</v>
      </c>
    </row>
    <row r="593" spans="1:12" x14ac:dyDescent="0.2">
      <c r="A593" s="1">
        <v>41576</v>
      </c>
      <c r="B593">
        <v>979.31420000000003</v>
      </c>
      <c r="C593">
        <v>222.21600000000001</v>
      </c>
      <c r="D593">
        <v>530.35329999999999</v>
      </c>
      <c r="F593">
        <v>401930984.62099999</v>
      </c>
      <c r="G593">
        <v>243.65232800000001</v>
      </c>
      <c r="H593">
        <v>55.287103999999999</v>
      </c>
      <c r="I593">
        <v>131.951335</v>
      </c>
      <c r="K593" s="4">
        <f>VLOOKUP(Table_Query_from_Cello_SQL_Server[[#This Row],[AsOfDate]], 'CMO MV Raw'!$A:$B,2,FALSE)</f>
        <v>269007845.24293798</v>
      </c>
      <c r="L593" s="5">
        <f>Table_Query_from_Cello_SQL_Server[[#This Row],[CMO MV]]/Table_Query_from_Cello_SQL_Server[[#This Row],[NAV]]*100</f>
        <v>66.928864789212099</v>
      </c>
    </row>
    <row r="594" spans="1:12" x14ac:dyDescent="0.2">
      <c r="A594" s="1">
        <v>41577</v>
      </c>
      <c r="B594">
        <v>978.22270000000003</v>
      </c>
      <c r="C594">
        <v>222.20920000000001</v>
      </c>
      <c r="D594">
        <v>529.78160000000003</v>
      </c>
      <c r="F594">
        <v>401836052.86540002</v>
      </c>
      <c r="G594">
        <v>243.43826100000001</v>
      </c>
      <c r="H594">
        <v>55.298473000000001</v>
      </c>
      <c r="I594">
        <v>131.840236</v>
      </c>
      <c r="K594" s="4">
        <f>VLOOKUP(Table_Query_from_Cello_SQL_Server[[#This Row],[AsOfDate]], 'CMO MV Raw'!$A:$B,2,FALSE)</f>
        <v>269195892.69238502</v>
      </c>
      <c r="L594" s="5">
        <f>Table_Query_from_Cello_SQL_Server[[#This Row],[CMO MV]]/Table_Query_from_Cello_SQL_Server[[#This Row],[NAV]]*100</f>
        <v>66.991473456105126</v>
      </c>
    </row>
    <row r="595" spans="1:12" x14ac:dyDescent="0.2">
      <c r="A595" s="1">
        <v>41578</v>
      </c>
      <c r="B595">
        <v>980.72550000000001</v>
      </c>
      <c r="C595">
        <v>224.00470000000001</v>
      </c>
      <c r="D595">
        <v>518.60289999999998</v>
      </c>
      <c r="F595">
        <v>404256697.73680001</v>
      </c>
      <c r="G595">
        <v>242.59969100000001</v>
      </c>
      <c r="H595">
        <v>55.411499999999997</v>
      </c>
      <c r="I595">
        <v>128.28554299999999</v>
      </c>
      <c r="K595" s="4">
        <f>VLOOKUP(Table_Query_from_Cello_SQL_Server[[#This Row],[AsOfDate]], 'CMO MV Raw'!$A:$B,2,FALSE)</f>
        <v>270141866.91650301</v>
      </c>
      <c r="L595" s="5">
        <f>Table_Query_from_Cello_SQL_Server[[#This Row],[CMO MV]]/Table_Query_from_Cello_SQL_Server[[#This Row],[NAV]]*100</f>
        <v>66.824339195583264</v>
      </c>
    </row>
    <row r="596" spans="1:12" x14ac:dyDescent="0.2">
      <c r="A596" s="1">
        <v>41579</v>
      </c>
      <c r="B596">
        <v>951.64970000000005</v>
      </c>
      <c r="C596">
        <v>221.06739999999999</v>
      </c>
      <c r="D596">
        <v>516.7346</v>
      </c>
      <c r="F596">
        <v>411179617.28839999</v>
      </c>
      <c r="G596">
        <v>231.443792</v>
      </c>
      <c r="H596">
        <v>53.764192000000001</v>
      </c>
      <c r="I596">
        <v>125.67125900000001</v>
      </c>
      <c r="K596" s="4">
        <f>VLOOKUP(Table_Query_from_Cello_SQL_Server[[#This Row],[AsOfDate]], 'CMO MV Raw'!$A:$B,2,FALSE)</f>
        <v>270544789.24039298</v>
      </c>
      <c r="L596" s="5">
        <f>Table_Query_from_Cello_SQL_Server[[#This Row],[CMO MV]]/Table_Query_from_Cello_SQL_Server[[#This Row],[NAV]]*100</f>
        <v>65.797227747948838</v>
      </c>
    </row>
    <row r="597" spans="1:12" x14ac:dyDescent="0.2">
      <c r="A597" s="1">
        <v>41582</v>
      </c>
      <c r="B597">
        <v>946.78920000000005</v>
      </c>
      <c r="C597">
        <v>220.61779999999999</v>
      </c>
      <c r="D597">
        <v>516.09820000000002</v>
      </c>
      <c r="F597">
        <v>412061683.03250003</v>
      </c>
      <c r="G597">
        <v>229.76880399999999</v>
      </c>
      <c r="H597">
        <v>53.539994</v>
      </c>
      <c r="I597">
        <v>125.24780199999999</v>
      </c>
      <c r="K597" s="4">
        <f>VLOOKUP(Table_Query_from_Cello_SQL_Server[[#This Row],[AsOfDate]], 'CMO MV Raw'!$A:$B,2,FALSE)</f>
        <v>270564099.30994302</v>
      </c>
      <c r="L597" s="5">
        <f>Table_Query_from_Cello_SQL_Server[[#This Row],[CMO MV]]/Table_Query_from_Cello_SQL_Server[[#This Row],[NAV]]*100</f>
        <v>65.661067371945663</v>
      </c>
    </row>
    <row r="598" spans="1:12" x14ac:dyDescent="0.2">
      <c r="A598" s="1">
        <v>41583</v>
      </c>
      <c r="B598">
        <v>934.1377</v>
      </c>
      <c r="C598">
        <v>221.70169999999999</v>
      </c>
      <c r="D598">
        <v>513.53470000000004</v>
      </c>
      <c r="F598">
        <v>411556276.40270001</v>
      </c>
      <c r="G598">
        <v>226.97690499999999</v>
      </c>
      <c r="H598">
        <v>53.869109000000002</v>
      </c>
      <c r="I598">
        <v>124.77873099999999</v>
      </c>
      <c r="K598" s="4">
        <f>VLOOKUP(Table_Query_from_Cello_SQL_Server[[#This Row],[AsOfDate]], 'CMO MV Raw'!$A:$B,2,FALSE)</f>
        <v>273595137.04954302</v>
      </c>
      <c r="L598" s="5">
        <f>Table_Query_from_Cello_SQL_Server[[#This Row],[CMO MV]]/Table_Query_from_Cello_SQL_Server[[#This Row],[NAV]]*100</f>
        <v>66.478183601271425</v>
      </c>
    </row>
    <row r="599" spans="1:12" x14ac:dyDescent="0.2">
      <c r="A599" s="1">
        <v>41584</v>
      </c>
      <c r="B599">
        <v>956.22280000000001</v>
      </c>
      <c r="C599">
        <v>227.48670000000001</v>
      </c>
      <c r="D599">
        <v>511.1259</v>
      </c>
      <c r="F599">
        <v>413998468.25550002</v>
      </c>
      <c r="G599">
        <v>230.972545</v>
      </c>
      <c r="H599">
        <v>54.948681999999998</v>
      </c>
      <c r="I599">
        <v>123.460819</v>
      </c>
      <c r="K599" s="4">
        <f>VLOOKUP(Table_Query_from_Cello_SQL_Server[[#This Row],[AsOfDate]], 'CMO MV Raw'!$A:$B,2,FALSE)</f>
        <v>276312643.69297701</v>
      </c>
      <c r="L599" s="5">
        <f>Table_Query_from_Cello_SQL_Server[[#This Row],[CMO MV]]/Table_Query_from_Cello_SQL_Server[[#This Row],[NAV]]*100</f>
        <v>66.742431404951503</v>
      </c>
    </row>
    <row r="600" spans="1:12" x14ac:dyDescent="0.2">
      <c r="A600" s="1">
        <v>41585</v>
      </c>
      <c r="B600">
        <v>957.90049999999997</v>
      </c>
      <c r="C600">
        <v>228.8784</v>
      </c>
      <c r="D600">
        <v>511.09480000000002</v>
      </c>
      <c r="F600">
        <v>415520505.22509998</v>
      </c>
      <c r="G600">
        <v>230.53026</v>
      </c>
      <c r="H600">
        <v>55.082335999999998</v>
      </c>
      <c r="I600">
        <v>123.001102</v>
      </c>
      <c r="K600" s="4">
        <f>VLOOKUP(Table_Query_from_Cello_SQL_Server[[#This Row],[AsOfDate]], 'CMO MV Raw'!$A:$B,2,FALSE)</f>
        <v>277465402.27286297</v>
      </c>
      <c r="L600" s="5">
        <f>Table_Query_from_Cello_SQL_Server[[#This Row],[CMO MV]]/Table_Query_from_Cello_SQL_Server[[#This Row],[NAV]]*100</f>
        <v>66.775381427338132</v>
      </c>
    </row>
    <row r="601" spans="1:12" x14ac:dyDescent="0.2">
      <c r="A601" s="1">
        <v>41586</v>
      </c>
      <c r="B601">
        <v>941.46640000000002</v>
      </c>
      <c r="C601">
        <v>227.1293</v>
      </c>
      <c r="D601">
        <v>507.68959999999998</v>
      </c>
      <c r="F601">
        <v>412884452.33660001</v>
      </c>
      <c r="G601">
        <v>228.021761</v>
      </c>
      <c r="H601">
        <v>55.010379</v>
      </c>
      <c r="I601">
        <v>122.96166599999999</v>
      </c>
      <c r="K601" s="9">
        <f>VLOOKUP(Table_Query_from_Cello_SQL_Server[[#This Row],[AsOfDate]], 'CMO MV Raw'!$A:$B,2,FALSE)</f>
        <v>279168612.81380397</v>
      </c>
      <c r="L601" s="5">
        <f>Table_Query_from_Cello_SQL_Server[[#This Row],[CMO MV]]/Table_Query_from_Cello_SQL_Server[[#This Row],[NAV]]*100</f>
        <v>67.614222631520775</v>
      </c>
    </row>
    <row r="602" spans="1:12" x14ac:dyDescent="0.2">
      <c r="A602" s="1">
        <v>41590</v>
      </c>
      <c r="B602">
        <v>945.28200000000004</v>
      </c>
      <c r="C602">
        <v>228.29239999999999</v>
      </c>
      <c r="D602">
        <v>486.11869999999999</v>
      </c>
      <c r="F602">
        <v>413766650.79009998</v>
      </c>
      <c r="G602">
        <v>228.45775499999999</v>
      </c>
      <c r="H602">
        <v>55.174190000000003</v>
      </c>
      <c r="I602">
        <v>117.48619600000001</v>
      </c>
      <c r="K602" s="9" t="e">
        <f>VLOOKUP(Table_Query_from_Cello_SQL_Server[[#This Row],[AsOfDate]], 'CMO MV Raw'!$A:$B,2,FALSE)</f>
        <v>#N/A</v>
      </c>
      <c r="L602" s="5" t="e">
        <f>Table_Query_from_Cello_SQL_Server[[#This Row],[CMO MV]]/Table_Query_from_Cello_SQL_Server[[#This Row],[NAV]]*100</f>
        <v>#N/A</v>
      </c>
    </row>
    <row r="603" spans="1:12" x14ac:dyDescent="0.2">
      <c r="A603" s="1">
        <v>41591</v>
      </c>
      <c r="B603">
        <v>951.41600000000005</v>
      </c>
      <c r="C603">
        <v>227.7817</v>
      </c>
      <c r="D603">
        <v>487.28550000000001</v>
      </c>
      <c r="F603">
        <v>413983140.35170001</v>
      </c>
      <c r="G603">
        <v>229.819987</v>
      </c>
      <c r="H603">
        <v>55.021974999999998</v>
      </c>
      <c r="I603">
        <v>117.706605</v>
      </c>
      <c r="K603" s="9">
        <f>VLOOKUP(Table_Query_from_Cello_SQL_Server[[#This Row],[AsOfDate]], 'CMO MV Raw'!$A:$B,2,FALSE)</f>
        <v>278678688.598885</v>
      </c>
      <c r="L603" s="5">
        <f>Table_Query_from_Cello_SQL_Server[[#This Row],[CMO MV]]/Table_Query_from_Cello_SQL_Server[[#This Row],[NAV]]*100</f>
        <v>67.316434278490931</v>
      </c>
    </row>
    <row r="604" spans="1:12" x14ac:dyDescent="0.2">
      <c r="A604" s="1">
        <v>41592</v>
      </c>
      <c r="B604">
        <v>956.54390000000001</v>
      </c>
      <c r="C604">
        <v>227.6114</v>
      </c>
      <c r="D604">
        <v>487.90550000000002</v>
      </c>
      <c r="F604">
        <v>414762796.829</v>
      </c>
      <c r="G604">
        <v>230.624325</v>
      </c>
      <c r="H604">
        <v>54.877487000000002</v>
      </c>
      <c r="I604">
        <v>117.634827</v>
      </c>
      <c r="K604" s="9">
        <f>VLOOKUP(Table_Query_from_Cello_SQL_Server[[#This Row],[AsOfDate]], 'CMO MV Raw'!$A:$B,2,FALSE)</f>
        <v>277185857.55612999</v>
      </c>
      <c r="L604" s="5">
        <f>Table_Query_from_Cello_SQL_Server[[#This Row],[CMO MV]]/Table_Query_from_Cello_SQL_Server[[#This Row],[NAV]]*100</f>
        <v>66.829971172754256</v>
      </c>
    </row>
    <row r="605" spans="1:12" x14ac:dyDescent="0.2">
      <c r="A605" s="1">
        <v>41593</v>
      </c>
      <c r="B605">
        <v>1019.5989</v>
      </c>
      <c r="C605">
        <v>242.7499</v>
      </c>
      <c r="D605">
        <v>514.6866</v>
      </c>
      <c r="F605">
        <v>415444360.50370002</v>
      </c>
      <c r="G605">
        <v>245.42369500000001</v>
      </c>
      <c r="H605">
        <v>58.431387000000001</v>
      </c>
      <c r="I605">
        <v>123.888214</v>
      </c>
      <c r="K605" s="9">
        <f>VLOOKUP(Table_Query_from_Cello_SQL_Server[[#This Row],[AsOfDate]], 'CMO MV Raw'!$A:$B,2,FALSE)</f>
        <v>289276551.528355</v>
      </c>
      <c r="L605" s="5">
        <f>Table_Query_from_Cello_SQL_Server[[#This Row],[CMO MV]]/Table_Query_from_Cello_SQL_Server[[#This Row],[NAV]]*100</f>
        <v>69.630636260804096</v>
      </c>
    </row>
    <row r="606" spans="1:12" x14ac:dyDescent="0.2">
      <c r="A606" s="1">
        <v>41596</v>
      </c>
      <c r="B606">
        <v>1012.2933</v>
      </c>
      <c r="C606">
        <v>239.84379999999999</v>
      </c>
      <c r="D606">
        <v>514.09169999999995</v>
      </c>
      <c r="F606">
        <v>416304747.05500001</v>
      </c>
      <c r="G606">
        <v>243.16160400000001</v>
      </c>
      <c r="H606">
        <v>57.612555</v>
      </c>
      <c r="I606">
        <v>123.489272</v>
      </c>
      <c r="K606" s="9">
        <f>VLOOKUP(Table_Query_from_Cello_SQL_Server[[#This Row],[AsOfDate]], 'CMO MV Raw'!$A:$B,2,FALSE)</f>
        <v>288629530.22028297</v>
      </c>
      <c r="L606" s="5">
        <f>Table_Query_from_Cello_SQL_Server[[#This Row],[CMO MV]]/Table_Query_from_Cello_SQL_Server[[#This Row],[NAV]]*100</f>
        <v>69.331308917827627</v>
      </c>
    </row>
    <row r="607" spans="1:12" x14ac:dyDescent="0.2">
      <c r="A607" s="1">
        <v>41597</v>
      </c>
      <c r="B607">
        <v>1007.2406</v>
      </c>
      <c r="C607">
        <v>241.10599999999999</v>
      </c>
      <c r="D607">
        <v>512.64660000000003</v>
      </c>
      <c r="F607">
        <v>416863920.8689</v>
      </c>
      <c r="G607">
        <v>241.623357</v>
      </c>
      <c r="H607">
        <v>57.838059000000001</v>
      </c>
      <c r="I607">
        <v>122.97696500000001</v>
      </c>
      <c r="K607" s="9">
        <f>VLOOKUP(Table_Query_from_Cello_SQL_Server[[#This Row],[AsOfDate]], 'CMO MV Raw'!$A:$B,2,FALSE)</f>
        <v>289532822.66855901</v>
      </c>
      <c r="L607" s="5">
        <f>Table_Query_from_Cello_SQL_Server[[#This Row],[CMO MV]]/Table_Query_from_Cello_SQL_Server[[#This Row],[NAV]]*100</f>
        <v>69.454996744516663</v>
      </c>
    </row>
    <row r="608" spans="1:12" x14ac:dyDescent="0.2">
      <c r="A608" s="1">
        <v>41598</v>
      </c>
      <c r="B608">
        <v>996.31370000000004</v>
      </c>
      <c r="C608">
        <v>242.32239999999999</v>
      </c>
      <c r="D608">
        <v>510.40390000000002</v>
      </c>
      <c r="F608">
        <v>416135730.85170001</v>
      </c>
      <c r="G608">
        <v>239.420368</v>
      </c>
      <c r="H608">
        <v>58.231577000000001</v>
      </c>
      <c r="I608">
        <v>122.653226</v>
      </c>
      <c r="K608" s="9">
        <f>VLOOKUP(Table_Query_from_Cello_SQL_Server[[#This Row],[AsOfDate]], 'CMO MV Raw'!$A:$B,2,FALSE)</f>
        <v>292447362.33868998</v>
      </c>
      <c r="L608" s="5">
        <f>Table_Query_from_Cello_SQL_Server[[#This Row],[CMO MV]]/Table_Query_from_Cello_SQL_Server[[#This Row],[NAV]]*100</f>
        <v>70.276917038616588</v>
      </c>
    </row>
    <row r="609" spans="1:12" x14ac:dyDescent="0.2">
      <c r="A609" s="1">
        <v>41599</v>
      </c>
      <c r="B609">
        <v>977.52940000000001</v>
      </c>
      <c r="C609">
        <v>236.626</v>
      </c>
      <c r="D609">
        <v>511.53890000000001</v>
      </c>
      <c r="F609">
        <v>413532779.28560001</v>
      </c>
      <c r="G609">
        <v>236.384985</v>
      </c>
      <c r="H609">
        <v>57.220615000000002</v>
      </c>
      <c r="I609">
        <v>123.69972199999999</v>
      </c>
      <c r="K609" s="9">
        <f>VLOOKUP(Table_Query_from_Cello_SQL_Server[[#This Row],[AsOfDate]], 'CMO MV Raw'!$A:$B,2,FALSE)</f>
        <v>289373412.64527798</v>
      </c>
      <c r="L609" s="5">
        <f>Table_Query_from_Cello_SQL_Server[[#This Row],[CMO MV]]/Table_Query_from_Cello_SQL_Server[[#This Row],[NAV]]*100</f>
        <v>69.975931084637594</v>
      </c>
    </row>
    <row r="610" spans="1:12" x14ac:dyDescent="0.2">
      <c r="A610" s="1">
        <v>41600</v>
      </c>
      <c r="B610">
        <v>869.17</v>
      </c>
      <c r="C610">
        <v>209.97030000000001</v>
      </c>
      <c r="D610">
        <v>514.50609999999995</v>
      </c>
      <c r="F610">
        <v>413107627.00459999</v>
      </c>
      <c r="G610">
        <v>210.397955</v>
      </c>
      <c r="H610">
        <v>50.827021000000002</v>
      </c>
      <c r="I610">
        <v>124.545292</v>
      </c>
      <c r="K610" s="9">
        <f>VLOOKUP(Table_Query_from_Cello_SQL_Server[[#This Row],[AsOfDate]], 'CMO MV Raw'!$A:$B,2,FALSE)</f>
        <v>268357207.36389899</v>
      </c>
      <c r="L610" s="5">
        <f>Table_Query_from_Cello_SQL_Server[[#This Row],[CMO MV]]/Table_Query_from_Cello_SQL_Server[[#This Row],[NAV]]*100</f>
        <v>64.960603441221579</v>
      </c>
    </row>
    <row r="611" spans="1:12" x14ac:dyDescent="0.2">
      <c r="A611" s="1">
        <v>41603</v>
      </c>
      <c r="B611">
        <v>853.75540000000001</v>
      </c>
      <c r="C611">
        <v>206.46420000000001</v>
      </c>
      <c r="D611">
        <v>512.87959999999998</v>
      </c>
      <c r="F611">
        <v>413228303.73189998</v>
      </c>
      <c r="G611">
        <v>206.60622499999999</v>
      </c>
      <c r="H611">
        <v>49.963712000000001</v>
      </c>
      <c r="I611">
        <v>124.115312</v>
      </c>
      <c r="K611" s="9">
        <f>VLOOKUP(Table_Query_from_Cello_SQL_Server[[#This Row],[AsOfDate]], 'CMO MV Raw'!$A:$B,2,FALSE)</f>
        <v>265282728.34947199</v>
      </c>
      <c r="L611" s="5">
        <f>Table_Query_from_Cello_SQL_Server[[#This Row],[CMO MV]]/Table_Query_from_Cello_SQL_Server[[#This Row],[NAV]]*100</f>
        <v>64.197618109331117</v>
      </c>
    </row>
    <row r="612" spans="1:12" x14ac:dyDescent="0.2">
      <c r="A612" s="1">
        <v>41604</v>
      </c>
      <c r="B612">
        <v>848.56380000000001</v>
      </c>
      <c r="C612">
        <v>204.75710000000001</v>
      </c>
      <c r="D612">
        <v>508.94049999999999</v>
      </c>
      <c r="F612">
        <v>413878084.25880003</v>
      </c>
      <c r="G612">
        <v>205.027478</v>
      </c>
      <c r="H612">
        <v>49.472805999999999</v>
      </c>
      <c r="I612">
        <v>122.9687</v>
      </c>
      <c r="K612" s="9">
        <f>VLOOKUP(Table_Query_from_Cello_SQL_Server[[#This Row],[AsOfDate]], 'CMO MV Raw'!$A:$B,2,FALSE)</f>
        <v>270135569.28613299</v>
      </c>
      <c r="L612" s="5">
        <f>Table_Query_from_Cello_SQL_Server[[#This Row],[CMO MV]]/Table_Query_from_Cello_SQL_Server[[#This Row],[NAV]]*100</f>
        <v>65.269358190325406</v>
      </c>
    </row>
    <row r="613" spans="1:12" x14ac:dyDescent="0.2">
      <c r="A613" s="1">
        <v>41605</v>
      </c>
      <c r="B613">
        <v>845.99450000000002</v>
      </c>
      <c r="C613">
        <v>205.49510000000001</v>
      </c>
      <c r="D613">
        <v>507.99459999999999</v>
      </c>
      <c r="F613">
        <v>413162060.34930003</v>
      </c>
      <c r="G613">
        <v>204.76093599999999</v>
      </c>
      <c r="H613">
        <v>49.737166000000002</v>
      </c>
      <c r="I613">
        <v>122.952867</v>
      </c>
      <c r="K613" s="9">
        <f>VLOOKUP(Table_Query_from_Cello_SQL_Server[[#This Row],[AsOfDate]], 'CMO MV Raw'!$A:$B,2,FALSE)</f>
        <v>271215925.34631997</v>
      </c>
      <c r="L613" s="5">
        <f>Table_Query_from_Cello_SQL_Server[[#This Row],[CMO MV]]/Table_Query_from_Cello_SQL_Server[[#This Row],[NAV]]*100</f>
        <v>65.643957026699312</v>
      </c>
    </row>
    <row r="614" spans="1:12" x14ac:dyDescent="0.2">
      <c r="A614" s="1">
        <v>41607</v>
      </c>
      <c r="B614">
        <v>861.14459999999997</v>
      </c>
      <c r="C614">
        <v>209.2878</v>
      </c>
      <c r="D614">
        <v>483.06389999999999</v>
      </c>
      <c r="F614">
        <v>415409094.22009999</v>
      </c>
      <c r="G614">
        <v>207.30037300000001</v>
      </c>
      <c r="H614">
        <v>50.381131000000003</v>
      </c>
      <c r="I614">
        <v>116.28630800000001</v>
      </c>
      <c r="K614" s="9">
        <f>VLOOKUP(Table_Query_from_Cello_SQL_Server[[#This Row],[AsOfDate]], 'CMO MV Raw'!$A:$B,2,FALSE)</f>
        <v>273236080.36891598</v>
      </c>
      <c r="L614" s="5">
        <f>Table_Query_from_Cello_SQL_Server[[#This Row],[CMO MV]]/Table_Query_from_Cello_SQL_Server[[#This Row],[NAV]]*100</f>
        <v>65.775180218886788</v>
      </c>
    </row>
    <row r="615" spans="1:12" x14ac:dyDescent="0.2">
      <c r="A615" s="1">
        <v>41610</v>
      </c>
      <c r="B615">
        <v>841.88390000000004</v>
      </c>
      <c r="C615">
        <v>206.53290000000001</v>
      </c>
      <c r="D615">
        <v>480.44670000000002</v>
      </c>
      <c r="F615">
        <v>412251655.16109997</v>
      </c>
      <c r="G615">
        <v>204.216015</v>
      </c>
      <c r="H615">
        <v>50.098744000000003</v>
      </c>
      <c r="I615">
        <v>116.542091</v>
      </c>
      <c r="K615" s="9">
        <f>VLOOKUP(Table_Query_from_Cello_SQL_Server[[#This Row],[AsOfDate]], 'CMO MV Raw'!$A:$B,2,FALSE)</f>
        <v>272701629.83408803</v>
      </c>
      <c r="L615" s="5">
        <f>Table_Query_from_Cello_SQL_Server[[#This Row],[CMO MV]]/Table_Query_from_Cello_SQL_Server[[#This Row],[NAV]]*100</f>
        <v>66.149311087064405</v>
      </c>
    </row>
    <row r="616" spans="1:12" x14ac:dyDescent="0.2">
      <c r="A616" s="1">
        <v>41611</v>
      </c>
      <c r="B616">
        <v>845.42409999999995</v>
      </c>
      <c r="C616">
        <v>207.3486</v>
      </c>
      <c r="D616">
        <v>479.97149999999999</v>
      </c>
      <c r="F616">
        <v>412622042.4059</v>
      </c>
      <c r="G616">
        <v>204.89067800000001</v>
      </c>
      <c r="H616">
        <v>50.251460000000002</v>
      </c>
      <c r="I616">
        <v>116.322312</v>
      </c>
      <c r="K616" s="9">
        <f>VLOOKUP(Table_Query_from_Cello_SQL_Server[[#This Row],[AsOfDate]], 'CMO MV Raw'!$A:$B,2,FALSE)</f>
        <v>273327817.60760599</v>
      </c>
      <c r="L616" s="5">
        <f>Table_Query_from_Cello_SQL_Server[[#This Row],[CMO MV]]/Table_Query_from_Cello_SQL_Server[[#This Row],[NAV]]*100</f>
        <v>66.241690825312475</v>
      </c>
    </row>
    <row r="617" spans="1:12" x14ac:dyDescent="0.2">
      <c r="A617" s="1">
        <v>41612</v>
      </c>
      <c r="B617">
        <v>847.31690000000003</v>
      </c>
      <c r="C617">
        <v>208.96190000000001</v>
      </c>
      <c r="D617">
        <v>452.52420000000001</v>
      </c>
      <c r="F617">
        <v>412149192.36070001</v>
      </c>
      <c r="G617">
        <v>205.58499599999999</v>
      </c>
      <c r="H617">
        <v>50.700547999999998</v>
      </c>
      <c r="I617">
        <v>109.796212</v>
      </c>
      <c r="K617" s="9">
        <f>VLOOKUP(Table_Query_from_Cello_SQL_Server[[#This Row],[AsOfDate]], 'CMO MV Raw'!$A:$B,2,FALSE)</f>
        <v>274528166.12149799</v>
      </c>
      <c r="L617" s="5">
        <f>Table_Query_from_Cello_SQL_Server[[#This Row],[CMO MV]]/Table_Query_from_Cello_SQL_Server[[#This Row],[NAV]]*100</f>
        <v>66.608929778331245</v>
      </c>
    </row>
    <row r="618" spans="1:12" x14ac:dyDescent="0.2">
      <c r="A618" s="1">
        <v>41613</v>
      </c>
      <c r="B618">
        <v>860.85760000000005</v>
      </c>
      <c r="C618">
        <v>212.5147</v>
      </c>
      <c r="D618">
        <v>451.84429999999998</v>
      </c>
      <c r="F618">
        <v>413957693.26069999</v>
      </c>
      <c r="G618">
        <v>207.95787000000001</v>
      </c>
      <c r="H618">
        <v>51.337299000000002</v>
      </c>
      <c r="I618">
        <v>109.15228999999999</v>
      </c>
      <c r="K618" s="9">
        <f>VLOOKUP(Table_Query_from_Cello_SQL_Server[[#This Row],[AsOfDate]], 'CMO MV Raw'!$A:$B,2,FALSE)</f>
        <v>276638521.87386799</v>
      </c>
      <c r="L618" s="5">
        <f>Table_Query_from_Cello_SQL_Server[[#This Row],[CMO MV]]/Table_Query_from_Cello_SQL_Server[[#This Row],[NAV]]*100</f>
        <v>66.827728141689136</v>
      </c>
    </row>
    <row r="619" spans="1:12" x14ac:dyDescent="0.2">
      <c r="A619" s="1">
        <v>41614</v>
      </c>
      <c r="B619">
        <v>817.59479999999996</v>
      </c>
      <c r="C619">
        <v>201.94990000000001</v>
      </c>
      <c r="D619">
        <v>400.73570000000001</v>
      </c>
      <c r="F619">
        <v>415965731.236</v>
      </c>
      <c r="G619">
        <v>196.553403</v>
      </c>
      <c r="H619">
        <v>48.549647999999998</v>
      </c>
      <c r="I619">
        <v>96.338633000000002</v>
      </c>
      <c r="K619" s="9">
        <f>VLOOKUP(Table_Query_from_Cello_SQL_Server[[#This Row],[AsOfDate]], 'CMO MV Raw'!$A:$B,2,FALSE)</f>
        <v>266350397.61313099</v>
      </c>
      <c r="L619" s="5">
        <f>Table_Query_from_Cello_SQL_Server[[#This Row],[CMO MV]]/Table_Query_from_Cello_SQL_Server[[#This Row],[NAV]]*100</f>
        <v>64.03181262593381</v>
      </c>
    </row>
    <row r="620" spans="1:12" x14ac:dyDescent="0.2">
      <c r="A620" s="1">
        <v>41617</v>
      </c>
      <c r="B620">
        <v>818.35850000000005</v>
      </c>
      <c r="C620">
        <v>201.57230000000001</v>
      </c>
      <c r="D620">
        <v>401.79539999999997</v>
      </c>
      <c r="F620">
        <v>416852539.98890001</v>
      </c>
      <c r="G620">
        <v>196.31846300000001</v>
      </c>
      <c r="H620">
        <v>48.355781</v>
      </c>
      <c r="I620">
        <v>96.387898000000007</v>
      </c>
      <c r="K620" s="9">
        <f>VLOOKUP(Table_Query_from_Cello_SQL_Server[[#This Row],[AsOfDate]], 'CMO MV Raw'!$A:$B,2,FALSE)</f>
        <v>266158467.965437</v>
      </c>
      <c r="L620" s="5">
        <f>Table_Query_from_Cello_SQL_Server[[#This Row],[CMO MV]]/Table_Query_from_Cello_SQL_Server[[#This Row],[NAV]]*100</f>
        <v>63.849549284868047</v>
      </c>
    </row>
    <row r="621" spans="1:12" x14ac:dyDescent="0.2">
      <c r="A621" s="1">
        <v>41618</v>
      </c>
      <c r="B621">
        <v>825.24549999999999</v>
      </c>
      <c r="C621">
        <v>203.61359999999999</v>
      </c>
      <c r="D621">
        <v>405.03550000000001</v>
      </c>
      <c r="F621">
        <v>419110898.50489998</v>
      </c>
      <c r="G621">
        <v>196.903851</v>
      </c>
      <c r="H621">
        <v>48.582273000000001</v>
      </c>
      <c r="I621">
        <v>96.641604999999998</v>
      </c>
      <c r="K621" s="9">
        <f>VLOOKUP(Table_Query_from_Cello_SQL_Server[[#This Row],[AsOfDate]], 'CMO MV Raw'!$A:$B,2,FALSE)</f>
        <v>266391187.62388501</v>
      </c>
      <c r="L621" s="5">
        <f>Table_Query_from_Cello_SQL_Server[[#This Row],[CMO MV]]/Table_Query_from_Cello_SQL_Server[[#This Row],[NAV]]*100</f>
        <v>63.56102610888572</v>
      </c>
    </row>
    <row r="622" spans="1:12" x14ac:dyDescent="0.2">
      <c r="A622" s="1">
        <v>41619</v>
      </c>
      <c r="B622">
        <v>821.18079999999998</v>
      </c>
      <c r="C622">
        <v>202.215</v>
      </c>
      <c r="D622">
        <v>403.95740000000001</v>
      </c>
      <c r="F622">
        <v>418067632.83270001</v>
      </c>
      <c r="G622">
        <v>196.422955</v>
      </c>
      <c r="H622">
        <v>48.368968000000002</v>
      </c>
      <c r="I622">
        <v>96.624892000000003</v>
      </c>
      <c r="K622" s="9">
        <f>VLOOKUP(Table_Query_from_Cello_SQL_Server[[#This Row],[AsOfDate]], 'CMO MV Raw'!$A:$B,2,FALSE)</f>
        <v>266675973.051559</v>
      </c>
      <c r="L622" s="5">
        <f>Table_Query_from_Cello_SQL_Server[[#This Row],[CMO MV]]/Table_Query_from_Cello_SQL_Server[[#This Row],[NAV]]*100</f>
        <v>63.787758752009374</v>
      </c>
    </row>
    <row r="623" spans="1:12" x14ac:dyDescent="0.2">
      <c r="A623" s="1">
        <v>41620</v>
      </c>
      <c r="B623">
        <v>886.02229999999997</v>
      </c>
      <c r="C623">
        <v>218.6865</v>
      </c>
      <c r="D623">
        <v>426.91640000000001</v>
      </c>
      <c r="F623">
        <v>418490155.41790003</v>
      </c>
      <c r="G623">
        <v>211.71879200000001</v>
      </c>
      <c r="H623">
        <v>52.256067999999999</v>
      </c>
      <c r="I623">
        <v>102.013487</v>
      </c>
      <c r="K623" s="9">
        <f>VLOOKUP(Table_Query_from_Cello_SQL_Server[[#This Row],[AsOfDate]], 'CMO MV Raw'!$A:$B,2,FALSE)</f>
        <v>279960538.24166399</v>
      </c>
      <c r="L623" s="5">
        <f>Table_Query_from_Cello_SQL_Server[[#This Row],[CMO MV]]/Table_Query_from_Cello_SQL_Server[[#This Row],[NAV]]*100</f>
        <v>66.897759628801353</v>
      </c>
    </row>
    <row r="624" spans="1:12" x14ac:dyDescent="0.2">
      <c r="A624" s="1">
        <v>41621</v>
      </c>
      <c r="B624">
        <v>917.18380000000002</v>
      </c>
      <c r="C624">
        <v>226.3596</v>
      </c>
      <c r="D624">
        <v>411.79320000000001</v>
      </c>
      <c r="F624">
        <v>419110626.62159997</v>
      </c>
      <c r="G624">
        <v>218.84050199999999</v>
      </c>
      <c r="H624">
        <v>54.009511000000003</v>
      </c>
      <c r="I624">
        <v>98.254058000000001</v>
      </c>
      <c r="K624" s="9">
        <f>VLOOKUP(Table_Query_from_Cello_SQL_Server[[#This Row],[AsOfDate]], 'CMO MV Raw'!$A:$B,2,FALSE)</f>
        <v>290698321.93075502</v>
      </c>
      <c r="L624" s="5">
        <f>Table_Query_from_Cello_SQL_Server[[#This Row],[CMO MV]]/Table_Query_from_Cello_SQL_Server[[#This Row],[NAV]]*100</f>
        <v>69.360761447171839</v>
      </c>
    </row>
    <row r="625" spans="1:12" x14ac:dyDescent="0.2">
      <c r="A625" s="1">
        <v>41624</v>
      </c>
      <c r="B625">
        <v>916.35329999999999</v>
      </c>
      <c r="C625">
        <v>226.2431</v>
      </c>
      <c r="D625">
        <v>411.49250000000001</v>
      </c>
      <c r="F625">
        <v>419155652.19809997</v>
      </c>
      <c r="G625">
        <v>218.61885799999999</v>
      </c>
      <c r="H625">
        <v>53.975915000000001</v>
      </c>
      <c r="I625">
        <v>98.171764999999994</v>
      </c>
      <c r="K625" s="9">
        <f>VLOOKUP(Table_Query_from_Cello_SQL_Server[[#This Row],[AsOfDate]], 'CMO MV Raw'!$A:$B,2,FALSE)</f>
        <v>290617325.22067302</v>
      </c>
      <c r="L625" s="5">
        <f>Table_Query_from_Cello_SQL_Server[[#This Row],[CMO MV]]/Table_Query_from_Cello_SQL_Server[[#This Row],[NAV]]*100</f>
        <v>69.33398695607292</v>
      </c>
    </row>
    <row r="626" spans="1:12" x14ac:dyDescent="0.2">
      <c r="A626" s="1">
        <v>41625</v>
      </c>
      <c r="B626">
        <v>911.83410000000003</v>
      </c>
      <c r="C626">
        <v>224.7876</v>
      </c>
      <c r="D626">
        <v>412.2364</v>
      </c>
      <c r="F626">
        <v>420214647.68040001</v>
      </c>
      <c r="G626">
        <v>216.99245999999999</v>
      </c>
      <c r="H626">
        <v>53.493518000000002</v>
      </c>
      <c r="I626">
        <v>98.101388</v>
      </c>
      <c r="K626" s="9">
        <f>VLOOKUP(Table_Query_from_Cello_SQL_Server[[#This Row],[AsOfDate]], 'CMO MV Raw'!$A:$B,2,FALSE)</f>
        <v>289552256.17501599</v>
      </c>
      <c r="L626" s="5">
        <f>Table_Query_from_Cello_SQL_Server[[#This Row],[CMO MV]]/Table_Query_from_Cello_SQL_Server[[#This Row],[NAV]]*100</f>
        <v>68.905797970954808</v>
      </c>
    </row>
    <row r="627" spans="1:12" x14ac:dyDescent="0.2">
      <c r="A627" s="1">
        <v>41626</v>
      </c>
      <c r="B627">
        <v>905.82749999999999</v>
      </c>
      <c r="C627">
        <v>224.5284</v>
      </c>
      <c r="D627">
        <v>390.87569999999999</v>
      </c>
      <c r="F627">
        <v>419959951.27539998</v>
      </c>
      <c r="G627">
        <v>215.693782</v>
      </c>
      <c r="H627">
        <v>53.464241000000001</v>
      </c>
      <c r="I627">
        <v>93.074517999999998</v>
      </c>
      <c r="K627" s="9">
        <f>VLOOKUP(Table_Query_from_Cello_SQL_Server[[#This Row],[AsOfDate]], 'CMO MV Raw'!$A:$B,2,FALSE)</f>
        <v>288948156.56593102</v>
      </c>
      <c r="L627" s="5">
        <f>Table_Query_from_Cello_SQL_Server[[#This Row],[CMO MV]]/Table_Query_from_Cello_SQL_Server[[#This Row],[NAV]]*100</f>
        <v>68.80374085395718</v>
      </c>
    </row>
    <row r="628" spans="1:12" x14ac:dyDescent="0.2">
      <c r="A628" s="1">
        <v>41627</v>
      </c>
      <c r="B628">
        <v>901.88959999999997</v>
      </c>
      <c r="C628">
        <v>224.76650000000001</v>
      </c>
      <c r="D628">
        <v>390.47500000000002</v>
      </c>
      <c r="F628">
        <v>420081732.07440001</v>
      </c>
      <c r="G628">
        <v>214.69383999999999</v>
      </c>
      <c r="H628">
        <v>53.505420999999998</v>
      </c>
      <c r="I628">
        <v>92.952150000000003</v>
      </c>
      <c r="K628" s="9">
        <f>VLOOKUP(Table_Query_from_Cello_SQL_Server[[#This Row],[AsOfDate]], 'CMO MV Raw'!$A:$B,2,FALSE)</f>
        <v>288109086.90173399</v>
      </c>
      <c r="L628" s="5">
        <f>Table_Query_from_Cello_SQL_Server[[#This Row],[CMO MV]]/Table_Query_from_Cello_SQL_Server[[#This Row],[NAV]]*100</f>
        <v>68.584055173983955</v>
      </c>
    </row>
    <row r="629" spans="1:12" x14ac:dyDescent="0.2">
      <c r="A629" s="1">
        <v>41628</v>
      </c>
      <c r="B629">
        <v>899.82640000000004</v>
      </c>
      <c r="C629">
        <v>223.81370000000001</v>
      </c>
      <c r="D629">
        <v>391.31659999999999</v>
      </c>
      <c r="F629">
        <v>422011317.65359998</v>
      </c>
      <c r="G629">
        <v>213.223286</v>
      </c>
      <c r="H629">
        <v>53.034998999999999</v>
      </c>
      <c r="I629">
        <v>92.726564999999994</v>
      </c>
      <c r="K629" s="9" t="e">
        <f>VLOOKUP(Table_Query_from_Cello_SQL_Server[[#This Row],[AsOfDate]], 'CMO MV Raw'!$A:$B,2,FALSE)</f>
        <v>#N/A</v>
      </c>
      <c r="L629" s="5" t="e">
        <f>Table_Query_from_Cello_SQL_Server[[#This Row],[CMO MV]]/Table_Query_from_Cello_SQL_Server[[#This Row],[NAV]]*100</f>
        <v>#N/A</v>
      </c>
    </row>
    <row r="630" spans="1:12" x14ac:dyDescent="0.2">
      <c r="A630" s="1">
        <v>41631</v>
      </c>
      <c r="B630">
        <v>893.73199999999997</v>
      </c>
      <c r="C630">
        <v>220.9813</v>
      </c>
      <c r="D630">
        <v>390.9178</v>
      </c>
      <c r="F630">
        <v>419814439.15609998</v>
      </c>
      <c r="G630">
        <v>212.88738900000001</v>
      </c>
      <c r="H630">
        <v>52.637850999999998</v>
      </c>
      <c r="I630">
        <v>93.116806999999994</v>
      </c>
      <c r="K630" s="9">
        <f>VLOOKUP(Table_Query_from_Cello_SQL_Server[[#This Row],[AsOfDate]], 'CMO MV Raw'!$A:$B,2,FALSE)</f>
        <v>285820140.05602098</v>
      </c>
      <c r="L630" s="5">
        <f>Table_Query_from_Cello_SQL_Server[[#This Row],[CMO MV]]/Table_Query_from_Cello_SQL_Server[[#This Row],[NAV]]*100</f>
        <v>68.0824939300728</v>
      </c>
    </row>
    <row r="631" spans="1:12" x14ac:dyDescent="0.2">
      <c r="A631" s="1">
        <v>41632</v>
      </c>
      <c r="B631">
        <v>896.89919999999995</v>
      </c>
      <c r="C631">
        <v>222.92420000000001</v>
      </c>
      <c r="D631">
        <v>364.26089999999999</v>
      </c>
      <c r="F631">
        <v>418842795.75639999</v>
      </c>
      <c r="G631">
        <v>214.13742999999999</v>
      </c>
      <c r="H631">
        <v>53.223835000000001</v>
      </c>
      <c r="I631">
        <v>86.968405000000004</v>
      </c>
      <c r="K631" s="9">
        <f>VLOOKUP(Table_Query_from_Cello_SQL_Server[[#This Row],[AsOfDate]], 'CMO MV Raw'!$A:$B,2,FALSE)</f>
        <v>285669345.51211399</v>
      </c>
      <c r="L631" s="5">
        <f>Table_Query_from_Cello_SQL_Server[[#This Row],[CMO MV]]/Table_Query_from_Cello_SQL_Server[[#This Row],[NAV]]*100</f>
        <v>68.204430971819789</v>
      </c>
    </row>
    <row r="632" spans="1:12" x14ac:dyDescent="0.2">
      <c r="A632" s="1">
        <v>41634</v>
      </c>
      <c r="B632">
        <v>880.26599999999996</v>
      </c>
      <c r="C632">
        <v>218.87710000000001</v>
      </c>
      <c r="D632">
        <v>366.51710000000003</v>
      </c>
      <c r="F632">
        <v>418813331.35170001</v>
      </c>
      <c r="G632">
        <v>210.18098900000001</v>
      </c>
      <c r="H632">
        <v>52.261254000000001</v>
      </c>
      <c r="I632">
        <v>87.513236000000006</v>
      </c>
      <c r="K632" s="9">
        <f>VLOOKUP(Table_Query_from_Cello_SQL_Server[[#This Row],[AsOfDate]], 'CMO MV Raw'!$A:$B,2,FALSE)</f>
        <v>282508035.93448299</v>
      </c>
      <c r="L632" s="5">
        <f>Table_Query_from_Cello_SQL_Server[[#This Row],[CMO MV]]/Table_Query_from_Cello_SQL_Server[[#This Row],[NAV]]*100</f>
        <v>67.454403856415411</v>
      </c>
    </row>
    <row r="633" spans="1:12" x14ac:dyDescent="0.2">
      <c r="A633" s="1">
        <v>41635</v>
      </c>
      <c r="B633">
        <v>877.45939999999996</v>
      </c>
      <c r="C633">
        <v>218.43549999999999</v>
      </c>
      <c r="D633">
        <v>366.27170000000001</v>
      </c>
      <c r="F633">
        <v>418898634.2062</v>
      </c>
      <c r="G633">
        <v>209.46819300000001</v>
      </c>
      <c r="H633">
        <v>52.145192999999999</v>
      </c>
      <c r="I633">
        <v>87.436832999999993</v>
      </c>
      <c r="K633" s="9">
        <f>VLOOKUP(Table_Query_from_Cello_SQL_Server[[#This Row],[AsOfDate]], 'CMO MV Raw'!$A:$B,2,FALSE)</f>
        <v>282868447.49934602</v>
      </c>
      <c r="L633" s="5">
        <f>Table_Query_from_Cello_SQL_Server[[#This Row],[CMO MV]]/Table_Query_from_Cello_SQL_Server[[#This Row],[NAV]]*100</f>
        <v>67.526705603939959</v>
      </c>
    </row>
    <row r="634" spans="1:12" x14ac:dyDescent="0.2">
      <c r="A634" s="1">
        <v>41638</v>
      </c>
      <c r="B634">
        <v>881.58309999999994</v>
      </c>
      <c r="C634">
        <v>219.1326</v>
      </c>
      <c r="D634">
        <v>365.77269999999999</v>
      </c>
      <c r="F634">
        <v>419602782.00419998</v>
      </c>
      <c r="G634">
        <v>210.09944100000001</v>
      </c>
      <c r="H634">
        <v>52.223820000000003</v>
      </c>
      <c r="I634">
        <v>87.171181000000004</v>
      </c>
      <c r="K634" s="9">
        <f>VLOOKUP(Table_Query_from_Cello_SQL_Server[[#This Row],[AsOfDate]], 'CMO MV Raw'!$A:$B,2,FALSE)</f>
        <v>282654675.87156701</v>
      </c>
      <c r="L634" s="5">
        <f>Table_Query_from_Cello_SQL_Server[[#This Row],[CMO MV]]/Table_Query_from_Cello_SQL_Server[[#This Row],[NAV]]*100</f>
        <v>67.362440859302453</v>
      </c>
    </row>
    <row r="635" spans="1:12" x14ac:dyDescent="0.2">
      <c r="A635" s="1">
        <v>41639</v>
      </c>
      <c r="B635">
        <v>885.20320000000004</v>
      </c>
      <c r="C635">
        <v>220.39359999999999</v>
      </c>
      <c r="D635">
        <v>365.40449999999998</v>
      </c>
      <c r="F635">
        <v>420467026.76179999</v>
      </c>
      <c r="G635">
        <v>210.52856600000001</v>
      </c>
      <c r="H635">
        <v>52.416381000000001</v>
      </c>
      <c r="I635">
        <v>86.904436000000004</v>
      </c>
      <c r="K635" s="9">
        <f>VLOOKUP(Table_Query_from_Cello_SQL_Server[[#This Row],[AsOfDate]], 'CMO MV Raw'!$A:$B,2,FALSE)</f>
        <v>283991143.646303</v>
      </c>
      <c r="L635" s="5">
        <f>Table_Query_from_Cello_SQL_Server[[#This Row],[CMO MV]]/Table_Query_from_Cello_SQL_Server[[#This Row],[NAV]]*100</f>
        <v>67.541834572247609</v>
      </c>
    </row>
    <row r="636" spans="1:12" x14ac:dyDescent="0.2">
      <c r="A636" s="1">
        <v>41641</v>
      </c>
      <c r="B636">
        <v>881.80340000000001</v>
      </c>
      <c r="C636">
        <v>219.77160000000001</v>
      </c>
      <c r="D636">
        <v>364.39760000000001</v>
      </c>
      <c r="F636">
        <v>388745546.50870001</v>
      </c>
      <c r="G636">
        <v>226.833055</v>
      </c>
      <c r="H636">
        <v>56.533535000000001</v>
      </c>
      <c r="I636">
        <v>93.736790999999997</v>
      </c>
      <c r="K636" s="9">
        <f>VLOOKUP(Table_Query_from_Cello_SQL_Server[[#This Row],[AsOfDate]], 'CMO MV Raw'!$A:$B,2,FALSE)</f>
        <v>283209542.429061</v>
      </c>
      <c r="L636" s="5">
        <f>Table_Query_from_Cello_SQL_Server[[#This Row],[CMO MV]]/Table_Query_from_Cello_SQL_Server[[#This Row],[NAV]]*100</f>
        <v>72.852163831212621</v>
      </c>
    </row>
    <row r="637" spans="1:12" x14ac:dyDescent="0.2">
      <c r="A637" s="1">
        <v>41642</v>
      </c>
      <c r="B637">
        <v>879.09829999999999</v>
      </c>
      <c r="C637">
        <v>219.49010000000001</v>
      </c>
      <c r="D637">
        <v>364.51979999999998</v>
      </c>
      <c r="F637">
        <v>388861227.65069997</v>
      </c>
      <c r="G637">
        <v>226.069929</v>
      </c>
      <c r="H637">
        <v>56.444325999999997</v>
      </c>
      <c r="I637">
        <v>93.740330999999998</v>
      </c>
      <c r="K637" s="9">
        <f>VLOOKUP(Table_Query_from_Cello_SQL_Server[[#This Row],[AsOfDate]], 'CMO MV Raw'!$A:$B,2,FALSE)</f>
        <v>283172991.75915903</v>
      </c>
      <c r="L637" s="5">
        <f>Table_Query_from_Cello_SQL_Server[[#This Row],[CMO MV]]/Table_Query_from_Cello_SQL_Server[[#This Row],[NAV]]*100</f>
        <v>72.821091850669958</v>
      </c>
    </row>
    <row r="638" spans="1:12" x14ac:dyDescent="0.2">
      <c r="A638" s="1">
        <v>41645</v>
      </c>
      <c r="B638">
        <v>866.49450000000002</v>
      </c>
      <c r="C638">
        <v>215.61619999999999</v>
      </c>
      <c r="D638">
        <v>364.71620000000001</v>
      </c>
      <c r="F638">
        <v>389141063.86699998</v>
      </c>
      <c r="G638">
        <v>222.66848200000001</v>
      </c>
      <c r="H638">
        <v>55.408236000000002</v>
      </c>
      <c r="I638">
        <v>93.723391000000007</v>
      </c>
      <c r="K638" s="9">
        <f>VLOOKUP(Table_Query_from_Cello_SQL_Server[[#This Row],[AsOfDate]], 'CMO MV Raw'!$A:$B,2,FALSE)</f>
        <v>282933052.81712699</v>
      </c>
      <c r="L638" s="5">
        <f>Table_Query_from_Cello_SQL_Server[[#This Row],[CMO MV]]/Table_Query_from_Cello_SQL_Server[[#This Row],[NAV]]*100</f>
        <v>72.70706668824532</v>
      </c>
    </row>
    <row r="639" spans="1:12" x14ac:dyDescent="0.2">
      <c r="A639" s="1">
        <v>41646</v>
      </c>
      <c r="B639">
        <v>873.71690000000001</v>
      </c>
      <c r="C639">
        <v>216.95079999999999</v>
      </c>
      <c r="D639">
        <v>365.15890000000002</v>
      </c>
      <c r="F639">
        <v>390895235.13120002</v>
      </c>
      <c r="G639">
        <v>223.516897</v>
      </c>
      <c r="H639">
        <v>55.501009000000003</v>
      </c>
      <c r="I639">
        <v>93.416053000000005</v>
      </c>
      <c r="K639" s="9">
        <f>VLOOKUP(Table_Query_from_Cello_SQL_Server[[#This Row],[AsOfDate]], 'CMO MV Raw'!$A:$B,2,FALSE)</f>
        <v>284126872.84266502</v>
      </c>
      <c r="L639" s="5">
        <f>Table_Query_from_Cello_SQL_Server[[#This Row],[CMO MV]]/Table_Query_from_Cello_SQL_Server[[#This Row],[NAV]]*100</f>
        <v>72.686194997311929</v>
      </c>
    </row>
    <row r="640" spans="1:12" x14ac:dyDescent="0.2">
      <c r="A640" s="1">
        <v>41647</v>
      </c>
      <c r="B640">
        <v>876.11879999999996</v>
      </c>
      <c r="C640">
        <v>219.0016</v>
      </c>
      <c r="D640">
        <v>352.11529999999999</v>
      </c>
      <c r="F640">
        <v>390560782.82169998</v>
      </c>
      <c r="G640">
        <v>224.32329100000001</v>
      </c>
      <c r="H640">
        <v>56.073627999999999</v>
      </c>
      <c r="I640">
        <v>90.156338000000005</v>
      </c>
      <c r="K640" s="9">
        <f>VLOOKUP(Table_Query_from_Cello_SQL_Server[[#This Row],[AsOfDate]], 'CMO MV Raw'!$A:$B,2,FALSE)</f>
        <v>284077643.65805399</v>
      </c>
      <c r="L640" s="5">
        <f>Table_Query_from_Cello_SQL_Server[[#This Row],[CMO MV]]/Table_Query_from_Cello_SQL_Server[[#This Row],[NAV]]*100</f>
        <v>72.735834254956927</v>
      </c>
    </row>
    <row r="641" spans="1:12" x14ac:dyDescent="0.2">
      <c r="A641" s="1">
        <v>41648</v>
      </c>
      <c r="B641">
        <v>834.78909999999996</v>
      </c>
      <c r="C641">
        <v>208.4914</v>
      </c>
      <c r="D641">
        <v>330.0487</v>
      </c>
      <c r="F641">
        <v>391026195.54909998</v>
      </c>
      <c r="G641">
        <v>213.48674600000001</v>
      </c>
      <c r="H641">
        <v>53.319037000000002</v>
      </c>
      <c r="I641">
        <v>84.405777</v>
      </c>
      <c r="K641" s="9">
        <f>VLOOKUP(Table_Query_from_Cello_SQL_Server[[#This Row],[AsOfDate]], 'CMO MV Raw'!$A:$B,2,FALSE)</f>
        <v>304848299.61102301</v>
      </c>
      <c r="L641" s="5">
        <f>Table_Query_from_Cello_SQL_Server[[#This Row],[CMO MV]]/Table_Query_from_Cello_SQL_Server[[#This Row],[NAV]]*100</f>
        <v>77.9610939320673</v>
      </c>
    </row>
    <row r="642" spans="1:12" x14ac:dyDescent="0.2">
      <c r="A642" s="1">
        <v>41649</v>
      </c>
      <c r="B642">
        <v>845.17660000000001</v>
      </c>
      <c r="C642">
        <v>208.60310000000001</v>
      </c>
      <c r="D642">
        <v>331.96319999999997</v>
      </c>
      <c r="F642">
        <v>392486053.89130002</v>
      </c>
      <c r="G642">
        <v>215.339269</v>
      </c>
      <c r="H642">
        <v>53.149175</v>
      </c>
      <c r="I642">
        <v>84.579616999999999</v>
      </c>
      <c r="K642" s="9">
        <f>VLOOKUP(Table_Query_from_Cello_SQL_Server[[#This Row],[AsOfDate]], 'CMO MV Raw'!$A:$B,2,FALSE)</f>
        <v>305478131.759592</v>
      </c>
      <c r="L642" s="5">
        <f>Table_Query_from_Cello_SQL_Server[[#This Row],[CMO MV]]/Table_Query_from_Cello_SQL_Server[[#This Row],[NAV]]*100</f>
        <v>77.831588850337823</v>
      </c>
    </row>
    <row r="643" spans="1:12" x14ac:dyDescent="0.2">
      <c r="A643" s="1">
        <v>41652</v>
      </c>
      <c r="B643">
        <v>846.79349999999999</v>
      </c>
      <c r="C643">
        <v>208.4248</v>
      </c>
      <c r="D643">
        <v>331.1336</v>
      </c>
      <c r="F643">
        <v>393389486.18510002</v>
      </c>
      <c r="G643">
        <v>215.255753</v>
      </c>
      <c r="H643">
        <v>52.981791999999999</v>
      </c>
      <c r="I643">
        <v>84.174492000000001</v>
      </c>
      <c r="K643" s="9">
        <f>VLOOKUP(Table_Query_from_Cello_SQL_Server[[#This Row],[AsOfDate]], 'CMO MV Raw'!$A:$B,2,FALSE)</f>
        <v>305817448.59025401</v>
      </c>
      <c r="L643" s="5">
        <f>Table_Query_from_Cello_SQL_Server[[#This Row],[CMO MV]]/Table_Query_from_Cello_SQL_Server[[#This Row],[NAV]]*100</f>
        <v>77.739100644484154</v>
      </c>
    </row>
    <row r="644" spans="1:12" x14ac:dyDescent="0.2">
      <c r="A644" s="1">
        <v>41653</v>
      </c>
      <c r="B644">
        <v>840.78129999999999</v>
      </c>
      <c r="C644">
        <v>208.2081</v>
      </c>
      <c r="D644">
        <v>330.23349999999999</v>
      </c>
      <c r="F644">
        <v>392634821.16420001</v>
      </c>
      <c r="G644">
        <v>214.13824099999999</v>
      </c>
      <c r="H644">
        <v>53.028435000000002</v>
      </c>
      <c r="I644">
        <v>84.107033000000001</v>
      </c>
      <c r="K644" s="9">
        <f>VLOOKUP(Table_Query_from_Cello_SQL_Server[[#This Row],[AsOfDate]], 'CMO MV Raw'!$A:$B,2,FALSE)</f>
        <v>305710019.49035001</v>
      </c>
      <c r="L644" s="5">
        <f>Table_Query_from_Cello_SQL_Server[[#This Row],[CMO MV]]/Table_Query_from_Cello_SQL_Server[[#This Row],[NAV]]*100</f>
        <v>77.861158259955246</v>
      </c>
    </row>
    <row r="645" spans="1:12" x14ac:dyDescent="0.2">
      <c r="A645" s="1">
        <v>41654</v>
      </c>
      <c r="B645">
        <v>837.23929999999996</v>
      </c>
      <c r="C645">
        <v>207.54169999999999</v>
      </c>
      <c r="D645">
        <v>329.75799999999998</v>
      </c>
      <c r="F645">
        <v>392606039.25150001</v>
      </c>
      <c r="G645">
        <v>213.25176300000001</v>
      </c>
      <c r="H645">
        <v>52.862585000000003</v>
      </c>
      <c r="I645">
        <v>83.992085000000003</v>
      </c>
      <c r="K645" s="9">
        <f>VLOOKUP(Table_Query_from_Cello_SQL_Server[[#This Row],[AsOfDate]], 'CMO MV Raw'!$A:$B,2,FALSE)</f>
        <v>304221552.37348598</v>
      </c>
      <c r="L645" s="5">
        <f>Table_Query_from_Cello_SQL_Server[[#This Row],[CMO MV]]/Table_Query_from_Cello_SQL_Server[[#This Row],[NAV]]*100</f>
        <v>77.487741389175184</v>
      </c>
    </row>
    <row r="646" spans="1:12" x14ac:dyDescent="0.2">
      <c r="A646" s="1">
        <v>41655</v>
      </c>
      <c r="B646">
        <v>841.23469999999998</v>
      </c>
      <c r="C646">
        <v>207.56379999999999</v>
      </c>
      <c r="D646">
        <v>330.39420000000001</v>
      </c>
      <c r="F646">
        <v>393005088.66170001</v>
      </c>
      <c r="G646">
        <v>214.05185900000001</v>
      </c>
      <c r="H646">
        <v>52.814532</v>
      </c>
      <c r="I646">
        <v>84.068681999999995</v>
      </c>
      <c r="K646" s="9">
        <f>VLOOKUP(Table_Query_from_Cello_SQL_Server[[#This Row],[AsOfDate]], 'CMO MV Raw'!$A:$B,2,FALSE)</f>
        <v>304016772.182437</v>
      </c>
      <c r="L646" s="5">
        <f>Table_Query_from_Cello_SQL_Server[[#This Row],[CMO MV]]/Table_Query_from_Cello_SQL_Server[[#This Row],[NAV]]*100</f>
        <v>77.356955661237151</v>
      </c>
    </row>
    <row r="647" spans="1:12" x14ac:dyDescent="0.2">
      <c r="A647" s="1">
        <v>41656</v>
      </c>
      <c r="B647">
        <v>840.57209999999998</v>
      </c>
      <c r="C647">
        <v>207.4631</v>
      </c>
      <c r="D647">
        <v>330.28379999999999</v>
      </c>
      <c r="F647">
        <v>393374081.23049998</v>
      </c>
      <c r="G647">
        <v>213.68263400000001</v>
      </c>
      <c r="H647">
        <v>52.739392000000002</v>
      </c>
      <c r="I647">
        <v>83.961759999999998</v>
      </c>
      <c r="K647" s="9">
        <f>VLOOKUP(Table_Query_from_Cello_SQL_Server[[#This Row],[AsOfDate]], 'CMO MV Raw'!$A:$B,2,FALSE)</f>
        <v>303969305.25155801</v>
      </c>
      <c r="L647" s="5">
        <f>Table_Query_from_Cello_SQL_Server[[#This Row],[CMO MV]]/Table_Query_from_Cello_SQL_Server[[#This Row],[NAV]]*100</f>
        <v>77.272326712711219</v>
      </c>
    </row>
    <row r="648" spans="1:12" x14ac:dyDescent="0.2">
      <c r="A648" s="1">
        <v>41660</v>
      </c>
      <c r="B648">
        <v>842.17589999999996</v>
      </c>
      <c r="C648">
        <v>207.41499999999999</v>
      </c>
      <c r="D648">
        <v>330.20170000000002</v>
      </c>
      <c r="F648">
        <v>393632754.54040003</v>
      </c>
      <c r="G648">
        <v>213.94964999999999</v>
      </c>
      <c r="H648">
        <v>52.692515</v>
      </c>
      <c r="I648">
        <v>83.885728</v>
      </c>
      <c r="K648" s="9">
        <f>VLOOKUP(Table_Query_from_Cello_SQL_Server[[#This Row],[AsOfDate]], 'CMO MV Raw'!$A:$B,2,FALSE)</f>
        <v>302938072.22708601</v>
      </c>
      <c r="L648" s="5">
        <f>Table_Query_from_Cello_SQL_Server[[#This Row],[CMO MV]]/Table_Query_from_Cello_SQL_Server[[#This Row],[NAV]]*100</f>
        <v>76.95956922609048</v>
      </c>
    </row>
    <row r="649" spans="1:12" x14ac:dyDescent="0.2">
      <c r="A649" s="1">
        <v>41661</v>
      </c>
      <c r="B649">
        <v>843.13409999999999</v>
      </c>
      <c r="C649">
        <v>208.91829999999999</v>
      </c>
      <c r="D649">
        <v>329.71319999999997</v>
      </c>
      <c r="F649">
        <v>393751157.34189999</v>
      </c>
      <c r="G649">
        <v>214.12866600000001</v>
      </c>
      <c r="H649">
        <v>53.058459999999997</v>
      </c>
      <c r="I649">
        <v>83.736440000000002</v>
      </c>
      <c r="K649" s="9">
        <f>VLOOKUP(Table_Query_from_Cello_SQL_Server[[#This Row],[AsOfDate]], 'CMO MV Raw'!$A:$B,2,FALSE)</f>
        <v>303651988.90117002</v>
      </c>
      <c r="L649" s="5">
        <f>Table_Query_from_Cello_SQL_Server[[#This Row],[CMO MV]]/Table_Query_from_Cello_SQL_Server[[#This Row],[NAV]]*100</f>
        <v>77.117738764512239</v>
      </c>
    </row>
    <row r="650" spans="1:12" x14ac:dyDescent="0.2">
      <c r="A650" s="1">
        <v>41662</v>
      </c>
      <c r="B650">
        <v>854.23329999999999</v>
      </c>
      <c r="C650">
        <v>211.21789999999999</v>
      </c>
      <c r="D650">
        <v>330.18759999999997</v>
      </c>
      <c r="F650">
        <v>395572490.27039999</v>
      </c>
      <c r="G650">
        <v>215.948611</v>
      </c>
      <c r="H650">
        <v>53.395498000000003</v>
      </c>
      <c r="I650">
        <v>83.470820000000003</v>
      </c>
      <c r="K650" s="9">
        <f>VLOOKUP(Table_Query_from_Cello_SQL_Server[[#This Row],[AsOfDate]], 'CMO MV Raw'!$A:$B,2,FALSE)</f>
        <v>305430852.44209498</v>
      </c>
      <c r="L650" s="5">
        <f>Table_Query_from_Cello_SQL_Server[[#This Row],[CMO MV]]/Table_Query_from_Cello_SQL_Server[[#This Row],[NAV]]*100</f>
        <v>77.212359290534266</v>
      </c>
    </row>
    <row r="651" spans="1:12" x14ac:dyDescent="0.2">
      <c r="A651" s="1">
        <v>41663</v>
      </c>
      <c r="B651">
        <v>855.61969999999997</v>
      </c>
      <c r="C651">
        <v>210.47389999999999</v>
      </c>
      <c r="D651">
        <v>330.93099999999998</v>
      </c>
      <c r="F651">
        <v>395871098.42930001</v>
      </c>
      <c r="G651">
        <v>216.13593499999999</v>
      </c>
      <c r="H651">
        <v>53.167281000000003</v>
      </c>
      <c r="I651">
        <v>83.595645000000005</v>
      </c>
      <c r="K651" s="9">
        <f>VLOOKUP(Table_Query_from_Cello_SQL_Server[[#This Row],[AsOfDate]], 'CMO MV Raw'!$A:$B,2,FALSE)</f>
        <v>304991543.39844501</v>
      </c>
      <c r="L651" s="5">
        <f>Table_Query_from_Cello_SQL_Server[[#This Row],[CMO MV]]/Table_Query_from_Cello_SQL_Server[[#This Row],[NAV]]*100</f>
        <v>77.043144753067764</v>
      </c>
    </row>
    <row r="652" spans="1:12" x14ac:dyDescent="0.2">
      <c r="A652" s="1">
        <v>41666</v>
      </c>
      <c r="B652">
        <v>856.72569999999996</v>
      </c>
      <c r="C652">
        <v>211.4975</v>
      </c>
      <c r="D652">
        <v>329.96499999999997</v>
      </c>
      <c r="F652">
        <v>395710740.00309998</v>
      </c>
      <c r="G652">
        <v>216.50301899999999</v>
      </c>
      <c r="H652">
        <v>53.447501000000003</v>
      </c>
      <c r="I652">
        <v>83.385403999999994</v>
      </c>
      <c r="K652" s="9">
        <f>VLOOKUP(Table_Query_from_Cello_SQL_Server[[#This Row],[AsOfDate]], 'CMO MV Raw'!$A:$B,2,FALSE)</f>
        <v>305406061.16693097</v>
      </c>
      <c r="L652" s="5">
        <f>Table_Query_from_Cello_SQL_Server[[#This Row],[CMO MV]]/Table_Query_from_Cello_SQL_Server[[#This Row],[NAV]]*100</f>
        <v>77.179118556281395</v>
      </c>
    </row>
    <row r="653" spans="1:12" x14ac:dyDescent="0.2">
      <c r="A653" s="1">
        <v>41667</v>
      </c>
      <c r="B653">
        <v>844.56859999999995</v>
      </c>
      <c r="C653">
        <v>208.31450000000001</v>
      </c>
      <c r="D653">
        <v>331.59379999999999</v>
      </c>
      <c r="F653">
        <v>395539949.41579998</v>
      </c>
      <c r="G653">
        <v>213.52295799999999</v>
      </c>
      <c r="H653">
        <v>52.665855999999998</v>
      </c>
      <c r="I653">
        <v>83.833201000000003</v>
      </c>
      <c r="K653" s="9">
        <f>VLOOKUP(Table_Query_from_Cello_SQL_Server[[#This Row],[AsOfDate]], 'CMO MV Raw'!$A:$B,2,FALSE)</f>
        <v>302441187.42293203</v>
      </c>
      <c r="L653" s="5">
        <f>Table_Query_from_Cello_SQL_Server[[#This Row],[CMO MV]]/Table_Query_from_Cello_SQL_Server[[#This Row],[NAV]]*100</f>
        <v>76.462867497866682</v>
      </c>
    </row>
    <row r="654" spans="1:12" x14ac:dyDescent="0.2">
      <c r="A654" s="1">
        <v>41668</v>
      </c>
      <c r="B654">
        <v>847.6875</v>
      </c>
      <c r="C654">
        <v>208.10720000000001</v>
      </c>
      <c r="D654">
        <v>331.78980000000001</v>
      </c>
      <c r="F654">
        <v>396408629.08319998</v>
      </c>
      <c r="G654">
        <v>213.841838</v>
      </c>
      <c r="H654">
        <v>52.498151</v>
      </c>
      <c r="I654">
        <v>83.698935000000006</v>
      </c>
      <c r="K654" s="9">
        <f>VLOOKUP(Table_Query_from_Cello_SQL_Server[[#This Row],[AsOfDate]], 'CMO MV Raw'!$A:$B,2,FALSE)</f>
        <v>302647100.531802</v>
      </c>
      <c r="L654" s="5">
        <f>Table_Query_from_Cello_SQL_Server[[#This Row],[CMO MV]]/Table_Query_from_Cello_SQL_Server[[#This Row],[NAV]]*100</f>
        <v>76.347253396515015</v>
      </c>
    </row>
    <row r="655" spans="1:12" x14ac:dyDescent="0.2">
      <c r="A655" s="1">
        <v>41669</v>
      </c>
      <c r="B655">
        <v>842.3655</v>
      </c>
      <c r="C655">
        <v>207.01519999999999</v>
      </c>
      <c r="D655">
        <v>356.2559</v>
      </c>
      <c r="F655">
        <v>396435382.79979998</v>
      </c>
      <c r="G655">
        <v>212.48494400000001</v>
      </c>
      <c r="H655">
        <v>52.219152999999999</v>
      </c>
      <c r="I655">
        <v>89.864808999999994</v>
      </c>
      <c r="K655" s="9">
        <f>VLOOKUP(Table_Query_from_Cello_SQL_Server[[#This Row],[AsOfDate]], 'CMO MV Raw'!$A:$B,2,FALSE)</f>
        <v>320884530.17616999</v>
      </c>
      <c r="L655" s="5">
        <f>Table_Query_from_Cello_SQL_Server[[#This Row],[CMO MV]]/Table_Query_from_Cello_SQL_Server[[#This Row],[NAV]]*100</f>
        <v>80.942454709754514</v>
      </c>
    </row>
    <row r="656" spans="1:12" x14ac:dyDescent="0.2">
      <c r="A656" s="1">
        <v>41670</v>
      </c>
      <c r="B656">
        <v>847.36940000000004</v>
      </c>
      <c r="C656">
        <v>206.6875</v>
      </c>
      <c r="D656">
        <v>356.96910000000003</v>
      </c>
      <c r="F656">
        <v>396771143.236</v>
      </c>
      <c r="G656">
        <v>213.56628699999999</v>
      </c>
      <c r="H656">
        <v>52.092371999999997</v>
      </c>
      <c r="I656">
        <v>89.968513999999999</v>
      </c>
      <c r="K656" s="9">
        <f>VLOOKUP(Table_Query_from_Cello_SQL_Server[[#This Row],[AsOfDate]], 'CMO MV Raw'!$A:$B,2,FALSE)</f>
        <v>320213099.78025001</v>
      </c>
      <c r="L656" s="5">
        <f>Table_Query_from_Cello_SQL_Server[[#This Row],[CMO MV]]/Table_Query_from_Cello_SQL_Server[[#This Row],[NAV]]*100</f>
        <v>80.704735018944376</v>
      </c>
    </row>
    <row r="657" spans="1:12" x14ac:dyDescent="0.2">
      <c r="A657" s="1">
        <v>41673</v>
      </c>
      <c r="B657">
        <v>854.58109999999999</v>
      </c>
      <c r="C657">
        <v>205.45939999999999</v>
      </c>
      <c r="D657">
        <v>358.80509999999998</v>
      </c>
      <c r="F657">
        <v>397068818.57410002</v>
      </c>
      <c r="G657">
        <v>215.22241500000001</v>
      </c>
      <c r="H657">
        <v>51.744028</v>
      </c>
      <c r="I657">
        <v>90.363454000000004</v>
      </c>
      <c r="K657" s="9">
        <f>VLOOKUP(Table_Query_from_Cello_SQL_Server[[#This Row],[AsOfDate]], 'CMO MV Raw'!$A:$B,2,FALSE)</f>
        <v>320097380.28089303</v>
      </c>
      <c r="L657" s="5">
        <f>Table_Query_from_Cello_SQL_Server[[#This Row],[CMO MV]]/Table_Query_from_Cello_SQL_Server[[#This Row],[NAV]]*100</f>
        <v>80.615088696811682</v>
      </c>
    </row>
    <row r="658" spans="1:12" x14ac:dyDescent="0.2">
      <c r="A658" s="1">
        <v>41674</v>
      </c>
      <c r="B658">
        <v>849.2473</v>
      </c>
      <c r="C658">
        <v>204.92250000000001</v>
      </c>
      <c r="D658">
        <v>386.66430000000003</v>
      </c>
      <c r="F658">
        <v>396282747.00870001</v>
      </c>
      <c r="G658">
        <v>214.30337499999999</v>
      </c>
      <c r="H658">
        <v>51.711184000000003</v>
      </c>
      <c r="I658">
        <v>97.572832000000005</v>
      </c>
      <c r="K658" s="9">
        <f>VLOOKUP(Table_Query_from_Cello_SQL_Server[[#This Row],[AsOfDate]], 'CMO MV Raw'!$A:$B,2,FALSE)</f>
        <v>319811309.78986001</v>
      </c>
      <c r="L658" s="5">
        <f>Table_Query_from_Cello_SQL_Server[[#This Row],[CMO MV]]/Table_Query_from_Cello_SQL_Server[[#This Row],[NAV]]*100</f>
        <v>80.702809346085118</v>
      </c>
    </row>
    <row r="659" spans="1:12" x14ac:dyDescent="0.2">
      <c r="A659" s="1">
        <v>41675</v>
      </c>
      <c r="B659">
        <v>845.44290000000001</v>
      </c>
      <c r="C659">
        <v>205.40690000000001</v>
      </c>
      <c r="D659">
        <v>385.31020000000001</v>
      </c>
      <c r="F659">
        <v>395843318.42769998</v>
      </c>
      <c r="G659">
        <v>213.580187</v>
      </c>
      <c r="H659">
        <v>51.890960999999997</v>
      </c>
      <c r="I659">
        <v>97.339068999999995</v>
      </c>
      <c r="K659" s="9">
        <f>VLOOKUP(Table_Query_from_Cello_SQL_Server[[#This Row],[AsOfDate]], 'CMO MV Raw'!$A:$B,2,FALSE)</f>
        <v>320225767.03198999</v>
      </c>
      <c r="L659" s="5">
        <f>Table_Query_from_Cello_SQL_Server[[#This Row],[CMO MV]]/Table_Query_from_Cello_SQL_Server[[#This Row],[NAV]]*100</f>
        <v>80.897100474989728</v>
      </c>
    </row>
    <row r="660" spans="1:12" x14ac:dyDescent="0.2">
      <c r="A660" s="1">
        <v>41676</v>
      </c>
      <c r="B660">
        <v>842.02110000000005</v>
      </c>
      <c r="C660">
        <v>205.57859999999999</v>
      </c>
      <c r="D660">
        <v>384.78570000000002</v>
      </c>
      <c r="F660">
        <v>396229798.84109998</v>
      </c>
      <c r="G660">
        <v>212.50827200000001</v>
      </c>
      <c r="H660">
        <v>51.883679999999998</v>
      </c>
      <c r="I660">
        <v>97.111751999999996</v>
      </c>
      <c r="K660" s="9">
        <f>VLOOKUP(Table_Query_from_Cello_SQL_Server[[#This Row],[AsOfDate]], 'CMO MV Raw'!$A:$B,2,FALSE)</f>
        <v>320567861.56134099</v>
      </c>
      <c r="L660" s="5">
        <f>Table_Query_from_Cello_SQL_Server[[#This Row],[CMO MV]]/Table_Query_from_Cello_SQL_Server[[#This Row],[NAV]]*100</f>
        <v>80.904531284356608</v>
      </c>
    </row>
    <row r="661" spans="1:12" x14ac:dyDescent="0.2">
      <c r="A661" s="1">
        <v>41677</v>
      </c>
      <c r="B661">
        <v>848.3537</v>
      </c>
      <c r="C661">
        <v>208.8304</v>
      </c>
      <c r="D661">
        <v>391.91649999999998</v>
      </c>
      <c r="F661">
        <v>398705079.7421</v>
      </c>
      <c r="G661">
        <v>212.77724900000001</v>
      </c>
      <c r="H661">
        <v>52.377161000000001</v>
      </c>
      <c r="I661">
        <v>98.297342999999998</v>
      </c>
      <c r="K661" s="9">
        <f>VLOOKUP(Table_Query_from_Cello_SQL_Server[[#This Row],[AsOfDate]], 'CMO MV Raw'!$A:$B,2,FALSE)</f>
        <v>334322204.46483302</v>
      </c>
      <c r="L661" s="5">
        <f>Table_Query_from_Cello_SQL_Server[[#This Row],[CMO MV]]/Table_Query_from_Cello_SQL_Server[[#This Row],[NAV]]*100</f>
        <v>83.852005266922447</v>
      </c>
    </row>
    <row r="662" spans="1:12" x14ac:dyDescent="0.2">
      <c r="A662" s="1">
        <v>41680</v>
      </c>
      <c r="B662">
        <v>848.69719999999995</v>
      </c>
      <c r="C662">
        <v>208.99709999999999</v>
      </c>
      <c r="D662">
        <v>392.03489999999999</v>
      </c>
      <c r="F662">
        <v>399109608.17650002</v>
      </c>
      <c r="G662">
        <v>212.647649</v>
      </c>
      <c r="H662">
        <v>52.365839999999999</v>
      </c>
      <c r="I662">
        <v>98.227377000000004</v>
      </c>
      <c r="K662" s="9">
        <f>VLOOKUP(Table_Query_from_Cello_SQL_Server[[#This Row],[AsOfDate]], 'CMO MV Raw'!$A:$B,2,FALSE)</f>
        <v>334705701.364416</v>
      </c>
      <c r="L662" s="5">
        <f>Table_Query_from_Cello_SQL_Server[[#This Row],[CMO MV]]/Table_Query_from_Cello_SQL_Server[[#This Row],[NAV]]*100</f>
        <v>83.863102893879116</v>
      </c>
    </row>
    <row r="663" spans="1:12" x14ac:dyDescent="0.2">
      <c r="A663" s="1">
        <v>41681</v>
      </c>
      <c r="B663">
        <v>844.98670000000004</v>
      </c>
      <c r="C663">
        <v>207.2859</v>
      </c>
      <c r="D663">
        <v>393.53399999999999</v>
      </c>
      <c r="F663">
        <v>398189183.20569998</v>
      </c>
      <c r="G663">
        <v>212.207347</v>
      </c>
      <c r="H663">
        <v>52.057139999999997</v>
      </c>
      <c r="I663">
        <v>98.830911999999998</v>
      </c>
      <c r="K663" s="9">
        <f>VLOOKUP(Table_Query_from_Cello_SQL_Server[[#This Row],[AsOfDate]], 'CMO MV Raw'!$A:$B,2,FALSE)</f>
        <v>332885953.46748197</v>
      </c>
      <c r="L663" s="5">
        <f>Table_Query_from_Cello_SQL_Server[[#This Row],[CMO MV]]/Table_Query_from_Cello_SQL_Server[[#This Row],[NAV]]*100</f>
        <v>83.599948845299721</v>
      </c>
    </row>
    <row r="664" spans="1:12" x14ac:dyDescent="0.2">
      <c r="A664" s="1">
        <v>41682</v>
      </c>
      <c r="B664">
        <v>848.49990000000003</v>
      </c>
      <c r="C664">
        <v>209.95269999999999</v>
      </c>
      <c r="D664">
        <v>392.06130000000002</v>
      </c>
      <c r="F664">
        <v>398847344.01800001</v>
      </c>
      <c r="G664">
        <v>212.73800900000001</v>
      </c>
      <c r="H664">
        <v>52.639864000000003</v>
      </c>
      <c r="I664">
        <v>98.298586</v>
      </c>
      <c r="K664" s="9">
        <f>VLOOKUP(Table_Query_from_Cello_SQL_Server[[#This Row],[AsOfDate]], 'CMO MV Raw'!$A:$B,2,FALSE)</f>
        <v>334100659.75279403</v>
      </c>
      <c r="L664" s="5">
        <f>Table_Query_from_Cello_SQL_Server[[#This Row],[CMO MV]]/Table_Query_from_Cello_SQL_Server[[#This Row],[NAV]]*100</f>
        <v>83.766549975500411</v>
      </c>
    </row>
    <row r="665" spans="1:12" x14ac:dyDescent="0.2">
      <c r="A665" s="1">
        <v>41683</v>
      </c>
      <c r="B665">
        <v>854.09839999999997</v>
      </c>
      <c r="C665">
        <v>210.08750000000001</v>
      </c>
      <c r="D665">
        <v>393.54840000000002</v>
      </c>
      <c r="F665">
        <v>399377955.00370002</v>
      </c>
      <c r="G665">
        <v>213.85717199999999</v>
      </c>
      <c r="H665">
        <v>52.603679999999997</v>
      </c>
      <c r="I665">
        <v>98.540340999999998</v>
      </c>
      <c r="K665" s="9">
        <f>VLOOKUP(Table_Query_from_Cello_SQL_Server[[#This Row],[AsOfDate]], 'CMO MV Raw'!$A:$B,2,FALSE)</f>
        <v>333935429.80220902</v>
      </c>
      <c r="L665" s="5">
        <f>Table_Query_from_Cello_SQL_Server[[#This Row],[CMO MV]]/Table_Query_from_Cello_SQL_Server[[#This Row],[NAV]]*100</f>
        <v>83.613886449770433</v>
      </c>
    </row>
    <row r="666" spans="1:12" x14ac:dyDescent="0.2">
      <c r="A666" s="1">
        <v>41684</v>
      </c>
      <c r="B666">
        <v>853.17269999999996</v>
      </c>
      <c r="C666">
        <v>210.59190000000001</v>
      </c>
      <c r="D666">
        <v>393.65870000000001</v>
      </c>
      <c r="F666">
        <v>399315976.48280001</v>
      </c>
      <c r="G666">
        <v>213.65854400000001</v>
      </c>
      <c r="H666">
        <v>52.738160000000001</v>
      </c>
      <c r="I666">
        <v>98.583258000000001</v>
      </c>
      <c r="K666" s="9">
        <f>VLOOKUP(Table_Query_from_Cello_SQL_Server[[#This Row],[AsOfDate]], 'CMO MV Raw'!$A:$B,2,FALSE)</f>
        <v>334334618.75252199</v>
      </c>
      <c r="L666" s="5">
        <f>Table_Query_from_Cello_SQL_Server[[#This Row],[CMO MV]]/Table_Query_from_Cello_SQL_Server[[#This Row],[NAV]]*100</f>
        <v>83.726832494247333</v>
      </c>
    </row>
    <row r="667" spans="1:12" x14ac:dyDescent="0.2">
      <c r="A667" s="1">
        <v>41688</v>
      </c>
      <c r="B667">
        <v>854.6943</v>
      </c>
      <c r="C667">
        <v>210.6491</v>
      </c>
      <c r="D667">
        <v>393.89150000000001</v>
      </c>
      <c r="F667">
        <v>399893830.23820001</v>
      </c>
      <c r="G667">
        <v>213.73030399999999</v>
      </c>
      <c r="H667">
        <v>52.676257</v>
      </c>
      <c r="I667">
        <v>98.499019000000004</v>
      </c>
      <c r="K667" s="9">
        <f>VLOOKUP(Table_Query_from_Cello_SQL_Server[[#This Row],[AsOfDate]], 'CMO MV Raw'!$A:$B,2,FALSE)</f>
        <v>334903083.85122502</v>
      </c>
      <c r="L667" s="5">
        <f>Table_Query_from_Cello_SQL_Server[[#This Row],[CMO MV]]/Table_Query_from_Cello_SQL_Server[[#This Row],[NAV]]*100</f>
        <v>83.747999725761531</v>
      </c>
    </row>
    <row r="668" spans="1:12" x14ac:dyDescent="0.2">
      <c r="A668" s="1">
        <v>41689</v>
      </c>
      <c r="B668">
        <v>853.55930000000001</v>
      </c>
      <c r="C668">
        <v>210.85210000000001</v>
      </c>
      <c r="D668">
        <v>393.23559999999998</v>
      </c>
      <c r="F668">
        <v>399756383.14240003</v>
      </c>
      <c r="G668">
        <v>213.519868</v>
      </c>
      <c r="H668">
        <v>52.745148999999998</v>
      </c>
      <c r="I668">
        <v>98.368810999999994</v>
      </c>
      <c r="K668" s="9">
        <f>VLOOKUP(Table_Query_from_Cello_SQL_Server[[#This Row],[AsOfDate]], 'CMO MV Raw'!$A:$B,2,FALSE)</f>
        <v>333826519.82004899</v>
      </c>
      <c r="L668" s="5">
        <f>Table_Query_from_Cello_SQL_Server[[#This Row],[CMO MV]]/Table_Query_from_Cello_SQL_Server[[#This Row],[NAV]]*100</f>
        <v>83.507489535478982</v>
      </c>
    </row>
    <row r="669" spans="1:12" x14ac:dyDescent="0.2">
      <c r="A669" s="1">
        <v>41690</v>
      </c>
      <c r="B669">
        <v>852.17849999999999</v>
      </c>
      <c r="C669">
        <v>210.8604</v>
      </c>
      <c r="D669">
        <v>424.50189999999998</v>
      </c>
      <c r="F669">
        <v>399787604.38789999</v>
      </c>
      <c r="G669">
        <v>213.15780899999999</v>
      </c>
      <c r="H669">
        <v>52.743105999999997</v>
      </c>
      <c r="I669">
        <v>106.181856</v>
      </c>
      <c r="K669" s="9">
        <f>VLOOKUP(Table_Query_from_Cello_SQL_Server[[#This Row],[AsOfDate]], 'CMO MV Raw'!$A:$B,2,FALSE)</f>
        <v>359568766.41343999</v>
      </c>
      <c r="L669" s="5">
        <f>Table_Query_from_Cello_SQL_Server[[#This Row],[CMO MV]]/Table_Query_from_Cello_SQL_Server[[#This Row],[NAV]]*100</f>
        <v>89.939948729516615</v>
      </c>
    </row>
    <row r="670" spans="1:12" x14ac:dyDescent="0.2">
      <c r="A670" s="1">
        <v>41691</v>
      </c>
      <c r="B670">
        <v>854.67110000000002</v>
      </c>
      <c r="C670">
        <v>211.19300000000001</v>
      </c>
      <c r="D670">
        <v>425.54829999999998</v>
      </c>
      <c r="F670">
        <v>400581297.39660001</v>
      </c>
      <c r="G670">
        <v>213.35771399999999</v>
      </c>
      <c r="H670">
        <v>52.721632999999997</v>
      </c>
      <c r="I670">
        <v>106.232693</v>
      </c>
      <c r="K670" s="9">
        <f>VLOOKUP(Table_Query_from_Cello_SQL_Server[[#This Row],[AsOfDate]], 'CMO MV Raw'!$A:$B,2,FALSE)</f>
        <v>360222810.21056002</v>
      </c>
      <c r="L670" s="5">
        <f>Table_Query_from_Cello_SQL_Server[[#This Row],[CMO MV]]/Table_Query_from_Cello_SQL_Server[[#This Row],[NAV]]*100</f>
        <v>89.925019603178683</v>
      </c>
    </row>
    <row r="671" spans="1:12" x14ac:dyDescent="0.2">
      <c r="A671" s="1">
        <v>41694</v>
      </c>
      <c r="B671">
        <v>826.09990000000005</v>
      </c>
      <c r="C671">
        <v>203.82490000000001</v>
      </c>
      <c r="D671">
        <v>415.62110000000001</v>
      </c>
      <c r="F671">
        <v>400469361.73900002</v>
      </c>
      <c r="G671">
        <v>206.28292200000001</v>
      </c>
      <c r="H671">
        <v>50.896503000000003</v>
      </c>
      <c r="I671">
        <v>103.783495</v>
      </c>
      <c r="K671" s="9">
        <f>VLOOKUP(Table_Query_from_Cello_SQL_Server[[#This Row],[AsOfDate]], 'CMO MV Raw'!$A:$B,2,FALSE)</f>
        <v>352700992.67024302</v>
      </c>
      <c r="L671" s="5">
        <f>Table_Query_from_Cello_SQL_Server[[#This Row],[CMO MV]]/Table_Query_from_Cello_SQL_Server[[#This Row],[NAV]]*100</f>
        <v>88.07190421226548</v>
      </c>
    </row>
    <row r="672" spans="1:12" x14ac:dyDescent="0.2">
      <c r="A672" s="1">
        <v>41695</v>
      </c>
      <c r="B672">
        <v>842.80060000000003</v>
      </c>
      <c r="C672">
        <v>206.97479999999999</v>
      </c>
      <c r="D672">
        <v>439.30880000000002</v>
      </c>
      <c r="F672">
        <v>401664966.43290001</v>
      </c>
      <c r="G672">
        <v>209.826764</v>
      </c>
      <c r="H672">
        <v>51.529214000000003</v>
      </c>
      <c r="I672">
        <v>109.371948</v>
      </c>
      <c r="K672" s="9">
        <f>VLOOKUP(Table_Query_from_Cello_SQL_Server[[#This Row],[AsOfDate]], 'CMO MV Raw'!$A:$B,2,FALSE)</f>
        <v>382372511.27110302</v>
      </c>
      <c r="L672" s="5">
        <f>Table_Query_from_Cello_SQL_Server[[#This Row],[CMO MV]]/Table_Query_from_Cello_SQL_Server[[#This Row],[NAV]]*100</f>
        <v>95.196878798484946</v>
      </c>
    </row>
    <row r="673" spans="1:12" x14ac:dyDescent="0.2">
      <c r="A673" s="1">
        <v>41696</v>
      </c>
      <c r="B673">
        <v>846.07659999999998</v>
      </c>
      <c r="C673">
        <v>207.5966</v>
      </c>
      <c r="D673">
        <v>439.82920000000001</v>
      </c>
      <c r="F673">
        <v>402333774.26130003</v>
      </c>
      <c r="G673">
        <v>210.292214</v>
      </c>
      <c r="H673">
        <v>51.598103999999999</v>
      </c>
      <c r="I673">
        <v>109.31948300000001</v>
      </c>
      <c r="K673" s="9">
        <f>VLOOKUP(Table_Query_from_Cello_SQL_Server[[#This Row],[AsOfDate]], 'CMO MV Raw'!$A:$B,2,FALSE)</f>
        <v>383207435.66624802</v>
      </c>
      <c r="L673" s="5">
        <f>Table_Query_from_Cello_SQL_Server[[#This Row],[CMO MV]]/Table_Query_from_Cello_SQL_Server[[#This Row],[NAV]]*100</f>
        <v>95.246151375144024</v>
      </c>
    </row>
    <row r="674" spans="1:12" x14ac:dyDescent="0.2">
      <c r="A674" s="1">
        <v>41697</v>
      </c>
      <c r="B674">
        <v>775.14059999999995</v>
      </c>
      <c r="C674">
        <v>189.90379999999999</v>
      </c>
      <c r="D674">
        <v>441.53609999999998</v>
      </c>
      <c r="F674">
        <v>403030992.52359998</v>
      </c>
      <c r="G674">
        <v>192.32778999999999</v>
      </c>
      <c r="H674">
        <v>47.118907</v>
      </c>
      <c r="I674">
        <v>109.553883</v>
      </c>
      <c r="K674" s="9">
        <f>VLOOKUP(Table_Query_from_Cello_SQL_Server[[#This Row],[AsOfDate]], 'CMO MV Raw'!$A:$B,2,FALSE)</f>
        <v>364050583.483127</v>
      </c>
      <c r="L674" s="5">
        <f>Table_Query_from_Cello_SQL_Server[[#This Row],[CMO MV]]/Table_Query_from_Cello_SQL_Server[[#This Row],[NAV]]*100</f>
        <v>90.328185731723735</v>
      </c>
    </row>
    <row r="675" spans="1:12" x14ac:dyDescent="0.2">
      <c r="A675" s="1">
        <v>41698</v>
      </c>
      <c r="B675">
        <v>772.08540000000005</v>
      </c>
      <c r="C675">
        <v>189.77250000000001</v>
      </c>
      <c r="D675">
        <v>441.26310000000001</v>
      </c>
      <c r="F675">
        <v>404550334.14929998</v>
      </c>
      <c r="G675">
        <v>190.850269</v>
      </c>
      <c r="H675">
        <v>46.909489999999998</v>
      </c>
      <c r="I675">
        <v>109.074956</v>
      </c>
      <c r="K675" s="9">
        <f>VLOOKUP(Table_Query_from_Cello_SQL_Server[[#This Row],[AsOfDate]], 'CMO MV Raw'!$A:$B,2,FALSE)</f>
        <v>363925319.23373997</v>
      </c>
      <c r="L675" s="5">
        <f>Table_Query_from_Cello_SQL_Server[[#This Row],[CMO MV]]/Table_Query_from_Cello_SQL_Server[[#This Row],[NAV]]*100</f>
        <v>89.957982607779215</v>
      </c>
    </row>
    <row r="676" spans="1:12" x14ac:dyDescent="0.2">
      <c r="A676" s="1">
        <v>41701</v>
      </c>
      <c r="B676">
        <v>777.17660000000001</v>
      </c>
      <c r="C676">
        <v>190.49209999999999</v>
      </c>
      <c r="D676">
        <v>442.3329</v>
      </c>
      <c r="F676">
        <v>405454138.40380001</v>
      </c>
      <c r="G676">
        <v>191.68052</v>
      </c>
      <c r="H676">
        <v>46.982404000000002</v>
      </c>
      <c r="I676">
        <v>109.095668</v>
      </c>
      <c r="K676" s="9">
        <f>VLOOKUP(Table_Query_from_Cello_SQL_Server[[#This Row],[AsOfDate]], 'CMO MV Raw'!$A:$B,2,FALSE)</f>
        <v>364882977.55833298</v>
      </c>
      <c r="L676" s="5">
        <f>Table_Query_from_Cello_SQL_Server[[#This Row],[CMO MV]]/Table_Query_from_Cello_SQL_Server[[#This Row],[NAV]]*100</f>
        <v>89.993649835419518</v>
      </c>
    </row>
    <row r="677" spans="1:12" x14ac:dyDescent="0.2">
      <c r="A677" s="1">
        <v>41702</v>
      </c>
      <c r="B677">
        <v>774.46699999999998</v>
      </c>
      <c r="C677">
        <v>191.2338</v>
      </c>
      <c r="D677">
        <v>439.70510000000002</v>
      </c>
      <c r="F677">
        <v>403975801.76660001</v>
      </c>
      <c r="G677">
        <v>191.71123499999999</v>
      </c>
      <c r="H677">
        <v>47.337933999999997</v>
      </c>
      <c r="I677">
        <v>108.844415</v>
      </c>
      <c r="K677" s="9">
        <f>VLOOKUP(Table_Query_from_Cello_SQL_Server[[#This Row],[AsOfDate]], 'CMO MV Raw'!$A:$B,2,FALSE)</f>
        <v>364124181.06759202</v>
      </c>
      <c r="L677" s="5">
        <f>Table_Query_from_Cello_SQL_Server[[#This Row],[CMO MV]]/Table_Query_from_Cello_SQL_Server[[#This Row],[NAV]]*100</f>
        <v>90.13514657939028</v>
      </c>
    </row>
    <row r="678" spans="1:12" x14ac:dyDescent="0.2">
      <c r="A678" s="1">
        <v>41703</v>
      </c>
      <c r="B678">
        <v>775.25250000000005</v>
      </c>
      <c r="C678">
        <v>191.50360000000001</v>
      </c>
      <c r="D678">
        <v>439.47590000000002</v>
      </c>
      <c r="F678">
        <v>404400889.78320003</v>
      </c>
      <c r="G678">
        <v>191.70395500000001</v>
      </c>
      <c r="H678">
        <v>47.354891000000002</v>
      </c>
      <c r="I678">
        <v>108.673327</v>
      </c>
      <c r="K678" s="9">
        <f>VLOOKUP(Table_Query_from_Cello_SQL_Server[[#This Row],[AsOfDate]], 'CMO MV Raw'!$A:$B,2,FALSE)</f>
        <v>364536914.41107202</v>
      </c>
      <c r="L678" s="5">
        <f>Table_Query_from_Cello_SQL_Server[[#This Row],[CMO MV]]/Table_Query_from_Cello_SQL_Server[[#This Row],[NAV]]*100</f>
        <v>90.142461013500949</v>
      </c>
    </row>
    <row r="679" spans="1:12" x14ac:dyDescent="0.2">
      <c r="A679" s="1">
        <v>41704</v>
      </c>
      <c r="B679">
        <v>793.74969999999996</v>
      </c>
      <c r="C679">
        <v>196.6463</v>
      </c>
      <c r="D679">
        <v>434.166</v>
      </c>
      <c r="F679">
        <v>405607079.78030002</v>
      </c>
      <c r="G679">
        <v>195.694242</v>
      </c>
      <c r="H679">
        <v>48.481968999999999</v>
      </c>
      <c r="I679">
        <v>107.041031</v>
      </c>
      <c r="K679" s="9">
        <f>VLOOKUP(Table_Query_from_Cello_SQL_Server[[#This Row],[AsOfDate]], 'CMO MV Raw'!$A:$B,2,FALSE)</f>
        <v>364195142.185381</v>
      </c>
      <c r="L679" s="5">
        <f>Table_Query_from_Cello_SQL_Server[[#This Row],[CMO MV]]/Table_Query_from_Cello_SQL_Server[[#This Row],[NAV]]*100</f>
        <v>89.790134428287075</v>
      </c>
    </row>
    <row r="680" spans="1:12" x14ac:dyDescent="0.2">
      <c r="A680" s="1">
        <v>41705</v>
      </c>
      <c r="B680">
        <v>783.51379999999995</v>
      </c>
      <c r="C680">
        <v>195.43989999999999</v>
      </c>
      <c r="D680">
        <v>394.93849999999998</v>
      </c>
      <c r="F680">
        <v>405435470.72359997</v>
      </c>
      <c r="G680">
        <v>193.25240600000001</v>
      </c>
      <c r="H680">
        <v>48.204934000000002</v>
      </c>
      <c r="I680">
        <v>97.410938999999999</v>
      </c>
      <c r="K680" s="9">
        <f>VLOOKUP(Table_Query_from_Cello_SQL_Server[[#This Row],[AsOfDate]], 'CMO MV Raw'!$A:$B,2,FALSE)</f>
        <v>382304852.14856899</v>
      </c>
      <c r="L680" s="5">
        <f>Table_Query_from_Cello_SQL_Server[[#This Row],[CMO MV]]/Table_Query_from_Cello_SQL_Server[[#This Row],[NAV]]*100</f>
        <v>94.294870516941046</v>
      </c>
    </row>
    <row r="681" spans="1:12" x14ac:dyDescent="0.2">
      <c r="A681" s="1">
        <v>41708</v>
      </c>
      <c r="B681">
        <v>778.50319999999999</v>
      </c>
      <c r="C681">
        <v>194.5103</v>
      </c>
      <c r="D681">
        <v>393.54689999999999</v>
      </c>
      <c r="F681">
        <v>405920628.76010001</v>
      </c>
      <c r="G681">
        <v>191.78704999999999</v>
      </c>
      <c r="H681">
        <v>47.918309000000001</v>
      </c>
      <c r="I681">
        <v>96.951688000000004</v>
      </c>
      <c r="K681" s="9">
        <f>VLOOKUP(Table_Query_from_Cello_SQL_Server[[#This Row],[AsOfDate]], 'CMO MV Raw'!$A:$B,2,FALSE)</f>
        <v>382617020.49629098</v>
      </c>
      <c r="L681" s="5">
        <f>Table_Query_from_Cello_SQL_Server[[#This Row],[CMO MV]]/Table_Query_from_Cello_SQL_Server[[#This Row],[NAV]]*100</f>
        <v>94.259072682511658</v>
      </c>
    </row>
    <row r="682" spans="1:12" x14ac:dyDescent="0.2">
      <c r="A682" s="1">
        <v>41709</v>
      </c>
      <c r="B682">
        <v>782.80859999999996</v>
      </c>
      <c r="C682">
        <v>193.9896</v>
      </c>
      <c r="D682">
        <v>395.76929999999999</v>
      </c>
      <c r="F682">
        <v>406287642.53750002</v>
      </c>
      <c r="G682">
        <v>192.673495</v>
      </c>
      <c r="H682">
        <v>47.746862</v>
      </c>
      <c r="I682">
        <v>97.411108999999996</v>
      </c>
      <c r="K682" s="9">
        <f>VLOOKUP(Table_Query_from_Cello_SQL_Server[[#This Row],[AsOfDate]], 'CMO MV Raw'!$A:$B,2,FALSE)</f>
        <v>381703077.70675403</v>
      </c>
      <c r="L682" s="5">
        <f>Table_Query_from_Cello_SQL_Server[[#This Row],[CMO MV]]/Table_Query_from_Cello_SQL_Server[[#This Row],[NAV]]*100</f>
        <v>93.948975490073678</v>
      </c>
    </row>
    <row r="683" spans="1:12" x14ac:dyDescent="0.2">
      <c r="A683" s="1">
        <v>41710</v>
      </c>
      <c r="B683">
        <v>786.75869999999998</v>
      </c>
      <c r="C683">
        <v>194.43109999999999</v>
      </c>
      <c r="D683">
        <v>395.85849999999999</v>
      </c>
      <c r="F683">
        <v>407198280.15259999</v>
      </c>
      <c r="G683">
        <v>193.21267800000001</v>
      </c>
      <c r="H683">
        <v>47.748506999999996</v>
      </c>
      <c r="I683">
        <v>97.215170000000001</v>
      </c>
      <c r="K683" s="9">
        <f>VLOOKUP(Table_Query_from_Cello_SQL_Server[[#This Row],[AsOfDate]], 'CMO MV Raw'!$A:$B,2,FALSE)</f>
        <v>381180658.68347299</v>
      </c>
      <c r="L683" s="5">
        <f>Table_Query_from_Cello_SQL_Server[[#This Row],[CMO MV]]/Table_Query_from_Cello_SQL_Server[[#This Row],[NAV]]*100</f>
        <v>93.610576778620796</v>
      </c>
    </row>
    <row r="684" spans="1:12" x14ac:dyDescent="0.2">
      <c r="A684" s="1">
        <v>41711</v>
      </c>
      <c r="B684">
        <v>789.3152</v>
      </c>
      <c r="C684">
        <v>193.6591</v>
      </c>
      <c r="D684">
        <v>397.80439999999999</v>
      </c>
      <c r="F684">
        <v>408119542.58459997</v>
      </c>
      <c r="G684">
        <v>193.402941</v>
      </c>
      <c r="H684">
        <v>47.451563</v>
      </c>
      <c r="I684">
        <v>97.472519000000005</v>
      </c>
      <c r="K684" s="9">
        <f>VLOOKUP(Table_Query_from_Cello_SQL_Server[[#This Row],[AsOfDate]], 'CMO MV Raw'!$A:$B,2,FALSE)</f>
        <v>382136318.25066203</v>
      </c>
      <c r="L684" s="5">
        <f>Table_Query_from_Cello_SQL_Server[[#This Row],[CMO MV]]/Table_Query_from_Cello_SQL_Server[[#This Row],[NAV]]*100</f>
        <v>93.633428046746431</v>
      </c>
    </row>
    <row r="685" spans="1:12" x14ac:dyDescent="0.2">
      <c r="A685" s="1">
        <v>41712</v>
      </c>
      <c r="B685">
        <v>813.60580000000004</v>
      </c>
      <c r="C685">
        <v>200.10990000000001</v>
      </c>
      <c r="D685">
        <v>395.21319999999997</v>
      </c>
      <c r="F685">
        <v>408536000.66180003</v>
      </c>
      <c r="G685">
        <v>199.151555</v>
      </c>
      <c r="H685">
        <v>48.982194999999997</v>
      </c>
      <c r="I685">
        <v>96.738892000000007</v>
      </c>
      <c r="K685" s="9">
        <f>VLOOKUP(Table_Query_from_Cello_SQL_Server[[#This Row],[AsOfDate]], 'CMO MV Raw'!$A:$B,2,FALSE)</f>
        <v>387767551.32362199</v>
      </c>
      <c r="L685" s="5">
        <f>Table_Query_from_Cello_SQL_Server[[#This Row],[CMO MV]]/Table_Query_from_Cello_SQL_Server[[#This Row],[NAV]]*100</f>
        <v>94.916372289214507</v>
      </c>
    </row>
    <row r="686" spans="1:12" x14ac:dyDescent="0.2">
      <c r="A686" s="1">
        <v>41715</v>
      </c>
      <c r="B686">
        <v>805.16060000000004</v>
      </c>
      <c r="C686">
        <v>199.24260000000001</v>
      </c>
      <c r="D686">
        <v>399.15260000000001</v>
      </c>
      <c r="F686">
        <v>407287871.00620002</v>
      </c>
      <c r="G686">
        <v>197.688332</v>
      </c>
      <c r="H686">
        <v>48.919355000000003</v>
      </c>
      <c r="I686">
        <v>98.002574999999993</v>
      </c>
      <c r="K686" s="4">
        <f>VLOOKUP(Table_Query_from_Cello_SQL_Server[[#This Row],[AsOfDate]], 'CMO MV Raw'!$A:$B,2,FALSE)</f>
        <v>389724839.40874898</v>
      </c>
      <c r="L686" s="5">
        <f>Table_Query_from_Cello_SQL_Server[[#This Row],[CMO MV]]/Table_Query_from_Cello_SQL_Server[[#This Row],[NAV]]*100</f>
        <v>95.687808833083636</v>
      </c>
    </row>
    <row r="687" spans="1:12" x14ac:dyDescent="0.2">
      <c r="A687" s="1">
        <v>41716</v>
      </c>
      <c r="B687">
        <v>806.22260000000006</v>
      </c>
      <c r="C687">
        <v>199.08170000000001</v>
      </c>
      <c r="D687">
        <v>399.37599999999998</v>
      </c>
      <c r="F687">
        <v>407764587.60280001</v>
      </c>
      <c r="G687">
        <v>197.71766</v>
      </c>
      <c r="H687">
        <v>48.822704999999999</v>
      </c>
      <c r="I687">
        <v>97.942786999999996</v>
      </c>
      <c r="K687" s="4">
        <f>VLOOKUP(Table_Query_from_Cello_SQL_Server[[#This Row],[AsOfDate]], 'CMO MV Raw'!$A:$B,2,FALSE)</f>
        <v>390200523.33486998</v>
      </c>
      <c r="L687" s="5">
        <f>Table_Query_from_Cello_SQL_Server[[#This Row],[CMO MV]]/Table_Query_from_Cello_SQL_Server[[#This Row],[NAV]]*100</f>
        <v>95.692596953750424</v>
      </c>
    </row>
    <row r="688" spans="1:12" x14ac:dyDescent="0.2">
      <c r="A688" s="1">
        <v>41717</v>
      </c>
      <c r="B688">
        <v>801.00810000000001</v>
      </c>
      <c r="C688">
        <v>199.87270000000001</v>
      </c>
      <c r="D688">
        <v>397.03269999999998</v>
      </c>
      <c r="F688">
        <v>406750630.50489998</v>
      </c>
      <c r="G688">
        <v>196.92854500000001</v>
      </c>
      <c r="H688">
        <v>49.138879000000003</v>
      </c>
      <c r="I688">
        <v>97.610838000000001</v>
      </c>
      <c r="K688" s="4">
        <f>VLOOKUP(Table_Query_from_Cello_SQL_Server[[#This Row],[AsOfDate]], 'CMO MV Raw'!$A:$B,2,FALSE)</f>
        <v>387783180.58858502</v>
      </c>
      <c r="L688" s="5">
        <f>Table_Query_from_Cello_SQL_Server[[#This Row],[CMO MV]]/Table_Query_from_Cello_SQL_Server[[#This Row],[NAV]]*100</f>
        <v>95.33683576771088</v>
      </c>
    </row>
    <row r="689" spans="1:12" x14ac:dyDescent="0.2">
      <c r="A689" s="1">
        <v>41718</v>
      </c>
      <c r="B689">
        <v>801.10410000000002</v>
      </c>
      <c r="C689">
        <v>199.72569999999999</v>
      </c>
      <c r="D689">
        <v>396.88150000000002</v>
      </c>
      <c r="F689">
        <v>406471515.014</v>
      </c>
      <c r="G689">
        <v>197.08739</v>
      </c>
      <c r="H689">
        <v>49.136457</v>
      </c>
      <c r="I689">
        <v>97.640666999999993</v>
      </c>
      <c r="K689" s="4">
        <f>VLOOKUP(Table_Query_from_Cello_SQL_Server[[#This Row],[AsOfDate]], 'CMO MV Raw'!$A:$B,2,FALSE)</f>
        <v>387202203.87367499</v>
      </c>
      <c r="L689" s="5">
        <f>Table_Query_from_Cello_SQL_Server[[#This Row],[CMO MV]]/Table_Query_from_Cello_SQL_Server[[#This Row],[NAV]]*100</f>
        <v>95.259369862692267</v>
      </c>
    </row>
    <row r="690" spans="1:12" x14ac:dyDescent="0.2">
      <c r="A690" s="1">
        <v>41719</v>
      </c>
      <c r="B690">
        <v>803.35829999999999</v>
      </c>
      <c r="C690">
        <v>199.76920000000001</v>
      </c>
      <c r="D690">
        <v>398.59859999999998</v>
      </c>
      <c r="F690">
        <v>407147259.51440001</v>
      </c>
      <c r="G690">
        <v>197.31394</v>
      </c>
      <c r="H690">
        <v>49.065589000000003</v>
      </c>
      <c r="I690">
        <v>97.900351999999998</v>
      </c>
      <c r="K690" s="4">
        <f>VLOOKUP(Table_Query_from_Cello_SQL_Server[[#This Row],[AsOfDate]], 'CMO MV Raw'!$A:$B,2,FALSE)</f>
        <v>388007606.11317599</v>
      </c>
      <c r="L690" s="5">
        <f>Table_Query_from_Cello_SQL_Server[[#This Row],[CMO MV]]/Table_Query_from_Cello_SQL_Server[[#This Row],[NAV]]*100</f>
        <v>95.299083328216014</v>
      </c>
    </row>
    <row r="691" spans="1:12" x14ac:dyDescent="0.2">
      <c r="A691" s="1">
        <v>41722</v>
      </c>
      <c r="B691">
        <v>804.71910000000003</v>
      </c>
      <c r="C691">
        <v>200.059</v>
      </c>
      <c r="D691">
        <v>399.07499999999999</v>
      </c>
      <c r="F691">
        <v>408055933.77209997</v>
      </c>
      <c r="G691">
        <v>197.20803799999999</v>
      </c>
      <c r="H691">
        <v>49.027346999999999</v>
      </c>
      <c r="I691">
        <v>97.799092000000002</v>
      </c>
      <c r="K691" s="4">
        <f>VLOOKUP(Table_Query_from_Cello_SQL_Server[[#This Row],[AsOfDate]], 'CMO MV Raw'!$A:$B,2,FALSE)</f>
        <v>388461912.64111203</v>
      </c>
      <c r="L691" s="5">
        <f>Table_Query_from_Cello_SQL_Server[[#This Row],[CMO MV]]/Table_Query_from_Cello_SQL_Server[[#This Row],[NAV]]*100</f>
        <v>95.198202131296242</v>
      </c>
    </row>
    <row r="692" spans="1:12" x14ac:dyDescent="0.2">
      <c r="A692" s="1">
        <v>41723</v>
      </c>
      <c r="B692">
        <v>806.00900000000001</v>
      </c>
      <c r="C692">
        <v>200.45760000000001</v>
      </c>
      <c r="D692">
        <v>398.50229999999999</v>
      </c>
      <c r="F692">
        <v>408117358.6444</v>
      </c>
      <c r="G692">
        <v>197.494417</v>
      </c>
      <c r="H692">
        <v>49.117635999999997</v>
      </c>
      <c r="I692">
        <v>97.644046000000003</v>
      </c>
      <c r="K692" s="4">
        <f>VLOOKUP(Table_Query_from_Cello_SQL_Server[[#This Row],[AsOfDate]], 'CMO MV Raw'!$A:$B,2,FALSE)</f>
        <v>388772226.952968</v>
      </c>
      <c r="L692" s="5">
        <f>Table_Query_from_Cello_SQL_Server[[#This Row],[CMO MV]]/Table_Query_from_Cello_SQL_Server[[#This Row],[NAV]]*100</f>
        <v>95.259909611370446</v>
      </c>
    </row>
    <row r="693" spans="1:12" x14ac:dyDescent="0.2">
      <c r="A693" s="1">
        <v>41724</v>
      </c>
      <c r="B693">
        <v>794.68430000000001</v>
      </c>
      <c r="C693">
        <v>196.8503</v>
      </c>
      <c r="D693">
        <v>402.12119999999999</v>
      </c>
      <c r="F693">
        <v>408736908.11949998</v>
      </c>
      <c r="G693">
        <v>194.42440500000001</v>
      </c>
      <c r="H693">
        <v>48.160637000000001</v>
      </c>
      <c r="I693">
        <v>98.381426000000005</v>
      </c>
      <c r="K693" s="4">
        <f>VLOOKUP(Table_Query_from_Cello_SQL_Server[[#This Row],[AsOfDate]], 'CMO MV Raw'!$A:$B,2,FALSE)</f>
        <v>386701527.03565699</v>
      </c>
      <c r="L693" s="5">
        <f>Table_Query_from_Cello_SQL_Server[[#This Row],[CMO MV]]/Table_Query_from_Cello_SQL_Server[[#This Row],[NAV]]*100</f>
        <v>94.608908408779996</v>
      </c>
    </row>
    <row r="694" spans="1:12" x14ac:dyDescent="0.2">
      <c r="A694" s="1">
        <v>41725</v>
      </c>
      <c r="B694">
        <v>797.12350000000004</v>
      </c>
      <c r="C694">
        <v>196.78370000000001</v>
      </c>
      <c r="D694">
        <v>403.31270000000001</v>
      </c>
      <c r="F694">
        <v>409118673.87510002</v>
      </c>
      <c r="G694">
        <v>194.83918700000001</v>
      </c>
      <c r="H694">
        <v>48.099418</v>
      </c>
      <c r="I694">
        <v>98.580858000000006</v>
      </c>
      <c r="K694" s="4">
        <f>VLOOKUP(Table_Query_from_Cello_SQL_Server[[#This Row],[AsOfDate]], 'CMO MV Raw'!$A:$B,2,FALSE)</f>
        <v>387031713.678352</v>
      </c>
      <c r="L694" s="5">
        <f>Table_Query_from_Cello_SQL_Server[[#This Row],[CMO MV]]/Table_Query_from_Cello_SQL_Server[[#This Row],[NAV]]*100</f>
        <v>94.601331690009587</v>
      </c>
    </row>
    <row r="695" spans="1:12" x14ac:dyDescent="0.2">
      <c r="A695" s="1">
        <v>41726</v>
      </c>
      <c r="B695">
        <v>793.06110000000001</v>
      </c>
      <c r="C695">
        <v>196.63300000000001</v>
      </c>
      <c r="D695">
        <v>402.84350000000001</v>
      </c>
      <c r="F695">
        <v>408419119.55220002</v>
      </c>
      <c r="G695">
        <v>194.17824999999999</v>
      </c>
      <c r="H695">
        <v>48.144905999999999</v>
      </c>
      <c r="I695">
        <v>98.634828999999996</v>
      </c>
      <c r="K695" s="4">
        <f>VLOOKUP(Table_Query_from_Cello_SQL_Server[[#This Row],[AsOfDate]], 'CMO MV Raw'!$A:$B,2,FALSE)</f>
        <v>386159352.56680501</v>
      </c>
      <c r="L695" s="5">
        <f>Table_Query_from_Cello_SQL_Server[[#This Row],[CMO MV]]/Table_Query_from_Cello_SQL_Server[[#This Row],[NAV]]*100</f>
        <v>94.549773524363616</v>
      </c>
    </row>
    <row r="696" spans="1:12" x14ac:dyDescent="0.2">
      <c r="A696" s="1">
        <v>41729</v>
      </c>
      <c r="B696">
        <v>790.87260000000003</v>
      </c>
      <c r="C696">
        <v>196.33789999999999</v>
      </c>
      <c r="D696">
        <v>401.6438</v>
      </c>
      <c r="F696">
        <v>410338110.13789999</v>
      </c>
      <c r="G696">
        <v>192.73681400000001</v>
      </c>
      <c r="H696">
        <v>47.847835000000003</v>
      </c>
      <c r="I696">
        <v>97.881184000000005</v>
      </c>
      <c r="K696" s="4">
        <f>VLOOKUP(Table_Query_from_Cello_SQL_Server[[#This Row],[AsOfDate]], 'CMO MV Raw'!$A:$B,2,FALSE)</f>
        <v>385849654.68856901</v>
      </c>
      <c r="L696" s="5">
        <f>Table_Query_from_Cello_SQL_Server[[#This Row],[CMO MV]]/Table_Query_from_Cello_SQL_Server[[#This Row],[NAV]]*100</f>
        <v>94.032127447021367</v>
      </c>
    </row>
    <row r="697" spans="1:12" x14ac:dyDescent="0.2">
      <c r="A697" s="1">
        <v>41730</v>
      </c>
      <c r="B697">
        <v>791.25800000000004</v>
      </c>
      <c r="C697">
        <v>197.00450000000001</v>
      </c>
      <c r="D697">
        <v>399.99160000000001</v>
      </c>
      <c r="F697">
        <v>389371321.1207</v>
      </c>
      <c r="G697">
        <v>203.214247</v>
      </c>
      <c r="H697">
        <v>50.595534000000001</v>
      </c>
      <c r="I697">
        <v>102.72754500000001</v>
      </c>
      <c r="K697" s="4">
        <f>VLOOKUP(Table_Query_from_Cello_SQL_Server[[#This Row],[AsOfDate]], 'CMO MV Raw'!$A:$B,2,FALSE)</f>
        <v>385467032.96083999</v>
      </c>
      <c r="L697" s="5">
        <f>Table_Query_from_Cello_SQL_Server[[#This Row],[CMO MV]]/Table_Query_from_Cello_SQL_Server[[#This Row],[NAV]]*100</f>
        <v>98.997284096675997</v>
      </c>
    </row>
    <row r="698" spans="1:12" x14ac:dyDescent="0.2">
      <c r="A698" s="1">
        <v>41731</v>
      </c>
      <c r="B698">
        <v>791.72730000000001</v>
      </c>
      <c r="C698">
        <v>197.81729999999999</v>
      </c>
      <c r="D698">
        <v>393.31060000000002</v>
      </c>
      <c r="F698">
        <v>388676277.86720002</v>
      </c>
      <c r="G698">
        <v>203.698385</v>
      </c>
      <c r="H698">
        <v>50.895130999999999</v>
      </c>
      <c r="I698">
        <v>101.192335</v>
      </c>
      <c r="K698" s="4">
        <f>VLOOKUP(Table_Query_from_Cello_SQL_Server[[#This Row],[AsOfDate]], 'CMO MV Raw'!$A:$B,2,FALSE)</f>
        <v>380947050.35757899</v>
      </c>
      <c r="L698" s="5">
        <f>Table_Query_from_Cello_SQL_Server[[#This Row],[CMO MV]]/Table_Query_from_Cello_SQL_Server[[#This Row],[NAV]]*100</f>
        <v>98.01139715754357</v>
      </c>
    </row>
    <row r="699" spans="1:12" x14ac:dyDescent="0.2">
      <c r="A699" s="1">
        <v>41732</v>
      </c>
      <c r="B699">
        <v>794.12369999999999</v>
      </c>
      <c r="C699">
        <v>197.62430000000001</v>
      </c>
      <c r="D699">
        <v>394.1234</v>
      </c>
      <c r="F699">
        <v>389073429.17150003</v>
      </c>
      <c r="G699">
        <v>204.106382</v>
      </c>
      <c r="H699">
        <v>50.793574</v>
      </c>
      <c r="I699">
        <v>101.29794800000001</v>
      </c>
      <c r="K699" s="4">
        <f>VLOOKUP(Table_Query_from_Cello_SQL_Server[[#This Row],[AsOfDate]], 'CMO MV Raw'!$A:$B,2,FALSE)</f>
        <v>381313948.56256402</v>
      </c>
      <c r="L699" s="5">
        <f>Table_Query_from_Cello_SQL_Server[[#This Row],[CMO MV]]/Table_Query_from_Cello_SQL_Server[[#This Row],[NAV]]*100</f>
        <v>98.005651368827941</v>
      </c>
    </row>
    <row r="700" spans="1:12" x14ac:dyDescent="0.2">
      <c r="A700" s="1">
        <v>41733</v>
      </c>
      <c r="B700">
        <v>793.92769999999996</v>
      </c>
      <c r="C700">
        <v>196.8135</v>
      </c>
      <c r="D700">
        <v>395.41719999999998</v>
      </c>
      <c r="F700">
        <v>389948356.38</v>
      </c>
      <c r="G700">
        <v>203.59816599999999</v>
      </c>
      <c r="H700">
        <v>50.471682999999999</v>
      </c>
      <c r="I700">
        <v>101.40245299999999</v>
      </c>
      <c r="K700" s="4">
        <f>VLOOKUP(Table_Query_from_Cello_SQL_Server[[#This Row],[AsOfDate]], 'CMO MV Raw'!$A:$B,2,FALSE)</f>
        <v>382843544.84324002</v>
      </c>
      <c r="L700" s="5">
        <f>Table_Query_from_Cello_SQL_Server[[#This Row],[CMO MV]]/Table_Query_from_Cello_SQL_Server[[#This Row],[NAV]]*100</f>
        <v>98.178012185327319</v>
      </c>
    </row>
    <row r="701" spans="1:12" x14ac:dyDescent="0.2">
      <c r="A701" s="1">
        <v>41736</v>
      </c>
      <c r="B701">
        <v>804.71299999999997</v>
      </c>
      <c r="C701">
        <v>198.8109</v>
      </c>
      <c r="D701">
        <v>397.5249</v>
      </c>
      <c r="F701">
        <v>390105758.46619999</v>
      </c>
      <c r="G701">
        <v>206.28072800000001</v>
      </c>
      <c r="H701">
        <v>50.963334000000003</v>
      </c>
      <c r="I701">
        <v>101.90182799999999</v>
      </c>
      <c r="K701" s="4">
        <f>VLOOKUP(Table_Query_from_Cello_SQL_Server[[#This Row],[AsOfDate]], 'CMO MV Raw'!$A:$B,2,FALSE)</f>
        <v>383690651.76979202</v>
      </c>
      <c r="L701" s="5">
        <f>Table_Query_from_Cello_SQL_Server[[#This Row],[CMO MV]]/Table_Query_from_Cello_SQL_Server[[#This Row],[NAV]]*100</f>
        <v>98.355546782587737</v>
      </c>
    </row>
    <row r="702" spans="1:12" x14ac:dyDescent="0.2">
      <c r="A702" s="1">
        <v>41737</v>
      </c>
      <c r="B702">
        <v>806.26189999999997</v>
      </c>
      <c r="C702">
        <v>198.76920000000001</v>
      </c>
      <c r="D702">
        <v>397.54360000000003</v>
      </c>
      <c r="F702">
        <v>390349125.37849998</v>
      </c>
      <c r="G702">
        <v>206.54891900000001</v>
      </c>
      <c r="H702">
        <v>50.920878000000002</v>
      </c>
      <c r="I702">
        <v>101.843087</v>
      </c>
      <c r="K702" s="4">
        <f>VLOOKUP(Table_Query_from_Cello_SQL_Server[[#This Row],[AsOfDate]], 'CMO MV Raw'!$A:$B,2,FALSE)</f>
        <v>383986532.77846497</v>
      </c>
      <c r="L702" s="5">
        <f>Table_Query_from_Cello_SQL_Server[[#This Row],[CMO MV]]/Table_Query_from_Cello_SQL_Server[[#This Row],[NAV]]*100</f>
        <v>98.370025142527069</v>
      </c>
    </row>
    <row r="703" spans="1:12" x14ac:dyDescent="0.2">
      <c r="A703" s="1">
        <v>41738</v>
      </c>
      <c r="B703">
        <v>809.63130000000001</v>
      </c>
      <c r="C703">
        <v>199.55179999999999</v>
      </c>
      <c r="D703">
        <v>396.2516</v>
      </c>
      <c r="F703">
        <v>390573670.52380002</v>
      </c>
      <c r="G703">
        <v>207.29285200000001</v>
      </c>
      <c r="H703">
        <v>51.091974</v>
      </c>
      <c r="I703">
        <v>101.45374099999999</v>
      </c>
      <c r="K703" s="4">
        <f>VLOOKUP(Table_Query_from_Cello_SQL_Server[[#This Row],[AsOfDate]], 'CMO MV Raw'!$A:$B,2,FALSE)</f>
        <v>382992000.39412302</v>
      </c>
      <c r="L703" s="5">
        <f>Table_Query_from_Cello_SQL_Server[[#This Row],[CMO MV]]/Table_Query_from_Cello_SQL_Server[[#This Row],[NAV]]*100</f>
        <v>98.05883737131866</v>
      </c>
    </row>
    <row r="704" spans="1:12" x14ac:dyDescent="0.2">
      <c r="A704" s="1">
        <v>41739</v>
      </c>
      <c r="B704">
        <v>846.76689999999996</v>
      </c>
      <c r="C704">
        <v>207.86099999999999</v>
      </c>
      <c r="D704">
        <v>398.56729999999999</v>
      </c>
      <c r="F704">
        <v>391251228.49409997</v>
      </c>
      <c r="G704">
        <v>216.425365</v>
      </c>
      <c r="H704">
        <v>53.127245000000002</v>
      </c>
      <c r="I704">
        <v>101.869917</v>
      </c>
      <c r="K704" s="4">
        <f>VLOOKUP(Table_Query_from_Cello_SQL_Server[[#This Row],[AsOfDate]], 'CMO MV Raw'!$A:$B,2,FALSE)</f>
        <v>394999984.688016</v>
      </c>
      <c r="L704" s="5">
        <f>Table_Query_from_Cello_SQL_Server[[#This Row],[CMO MV]]/Table_Query_from_Cello_SQL_Server[[#This Row],[NAV]]*100</f>
        <v>100.95814553946443</v>
      </c>
    </row>
    <row r="705" spans="1:12" x14ac:dyDescent="0.2">
      <c r="A705" s="1">
        <v>41740</v>
      </c>
      <c r="B705">
        <v>820.31830000000002</v>
      </c>
      <c r="C705">
        <v>200.11269999999999</v>
      </c>
      <c r="D705">
        <v>399.25709999999998</v>
      </c>
      <c r="F705">
        <v>391721347.6092</v>
      </c>
      <c r="G705">
        <v>209.41373400000001</v>
      </c>
      <c r="H705">
        <v>51.085472000000003</v>
      </c>
      <c r="I705">
        <v>101.923753</v>
      </c>
      <c r="K705" s="4">
        <f>VLOOKUP(Table_Query_from_Cello_SQL_Server[[#This Row],[AsOfDate]], 'CMO MV Raw'!$A:$B,2,FALSE)</f>
        <v>390696541.15803301</v>
      </c>
      <c r="L705" s="5">
        <f>Table_Query_from_Cello_SQL_Server[[#This Row],[CMO MV]]/Table_Query_from_Cello_SQL_Server[[#This Row],[NAV]]*100</f>
        <v>99.738383813539471</v>
      </c>
    </row>
    <row r="706" spans="1:12" x14ac:dyDescent="0.2">
      <c r="A706" s="1">
        <v>41743</v>
      </c>
      <c r="B706">
        <v>818.93790000000001</v>
      </c>
      <c r="C706">
        <v>200.239</v>
      </c>
      <c r="D706">
        <v>398.34840000000003</v>
      </c>
      <c r="F706">
        <v>391758819.7863</v>
      </c>
      <c r="G706">
        <v>209.04134300000001</v>
      </c>
      <c r="H706">
        <v>51.112825000000001</v>
      </c>
      <c r="I706">
        <v>101.68205</v>
      </c>
      <c r="K706" s="4">
        <f>VLOOKUP(Table_Query_from_Cello_SQL_Server[[#This Row],[AsOfDate]], 'CMO MV Raw'!$A:$B,2,FALSE)</f>
        <v>389403890.927571</v>
      </c>
      <c r="L706" s="5">
        <f>Table_Query_from_Cello_SQL_Server[[#This Row],[CMO MV]]/Table_Query_from_Cello_SQL_Server[[#This Row],[NAV]]*100</f>
        <v>99.398883001533036</v>
      </c>
    </row>
    <row r="707" spans="1:12" x14ac:dyDescent="0.2">
      <c r="A707" s="1">
        <v>41744</v>
      </c>
      <c r="B707">
        <v>819.0249</v>
      </c>
      <c r="C707">
        <v>199.9563</v>
      </c>
      <c r="D707">
        <v>398.7423</v>
      </c>
      <c r="F707">
        <v>391323942.74559999</v>
      </c>
      <c r="G707">
        <v>209.295883</v>
      </c>
      <c r="H707">
        <v>51.097385000000003</v>
      </c>
      <c r="I707">
        <v>101.895707</v>
      </c>
      <c r="K707" s="4">
        <f>VLOOKUP(Table_Query_from_Cello_SQL_Server[[#This Row],[AsOfDate]], 'CMO MV Raw'!$A:$B,2,FALSE)</f>
        <v>389130706.84621102</v>
      </c>
      <c r="L707" s="5">
        <f>Table_Query_from_Cello_SQL_Server[[#This Row],[CMO MV]]/Table_Query_from_Cello_SQL_Server[[#This Row],[NAV]]*100</f>
        <v>99.439534447087283</v>
      </c>
    </row>
    <row r="708" spans="1:12" x14ac:dyDescent="0.2">
      <c r="A708" s="1">
        <v>41745</v>
      </c>
      <c r="B708">
        <v>819.41070000000002</v>
      </c>
      <c r="C708">
        <v>200.25700000000001</v>
      </c>
      <c r="D708">
        <v>398.59679999999997</v>
      </c>
      <c r="F708">
        <v>391079060.78850001</v>
      </c>
      <c r="G708">
        <v>209.525588</v>
      </c>
      <c r="H708">
        <v>51.206270000000004</v>
      </c>
      <c r="I708">
        <v>101.922307</v>
      </c>
      <c r="K708" s="4">
        <f>VLOOKUP(Table_Query_from_Cello_SQL_Server[[#This Row],[AsOfDate]], 'CMO MV Raw'!$A:$B,2,FALSE)</f>
        <v>388870699.57047802</v>
      </c>
      <c r="L708" s="5">
        <f>Table_Query_from_Cello_SQL_Server[[#This Row],[CMO MV]]/Table_Query_from_Cello_SQL_Server[[#This Row],[NAV]]*100</f>
        <v>99.435315914493245</v>
      </c>
    </row>
    <row r="709" spans="1:12" x14ac:dyDescent="0.2">
      <c r="A709" s="1">
        <v>41746</v>
      </c>
      <c r="B709">
        <v>814.04989999999998</v>
      </c>
      <c r="C709">
        <v>200.15379999999999</v>
      </c>
      <c r="D709">
        <v>396.68340000000001</v>
      </c>
      <c r="F709">
        <v>390447453.71810001</v>
      </c>
      <c r="G709">
        <v>208.49153799999999</v>
      </c>
      <c r="H709">
        <v>51.262672999999999</v>
      </c>
      <c r="I709">
        <v>101.597128</v>
      </c>
      <c r="K709" s="4">
        <f>VLOOKUP(Table_Query_from_Cello_SQL_Server[[#This Row],[AsOfDate]], 'CMO MV Raw'!$A:$B,2,FALSE)</f>
        <v>387276301.19351399</v>
      </c>
      <c r="L709" s="5">
        <f>Table_Query_from_Cello_SQL_Server[[#This Row],[CMO MV]]/Table_Query_from_Cello_SQL_Server[[#This Row],[NAV]]*100</f>
        <v>99.187815800977006</v>
      </c>
    </row>
    <row r="710" spans="1:12" x14ac:dyDescent="0.2">
      <c r="A710" s="1">
        <v>41750</v>
      </c>
      <c r="B710">
        <v>816.58010000000002</v>
      </c>
      <c r="C710">
        <v>200.98419999999999</v>
      </c>
      <c r="D710">
        <v>396.23399999999998</v>
      </c>
      <c r="F710">
        <v>390525722.54460001</v>
      </c>
      <c r="G710">
        <v>209.09764799999999</v>
      </c>
      <c r="H710">
        <v>51.465035</v>
      </c>
      <c r="I710">
        <v>101.461691</v>
      </c>
      <c r="K710" s="4">
        <f>VLOOKUP(Table_Query_from_Cello_SQL_Server[[#This Row],[AsOfDate]], 'CMO MV Raw'!$A:$B,2,FALSE)</f>
        <v>387048440.72014701</v>
      </c>
      <c r="L710" s="5">
        <f>Table_Query_from_Cello_SQL_Server[[#This Row],[CMO MV]]/Table_Query_from_Cello_SQL_Server[[#This Row],[NAV]]*100</f>
        <v>99.109589554870908</v>
      </c>
    </row>
    <row r="711" spans="1:12" x14ac:dyDescent="0.2">
      <c r="A711" s="1">
        <v>41751</v>
      </c>
      <c r="B711">
        <v>814.84230000000002</v>
      </c>
      <c r="C711">
        <v>200.50829999999999</v>
      </c>
      <c r="D711">
        <v>396.28949999999998</v>
      </c>
      <c r="F711">
        <v>390870568.1742</v>
      </c>
      <c r="G711">
        <v>208.46857399999999</v>
      </c>
      <c r="H711">
        <v>51.297876000000002</v>
      </c>
      <c r="I711">
        <v>101.386375</v>
      </c>
      <c r="K711" s="4">
        <f>VLOOKUP(Table_Query_from_Cello_SQL_Server[[#This Row],[AsOfDate]], 'CMO MV Raw'!$A:$B,2,FALSE)</f>
        <v>387012344.47966999</v>
      </c>
      <c r="L711" s="5">
        <f>Table_Query_from_Cello_SQL_Server[[#This Row],[CMO MV]]/Table_Query_from_Cello_SQL_Server[[#This Row],[NAV]]*100</f>
        <v>99.012915269483656</v>
      </c>
    </row>
    <row r="712" spans="1:12" x14ac:dyDescent="0.2">
      <c r="A712" s="1">
        <v>41752</v>
      </c>
      <c r="B712">
        <v>818.53290000000004</v>
      </c>
      <c r="C712">
        <v>200.72739999999999</v>
      </c>
      <c r="D712">
        <v>397.92959999999999</v>
      </c>
      <c r="F712">
        <v>391863960.95639998</v>
      </c>
      <c r="G712">
        <v>208.88190299999999</v>
      </c>
      <c r="H712">
        <v>51.223745999999998</v>
      </c>
      <c r="I712">
        <v>101.547894</v>
      </c>
      <c r="K712" s="4">
        <f>VLOOKUP(Table_Query_from_Cello_SQL_Server[[#This Row],[AsOfDate]], 'CMO MV Raw'!$A:$B,2,FALSE)</f>
        <v>388347277.29161799</v>
      </c>
      <c r="L712" s="5">
        <f>Table_Query_from_Cello_SQL_Server[[#This Row],[CMO MV]]/Table_Query_from_Cello_SQL_Server[[#This Row],[NAV]]*100</f>
        <v>99.102575379425289</v>
      </c>
    </row>
    <row r="713" spans="1:12" x14ac:dyDescent="0.2">
      <c r="A713" s="1">
        <v>41753</v>
      </c>
      <c r="B713">
        <v>817.23050000000001</v>
      </c>
      <c r="C713">
        <v>200.36109999999999</v>
      </c>
      <c r="D713">
        <v>398.09969999999998</v>
      </c>
      <c r="F713">
        <v>391806639.96249998</v>
      </c>
      <c r="G713">
        <v>208.58005399999999</v>
      </c>
      <c r="H713">
        <v>51.137749999999997</v>
      </c>
      <c r="I713">
        <v>101.606165</v>
      </c>
      <c r="K713" s="4">
        <f>VLOOKUP(Table_Query_from_Cello_SQL_Server[[#This Row],[AsOfDate]], 'CMO MV Raw'!$A:$B,2,FALSE)</f>
        <v>388238476.333875</v>
      </c>
      <c r="L713" s="5">
        <f>Table_Query_from_Cello_SQL_Server[[#This Row],[CMO MV]]/Table_Query_from_Cello_SQL_Server[[#This Row],[NAV]]*100</f>
        <v>99.089304962017366</v>
      </c>
    </row>
    <row r="714" spans="1:12" x14ac:dyDescent="0.2">
      <c r="A714" s="1">
        <v>41754</v>
      </c>
      <c r="B714">
        <v>805.24959999999999</v>
      </c>
      <c r="C714">
        <v>197.28030000000001</v>
      </c>
      <c r="D714">
        <v>401.17739999999998</v>
      </c>
      <c r="F714">
        <v>392283828.56169999</v>
      </c>
      <c r="G714">
        <v>205.272188</v>
      </c>
      <c r="H714">
        <v>50.290194</v>
      </c>
      <c r="I714">
        <v>102.267127</v>
      </c>
      <c r="K714" s="4">
        <f>VLOOKUP(Table_Query_from_Cello_SQL_Server[[#This Row],[AsOfDate]], 'CMO MV Raw'!$A:$B,2,FALSE)</f>
        <v>386292501.09288198</v>
      </c>
      <c r="L714" s="5">
        <f>Table_Query_from_Cello_SQL_Server[[#This Row],[CMO MV]]/Table_Query_from_Cello_SQL_Server[[#This Row],[NAV]]*100</f>
        <v>98.472705976490275</v>
      </c>
    </row>
    <row r="715" spans="1:12" x14ac:dyDescent="0.2">
      <c r="A715" s="1">
        <v>41757</v>
      </c>
      <c r="B715">
        <v>800.63879999999995</v>
      </c>
      <c r="C715">
        <v>196.3535</v>
      </c>
      <c r="D715">
        <v>400.90660000000003</v>
      </c>
      <c r="F715">
        <v>392161087.78490001</v>
      </c>
      <c r="G715">
        <v>204.16069400000001</v>
      </c>
      <c r="H715">
        <v>50.069603000000001</v>
      </c>
      <c r="I715">
        <v>102.230082</v>
      </c>
      <c r="K715" s="4">
        <f>VLOOKUP(Table_Query_from_Cello_SQL_Server[[#This Row],[AsOfDate]], 'CMO MV Raw'!$A:$B,2,FALSE)</f>
        <v>385966062.14070398</v>
      </c>
      <c r="L715" s="5">
        <f>Table_Query_from_Cello_SQL_Server[[#This Row],[CMO MV]]/Table_Query_from_Cello_SQL_Server[[#This Row],[NAV]]*100</f>
        <v>98.420285480339658</v>
      </c>
    </row>
    <row r="716" spans="1:12" x14ac:dyDescent="0.2">
      <c r="A716" s="1">
        <v>41758</v>
      </c>
      <c r="B716">
        <v>800.01800000000003</v>
      </c>
      <c r="C716">
        <v>196.65539999999999</v>
      </c>
      <c r="D716">
        <v>399.71039999999999</v>
      </c>
      <c r="F716">
        <v>392214730.40030003</v>
      </c>
      <c r="G716">
        <v>203.974491</v>
      </c>
      <c r="H716">
        <v>50.139727999999998</v>
      </c>
      <c r="I716">
        <v>101.911114</v>
      </c>
      <c r="K716" s="4">
        <f>VLOOKUP(Table_Query_from_Cello_SQL_Server[[#This Row],[AsOfDate]], 'CMO MV Raw'!$A:$B,2,FALSE)</f>
        <v>385814445.42405897</v>
      </c>
      <c r="L716" s="5">
        <f>Table_Query_from_Cello_SQL_Server[[#This Row],[CMO MV]]/Table_Query_from_Cello_SQL_Server[[#This Row],[NAV]]*100</f>
        <v>98.368168128282989</v>
      </c>
    </row>
    <row r="717" spans="1:12" x14ac:dyDescent="0.2">
      <c r="A717" s="1">
        <v>41759</v>
      </c>
      <c r="B717">
        <v>824.02300000000002</v>
      </c>
      <c r="C717">
        <v>202.12110000000001</v>
      </c>
      <c r="D717">
        <v>401.10219999999998</v>
      </c>
      <c r="F717">
        <v>396559845.32630002</v>
      </c>
      <c r="G717">
        <v>207.79284899999999</v>
      </c>
      <c r="H717">
        <v>50.968625000000003</v>
      </c>
      <c r="I717">
        <v>101.14543999999999</v>
      </c>
      <c r="K717" s="4">
        <f>VLOOKUP(Table_Query_from_Cello_SQL_Server[[#This Row],[AsOfDate]], 'CMO MV Raw'!$A:$B,2,FALSE)</f>
        <v>390749399.05083299</v>
      </c>
      <c r="L717" s="5">
        <f>Table_Query_from_Cello_SQL_Server[[#This Row],[CMO MV]]/Table_Query_from_Cello_SQL_Server[[#This Row],[NAV]]*100</f>
        <v>98.534787033042619</v>
      </c>
    </row>
    <row r="718" spans="1:12" x14ac:dyDescent="0.2">
      <c r="A718" s="1">
        <v>41760</v>
      </c>
      <c r="B718">
        <v>832.02599999999995</v>
      </c>
      <c r="C718">
        <v>203.38489999999999</v>
      </c>
      <c r="D718">
        <v>402.1549</v>
      </c>
      <c r="F718">
        <v>406470642.89950001</v>
      </c>
      <c r="G718">
        <v>204.69522599999999</v>
      </c>
      <c r="H718">
        <v>50.036799000000002</v>
      </c>
      <c r="I718">
        <v>98.938239999999993</v>
      </c>
      <c r="K718" s="4">
        <f>VLOOKUP(Table_Query_from_Cello_SQL_Server[[#This Row],[AsOfDate]], 'CMO MV Raw'!$A:$B,2,FALSE)</f>
        <v>391601916.53671199</v>
      </c>
      <c r="L718" s="5">
        <f>Table_Query_from_Cello_SQL_Server[[#This Row],[CMO MV]]/Table_Query_from_Cello_SQL_Server[[#This Row],[NAV]]*100</f>
        <v>96.341992558989233</v>
      </c>
    </row>
    <row r="719" spans="1:12" x14ac:dyDescent="0.2">
      <c r="A719" s="1">
        <v>41761</v>
      </c>
      <c r="B719">
        <v>832.44420000000002</v>
      </c>
      <c r="C719">
        <v>203.5984</v>
      </c>
      <c r="D719">
        <v>403.19189999999998</v>
      </c>
      <c r="F719">
        <v>406898653.13150001</v>
      </c>
      <c r="G719">
        <v>204.58268799999999</v>
      </c>
      <c r="H719">
        <v>50.036636999999999</v>
      </c>
      <c r="I719">
        <v>99.089022999999997</v>
      </c>
      <c r="K719" s="4">
        <f>VLOOKUP(Table_Query_from_Cello_SQL_Server[[#This Row],[AsOfDate]], 'CMO MV Raw'!$A:$B,2,FALSE)</f>
        <v>392105876.42922199</v>
      </c>
      <c r="L719" s="5">
        <f>Table_Query_from_Cello_SQL_Server[[#This Row],[CMO MV]]/Table_Query_from_Cello_SQL_Server[[#This Row],[NAV]]*100</f>
        <v>96.364505857064771</v>
      </c>
    </row>
    <row r="720" spans="1:12" x14ac:dyDescent="0.2">
      <c r="A720" s="1">
        <v>41764</v>
      </c>
      <c r="B720">
        <v>829.79349999999999</v>
      </c>
      <c r="C720">
        <v>203.16030000000001</v>
      </c>
      <c r="D720">
        <v>401.79969999999997</v>
      </c>
      <c r="F720">
        <v>406945446.96289998</v>
      </c>
      <c r="G720">
        <v>203.90779800000001</v>
      </c>
      <c r="H720">
        <v>49.923226999999997</v>
      </c>
      <c r="I720">
        <v>98.735518999999996</v>
      </c>
      <c r="K720" s="4">
        <f>VLOOKUP(Table_Query_from_Cello_SQL_Server[[#This Row],[AsOfDate]], 'CMO MV Raw'!$A:$B,2,FALSE)</f>
        <v>391631149.44276297</v>
      </c>
      <c r="L720" s="5">
        <f>Table_Query_from_Cello_SQL_Server[[#This Row],[CMO MV]]/Table_Query_from_Cello_SQL_Server[[#This Row],[NAV]]*100</f>
        <v>96.236768924574505</v>
      </c>
    </row>
    <row r="721" spans="1:12" x14ac:dyDescent="0.2">
      <c r="A721" s="1">
        <v>41765</v>
      </c>
      <c r="B721">
        <v>832.20650000000001</v>
      </c>
      <c r="C721">
        <v>203.31319999999999</v>
      </c>
      <c r="D721">
        <v>401.88459999999998</v>
      </c>
      <c r="F721">
        <v>407570143.54369998</v>
      </c>
      <c r="G721">
        <v>204.187307</v>
      </c>
      <c r="H721">
        <v>49.884222999999999</v>
      </c>
      <c r="I721">
        <v>98.605014999999995</v>
      </c>
      <c r="K721" s="4">
        <f>VLOOKUP(Table_Query_from_Cello_SQL_Server[[#This Row],[AsOfDate]], 'CMO MV Raw'!$A:$B,2,FALSE)</f>
        <v>392340515.26257002</v>
      </c>
      <c r="L721" s="5">
        <f>Table_Query_from_Cello_SQL_Server[[#This Row],[CMO MV]]/Table_Query_from_Cello_SQL_Server[[#This Row],[NAV]]*100</f>
        <v>96.263311107945029</v>
      </c>
    </row>
    <row r="722" spans="1:12" x14ac:dyDescent="0.2">
      <c r="A722" s="1">
        <v>41766</v>
      </c>
      <c r="B722">
        <v>810.57600000000002</v>
      </c>
      <c r="C722">
        <v>197.09469999999999</v>
      </c>
      <c r="D722">
        <v>404.83730000000003</v>
      </c>
      <c r="F722">
        <v>407730194.02209997</v>
      </c>
      <c r="G722">
        <v>198.802054</v>
      </c>
      <c r="H722">
        <v>48.339491000000002</v>
      </c>
      <c r="I722">
        <v>99.290487999999996</v>
      </c>
      <c r="K722" s="4">
        <f>VLOOKUP(Table_Query_from_Cello_SQL_Server[[#This Row],[AsOfDate]], 'CMO MV Raw'!$A:$B,2,FALSE)</f>
        <v>385806596.34237099</v>
      </c>
      <c r="L722" s="5">
        <f>Table_Query_from_Cello_SQL_Server[[#This Row],[CMO MV]]/Table_Query_from_Cello_SQL_Server[[#This Row],[NAV]]*100</f>
        <v>94.623013453219826</v>
      </c>
    </row>
    <row r="723" spans="1:12" x14ac:dyDescent="0.2">
      <c r="A723" s="1">
        <v>41767</v>
      </c>
      <c r="B723">
        <v>811.52480000000003</v>
      </c>
      <c r="C723">
        <v>197.149</v>
      </c>
      <c r="D723">
        <v>404.4778</v>
      </c>
      <c r="F723">
        <v>407684467.22030002</v>
      </c>
      <c r="G723">
        <v>199.05708100000001</v>
      </c>
      <c r="H723">
        <v>48.358232000000001</v>
      </c>
      <c r="I723">
        <v>99.213443999999996</v>
      </c>
      <c r="K723" s="4">
        <f>VLOOKUP(Table_Query_from_Cello_SQL_Server[[#This Row],[AsOfDate]], 'CMO MV Raw'!$A:$B,2,FALSE)</f>
        <v>386182778.45027798</v>
      </c>
      <c r="L723" s="5">
        <f>Table_Query_from_Cello_SQL_Server[[#This Row],[CMO MV]]/Table_Query_from_Cello_SQL_Server[[#This Row],[NAV]]*100</f>
        <v>94.725899439675445</v>
      </c>
    </row>
    <row r="724" spans="1:12" x14ac:dyDescent="0.2">
      <c r="A724" s="1">
        <v>41768</v>
      </c>
      <c r="B724">
        <v>803.28139999999996</v>
      </c>
      <c r="C724">
        <v>195.29740000000001</v>
      </c>
      <c r="D724">
        <v>402.0634</v>
      </c>
      <c r="F724">
        <v>407430940.97039998</v>
      </c>
      <c r="G724">
        <v>197.15768199999999</v>
      </c>
      <c r="H724">
        <v>47.933866000000002</v>
      </c>
      <c r="I724">
        <v>98.682588999999993</v>
      </c>
      <c r="K724" s="4">
        <f>VLOOKUP(Table_Query_from_Cello_SQL_Server[[#This Row],[AsOfDate]], 'CMO MV Raw'!$A:$B,2,FALSE)</f>
        <v>384303079.54627699</v>
      </c>
      <c r="L724" s="5">
        <f>Table_Query_from_Cello_SQL_Server[[#This Row],[CMO MV]]/Table_Query_from_Cello_SQL_Server[[#This Row],[NAV]]*100</f>
        <v>94.323489185912564</v>
      </c>
    </row>
    <row r="725" spans="1:12" x14ac:dyDescent="0.2">
      <c r="A725" s="1">
        <v>41771</v>
      </c>
      <c r="B725">
        <v>802.38319999999999</v>
      </c>
      <c r="C725">
        <v>195.78479999999999</v>
      </c>
      <c r="D725">
        <v>401.26990000000001</v>
      </c>
      <c r="F725">
        <v>407519893.42629999</v>
      </c>
      <c r="G725">
        <v>196.89424099999999</v>
      </c>
      <c r="H725">
        <v>48.043004000000003</v>
      </c>
      <c r="I725">
        <v>98.466334000000003</v>
      </c>
      <c r="K725" s="4">
        <f>VLOOKUP(Table_Query_from_Cello_SQL_Server[[#This Row],[AsOfDate]], 'CMO MV Raw'!$A:$B,2,FALSE)</f>
        <v>384142095.51058501</v>
      </c>
      <c r="L725" s="5">
        <f>Table_Query_from_Cello_SQL_Server[[#This Row],[CMO MV]]/Table_Query_from_Cello_SQL_Server[[#This Row],[NAV]]*100</f>
        <v>94.263397126662511</v>
      </c>
    </row>
    <row r="726" spans="1:12" x14ac:dyDescent="0.2">
      <c r="A726" s="1">
        <v>41772</v>
      </c>
      <c r="B726">
        <v>806.62919999999997</v>
      </c>
      <c r="C726">
        <v>196.6464</v>
      </c>
      <c r="D726">
        <v>432.9572</v>
      </c>
      <c r="F726">
        <v>408834709.97920001</v>
      </c>
      <c r="G726">
        <v>197.299588</v>
      </c>
      <c r="H726">
        <v>48.099243000000001</v>
      </c>
      <c r="I726">
        <v>105.90030400000001</v>
      </c>
      <c r="K726" s="4">
        <f>VLOOKUP(Table_Query_from_Cello_SQL_Server[[#This Row],[AsOfDate]], 'CMO MV Raw'!$A:$B,2,FALSE)</f>
        <v>375552394.46252799</v>
      </c>
      <c r="L726" s="5">
        <f>Table_Query_from_Cello_SQL_Server[[#This Row],[CMO MV]]/Table_Query_from_Cello_SQL_Server[[#This Row],[NAV]]*100</f>
        <v>91.859224595102191</v>
      </c>
    </row>
    <row r="727" spans="1:12" x14ac:dyDescent="0.2">
      <c r="A727" s="1">
        <v>41773</v>
      </c>
      <c r="B727">
        <v>803.64549999999997</v>
      </c>
      <c r="C727">
        <v>193.73689999999999</v>
      </c>
      <c r="D727">
        <v>434.53</v>
      </c>
      <c r="F727">
        <v>409850860.90390003</v>
      </c>
      <c r="G727">
        <v>196.08242300000001</v>
      </c>
      <c r="H727">
        <v>47.270097</v>
      </c>
      <c r="I727">
        <v>106.02149300000001</v>
      </c>
      <c r="K727" s="4">
        <f>VLOOKUP(Table_Query_from_Cello_SQL_Server[[#This Row],[AsOfDate]], 'CMO MV Raw'!$A:$B,2,FALSE)</f>
        <v>370313685.77273202</v>
      </c>
      <c r="L727" s="5">
        <f>Table_Query_from_Cello_SQL_Server[[#This Row],[CMO MV]]/Table_Query_from_Cello_SQL_Server[[#This Row],[NAV]]*100</f>
        <v>90.353277520517764</v>
      </c>
    </row>
    <row r="728" spans="1:12" x14ac:dyDescent="0.2">
      <c r="A728" s="1">
        <v>41774</v>
      </c>
      <c r="B728">
        <v>801.81290000000001</v>
      </c>
      <c r="C728">
        <v>192.74780000000001</v>
      </c>
      <c r="D728">
        <v>433.24970000000002</v>
      </c>
      <c r="F728">
        <v>410074524.11220002</v>
      </c>
      <c r="G728">
        <v>195.528581</v>
      </c>
      <c r="H728">
        <v>47.003115000000001</v>
      </c>
      <c r="I728">
        <v>105.651455</v>
      </c>
      <c r="K728" s="4">
        <f>VLOOKUP(Table_Query_from_Cello_SQL_Server[[#This Row],[AsOfDate]], 'CMO MV Raw'!$A:$B,2,FALSE)</f>
        <v>368093875.09665197</v>
      </c>
      <c r="L728" s="5">
        <f>Table_Query_from_Cello_SQL_Server[[#This Row],[CMO MV]]/Table_Query_from_Cello_SQL_Server[[#This Row],[NAV]]*100</f>
        <v>89.762678111634713</v>
      </c>
    </row>
    <row r="729" spans="1:12" x14ac:dyDescent="0.2">
      <c r="A729" s="1">
        <v>41775</v>
      </c>
      <c r="B729">
        <v>792.00810000000001</v>
      </c>
      <c r="C729">
        <v>191.24</v>
      </c>
      <c r="D729">
        <v>433.46910000000003</v>
      </c>
      <c r="F729">
        <v>410034904.87720001</v>
      </c>
      <c r="G729">
        <v>193.156263</v>
      </c>
      <c r="H729">
        <v>46.639932000000002</v>
      </c>
      <c r="I729">
        <v>105.715171</v>
      </c>
      <c r="K729" s="4">
        <f>VLOOKUP(Table_Query_from_Cello_SQL_Server[[#This Row],[AsOfDate]], 'CMO MV Raw'!$A:$B,2,FALSE)</f>
        <v>352013254.78588003</v>
      </c>
      <c r="L729" s="5">
        <f>Table_Query_from_Cello_SQL_Server[[#This Row],[CMO MV]]/Table_Query_from_Cello_SQL_Server[[#This Row],[NAV]]*100</f>
        <v>85.849582705965801</v>
      </c>
    </row>
    <row r="730" spans="1:12" x14ac:dyDescent="0.2">
      <c r="A730" s="1">
        <v>41778</v>
      </c>
      <c r="B730">
        <v>787.11580000000004</v>
      </c>
      <c r="C730">
        <v>190.7501</v>
      </c>
      <c r="D730">
        <v>432.90839999999997</v>
      </c>
      <c r="F730">
        <v>410117131.26770002</v>
      </c>
      <c r="G730">
        <v>191.924633</v>
      </c>
      <c r="H730">
        <v>46.511127000000002</v>
      </c>
      <c r="I730">
        <v>105.557258</v>
      </c>
      <c r="K730" s="4">
        <f>VLOOKUP(Table_Query_from_Cello_SQL_Server[[#This Row],[AsOfDate]], 'CMO MV Raw'!$A:$B,2,FALSE)</f>
        <v>352233520.74731898</v>
      </c>
      <c r="L730" s="5">
        <f>Table_Query_from_Cello_SQL_Server[[#This Row],[CMO MV]]/Table_Query_from_Cello_SQL_Server[[#This Row],[NAV]]*100</f>
        <v>85.886078364622591</v>
      </c>
    </row>
    <row r="731" spans="1:12" x14ac:dyDescent="0.2">
      <c r="A731" s="1">
        <v>41779</v>
      </c>
      <c r="B731">
        <v>793.34630000000004</v>
      </c>
      <c r="C731">
        <v>191.5925</v>
      </c>
      <c r="D731">
        <v>433.01499999999999</v>
      </c>
      <c r="F731">
        <v>411266528.27539998</v>
      </c>
      <c r="G731">
        <v>192.90320199999999</v>
      </c>
      <c r="H731">
        <v>46.585970000000003</v>
      </c>
      <c r="I731">
        <v>105.28816999999999</v>
      </c>
      <c r="K731" s="4">
        <f>VLOOKUP(Table_Query_from_Cello_SQL_Server[[#This Row],[AsOfDate]], 'CMO MV Raw'!$A:$B,2,FALSE)</f>
        <v>352527866.58322698</v>
      </c>
      <c r="L731" s="5">
        <f>Table_Query_from_Cello_SQL_Server[[#This Row],[CMO MV]]/Table_Query_from_Cello_SQL_Server[[#This Row],[NAV]]*100</f>
        <v>85.717616763395029</v>
      </c>
    </row>
    <row r="732" spans="1:12" x14ac:dyDescent="0.2">
      <c r="A732" s="1">
        <v>41780</v>
      </c>
      <c r="B732">
        <v>758.40340000000003</v>
      </c>
      <c r="C732">
        <v>183.70189999999999</v>
      </c>
      <c r="D732">
        <v>432.69279999999998</v>
      </c>
      <c r="F732">
        <v>411996537.82200003</v>
      </c>
      <c r="G732">
        <v>184.08004199999999</v>
      </c>
      <c r="H732">
        <v>44.588214999999998</v>
      </c>
      <c r="I732">
        <v>105.02340700000001</v>
      </c>
      <c r="K732" s="4">
        <f>VLOOKUP(Table_Query_from_Cello_SQL_Server[[#This Row],[AsOfDate]], 'CMO MV Raw'!$A:$B,2,FALSE)</f>
        <v>345685904.90649402</v>
      </c>
      <c r="L732" s="5">
        <f>Table_Query_from_Cello_SQL_Server[[#This Row],[CMO MV]]/Table_Query_from_Cello_SQL_Server[[#This Row],[NAV]]*100</f>
        <v>83.905050934152499</v>
      </c>
    </row>
    <row r="733" spans="1:12" x14ac:dyDescent="0.2">
      <c r="A733" s="1">
        <v>41781</v>
      </c>
      <c r="B733">
        <v>754.64739999999995</v>
      </c>
      <c r="C733">
        <v>183.45609999999999</v>
      </c>
      <c r="D733">
        <v>431.96859999999998</v>
      </c>
      <c r="F733">
        <v>411857235.91850001</v>
      </c>
      <c r="G733">
        <v>183.23033699999999</v>
      </c>
      <c r="H733">
        <v>44.543615000000003</v>
      </c>
      <c r="I733">
        <v>104.88309099999999</v>
      </c>
      <c r="K733" s="4">
        <f>VLOOKUP(Table_Query_from_Cello_SQL_Server[[#This Row],[AsOfDate]], 'CMO MV Raw'!$A:$B,2,FALSE)</f>
        <v>345596912.73373801</v>
      </c>
      <c r="L733" s="5">
        <f>Table_Query_from_Cello_SQL_Server[[#This Row],[CMO MV]]/Table_Query_from_Cello_SQL_Server[[#This Row],[NAV]]*100</f>
        <v>83.91182249426987</v>
      </c>
    </row>
    <row r="734" spans="1:12" x14ac:dyDescent="0.2">
      <c r="A734" s="1">
        <v>41782</v>
      </c>
      <c r="B734">
        <v>758.01030000000003</v>
      </c>
      <c r="C734">
        <v>184.44839999999999</v>
      </c>
      <c r="D734">
        <v>431.96839999999997</v>
      </c>
      <c r="F734">
        <v>412747740.09920001</v>
      </c>
      <c r="G734">
        <v>183.649776</v>
      </c>
      <c r="H734">
        <v>44.687925</v>
      </c>
      <c r="I734">
        <v>104.656757</v>
      </c>
      <c r="K734" s="4">
        <f>VLOOKUP(Table_Query_from_Cello_SQL_Server[[#This Row],[AsOfDate]], 'CMO MV Raw'!$A:$B,2,FALSE)</f>
        <v>346547308.05652601</v>
      </c>
      <c r="L734" s="5">
        <f>Table_Query_from_Cello_SQL_Server[[#This Row],[CMO MV]]/Table_Query_from_Cello_SQL_Server[[#This Row],[NAV]]*100</f>
        <v>83.961043123636884</v>
      </c>
    </row>
    <row r="735" spans="1:12" x14ac:dyDescent="0.2">
      <c r="A735" s="1">
        <v>41786</v>
      </c>
      <c r="B735">
        <v>752.28189999999995</v>
      </c>
      <c r="C735">
        <v>182.3058</v>
      </c>
      <c r="D735">
        <v>433.95749999999998</v>
      </c>
      <c r="F735">
        <v>413400482.27020001</v>
      </c>
      <c r="G735">
        <v>181.97412199999999</v>
      </c>
      <c r="H735">
        <v>44.099077999999999</v>
      </c>
      <c r="I735">
        <v>104.97266399999999</v>
      </c>
      <c r="K735" s="4">
        <f>VLOOKUP(Table_Query_from_Cello_SQL_Server[[#This Row],[AsOfDate]], 'CMO MV Raw'!$A:$B,2,FALSE)</f>
        <v>344602786.75254297</v>
      </c>
      <c r="L735" s="5">
        <f>Table_Query_from_Cello_SQL_Server[[#This Row],[CMO MV]]/Table_Query_from_Cello_SQL_Server[[#This Row],[NAV]]*100</f>
        <v>83.358099840655086</v>
      </c>
    </row>
    <row r="736" spans="1:12" x14ac:dyDescent="0.2">
      <c r="A736" s="1">
        <v>41787</v>
      </c>
      <c r="B736">
        <v>760.36950000000002</v>
      </c>
      <c r="C736">
        <v>181.84460000000001</v>
      </c>
      <c r="D736">
        <v>386.07839999999999</v>
      </c>
      <c r="F736">
        <v>414423898.14649999</v>
      </c>
      <c r="G736">
        <v>183.476268</v>
      </c>
      <c r="H736">
        <v>43.878888000000003</v>
      </c>
      <c r="I736">
        <v>93.160264999999995</v>
      </c>
      <c r="K736" s="4">
        <f>VLOOKUP(Table_Query_from_Cello_SQL_Server[[#This Row],[AsOfDate]], 'CMO MV Raw'!$A:$B,2,FALSE)</f>
        <v>344991805.12785399</v>
      </c>
      <c r="L736" s="5">
        <f>Table_Query_from_Cello_SQL_Server[[#This Row],[CMO MV]]/Table_Query_from_Cello_SQL_Server[[#This Row],[NAV]]*100</f>
        <v>83.246117482804621</v>
      </c>
    </row>
    <row r="737" spans="1:12" x14ac:dyDescent="0.2">
      <c r="A737" s="1">
        <v>41788</v>
      </c>
      <c r="B737">
        <v>758.93809999999996</v>
      </c>
      <c r="C737">
        <v>181.9324</v>
      </c>
      <c r="D737">
        <v>385.48500000000001</v>
      </c>
      <c r="F737">
        <v>414173730.3556</v>
      </c>
      <c r="G737">
        <v>183.24148600000001</v>
      </c>
      <c r="H737">
        <v>43.926591000000002</v>
      </c>
      <c r="I737">
        <v>93.073262</v>
      </c>
      <c r="K737" s="4">
        <f>VLOOKUP(Table_Query_from_Cello_SQL_Server[[#This Row],[AsOfDate]], 'CMO MV Raw'!$A:$B,2,FALSE)</f>
        <v>344899674.36844403</v>
      </c>
      <c r="L737" s="5">
        <f>Table_Query_from_Cello_SQL_Server[[#This Row],[CMO MV]]/Table_Query_from_Cello_SQL_Server[[#This Row],[NAV]]*100</f>
        <v>83.27415504414563</v>
      </c>
    </row>
    <row r="738" spans="1:12" x14ac:dyDescent="0.2">
      <c r="A738" s="1">
        <v>41789</v>
      </c>
      <c r="B738">
        <v>755.40650000000005</v>
      </c>
      <c r="C738">
        <v>180.87790000000001</v>
      </c>
      <c r="D738">
        <v>385.9058</v>
      </c>
      <c r="F738">
        <v>412541981.54369998</v>
      </c>
      <c r="G738">
        <v>183.11021299999999</v>
      </c>
      <c r="H738">
        <v>43.844726000000001</v>
      </c>
      <c r="I738">
        <v>93.543401000000003</v>
      </c>
      <c r="K738" s="4">
        <f>VLOOKUP(Table_Query_from_Cello_SQL_Server[[#This Row],[AsOfDate]], 'CMO MV Raw'!$A:$B,2,FALSE)</f>
        <v>344361491.44033301</v>
      </c>
      <c r="L738" s="5">
        <f>Table_Query_from_Cello_SQL_Server[[#This Row],[CMO MV]]/Table_Query_from_Cello_SQL_Server[[#This Row],[NAV]]*100</f>
        <v>83.473078340235602</v>
      </c>
    </row>
    <row r="739" spans="1:12" x14ac:dyDescent="0.2">
      <c r="A739" s="1">
        <v>41792</v>
      </c>
      <c r="B739">
        <v>752.11040000000003</v>
      </c>
      <c r="C739">
        <v>181.4538</v>
      </c>
      <c r="D739">
        <v>383.75639999999999</v>
      </c>
      <c r="F739">
        <v>411974436.08469999</v>
      </c>
      <c r="G739">
        <v>182.56239600000001</v>
      </c>
      <c r="H739">
        <v>44.044916999999998</v>
      </c>
      <c r="I739">
        <v>93.150537</v>
      </c>
      <c r="K739" s="4">
        <f>VLOOKUP(Table_Query_from_Cello_SQL_Server[[#This Row],[AsOfDate]], 'CMO MV Raw'!$A:$B,2,FALSE)</f>
        <v>343438789.98416799</v>
      </c>
      <c r="L739" s="5">
        <f>Table_Query_from_Cello_SQL_Server[[#This Row],[CMO MV]]/Table_Query_from_Cello_SQL_Server[[#This Row],[NAV]]*100</f>
        <v>83.364102211807776</v>
      </c>
    </row>
    <row r="740" spans="1:12" x14ac:dyDescent="0.2">
      <c r="A740" s="1">
        <v>41793</v>
      </c>
      <c r="B740">
        <v>745.07629999999995</v>
      </c>
      <c r="C740">
        <v>181.3424</v>
      </c>
      <c r="D740">
        <v>381.6454</v>
      </c>
      <c r="F740">
        <v>410940331.89749998</v>
      </c>
      <c r="G740">
        <v>181.31009399999999</v>
      </c>
      <c r="H740">
        <v>44.128644999999999</v>
      </c>
      <c r="I740">
        <v>92.871244000000004</v>
      </c>
      <c r="K740" s="4">
        <f>VLOOKUP(Table_Query_from_Cello_SQL_Server[[#This Row],[AsOfDate]], 'CMO MV Raw'!$A:$B,2,FALSE)</f>
        <v>342789475.638255</v>
      </c>
      <c r="L740" s="5">
        <f>Table_Query_from_Cello_SQL_Server[[#This Row],[CMO MV]]/Table_Query_from_Cello_SQL_Server[[#This Row],[NAV]]*100</f>
        <v>83.415875500815119</v>
      </c>
    </row>
    <row r="741" spans="1:12" x14ac:dyDescent="0.2">
      <c r="A741" s="1">
        <v>41794</v>
      </c>
      <c r="B741">
        <v>741.88549999999998</v>
      </c>
      <c r="C741">
        <v>180.98650000000001</v>
      </c>
      <c r="D741">
        <v>349.90480000000002</v>
      </c>
      <c r="F741">
        <v>410807519.04140002</v>
      </c>
      <c r="G741">
        <v>180.59199599999999</v>
      </c>
      <c r="H741">
        <v>44.056277000000001</v>
      </c>
      <c r="I741">
        <v>85.174876999999995</v>
      </c>
      <c r="K741" s="4">
        <f>VLOOKUP(Table_Query_from_Cello_SQL_Server[[#This Row],[AsOfDate]], 'CMO MV Raw'!$A:$B,2,FALSE)</f>
        <v>342667789.30007899</v>
      </c>
      <c r="L741" s="5">
        <f>Table_Query_from_Cello_SQL_Server[[#This Row],[CMO MV]]/Table_Query_from_Cello_SQL_Server[[#This Row],[NAV]]*100</f>
        <v>83.413222352813349</v>
      </c>
    </row>
    <row r="742" spans="1:12" x14ac:dyDescent="0.2">
      <c r="A742" s="1">
        <v>41795</v>
      </c>
      <c r="B742">
        <v>742.56269999999995</v>
      </c>
      <c r="C742">
        <v>180.99199999999999</v>
      </c>
      <c r="D742">
        <v>349.88330000000002</v>
      </c>
      <c r="F742">
        <v>410970541.31910002</v>
      </c>
      <c r="G742">
        <v>180.68514099999999</v>
      </c>
      <c r="H742">
        <v>44.040140000000001</v>
      </c>
      <c r="I742">
        <v>85.135858999999996</v>
      </c>
      <c r="K742" s="4">
        <f>VLOOKUP(Table_Query_from_Cello_SQL_Server[[#This Row],[AsOfDate]], 'CMO MV Raw'!$A:$B,2,FALSE)</f>
        <v>343262984.451805</v>
      </c>
      <c r="L742" s="5">
        <f>Table_Query_from_Cello_SQL_Server[[#This Row],[CMO MV]]/Table_Query_from_Cello_SQL_Server[[#This Row],[NAV]]*100</f>
        <v>83.524961022760223</v>
      </c>
    </row>
    <row r="743" spans="1:12" x14ac:dyDescent="0.2">
      <c r="A743" s="1">
        <v>41796</v>
      </c>
      <c r="B743">
        <v>753.48680000000002</v>
      </c>
      <c r="C743">
        <v>182.69759999999999</v>
      </c>
      <c r="D743">
        <v>350.7038</v>
      </c>
      <c r="F743">
        <v>410085536.18970001</v>
      </c>
      <c r="G743">
        <v>183.738936</v>
      </c>
      <c r="H743">
        <v>44.551096000000001</v>
      </c>
      <c r="I743">
        <v>85.519671000000002</v>
      </c>
      <c r="K743" s="4">
        <f>VLOOKUP(Table_Query_from_Cello_SQL_Server[[#This Row],[AsOfDate]], 'CMO MV Raw'!$A:$B,2,FALSE)</f>
        <v>341739651.03386599</v>
      </c>
      <c r="L743" s="5">
        <f>Table_Query_from_Cello_SQL_Server[[#This Row],[CMO MV]]/Table_Query_from_Cello_SQL_Server[[#This Row],[NAV]]*100</f>
        <v>83.333748907394252</v>
      </c>
    </row>
    <row r="744" spans="1:12" x14ac:dyDescent="0.2">
      <c r="A744" s="1">
        <v>41799</v>
      </c>
      <c r="B744">
        <v>751.34209999999996</v>
      </c>
      <c r="C744">
        <v>182.48429999999999</v>
      </c>
      <c r="D744">
        <v>350.52050000000003</v>
      </c>
      <c r="F744">
        <v>409921460.3973</v>
      </c>
      <c r="G744">
        <v>183.28928199999999</v>
      </c>
      <c r="H744">
        <v>44.516894000000001</v>
      </c>
      <c r="I744">
        <v>85.509185000000002</v>
      </c>
      <c r="K744" s="4">
        <f>VLOOKUP(Table_Query_from_Cello_SQL_Server[[#This Row],[AsOfDate]], 'CMO MV Raw'!$A:$B,2,FALSE)</f>
        <v>341363361.67321002</v>
      </c>
      <c r="L744" s="5">
        <f>Table_Query_from_Cello_SQL_Server[[#This Row],[CMO MV]]/Table_Query_from_Cello_SQL_Server[[#This Row],[NAV]]*100</f>
        <v>83.275308724348619</v>
      </c>
    </row>
    <row r="745" spans="1:12" x14ac:dyDescent="0.2">
      <c r="A745" s="1">
        <v>41800</v>
      </c>
      <c r="B745">
        <v>752.55380000000002</v>
      </c>
      <c r="C745">
        <v>183.20590000000001</v>
      </c>
      <c r="D745">
        <v>349.5127</v>
      </c>
      <c r="F745">
        <v>409832807.02590001</v>
      </c>
      <c r="G745">
        <v>183.62458699999999</v>
      </c>
      <c r="H745">
        <v>44.702595000000002</v>
      </c>
      <c r="I745">
        <v>85.281777000000005</v>
      </c>
      <c r="K745" s="4">
        <f>VLOOKUP(Table_Query_from_Cello_SQL_Server[[#This Row],[AsOfDate]], 'CMO MV Raw'!$A:$B,2,FALSE)</f>
        <v>339570169.673554</v>
      </c>
      <c r="L745" s="5">
        <f>Table_Query_from_Cello_SQL_Server[[#This Row],[CMO MV]]/Table_Query_from_Cello_SQL_Server[[#This Row],[NAV]]*100</f>
        <v>82.855780174790723</v>
      </c>
    </row>
    <row r="746" spans="1:12" x14ac:dyDescent="0.2">
      <c r="A746" s="1">
        <v>41801</v>
      </c>
      <c r="B746">
        <v>747.4769</v>
      </c>
      <c r="C746">
        <v>180.6789</v>
      </c>
      <c r="D746">
        <v>349.88380000000001</v>
      </c>
      <c r="F746">
        <v>409626636.56050003</v>
      </c>
      <c r="G746">
        <v>182.477611</v>
      </c>
      <c r="H746">
        <v>44.108190999999998</v>
      </c>
      <c r="I746">
        <v>85.415295</v>
      </c>
      <c r="K746" s="4">
        <f>VLOOKUP(Table_Query_from_Cello_SQL_Server[[#This Row],[AsOfDate]], 'CMO MV Raw'!$A:$B,2,FALSE)</f>
        <v>339371294.57022899</v>
      </c>
      <c r="L746" s="5">
        <f>Table_Query_from_Cello_SQL_Server[[#This Row],[CMO MV]]/Table_Query_from_Cello_SQL_Server[[#This Row],[NAV]]*100</f>
        <v>82.848932242253099</v>
      </c>
    </row>
    <row r="747" spans="1:12" x14ac:dyDescent="0.2">
      <c r="A747" s="1">
        <v>41802</v>
      </c>
      <c r="B747">
        <v>752.5883</v>
      </c>
      <c r="C747">
        <v>181.86969999999999</v>
      </c>
      <c r="D747">
        <v>351.13240000000002</v>
      </c>
      <c r="F747">
        <v>411509357.14670002</v>
      </c>
      <c r="G747">
        <v>182.88485700000001</v>
      </c>
      <c r="H747">
        <v>44.195762999999999</v>
      </c>
      <c r="I747">
        <v>85.327926000000005</v>
      </c>
      <c r="K747" s="4">
        <f>VLOOKUP(Table_Query_from_Cello_SQL_Server[[#This Row],[AsOfDate]], 'CMO MV Raw'!$A:$B,2,FALSE)</f>
        <v>341278840.42043698</v>
      </c>
      <c r="L747" s="5">
        <f>Table_Query_from_Cello_SQL_Server[[#This Row],[CMO MV]]/Table_Query_from_Cello_SQL_Server[[#This Row],[NAV]]*100</f>
        <v>82.93343383168164</v>
      </c>
    </row>
    <row r="748" spans="1:12" x14ac:dyDescent="0.2">
      <c r="A748" s="1">
        <v>41803</v>
      </c>
      <c r="B748">
        <v>713.22260000000006</v>
      </c>
      <c r="C748">
        <v>172.8998</v>
      </c>
      <c r="D748">
        <v>355.45940000000002</v>
      </c>
      <c r="F748">
        <v>411568108.50629997</v>
      </c>
      <c r="G748">
        <v>173.29394199999999</v>
      </c>
      <c r="H748">
        <v>42.010008999999997</v>
      </c>
      <c r="I748">
        <v>86.367090000000005</v>
      </c>
      <c r="K748" s="4">
        <f>VLOOKUP(Table_Query_from_Cello_SQL_Server[[#This Row],[AsOfDate]], 'CMO MV Raw'!$A:$B,2,FALSE)</f>
        <v>341164664.38544899</v>
      </c>
      <c r="L748" s="5">
        <f>Table_Query_from_Cello_SQL_Server[[#This Row],[CMO MV]]/Table_Query_from_Cello_SQL_Server[[#This Row],[NAV]]*100</f>
        <v>82.89385337062059</v>
      </c>
    </row>
    <row r="749" spans="1:12" x14ac:dyDescent="0.2">
      <c r="A749" s="1">
        <v>41806</v>
      </c>
      <c r="B749">
        <v>711.97460000000001</v>
      </c>
      <c r="C749">
        <v>172.6662</v>
      </c>
      <c r="D749">
        <v>355.7636</v>
      </c>
      <c r="F749">
        <v>412058502.4404</v>
      </c>
      <c r="G749">
        <v>172.78483399999999</v>
      </c>
      <c r="H749">
        <v>41.903322000000003</v>
      </c>
      <c r="I749">
        <v>86.338128999999995</v>
      </c>
      <c r="K749" s="4">
        <f>VLOOKUP(Table_Query_from_Cello_SQL_Server[[#This Row],[AsOfDate]], 'CMO MV Raw'!$A:$B,2,FALSE)</f>
        <v>339718178.45117599</v>
      </c>
      <c r="L749" s="5">
        <f>Table_Query_from_Cello_SQL_Server[[#This Row],[CMO MV]]/Table_Query_from_Cello_SQL_Server[[#This Row],[NAV]]*100</f>
        <v>82.444161797222634</v>
      </c>
    </row>
    <row r="750" spans="1:12" x14ac:dyDescent="0.2">
      <c r="A750" s="1">
        <v>41807</v>
      </c>
      <c r="B750">
        <v>710.14760000000001</v>
      </c>
      <c r="C750">
        <v>173.62299999999999</v>
      </c>
      <c r="D750">
        <v>353.97410000000002</v>
      </c>
      <c r="F750">
        <v>412001327.4612</v>
      </c>
      <c r="G750">
        <v>172.36536699999999</v>
      </c>
      <c r="H750">
        <v>42.141368999999997</v>
      </c>
      <c r="I750">
        <v>85.915767000000002</v>
      </c>
      <c r="K750" s="4">
        <f>VLOOKUP(Table_Query_from_Cello_SQL_Server[[#This Row],[AsOfDate]], 'CMO MV Raw'!$A:$B,2,FALSE)</f>
        <v>339677222.853571</v>
      </c>
      <c r="L750" s="5">
        <f>Table_Query_from_Cello_SQL_Server[[#This Row],[CMO MV]]/Table_Query_from_Cello_SQL_Server[[#This Row],[NAV]]*100</f>
        <v>82.445662237716917</v>
      </c>
    </row>
    <row r="751" spans="1:12" x14ac:dyDescent="0.2">
      <c r="A751" s="1">
        <v>41808</v>
      </c>
      <c r="B751">
        <v>710.87570000000005</v>
      </c>
      <c r="C751">
        <v>173.20429999999999</v>
      </c>
      <c r="D751">
        <v>355.05470000000003</v>
      </c>
      <c r="F751">
        <v>412726628.51550001</v>
      </c>
      <c r="G751">
        <v>172.23887500000001</v>
      </c>
      <c r="H751">
        <v>41.965865000000001</v>
      </c>
      <c r="I751">
        <v>86.026602999999994</v>
      </c>
      <c r="K751" s="4">
        <f>VLOOKUP(Table_Query_from_Cello_SQL_Server[[#This Row],[AsOfDate]], 'CMO MV Raw'!$A:$B,2,FALSE)</f>
        <v>340192421.969217</v>
      </c>
      <c r="L751" s="5">
        <f>Table_Query_from_Cello_SQL_Server[[#This Row],[CMO MV]]/Table_Query_from_Cello_SQL_Server[[#This Row],[NAV]]*100</f>
        <v>82.425605343862856</v>
      </c>
    </row>
    <row r="752" spans="1:12" x14ac:dyDescent="0.2">
      <c r="A752" s="1">
        <v>41809</v>
      </c>
      <c r="B752">
        <v>708.91409999999996</v>
      </c>
      <c r="C752">
        <v>172.79470000000001</v>
      </c>
      <c r="D752">
        <v>354.73309999999998</v>
      </c>
      <c r="F752">
        <v>413183801.69510001</v>
      </c>
      <c r="G752">
        <v>171.57354599999999</v>
      </c>
      <c r="H752">
        <v>41.820298999999999</v>
      </c>
      <c r="I752">
        <v>85.853583</v>
      </c>
      <c r="K752" s="4">
        <f>VLOOKUP(Table_Query_from_Cello_SQL_Server[[#This Row],[AsOfDate]], 'CMO MV Raw'!$A:$B,2,FALSE)</f>
        <v>339988226.61705101</v>
      </c>
      <c r="L752" s="5">
        <f>Table_Query_from_Cello_SQL_Server[[#This Row],[CMO MV]]/Table_Query_from_Cello_SQL_Server[[#This Row],[NAV]]*100</f>
        <v>82.284984363432983</v>
      </c>
    </row>
    <row r="753" spans="1:12" x14ac:dyDescent="0.2">
      <c r="A753" s="1">
        <v>41810</v>
      </c>
      <c r="B753">
        <v>709.56759999999997</v>
      </c>
      <c r="C753">
        <v>173.38339999999999</v>
      </c>
      <c r="D753">
        <v>304.91840000000002</v>
      </c>
      <c r="F753">
        <v>413832538.83600003</v>
      </c>
      <c r="G753">
        <v>171.46249599999999</v>
      </c>
      <c r="H753">
        <v>41.896994999999997</v>
      </c>
      <c r="I753">
        <v>73.681590999999997</v>
      </c>
      <c r="K753" s="4">
        <f>VLOOKUP(Table_Query_from_Cello_SQL_Server[[#This Row],[AsOfDate]], 'CMO MV Raw'!$A:$B,2,FALSE)</f>
        <v>340515802.09736699</v>
      </c>
      <c r="L753" s="5">
        <f>Table_Query_from_Cello_SQL_Server[[#This Row],[CMO MV]]/Table_Query_from_Cello_SQL_Server[[#This Row],[NAV]]*100</f>
        <v>82.283477044880669</v>
      </c>
    </row>
    <row r="754" spans="1:12" x14ac:dyDescent="0.2">
      <c r="A754" s="1">
        <v>41813</v>
      </c>
      <c r="B754">
        <v>710.15629999999999</v>
      </c>
      <c r="C754">
        <v>174.03989999999999</v>
      </c>
      <c r="D754">
        <v>304.70440000000002</v>
      </c>
      <c r="F754">
        <v>414540016.38700002</v>
      </c>
      <c r="G754">
        <v>171.311881</v>
      </c>
      <c r="H754">
        <v>41.98386</v>
      </c>
      <c r="I754">
        <v>73.504219000000006</v>
      </c>
      <c r="K754" s="4">
        <f>VLOOKUP(Table_Query_from_Cello_SQL_Server[[#This Row],[AsOfDate]], 'CMO MV Raw'!$A:$B,2,FALSE)</f>
        <v>341372974.86765099</v>
      </c>
      <c r="L754" s="5">
        <f>Table_Query_from_Cello_SQL_Server[[#This Row],[CMO MV]]/Table_Query_from_Cello_SQL_Server[[#This Row],[NAV]]*100</f>
        <v>82.349824232398632</v>
      </c>
    </row>
    <row r="755" spans="1:12" x14ac:dyDescent="0.2">
      <c r="A755" s="1">
        <v>41814</v>
      </c>
      <c r="B755">
        <v>713.07730000000004</v>
      </c>
      <c r="C755">
        <v>173.93340000000001</v>
      </c>
      <c r="D755">
        <v>305.04629999999997</v>
      </c>
      <c r="F755">
        <v>414496748.87660003</v>
      </c>
      <c r="G755">
        <v>172.03447399999999</v>
      </c>
      <c r="H755">
        <v>41.962549000000003</v>
      </c>
      <c r="I755">
        <v>73.594376999999994</v>
      </c>
      <c r="K755" s="4">
        <f>VLOOKUP(Table_Query_from_Cello_SQL_Server[[#This Row],[AsOfDate]], 'CMO MV Raw'!$A:$B,2,FALSE)</f>
        <v>341357125.774692</v>
      </c>
      <c r="L755" s="5">
        <f>Table_Query_from_Cello_SQL_Server[[#This Row],[CMO MV]]/Table_Query_from_Cello_SQL_Server[[#This Row],[NAV]]*100</f>
        <v>82.35459667653933</v>
      </c>
    </row>
    <row r="756" spans="1:12" x14ac:dyDescent="0.2">
      <c r="A756" s="1">
        <v>41815</v>
      </c>
      <c r="B756">
        <v>703.90099999999995</v>
      </c>
      <c r="C756">
        <v>171.21440000000001</v>
      </c>
      <c r="D756">
        <v>307.35890000000001</v>
      </c>
      <c r="F756">
        <v>414786430.5388</v>
      </c>
      <c r="G756">
        <v>169.702032</v>
      </c>
      <c r="H756">
        <v>41.277723999999999</v>
      </c>
      <c r="I756">
        <v>74.100520000000003</v>
      </c>
      <c r="K756" s="4">
        <f>VLOOKUP(Table_Query_from_Cello_SQL_Server[[#This Row],[AsOfDate]], 'CMO MV Raw'!$A:$B,2,FALSE)</f>
        <v>339494124.53561097</v>
      </c>
      <c r="L756" s="5">
        <f>Table_Query_from_Cello_SQL_Server[[#This Row],[CMO MV]]/Table_Query_from_Cello_SQL_Server[[#This Row],[NAV]]*100</f>
        <v>81.847934151224351</v>
      </c>
    </row>
    <row r="757" spans="1:12" x14ac:dyDescent="0.2">
      <c r="A757" s="1">
        <v>41816</v>
      </c>
      <c r="B757">
        <v>708.03899999999999</v>
      </c>
      <c r="C757">
        <v>171.62479999999999</v>
      </c>
      <c r="D757">
        <v>307.50470000000001</v>
      </c>
      <c r="F757">
        <v>414997106.57440001</v>
      </c>
      <c r="G757">
        <v>170.61299700000001</v>
      </c>
      <c r="H757">
        <v>41.355662000000002</v>
      </c>
      <c r="I757">
        <v>74.098034999999996</v>
      </c>
      <c r="K757" s="4">
        <f>VLOOKUP(Table_Query_from_Cello_SQL_Server[[#This Row],[AsOfDate]], 'CMO MV Raw'!$A:$B,2,FALSE)</f>
        <v>339981340.584553</v>
      </c>
      <c r="L757" s="5">
        <f>Table_Query_from_Cello_SQL_Server[[#This Row],[CMO MV]]/Table_Query_from_Cello_SQL_Server[[#This Row],[NAV]]*100</f>
        <v>81.923785780323684</v>
      </c>
    </row>
    <row r="758" spans="1:12" x14ac:dyDescent="0.2">
      <c r="A758" s="1">
        <v>41817</v>
      </c>
      <c r="B758">
        <v>706.20860000000005</v>
      </c>
      <c r="C758">
        <v>171.27699999999999</v>
      </c>
      <c r="D758">
        <v>307.21120000000002</v>
      </c>
      <c r="F758">
        <v>414886596.33850002</v>
      </c>
      <c r="G758">
        <v>170.21726100000001</v>
      </c>
      <c r="H758">
        <v>41.282846999999997</v>
      </c>
      <c r="I758">
        <v>74.047028999999995</v>
      </c>
      <c r="K758" s="4">
        <f>VLOOKUP(Table_Query_from_Cello_SQL_Server[[#This Row],[AsOfDate]], 'CMO MV Raw'!$A:$B,2,FALSE)</f>
        <v>339824448.88434899</v>
      </c>
      <c r="L758" s="5">
        <f>Table_Query_from_Cello_SQL_Server[[#This Row],[CMO MV]]/Table_Query_from_Cello_SQL_Server[[#This Row],[NAV]]*100</f>
        <v>81.907791643162923</v>
      </c>
    </row>
    <row r="759" spans="1:12" x14ac:dyDescent="0.2">
      <c r="A759" s="1">
        <v>41820</v>
      </c>
      <c r="B759">
        <v>722.70450000000005</v>
      </c>
      <c r="C759">
        <v>175.46180000000001</v>
      </c>
      <c r="D759">
        <v>307.00450000000001</v>
      </c>
      <c r="F759">
        <v>417480371.4971</v>
      </c>
      <c r="G759">
        <v>173.11101300000001</v>
      </c>
      <c r="H759">
        <v>42.028753999999999</v>
      </c>
      <c r="I759">
        <v>73.537469000000002</v>
      </c>
      <c r="K759" s="4">
        <f>VLOOKUP(Table_Query_from_Cello_SQL_Server[[#This Row],[AsOfDate]], 'CMO MV Raw'!$A:$B,2,FALSE)</f>
        <v>342948082.96218598</v>
      </c>
      <c r="L759" s="5">
        <f>Table_Query_from_Cello_SQL_Server[[#This Row],[CMO MV]]/Table_Query_from_Cello_SQL_Server[[#This Row],[NAV]]*100</f>
        <v>82.147115499672836</v>
      </c>
    </row>
    <row r="760" spans="1:12" x14ac:dyDescent="0.2">
      <c r="A760" s="1">
        <v>41821</v>
      </c>
      <c r="B760">
        <v>689.53579999999999</v>
      </c>
      <c r="C760">
        <v>168.66059999999999</v>
      </c>
      <c r="D760">
        <v>305.34050000000002</v>
      </c>
      <c r="F760">
        <v>421274152.14099997</v>
      </c>
      <c r="G760">
        <v>163.678639</v>
      </c>
      <c r="H760">
        <v>40.035829</v>
      </c>
      <c r="I760">
        <v>72.480236000000005</v>
      </c>
      <c r="K760" s="4">
        <f>VLOOKUP(Table_Query_from_Cello_SQL_Server[[#This Row],[AsOfDate]], 'CMO MV Raw'!$A:$B,2,FALSE)</f>
        <v>332970391.81056201</v>
      </c>
      <c r="L760" s="5">
        <f>Table_Query_from_Cello_SQL_Server[[#This Row],[CMO MV]]/Table_Query_from_Cello_SQL_Server[[#This Row],[NAV]]*100</f>
        <v>79.038884801818369</v>
      </c>
    </row>
    <row r="761" spans="1:12" x14ac:dyDescent="0.2">
      <c r="A761" s="1">
        <v>41822</v>
      </c>
      <c r="B761">
        <v>684.40539999999999</v>
      </c>
      <c r="C761">
        <v>168.7551</v>
      </c>
      <c r="D761">
        <v>303.91109999999998</v>
      </c>
      <c r="F761">
        <v>420711103.28839999</v>
      </c>
      <c r="G761">
        <v>162.678236</v>
      </c>
      <c r="H761">
        <v>40.111871999999998</v>
      </c>
      <c r="I761">
        <v>72.237480000000005</v>
      </c>
      <c r="K761" s="4">
        <f>VLOOKUP(Table_Query_from_Cello_SQL_Server[[#This Row],[AsOfDate]], 'CMO MV Raw'!$A:$B,2,FALSE)</f>
        <v>332559534.29119998</v>
      </c>
      <c r="L761" s="5">
        <f>Table_Query_from_Cello_SQL_Server[[#This Row],[CMO MV]]/Table_Query_from_Cello_SQL_Server[[#This Row],[NAV]]*100</f>
        <v>79.047006768259322</v>
      </c>
    </row>
    <row r="762" spans="1:12" x14ac:dyDescent="0.2">
      <c r="A762" s="1">
        <v>41823</v>
      </c>
      <c r="B762">
        <v>683.32339999999999</v>
      </c>
      <c r="C762">
        <v>169.50200000000001</v>
      </c>
      <c r="D762">
        <v>303.36149999999998</v>
      </c>
      <c r="F762">
        <v>421167000.79619998</v>
      </c>
      <c r="G762">
        <v>162.245237</v>
      </c>
      <c r="H762">
        <v>40.245792999999999</v>
      </c>
      <c r="I762">
        <v>72.028790999999998</v>
      </c>
      <c r="K762" s="4">
        <f>VLOOKUP(Table_Query_from_Cello_SQL_Server[[#This Row],[AsOfDate]], 'CMO MV Raw'!$A:$B,2,FALSE)</f>
        <v>332859101.86886102</v>
      </c>
      <c r="L762" s="5">
        <f>Table_Query_from_Cello_SQL_Server[[#This Row],[CMO MV]]/Table_Query_from_Cello_SQL_Server[[#This Row],[NAV]]*100</f>
        <v>79.032569322763592</v>
      </c>
    </row>
    <row r="763" spans="1:12" x14ac:dyDescent="0.2">
      <c r="A763" s="1">
        <v>41827</v>
      </c>
      <c r="B763">
        <v>686.99580000000003</v>
      </c>
      <c r="C763">
        <v>169.83529999999999</v>
      </c>
      <c r="D763">
        <v>303.75599999999997</v>
      </c>
      <c r="F763">
        <v>421570605.19870001</v>
      </c>
      <c r="G763">
        <v>162.96102999999999</v>
      </c>
      <c r="H763">
        <v>40.286324</v>
      </c>
      <c r="I763">
        <v>72.053410999999997</v>
      </c>
      <c r="K763" s="4">
        <f>VLOOKUP(Table_Query_from_Cello_SQL_Server[[#This Row],[AsOfDate]], 'CMO MV Raw'!$A:$B,2,FALSE)</f>
        <v>333097872.72610402</v>
      </c>
      <c r="L763" s="5">
        <f>Table_Query_from_Cello_SQL_Server[[#This Row],[CMO MV]]/Table_Query_from_Cello_SQL_Server[[#This Row],[NAV]]*100</f>
        <v>79.013543311233505</v>
      </c>
    </row>
    <row r="764" spans="1:12" x14ac:dyDescent="0.2">
      <c r="A764" s="1">
        <v>41828</v>
      </c>
      <c r="B764">
        <v>703.17190000000005</v>
      </c>
      <c r="C764">
        <v>172.47489999999999</v>
      </c>
      <c r="D764">
        <v>304.45030000000003</v>
      </c>
      <c r="F764">
        <v>422156785.2773</v>
      </c>
      <c r="G764">
        <v>166.56652800000001</v>
      </c>
      <c r="H764">
        <v>40.855649999999997</v>
      </c>
      <c r="I764">
        <v>72.117827000000005</v>
      </c>
      <c r="K764" s="4">
        <f>VLOOKUP(Table_Query_from_Cello_SQL_Server[[#This Row],[AsOfDate]], 'CMO MV Raw'!$A:$B,2,FALSE)</f>
        <v>333492457.70748198</v>
      </c>
      <c r="L764" s="5">
        <f>Table_Query_from_Cello_SQL_Server[[#This Row],[CMO MV]]/Table_Query_from_Cello_SQL_Server[[#This Row],[NAV]]*100</f>
        <v>78.997298951009981</v>
      </c>
    </row>
    <row r="765" spans="1:12" x14ac:dyDescent="0.2">
      <c r="A765" s="1">
        <v>41829</v>
      </c>
      <c r="B765">
        <v>705.61710000000005</v>
      </c>
      <c r="C765">
        <v>172.92359999999999</v>
      </c>
      <c r="D765">
        <v>355.93130000000002</v>
      </c>
      <c r="F765">
        <v>422656154.77389997</v>
      </c>
      <c r="G765">
        <v>166.948261</v>
      </c>
      <c r="H765">
        <v>40.913541000000002</v>
      </c>
      <c r="I765">
        <v>84.212969999999999</v>
      </c>
      <c r="K765" s="4">
        <f>VLOOKUP(Table_Query_from_Cello_SQL_Server[[#This Row],[AsOfDate]], 'CMO MV Raw'!$A:$B,2,FALSE)</f>
        <v>332609184.46986097</v>
      </c>
      <c r="L765" s="5">
        <f>Table_Query_from_Cello_SQL_Server[[#This Row],[CMO MV]]/Table_Query_from_Cello_SQL_Server[[#This Row],[NAV]]*100</f>
        <v>78.694981893210652</v>
      </c>
    </row>
    <row r="766" spans="1:12" x14ac:dyDescent="0.2">
      <c r="A766" s="1">
        <v>41830</v>
      </c>
      <c r="B766">
        <v>691.11680000000001</v>
      </c>
      <c r="C766">
        <v>168.7884</v>
      </c>
      <c r="D766">
        <v>355.85660000000001</v>
      </c>
      <c r="F766">
        <v>422460167.7956</v>
      </c>
      <c r="G766">
        <v>163.59336400000001</v>
      </c>
      <c r="H766">
        <v>39.953684000000003</v>
      </c>
      <c r="I766">
        <v>84.234356000000005</v>
      </c>
      <c r="K766" s="4">
        <f>VLOOKUP(Table_Query_from_Cello_SQL_Server[[#This Row],[AsOfDate]], 'CMO MV Raw'!$A:$B,2,FALSE)</f>
        <v>328911038.33757299</v>
      </c>
      <c r="L766" s="5">
        <f>Table_Query_from_Cello_SQL_Server[[#This Row],[CMO MV]]/Table_Query_from_Cello_SQL_Server[[#This Row],[NAV]]*100</f>
        <v>77.856106542264797</v>
      </c>
    </row>
    <row r="767" spans="1:12" x14ac:dyDescent="0.2">
      <c r="A767" s="1">
        <v>41831</v>
      </c>
      <c r="B767">
        <v>686.94640000000004</v>
      </c>
      <c r="C767">
        <v>166.71799999999999</v>
      </c>
      <c r="D767">
        <v>355.50830000000002</v>
      </c>
      <c r="F767">
        <v>422600184.67540002</v>
      </c>
      <c r="G767">
        <v>162.55231900000001</v>
      </c>
      <c r="H767">
        <v>39.450527000000001</v>
      </c>
      <c r="I767">
        <v>84.124028999999993</v>
      </c>
      <c r="K767" s="4">
        <f>VLOOKUP(Table_Query_from_Cello_SQL_Server[[#This Row],[AsOfDate]], 'CMO MV Raw'!$A:$B,2,FALSE)</f>
        <v>328950853.05044198</v>
      </c>
      <c r="L767" s="5">
        <f>Table_Query_from_Cello_SQL_Server[[#This Row],[CMO MV]]/Table_Query_from_Cello_SQL_Server[[#This Row],[NAV]]*100</f>
        <v>77.839732441932014</v>
      </c>
    </row>
    <row r="768" spans="1:12" x14ac:dyDescent="0.2">
      <c r="A768" s="1">
        <v>41834</v>
      </c>
      <c r="B768">
        <v>708.17750000000001</v>
      </c>
      <c r="C768">
        <v>172.3818</v>
      </c>
      <c r="D768">
        <v>354.92419999999998</v>
      </c>
      <c r="F768">
        <v>422355474.54960001</v>
      </c>
      <c r="G768">
        <v>167.67333300000001</v>
      </c>
      <c r="H768">
        <v>40.814388000000001</v>
      </c>
      <c r="I768">
        <v>84.034474000000003</v>
      </c>
      <c r="K768" s="4">
        <f>VLOOKUP(Table_Query_from_Cello_SQL_Server[[#This Row],[AsOfDate]], 'CMO MV Raw'!$A:$B,2,FALSE)</f>
        <v>316670029.33321702</v>
      </c>
      <c r="L768" s="5">
        <f>Table_Query_from_Cello_SQL_Server[[#This Row],[CMO MV]]/Table_Query_from_Cello_SQL_Server[[#This Row],[NAV]]*100</f>
        <v>74.977133816227678</v>
      </c>
    </row>
    <row r="769" spans="1:12" x14ac:dyDescent="0.2">
      <c r="A769" s="1">
        <v>41835</v>
      </c>
      <c r="B769">
        <v>708.28150000000005</v>
      </c>
      <c r="C769">
        <v>172.69720000000001</v>
      </c>
      <c r="D769">
        <v>354.75259999999997</v>
      </c>
      <c r="F769">
        <v>422694928.88370001</v>
      </c>
      <c r="G769">
        <v>167.56328300000001</v>
      </c>
      <c r="H769">
        <v>40.856226999999997</v>
      </c>
      <c r="I769">
        <v>83.926390999999995</v>
      </c>
      <c r="K769" s="11">
        <f>VLOOKUP(Table_Query_from_Cello_SQL_Server[[#This Row],[AsOfDate]], 'CMO MV Raw'!$A:$B,2,FALSE)</f>
        <v>315173816.953915</v>
      </c>
      <c r="L769" s="5">
        <f>Table_Query_from_Cello_SQL_Server[[#This Row],[CMO MV]]/Table_Query_from_Cello_SQL_Server[[#This Row],[NAV]]*100</f>
        <v>74.562952005660733</v>
      </c>
    </row>
    <row r="770" spans="1:12" x14ac:dyDescent="0.2">
      <c r="A770" s="1">
        <v>41836</v>
      </c>
      <c r="B770">
        <v>709.64269999999999</v>
      </c>
      <c r="C770">
        <v>172.76589999999999</v>
      </c>
      <c r="D770">
        <v>355.1447</v>
      </c>
      <c r="F770">
        <v>422664395.72759998</v>
      </c>
      <c r="G770">
        <v>167.89743999999999</v>
      </c>
      <c r="H770">
        <v>40.875433000000001</v>
      </c>
      <c r="I770">
        <v>84.025222999999997</v>
      </c>
      <c r="K770" s="11">
        <f>VLOOKUP(Table_Query_from_Cello_SQL_Server[[#This Row],[AsOfDate]], 'CMO MV Raw'!$A:$B,2,FALSE)</f>
        <v>315112327.32598698</v>
      </c>
      <c r="L770" s="5">
        <f>Table_Query_from_Cello_SQL_Server[[#This Row],[CMO MV]]/Table_Query_from_Cello_SQL_Server[[#This Row],[NAV]]*100</f>
        <v>74.553790314780031</v>
      </c>
    </row>
    <row r="771" spans="1:12" x14ac:dyDescent="0.2">
      <c r="A771" s="1">
        <v>41837</v>
      </c>
      <c r="B771">
        <v>720.33789999999999</v>
      </c>
      <c r="C771">
        <v>173.52690000000001</v>
      </c>
      <c r="D771">
        <v>355.66070000000002</v>
      </c>
      <c r="F771">
        <v>422791976.42729998</v>
      </c>
      <c r="G771">
        <v>170.37643600000001</v>
      </c>
      <c r="H771">
        <v>41.043092000000001</v>
      </c>
      <c r="I771">
        <v>84.121913000000006</v>
      </c>
      <c r="K771" s="11">
        <f>VLOOKUP(Table_Query_from_Cello_SQL_Server[[#This Row],[AsOfDate]], 'CMO MV Raw'!$A:$B,2,FALSE)</f>
        <v>314889558.096237</v>
      </c>
      <c r="L771" s="5">
        <f>Table_Query_from_Cello_SQL_Server[[#This Row],[CMO MV]]/Table_Query_from_Cello_SQL_Server[[#This Row],[NAV]]*100</f>
        <v>74.478603108113376</v>
      </c>
    </row>
    <row r="772" spans="1:12" x14ac:dyDescent="0.2">
      <c r="A772" s="1">
        <v>41838</v>
      </c>
      <c r="B772">
        <v>718.7681</v>
      </c>
      <c r="C772">
        <v>173.02109999999999</v>
      </c>
      <c r="D772">
        <v>355.90129999999999</v>
      </c>
      <c r="F772">
        <v>422505623.30779999</v>
      </c>
      <c r="G772">
        <v>170.120363</v>
      </c>
      <c r="H772">
        <v>40.951194999999998</v>
      </c>
      <c r="I772">
        <v>84.235872999999998</v>
      </c>
      <c r="K772" s="11">
        <f>VLOOKUP(Table_Query_from_Cello_SQL_Server[[#This Row],[AsOfDate]], 'CMO MV Raw'!$A:$B,2,FALSE)</f>
        <v>314462592.61636698</v>
      </c>
      <c r="L772" s="5">
        <f>Table_Query_from_Cello_SQL_Server[[#This Row],[CMO MV]]/Table_Query_from_Cello_SQL_Server[[#This Row],[NAV]]*100</f>
        <v>74.428025396309934</v>
      </c>
    </row>
    <row r="773" spans="1:12" x14ac:dyDescent="0.2">
      <c r="A773" s="1">
        <v>41841</v>
      </c>
      <c r="B773">
        <v>720.77639999999997</v>
      </c>
      <c r="C773">
        <v>172.4477</v>
      </c>
      <c r="D773">
        <v>356.40120000000002</v>
      </c>
      <c r="F773">
        <v>422013375.13340002</v>
      </c>
      <c r="G773">
        <v>170.79468199999999</v>
      </c>
      <c r="H773">
        <v>40.863089000000002</v>
      </c>
      <c r="I773">
        <v>84.452584000000002</v>
      </c>
      <c r="K773" s="11">
        <f>VLOOKUP(Table_Query_from_Cello_SQL_Server[[#This Row],[AsOfDate]], 'CMO MV Raw'!$A:$B,2,FALSE)</f>
        <v>313069119.15024602</v>
      </c>
      <c r="L773" s="5">
        <f>Table_Query_from_Cello_SQL_Server[[#This Row],[CMO MV]]/Table_Query_from_Cello_SQL_Server[[#This Row],[NAV]]*100</f>
        <v>74.184643804543811</v>
      </c>
    </row>
    <row r="774" spans="1:12" x14ac:dyDescent="0.2">
      <c r="A774" s="1">
        <v>41842</v>
      </c>
      <c r="B774">
        <v>724.1662</v>
      </c>
      <c r="C774">
        <v>172.53809999999999</v>
      </c>
      <c r="D774">
        <v>356.32850000000002</v>
      </c>
      <c r="F774">
        <v>421822352.1074</v>
      </c>
      <c r="G774">
        <v>171.675635</v>
      </c>
      <c r="H774">
        <v>40.903024000000002</v>
      </c>
      <c r="I774">
        <v>84.473594000000006</v>
      </c>
      <c r="K774" s="11">
        <f>VLOOKUP(Table_Query_from_Cello_SQL_Server[[#This Row],[AsOfDate]], 'CMO MV Raw'!$A:$B,2,FALSE)</f>
        <v>312984619.752922</v>
      </c>
      <c r="L774" s="5">
        <f>Table_Query_from_Cello_SQL_Server[[#This Row],[CMO MV]]/Table_Query_from_Cello_SQL_Server[[#This Row],[NAV]]*100</f>
        <v>74.198206469920095</v>
      </c>
    </row>
    <row r="775" spans="1:12" x14ac:dyDescent="0.2">
      <c r="A775" s="1">
        <v>41843</v>
      </c>
      <c r="B775">
        <v>723.00260000000003</v>
      </c>
      <c r="C775">
        <v>172.55690000000001</v>
      </c>
      <c r="D775">
        <v>356.08699999999999</v>
      </c>
      <c r="F775">
        <v>421895445.42189997</v>
      </c>
      <c r="G775">
        <v>171.37008900000001</v>
      </c>
      <c r="H775">
        <v>40.900393999999999</v>
      </c>
      <c r="I775">
        <v>84.401717000000005</v>
      </c>
      <c r="K775" s="11">
        <f>VLOOKUP(Table_Query_from_Cello_SQL_Server[[#This Row],[AsOfDate]], 'CMO MV Raw'!$A:$B,2,FALSE)</f>
        <v>313277231.64826</v>
      </c>
      <c r="L775" s="5">
        <f>Table_Query_from_Cello_SQL_Server[[#This Row],[CMO MV]]/Table_Query_from_Cello_SQL_Server[[#This Row],[NAV]]*100</f>
        <v>74.254708138643068</v>
      </c>
    </row>
    <row r="776" spans="1:12" x14ac:dyDescent="0.2">
      <c r="A776" s="1">
        <v>41844</v>
      </c>
      <c r="B776">
        <v>709.82920000000001</v>
      </c>
      <c r="C776">
        <v>171.1455</v>
      </c>
      <c r="D776">
        <v>355.2303</v>
      </c>
      <c r="F776">
        <v>421031043.1049</v>
      </c>
      <c r="G776">
        <v>168.59307899999999</v>
      </c>
      <c r="H776">
        <v>40.649140000000003</v>
      </c>
      <c r="I776">
        <v>84.371521999999999</v>
      </c>
      <c r="K776" s="11">
        <f>VLOOKUP(Table_Query_from_Cello_SQL_Server[[#This Row],[AsOfDate]], 'CMO MV Raw'!$A:$B,2,FALSE)</f>
        <v>312897416.87144297</v>
      </c>
      <c r="L776" s="5">
        <f>Table_Query_from_Cello_SQL_Server[[#This Row],[CMO MV]]/Table_Query_from_Cello_SQL_Server[[#This Row],[NAV]]*100</f>
        <v>74.316946931982997</v>
      </c>
    </row>
    <row r="777" spans="1:12" x14ac:dyDescent="0.2">
      <c r="A777" s="1">
        <v>41845</v>
      </c>
      <c r="B777">
        <v>718.34849999999994</v>
      </c>
      <c r="C777">
        <v>171.9504</v>
      </c>
      <c r="D777">
        <v>355.81740000000002</v>
      </c>
      <c r="F777">
        <v>421798075.69940001</v>
      </c>
      <c r="G777">
        <v>170.306253</v>
      </c>
      <c r="H777">
        <v>40.766047</v>
      </c>
      <c r="I777">
        <v>84.357284000000007</v>
      </c>
      <c r="K777" s="11">
        <f>VLOOKUP(Table_Query_from_Cello_SQL_Server[[#This Row],[AsOfDate]], 'CMO MV Raw'!$A:$B,2,FALSE)</f>
        <v>313067659.902408</v>
      </c>
      <c r="L777" s="5">
        <f>Table_Query_from_Cello_SQL_Server[[#This Row],[CMO MV]]/Table_Query_from_Cello_SQL_Server[[#This Row],[NAV]]*100</f>
        <v>74.222164096718117</v>
      </c>
    </row>
    <row r="778" spans="1:12" x14ac:dyDescent="0.2">
      <c r="A778" s="1">
        <v>41848</v>
      </c>
      <c r="B778">
        <v>701.05949999999996</v>
      </c>
      <c r="C778">
        <v>167.5505</v>
      </c>
      <c r="D778">
        <v>357.7002</v>
      </c>
      <c r="F778">
        <v>420705764.90429997</v>
      </c>
      <c r="G778">
        <v>166.63891000000001</v>
      </c>
      <c r="H778">
        <v>39.826053000000002</v>
      </c>
      <c r="I778">
        <v>85.023841000000004</v>
      </c>
      <c r="K778" s="11">
        <f>VLOOKUP(Table_Query_from_Cello_SQL_Server[[#This Row],[AsOfDate]], 'CMO MV Raw'!$A:$B,2,FALSE)</f>
        <v>309657156.81885803</v>
      </c>
      <c r="L778" s="5">
        <f>Table_Query_from_Cello_SQL_Server[[#This Row],[CMO MV]]/Table_Query_from_Cello_SQL_Server[[#This Row],[NAV]]*100</f>
        <v>73.604210507858696</v>
      </c>
    </row>
    <row r="779" spans="1:12" x14ac:dyDescent="0.2">
      <c r="A779" s="1">
        <v>41849</v>
      </c>
      <c r="B779">
        <v>705.31910000000005</v>
      </c>
      <c r="C779">
        <v>167.536</v>
      </c>
      <c r="D779">
        <v>357.9649</v>
      </c>
      <c r="F779">
        <v>420845825.24919999</v>
      </c>
      <c r="G779">
        <v>167.59560300000001</v>
      </c>
      <c r="H779">
        <v>39.809353000000002</v>
      </c>
      <c r="I779">
        <v>85.058441000000002</v>
      </c>
      <c r="K779" s="11">
        <f>VLOOKUP(Table_Query_from_Cello_SQL_Server[[#This Row],[AsOfDate]], 'CMO MV Raw'!$A:$B,2,FALSE)</f>
        <v>309483680.02788001</v>
      </c>
      <c r="L779" s="5">
        <f>Table_Query_from_Cello_SQL_Server[[#This Row],[CMO MV]]/Table_Query_from_Cello_SQL_Server[[#This Row],[NAV]]*100</f>
        <v>73.538493543240463</v>
      </c>
    </row>
    <row r="780" spans="1:12" x14ac:dyDescent="0.2">
      <c r="A780" s="1">
        <v>41850</v>
      </c>
      <c r="B780">
        <v>695.24</v>
      </c>
      <c r="C780">
        <v>167.81569999999999</v>
      </c>
      <c r="D780">
        <v>355.78210000000001</v>
      </c>
      <c r="F780">
        <v>420303864.94059998</v>
      </c>
      <c r="G780">
        <v>165.413659</v>
      </c>
      <c r="H780">
        <v>39.927231999999997</v>
      </c>
      <c r="I780">
        <v>84.648781</v>
      </c>
      <c r="K780" s="11">
        <f>VLOOKUP(Table_Query_from_Cello_SQL_Server[[#This Row],[AsOfDate]], 'CMO MV Raw'!$A:$B,2,FALSE)</f>
        <v>309912492.090518</v>
      </c>
      <c r="L780" s="5">
        <f>Table_Query_from_Cello_SQL_Server[[#This Row],[CMO MV]]/Table_Query_from_Cello_SQL_Server[[#This Row],[NAV]]*100</f>
        <v>73.735341961301444</v>
      </c>
    </row>
    <row r="781" spans="1:12" x14ac:dyDescent="0.2">
      <c r="A781" s="1">
        <v>41851</v>
      </c>
      <c r="B781">
        <v>703.99770000000001</v>
      </c>
      <c r="C781">
        <v>170.36920000000001</v>
      </c>
      <c r="D781">
        <v>330.38720000000001</v>
      </c>
      <c r="F781">
        <v>421495225.19760001</v>
      </c>
      <c r="G781">
        <v>167.02388500000001</v>
      </c>
      <c r="H781">
        <v>40.420197000000002</v>
      </c>
      <c r="I781">
        <v>78.384564999999995</v>
      </c>
      <c r="K781" s="11">
        <f>VLOOKUP(Table_Query_from_Cello_SQL_Server[[#This Row],[AsOfDate]], 'CMO MV Raw'!$A:$B,2,FALSE)</f>
        <v>311700041.88666701</v>
      </c>
      <c r="L781" s="5">
        <f>Table_Query_from_Cello_SQL_Server[[#This Row],[CMO MV]]/Table_Query_from_Cello_SQL_Server[[#This Row],[NAV]]*100</f>
        <v>73.951025599528393</v>
      </c>
    </row>
    <row r="782" spans="1:12" x14ac:dyDescent="0.2">
      <c r="A782" s="1">
        <v>41852</v>
      </c>
      <c r="B782">
        <v>708.8646</v>
      </c>
      <c r="C782">
        <v>170.31379999999999</v>
      </c>
      <c r="D782">
        <v>330.8245</v>
      </c>
      <c r="F782">
        <v>430779834.54860002</v>
      </c>
      <c r="G782">
        <v>164.55380299999999</v>
      </c>
      <c r="H782">
        <v>39.536158999999998</v>
      </c>
      <c r="I782">
        <v>76.796654000000004</v>
      </c>
      <c r="K782" s="11">
        <f>VLOOKUP(Table_Query_from_Cello_SQL_Server[[#This Row],[AsOfDate]], 'CMO MV Raw'!$A:$B,2,FALSE)</f>
        <v>312240443.72946501</v>
      </c>
      <c r="L782" s="5">
        <f>Table_Query_from_Cello_SQL_Server[[#This Row],[CMO MV]]/Table_Query_from_Cello_SQL_Server[[#This Row],[NAV]]*100</f>
        <v>72.482604497179281</v>
      </c>
    </row>
    <row r="783" spans="1:12" x14ac:dyDescent="0.2">
      <c r="A783" s="1">
        <v>41855</v>
      </c>
      <c r="B783">
        <v>679.94140000000004</v>
      </c>
      <c r="C783">
        <v>162.68719999999999</v>
      </c>
      <c r="D783">
        <v>331.02809999999999</v>
      </c>
      <c r="F783">
        <v>430908753.03689998</v>
      </c>
      <c r="G783">
        <v>157.79243199999999</v>
      </c>
      <c r="H783">
        <v>37.754443000000002</v>
      </c>
      <c r="I783">
        <v>76.820926999999998</v>
      </c>
      <c r="K783" s="11">
        <f>VLOOKUP(Table_Query_from_Cello_SQL_Server[[#This Row],[AsOfDate]], 'CMO MV Raw'!$A:$B,2,FALSE)</f>
        <v>306238135.04907101</v>
      </c>
      <c r="L783" s="5">
        <f>Table_Query_from_Cello_SQL_Server[[#This Row],[CMO MV]]/Table_Query_from_Cello_SQL_Server[[#This Row],[NAV]]*100</f>
        <v>71.067977359663175</v>
      </c>
    </row>
    <row r="784" spans="1:12" x14ac:dyDescent="0.2">
      <c r="A784" s="1">
        <v>41856</v>
      </c>
      <c r="B784">
        <v>679.57489999999996</v>
      </c>
      <c r="C784">
        <v>162.5598</v>
      </c>
      <c r="D784">
        <v>330.8537</v>
      </c>
      <c r="F784">
        <v>430800440.0395</v>
      </c>
      <c r="G784">
        <v>157.74703</v>
      </c>
      <c r="H784">
        <v>37.734363000000002</v>
      </c>
      <c r="I784">
        <v>76.799758999999995</v>
      </c>
      <c r="K784" s="11">
        <f>VLOOKUP(Table_Query_from_Cello_SQL_Server[[#This Row],[AsOfDate]], 'CMO MV Raw'!$A:$B,2,FALSE)</f>
        <v>306104786.19483697</v>
      </c>
      <c r="L784" s="5">
        <f>Table_Query_from_Cello_SQL_Server[[#This Row],[CMO MV]]/Table_Query_from_Cello_SQL_Server[[#This Row],[NAV]]*100</f>
        <v>71.054891718952348</v>
      </c>
    </row>
    <row r="785" spans="1:12" x14ac:dyDescent="0.2">
      <c r="A785" s="1">
        <v>41857</v>
      </c>
      <c r="B785">
        <v>683.96680000000003</v>
      </c>
      <c r="C785">
        <v>163.0351</v>
      </c>
      <c r="D785">
        <v>333.0197</v>
      </c>
      <c r="F785">
        <v>430283666.86790001</v>
      </c>
      <c r="G785">
        <v>158.95718400000001</v>
      </c>
      <c r="H785">
        <v>37.890143999999999</v>
      </c>
      <c r="I785">
        <v>77.395385000000005</v>
      </c>
      <c r="K785" s="11">
        <f>VLOOKUP(Table_Query_from_Cello_SQL_Server[[#This Row],[AsOfDate]], 'CMO MV Raw'!$A:$B,2,FALSE)</f>
        <v>305662054.64789099</v>
      </c>
      <c r="L785" s="5">
        <f>Table_Query_from_Cello_SQL_Server[[#This Row],[CMO MV]]/Table_Query_from_Cello_SQL_Server[[#This Row],[NAV]]*100</f>
        <v>71.037336107329239</v>
      </c>
    </row>
    <row r="786" spans="1:12" x14ac:dyDescent="0.2">
      <c r="A786" s="1">
        <v>41858</v>
      </c>
      <c r="B786">
        <v>694.20249999999999</v>
      </c>
      <c r="C786">
        <v>164.8921</v>
      </c>
      <c r="D786">
        <v>332.16520000000003</v>
      </c>
      <c r="F786">
        <v>431153006.829</v>
      </c>
      <c r="G786">
        <v>161.010706</v>
      </c>
      <c r="H786">
        <v>38.244450999999998</v>
      </c>
      <c r="I786">
        <v>77.041141999999994</v>
      </c>
      <c r="K786" s="11">
        <f>VLOOKUP(Table_Query_from_Cello_SQL_Server[[#This Row],[AsOfDate]], 'CMO MV Raw'!$A:$B,2,FALSE)</f>
        <v>306265367.46572202</v>
      </c>
      <c r="L786" s="5">
        <f>Table_Query_from_Cello_SQL_Server[[#This Row],[CMO MV]]/Table_Query_from_Cello_SQL_Server[[#This Row],[NAV]]*100</f>
        <v>71.034032609029268</v>
      </c>
    </row>
    <row r="787" spans="1:12" x14ac:dyDescent="0.2">
      <c r="A787" s="1">
        <v>41859</v>
      </c>
      <c r="B787">
        <v>696.28070000000002</v>
      </c>
      <c r="C787">
        <v>164.8272</v>
      </c>
      <c r="D787">
        <v>332.3879</v>
      </c>
      <c r="F787">
        <v>431026969.3574</v>
      </c>
      <c r="G787">
        <v>161.53993800000001</v>
      </c>
      <c r="H787">
        <v>38.240577000000002</v>
      </c>
      <c r="I787">
        <v>77.115336999999997</v>
      </c>
      <c r="K787" s="11">
        <f>VLOOKUP(Table_Query_from_Cello_SQL_Server[[#This Row],[AsOfDate]], 'CMO MV Raw'!$A:$B,2,FALSE)</f>
        <v>305923195.39965999</v>
      </c>
      <c r="L787" s="5">
        <f>Table_Query_from_Cello_SQL_Server[[#This Row],[CMO MV]]/Table_Query_from_Cello_SQL_Server[[#This Row],[NAV]]*100</f>
        <v>70.975418511688034</v>
      </c>
    </row>
    <row r="788" spans="1:12" x14ac:dyDescent="0.2">
      <c r="A788" s="1">
        <v>41862</v>
      </c>
      <c r="B788">
        <v>688.29679999999996</v>
      </c>
      <c r="C788">
        <v>162.5026</v>
      </c>
      <c r="D788">
        <v>332.08010000000002</v>
      </c>
      <c r="F788">
        <v>430978958.64649999</v>
      </c>
      <c r="G788">
        <v>159.70543000000001</v>
      </c>
      <c r="H788">
        <v>37.705460000000002</v>
      </c>
      <c r="I788">
        <v>77.052509000000001</v>
      </c>
      <c r="K788" s="11">
        <f>VLOOKUP(Table_Query_from_Cello_SQL_Server[[#This Row],[AsOfDate]], 'CMO MV Raw'!$A:$B,2,FALSE)</f>
        <v>304545472.81395602</v>
      </c>
      <c r="L788" s="5">
        <f>Table_Query_from_Cello_SQL_Server[[#This Row],[CMO MV]]/Table_Query_from_Cello_SQL_Server[[#This Row],[NAV]]*100</f>
        <v>70.663652297640837</v>
      </c>
    </row>
    <row r="789" spans="1:12" x14ac:dyDescent="0.2">
      <c r="A789" s="1">
        <v>41863</v>
      </c>
      <c r="B789">
        <v>686.68439999999998</v>
      </c>
      <c r="C789">
        <v>162.2953</v>
      </c>
      <c r="D789">
        <v>330.86149999999998</v>
      </c>
      <c r="F789">
        <v>430326605.81840003</v>
      </c>
      <c r="G789">
        <v>159.57284300000001</v>
      </c>
      <c r="H789">
        <v>37.714447</v>
      </c>
      <c r="I789">
        <v>76.886135999999993</v>
      </c>
      <c r="K789" s="11">
        <f>VLOOKUP(Table_Query_from_Cello_SQL_Server[[#This Row],[AsOfDate]], 'CMO MV Raw'!$A:$B,2,FALSE)</f>
        <v>304263742.214037</v>
      </c>
      <c r="L789" s="5">
        <f>Table_Query_from_Cello_SQL_Server[[#This Row],[CMO MV]]/Table_Query_from_Cello_SQL_Server[[#This Row],[NAV]]*100</f>
        <v>70.705305714338706</v>
      </c>
    </row>
    <row r="790" spans="1:12" x14ac:dyDescent="0.2">
      <c r="A790" s="1">
        <v>41864</v>
      </c>
      <c r="B790">
        <v>688.12360000000001</v>
      </c>
      <c r="C790">
        <v>162.05719999999999</v>
      </c>
      <c r="D790">
        <v>330.2165</v>
      </c>
      <c r="F790">
        <v>430882088.64740002</v>
      </c>
      <c r="G790">
        <v>159.70113799999999</v>
      </c>
      <c r="H790">
        <v>37.610568000000001</v>
      </c>
      <c r="I790">
        <v>76.637322999999995</v>
      </c>
      <c r="K790" s="11">
        <f>VLOOKUP(Table_Query_from_Cello_SQL_Server[[#This Row],[AsOfDate]], 'CMO MV Raw'!$A:$B,2,FALSE)</f>
        <v>304615357.48119801</v>
      </c>
      <c r="L790" s="5">
        <f>Table_Query_from_Cello_SQL_Server[[#This Row],[CMO MV]]/Table_Query_from_Cello_SQL_Server[[#This Row],[NAV]]*100</f>
        <v>70.695757727462933</v>
      </c>
    </row>
    <row r="791" spans="1:12" x14ac:dyDescent="0.2">
      <c r="A791" s="1">
        <v>41865</v>
      </c>
      <c r="B791">
        <v>692.19669999999996</v>
      </c>
      <c r="C791">
        <v>162.54329999999999</v>
      </c>
      <c r="D791">
        <v>330.79989999999998</v>
      </c>
      <c r="F791">
        <v>431367225.46149999</v>
      </c>
      <c r="G791">
        <v>160.46576099999999</v>
      </c>
      <c r="H791">
        <v>37.680956999999999</v>
      </c>
      <c r="I791">
        <v>76.686378000000005</v>
      </c>
      <c r="K791" s="11">
        <f>VLOOKUP(Table_Query_from_Cello_SQL_Server[[#This Row],[AsOfDate]], 'CMO MV Raw'!$A:$B,2,FALSE)</f>
        <v>303231581.19176102</v>
      </c>
      <c r="L791" s="5">
        <f>Table_Query_from_Cello_SQL_Server[[#This Row],[CMO MV]]/Table_Query_from_Cello_SQL_Server[[#This Row],[NAV]]*100</f>
        <v>70.295461336300519</v>
      </c>
    </row>
    <row r="792" spans="1:12" x14ac:dyDescent="0.2">
      <c r="A792" s="1">
        <v>41866</v>
      </c>
      <c r="B792">
        <v>699.23209999999995</v>
      </c>
      <c r="C792">
        <v>162.65119999999999</v>
      </c>
      <c r="D792">
        <v>332.084</v>
      </c>
      <c r="F792">
        <v>431773462.08289999</v>
      </c>
      <c r="G792">
        <v>161.94420500000001</v>
      </c>
      <c r="H792">
        <v>37.670495000000003</v>
      </c>
      <c r="I792">
        <v>76.911627999999993</v>
      </c>
      <c r="K792" s="11">
        <f>VLOOKUP(Table_Query_from_Cello_SQL_Server[[#This Row],[AsOfDate]], 'CMO MV Raw'!$A:$B,2,FALSE)</f>
        <v>303117581.53994799</v>
      </c>
      <c r="L792" s="5">
        <f>Table_Query_from_Cello_SQL_Server[[#This Row],[CMO MV]]/Table_Query_from_Cello_SQL_Server[[#This Row],[NAV]]*100</f>
        <v>70.202920781117811</v>
      </c>
    </row>
    <row r="793" spans="1:12" x14ac:dyDescent="0.2">
      <c r="A793" s="1">
        <v>41869</v>
      </c>
      <c r="B793">
        <v>694.173</v>
      </c>
      <c r="C793">
        <v>162.62610000000001</v>
      </c>
      <c r="D793">
        <v>330.42899999999997</v>
      </c>
      <c r="F793">
        <v>431226950.75770003</v>
      </c>
      <c r="G793">
        <v>160.97625600000001</v>
      </c>
      <c r="H793">
        <v>37.712415999999997</v>
      </c>
      <c r="I793">
        <v>76.625313000000006</v>
      </c>
      <c r="K793" s="11">
        <f>VLOOKUP(Table_Query_from_Cello_SQL_Server[[#This Row],[AsOfDate]], 'CMO MV Raw'!$A:$B,2,FALSE)</f>
        <v>302975416.35856003</v>
      </c>
      <c r="L793" s="5">
        <f>Table_Query_from_Cello_SQL_Server[[#This Row],[CMO MV]]/Table_Query_from_Cello_SQL_Server[[#This Row],[NAV]]*100</f>
        <v>70.258924175821605</v>
      </c>
    </row>
    <row r="794" spans="1:12" x14ac:dyDescent="0.2">
      <c r="A794" s="1">
        <v>41870</v>
      </c>
      <c r="B794">
        <v>691.25940000000003</v>
      </c>
      <c r="C794">
        <v>162.65969999999999</v>
      </c>
      <c r="D794">
        <v>329.47449999999998</v>
      </c>
      <c r="F794">
        <v>430913756.95670003</v>
      </c>
      <c r="G794">
        <v>160.41711100000001</v>
      </c>
      <c r="H794">
        <v>37.747622999999997</v>
      </c>
      <c r="I794">
        <v>76.459498999999994</v>
      </c>
      <c r="K794" s="11">
        <f>VLOOKUP(Table_Query_from_Cello_SQL_Server[[#This Row],[AsOfDate]], 'CMO MV Raw'!$A:$B,2,FALSE)</f>
        <v>302460895.692191</v>
      </c>
      <c r="L794" s="5">
        <f>Table_Query_from_Cello_SQL_Server[[#This Row],[CMO MV]]/Table_Query_from_Cello_SQL_Server[[#This Row],[NAV]]*100</f>
        <v>70.190587051177275</v>
      </c>
    </row>
    <row r="795" spans="1:12" x14ac:dyDescent="0.2">
      <c r="A795" s="1">
        <v>41871</v>
      </c>
      <c r="B795">
        <v>705.87429999999995</v>
      </c>
      <c r="C795">
        <v>167.2704</v>
      </c>
      <c r="D795">
        <v>329.46420000000001</v>
      </c>
      <c r="F795">
        <v>431284319.94459999</v>
      </c>
      <c r="G795">
        <v>163.66797199999999</v>
      </c>
      <c r="H795">
        <v>38.784253</v>
      </c>
      <c r="I795">
        <v>76.391416000000007</v>
      </c>
      <c r="K795" s="11">
        <f>VLOOKUP(Table_Query_from_Cello_SQL_Server[[#This Row],[AsOfDate]], 'CMO MV Raw'!$A:$B,2,FALSE)</f>
        <v>309168616.56794298</v>
      </c>
      <c r="L795" s="5">
        <f>Table_Query_from_Cello_SQL_Server[[#This Row],[CMO MV]]/Table_Query_from_Cello_SQL_Server[[#This Row],[NAV]]*100</f>
        <v>71.685568491721838</v>
      </c>
    </row>
    <row r="796" spans="1:12" x14ac:dyDescent="0.2">
      <c r="A796" s="1">
        <v>41872</v>
      </c>
      <c r="B796">
        <v>710.28309999999999</v>
      </c>
      <c r="C796">
        <v>167.7183</v>
      </c>
      <c r="D796">
        <v>330.46749999999997</v>
      </c>
      <c r="F796">
        <v>431841849.84640002</v>
      </c>
      <c r="G796">
        <v>164.477598</v>
      </c>
      <c r="H796">
        <v>38.837899</v>
      </c>
      <c r="I796">
        <v>76.525120999999999</v>
      </c>
      <c r="K796" s="11">
        <f>VLOOKUP(Table_Query_from_Cello_SQL_Server[[#This Row],[AsOfDate]], 'CMO MV Raw'!$A:$B,2,FALSE)</f>
        <v>309415165.21458399</v>
      </c>
      <c r="L796" s="5">
        <f>Table_Query_from_Cello_SQL_Server[[#This Row],[CMO MV]]/Table_Query_from_Cello_SQL_Server[[#This Row],[NAV]]*100</f>
        <v>71.6501111054055</v>
      </c>
    </row>
    <row r="797" spans="1:12" x14ac:dyDescent="0.2">
      <c r="A797" s="1">
        <v>41873</v>
      </c>
      <c r="B797">
        <v>713.42819999999995</v>
      </c>
      <c r="C797">
        <v>168.55719999999999</v>
      </c>
      <c r="D797">
        <v>331.04809999999998</v>
      </c>
      <c r="F797">
        <v>432583600.92739999</v>
      </c>
      <c r="G797">
        <v>164.922618</v>
      </c>
      <c r="H797">
        <v>38.965231000000003</v>
      </c>
      <c r="I797">
        <v>76.528120999999999</v>
      </c>
      <c r="K797" s="11">
        <f>VLOOKUP(Table_Query_from_Cello_SQL_Server[[#This Row],[AsOfDate]], 'CMO MV Raw'!$A:$B,2,FALSE)</f>
        <v>309837658.96861798</v>
      </c>
      <c r="L797" s="5">
        <f>Table_Query_from_Cello_SQL_Server[[#This Row],[CMO MV]]/Table_Query_from_Cello_SQL_Server[[#This Row],[NAV]]*100</f>
        <v>71.6249202014058</v>
      </c>
    </row>
    <row r="798" spans="1:12" x14ac:dyDescent="0.2">
      <c r="A798" s="1">
        <v>41876</v>
      </c>
      <c r="B798">
        <v>715.846</v>
      </c>
      <c r="C798">
        <v>168.07919999999999</v>
      </c>
      <c r="D798">
        <v>332.17009999999999</v>
      </c>
      <c r="F798">
        <v>432458662.11189997</v>
      </c>
      <c r="G798">
        <v>165.529347</v>
      </c>
      <c r="H798">
        <v>38.865957999999999</v>
      </c>
      <c r="I798">
        <v>76.809676999999994</v>
      </c>
      <c r="K798" s="11">
        <f>VLOOKUP(Table_Query_from_Cello_SQL_Server[[#This Row],[AsOfDate]], 'CMO MV Raw'!$A:$B,2,FALSE)</f>
        <v>309401280.971385</v>
      </c>
      <c r="L798" s="5">
        <f>Table_Query_from_Cello_SQL_Server[[#This Row],[CMO MV]]/Table_Query_from_Cello_SQL_Server[[#This Row],[NAV]]*100</f>
        <v>71.544706599338852</v>
      </c>
    </row>
    <row r="799" spans="1:12" x14ac:dyDescent="0.2">
      <c r="A799" s="1">
        <v>41877</v>
      </c>
      <c r="B799">
        <v>703.42470000000003</v>
      </c>
      <c r="C799">
        <v>165.01179999999999</v>
      </c>
      <c r="D799">
        <v>333.73430000000002</v>
      </c>
      <c r="F799">
        <v>432127407.27420002</v>
      </c>
      <c r="G799">
        <v>162.78178299999999</v>
      </c>
      <c r="H799">
        <v>38.185913999999997</v>
      </c>
      <c r="I799">
        <v>77.230532999999994</v>
      </c>
      <c r="K799" s="11">
        <f>VLOOKUP(Table_Query_from_Cello_SQL_Server[[#This Row],[AsOfDate]], 'CMO MV Raw'!$A:$B,2,FALSE)</f>
        <v>306995785.33746201</v>
      </c>
      <c r="L799" s="5">
        <f>Table_Query_from_Cello_SQL_Server[[#This Row],[CMO MV]]/Table_Query_from_Cello_SQL_Server[[#This Row],[NAV]]*100</f>
        <v>71.042886928637316</v>
      </c>
    </row>
    <row r="800" spans="1:12" x14ac:dyDescent="0.2">
      <c r="A800" s="1">
        <v>41878</v>
      </c>
      <c r="B800">
        <v>705.79290000000003</v>
      </c>
      <c r="C800">
        <v>164.42359999999999</v>
      </c>
      <c r="D800">
        <v>335.13380000000001</v>
      </c>
      <c r="F800">
        <v>432040610.86089998</v>
      </c>
      <c r="G800">
        <v>163.362629</v>
      </c>
      <c r="H800">
        <v>38.057440999999997</v>
      </c>
      <c r="I800">
        <v>77.569975999999997</v>
      </c>
      <c r="K800" s="11">
        <f>VLOOKUP(Table_Query_from_Cello_SQL_Server[[#This Row],[AsOfDate]], 'CMO MV Raw'!$A:$B,2,FALSE)</f>
        <v>306600168.76307499</v>
      </c>
      <c r="L800" s="5">
        <f>Table_Query_from_Cello_SQL_Server[[#This Row],[CMO MV]]/Table_Query_from_Cello_SQL_Server[[#This Row],[NAV]]*100</f>
        <v>70.965590052317594</v>
      </c>
    </row>
    <row r="801" spans="1:12" x14ac:dyDescent="0.2">
      <c r="A801" s="1">
        <v>41879</v>
      </c>
      <c r="B801">
        <v>708.34670000000006</v>
      </c>
      <c r="C801">
        <v>164.31129999999999</v>
      </c>
      <c r="D801">
        <v>335.74470000000002</v>
      </c>
      <c r="F801">
        <v>432110301.81620002</v>
      </c>
      <c r="G801">
        <v>163.927288</v>
      </c>
      <c r="H801">
        <v>38.025314000000002</v>
      </c>
      <c r="I801">
        <v>77.698841999999999</v>
      </c>
      <c r="K801" s="11">
        <f>VLOOKUP(Table_Query_from_Cello_SQL_Server[[#This Row],[AsOfDate]], 'CMO MV Raw'!$A:$B,2,FALSE)</f>
        <v>306514462.74032003</v>
      </c>
      <c r="L801" s="5">
        <f>Table_Query_from_Cello_SQL_Server[[#This Row],[CMO MV]]/Table_Query_from_Cello_SQL_Server[[#This Row],[NAV]]*100</f>
        <v>70.934310395288207</v>
      </c>
    </row>
    <row r="802" spans="1:12" x14ac:dyDescent="0.2">
      <c r="A802" s="1">
        <v>41880</v>
      </c>
      <c r="B802">
        <v>703.65279999999996</v>
      </c>
      <c r="C802">
        <v>163.3184</v>
      </c>
      <c r="D802">
        <v>336.49709999999999</v>
      </c>
      <c r="F802">
        <v>432129566.94379997</v>
      </c>
      <c r="G802">
        <v>162.833755</v>
      </c>
      <c r="H802">
        <v>37.793849999999999</v>
      </c>
      <c r="I802">
        <v>77.869491999999994</v>
      </c>
      <c r="K802" s="11">
        <f>VLOOKUP(Table_Query_from_Cello_SQL_Server[[#This Row],[AsOfDate]], 'CMO MV Raw'!$A:$B,2,FALSE)</f>
        <v>306366458.75870901</v>
      </c>
      <c r="L802" s="5">
        <f>Table_Query_from_Cello_SQL_Server[[#This Row],[CMO MV]]/Table_Query_from_Cello_SQL_Server[[#This Row],[NAV]]*100</f>
        <v>70.896898105228033</v>
      </c>
    </row>
    <row r="803" spans="1:12" x14ac:dyDescent="0.2">
      <c r="A803" s="1">
        <v>41884</v>
      </c>
      <c r="B803">
        <v>696.03039999999999</v>
      </c>
      <c r="C803">
        <v>163.792</v>
      </c>
      <c r="D803">
        <v>334.29849999999999</v>
      </c>
      <c r="F803">
        <v>432068311.32870001</v>
      </c>
      <c r="G803">
        <v>161.09267500000001</v>
      </c>
      <c r="H803">
        <v>37.908819999999999</v>
      </c>
      <c r="I803">
        <v>77.371677000000005</v>
      </c>
      <c r="K803" s="11">
        <f>VLOOKUP(Table_Query_from_Cello_SQL_Server[[#This Row],[AsOfDate]], 'CMO MV Raw'!$A:$B,2,FALSE)</f>
        <v>307461861.91983002</v>
      </c>
      <c r="L803" s="5">
        <f>Table_Query_from_Cello_SQL_Server[[#This Row],[CMO MV]]/Table_Query_from_Cello_SQL_Server[[#This Row],[NAV]]*100</f>
        <v>71.160474827307013</v>
      </c>
    </row>
    <row r="804" spans="1:12" x14ac:dyDescent="0.2">
      <c r="A804" s="1">
        <v>41885</v>
      </c>
      <c r="B804">
        <v>698.07590000000005</v>
      </c>
      <c r="C804">
        <v>164.77699999999999</v>
      </c>
      <c r="D804">
        <v>334.32310000000001</v>
      </c>
      <c r="F804">
        <v>433248827.10159999</v>
      </c>
      <c r="G804">
        <v>161.12585999999999</v>
      </c>
      <c r="H804">
        <v>38.032879000000001</v>
      </c>
      <c r="I804">
        <v>77.166533000000001</v>
      </c>
      <c r="K804" s="11">
        <f>VLOOKUP(Table_Query_from_Cello_SQL_Server[[#This Row],[AsOfDate]], 'CMO MV Raw'!$A:$B,2,FALSE)</f>
        <v>308558490.00987703</v>
      </c>
      <c r="L804" s="5">
        <f>Table_Query_from_Cello_SQL_Server[[#This Row],[CMO MV]]/Table_Query_from_Cello_SQL_Server[[#This Row],[NAV]]*100</f>
        <v>71.219694251478685</v>
      </c>
    </row>
    <row r="805" spans="1:12" x14ac:dyDescent="0.2">
      <c r="A805" s="1">
        <v>41886</v>
      </c>
      <c r="B805">
        <v>692.76390000000004</v>
      </c>
      <c r="C805">
        <v>164.78210000000001</v>
      </c>
      <c r="D805">
        <v>332.88369999999998</v>
      </c>
      <c r="F805">
        <v>432913999.4156</v>
      </c>
      <c r="G805">
        <v>160.02344600000001</v>
      </c>
      <c r="H805">
        <v>38.063471999999997</v>
      </c>
      <c r="I805">
        <v>76.893725000000003</v>
      </c>
      <c r="K805" s="11">
        <f>VLOOKUP(Table_Query_from_Cello_SQL_Server[[#This Row],[AsOfDate]], 'CMO MV Raw'!$A:$B,2,FALSE)</f>
        <v>308944316.92410499</v>
      </c>
      <c r="L805" s="5">
        <f>Table_Query_from_Cello_SQL_Server[[#This Row],[CMO MV]]/Table_Query_from_Cello_SQL_Server[[#This Row],[NAV]]*100</f>
        <v>71.363900761157097</v>
      </c>
    </row>
    <row r="806" spans="1:12" x14ac:dyDescent="0.2">
      <c r="A806" s="1">
        <v>41887</v>
      </c>
      <c r="B806">
        <v>691.19820000000004</v>
      </c>
      <c r="C806">
        <v>165.58330000000001</v>
      </c>
      <c r="D806">
        <v>333.69049999999999</v>
      </c>
      <c r="F806">
        <v>433203050.3064</v>
      </c>
      <c r="G806">
        <v>159.55524800000001</v>
      </c>
      <c r="H806">
        <v>38.223022999999998</v>
      </c>
      <c r="I806">
        <v>77.028659000000005</v>
      </c>
      <c r="K806" s="11">
        <f>VLOOKUP(Table_Query_from_Cello_SQL_Server[[#This Row],[AsOfDate]], 'CMO MV Raw'!$A:$B,2,FALSE)</f>
        <v>309377242.719778</v>
      </c>
      <c r="L806" s="5">
        <f>Table_Query_from_Cello_SQL_Server[[#This Row],[CMO MV]]/Table_Query_from_Cello_SQL_Server[[#This Row],[NAV]]*100</f>
        <v>71.416219830621856</v>
      </c>
    </row>
    <row r="807" spans="1:12" x14ac:dyDescent="0.2">
      <c r="A807" s="1">
        <v>41890</v>
      </c>
      <c r="B807">
        <v>712.33579999999995</v>
      </c>
      <c r="C807">
        <v>171.3836</v>
      </c>
      <c r="D807">
        <v>327.05939999999998</v>
      </c>
      <c r="F807">
        <v>433715031.50709999</v>
      </c>
      <c r="G807">
        <v>164.24051499999999</v>
      </c>
      <c r="H807">
        <v>39.515255000000003</v>
      </c>
      <c r="I807">
        <v>75.408822999999998</v>
      </c>
      <c r="K807" s="11">
        <f>VLOOKUP(Table_Query_from_Cello_SQL_Server[[#This Row],[AsOfDate]], 'CMO MV Raw'!$A:$B,2,FALSE)</f>
        <v>304185017.25417101</v>
      </c>
      <c r="L807" s="5">
        <f>Table_Query_from_Cello_SQL_Server[[#This Row],[CMO MV]]/Table_Query_from_Cello_SQL_Server[[#This Row],[NAV]]*100</f>
        <v>70.134764801019216</v>
      </c>
    </row>
    <row r="808" spans="1:12" x14ac:dyDescent="0.2">
      <c r="A808" s="1">
        <v>41891</v>
      </c>
      <c r="B808">
        <v>711.24760000000003</v>
      </c>
      <c r="C808">
        <v>171.85749999999999</v>
      </c>
      <c r="D808">
        <v>325.98579999999998</v>
      </c>
      <c r="F808">
        <v>433458657.34859997</v>
      </c>
      <c r="G808">
        <v>164.08660599999999</v>
      </c>
      <c r="H808">
        <v>39.647956999999998</v>
      </c>
      <c r="I808">
        <v>75.205742000000001</v>
      </c>
      <c r="K808" s="11">
        <f>VLOOKUP(Table_Query_from_Cello_SQL_Server[[#This Row],[AsOfDate]], 'CMO MV Raw'!$A:$B,2,FALSE)</f>
        <v>302728842.01856399</v>
      </c>
      <c r="L808" s="5">
        <f>Table_Query_from_Cello_SQL_Server[[#This Row],[CMO MV]]/Table_Query_from_Cello_SQL_Server[[#This Row],[NAV]]*100</f>
        <v>69.840303541359589</v>
      </c>
    </row>
    <row r="809" spans="1:12" x14ac:dyDescent="0.2">
      <c r="A809" s="1">
        <v>41892</v>
      </c>
      <c r="B809">
        <v>708.72349999999994</v>
      </c>
      <c r="C809">
        <v>171.09559999999999</v>
      </c>
      <c r="D809">
        <v>325.3965</v>
      </c>
      <c r="F809">
        <v>431950094.84500003</v>
      </c>
      <c r="G809">
        <v>164.07532</v>
      </c>
      <c r="H809">
        <v>39.610039</v>
      </c>
      <c r="I809">
        <v>75.331965999999994</v>
      </c>
      <c r="K809" s="11">
        <f>VLOOKUP(Table_Query_from_Cello_SQL_Server[[#This Row],[AsOfDate]], 'CMO MV Raw'!$A:$B,2,FALSE)</f>
        <v>301602265.03764403</v>
      </c>
      <c r="L809" s="5">
        <f>Table_Query_from_Cello_SQL_Server[[#This Row],[CMO MV]]/Table_Query_from_Cello_SQL_Server[[#This Row],[NAV]]*100</f>
        <v>69.823405212092922</v>
      </c>
    </row>
    <row r="810" spans="1:12" x14ac:dyDescent="0.2">
      <c r="A810" s="1">
        <v>41893</v>
      </c>
      <c r="B810">
        <v>702.00829999999996</v>
      </c>
      <c r="C810">
        <v>168.59100000000001</v>
      </c>
      <c r="D810">
        <v>326.00439999999998</v>
      </c>
      <c r="F810">
        <v>431754770.54210001</v>
      </c>
      <c r="G810">
        <v>162.59422000000001</v>
      </c>
      <c r="H810">
        <v>39.04786</v>
      </c>
      <c r="I810">
        <v>75.506844000000001</v>
      </c>
      <c r="K810" s="11">
        <f>VLOOKUP(Table_Query_from_Cello_SQL_Server[[#This Row],[AsOfDate]], 'CMO MV Raw'!$A:$B,2,FALSE)</f>
        <v>301336614.14152598</v>
      </c>
      <c r="L810" s="5">
        <f>Table_Query_from_Cello_SQL_Server[[#This Row],[CMO MV]]/Table_Query_from_Cello_SQL_Server[[#This Row],[NAV]]*100</f>
        <v>69.793464878957934</v>
      </c>
    </row>
    <row r="811" spans="1:12" x14ac:dyDescent="0.2">
      <c r="A811" s="1">
        <v>41894</v>
      </c>
      <c r="B811">
        <v>696.33879999999999</v>
      </c>
      <c r="C811">
        <v>168.52160000000001</v>
      </c>
      <c r="D811">
        <v>273.58519999999999</v>
      </c>
      <c r="F811">
        <v>429606214.4914</v>
      </c>
      <c r="G811">
        <v>162.087693</v>
      </c>
      <c r="H811">
        <v>39.226993</v>
      </c>
      <c r="I811">
        <v>63.682785000000003</v>
      </c>
      <c r="K811" s="11">
        <f>VLOOKUP(Table_Query_from_Cello_SQL_Server[[#This Row],[AsOfDate]], 'CMO MV Raw'!$A:$B,2,FALSE)</f>
        <v>300292172.89845598</v>
      </c>
      <c r="L811" s="5">
        <f>Table_Query_from_Cello_SQL_Server[[#This Row],[CMO MV]]/Table_Query_from_Cello_SQL_Server[[#This Row],[NAV]]*100</f>
        <v>69.899401537746456</v>
      </c>
    </row>
    <row r="812" spans="1:12" x14ac:dyDescent="0.2">
      <c r="A812" s="1">
        <v>41897</v>
      </c>
      <c r="B812">
        <v>696.19539999999995</v>
      </c>
      <c r="C812">
        <v>168.2278</v>
      </c>
      <c r="D812">
        <v>273.89210000000003</v>
      </c>
      <c r="F812">
        <v>429965736.82920003</v>
      </c>
      <c r="G812">
        <v>161.91880900000001</v>
      </c>
      <c r="H812">
        <v>39.125861999999998</v>
      </c>
      <c r="I812">
        <v>63.700913</v>
      </c>
      <c r="K812" s="11">
        <f>VLOOKUP(Table_Query_from_Cello_SQL_Server[[#This Row],[AsOfDate]], 'CMO MV Raw'!$A:$B,2,FALSE)</f>
        <v>300514158.83251297</v>
      </c>
      <c r="L812" s="5">
        <f>Table_Query_from_Cello_SQL_Server[[#This Row],[CMO MV]]/Table_Query_from_Cello_SQL_Server[[#This Row],[NAV]]*100</f>
        <v>69.892582848267622</v>
      </c>
    </row>
    <row r="813" spans="1:12" x14ac:dyDescent="0.2">
      <c r="A813" s="1">
        <v>41898</v>
      </c>
      <c r="B813">
        <v>695.3252</v>
      </c>
      <c r="C813">
        <v>168.08580000000001</v>
      </c>
      <c r="D813">
        <v>273.50650000000002</v>
      </c>
      <c r="F813">
        <v>429860077.56830001</v>
      </c>
      <c r="G813">
        <v>161.75617099999999</v>
      </c>
      <c r="H813">
        <v>39.102445000000003</v>
      </c>
      <c r="I813">
        <v>63.626866999999997</v>
      </c>
      <c r="K813" s="11">
        <f>VLOOKUP(Table_Query_from_Cello_SQL_Server[[#This Row],[AsOfDate]], 'CMO MV Raw'!$A:$B,2,FALSE)</f>
        <v>299365599.85704303</v>
      </c>
      <c r="L813" s="5">
        <f>Table_Query_from_Cello_SQL_Server[[#This Row],[CMO MV]]/Table_Query_from_Cello_SQL_Server[[#This Row],[NAV]]*100</f>
        <v>69.642568705272978</v>
      </c>
    </row>
    <row r="814" spans="1:12" x14ac:dyDescent="0.2">
      <c r="A814" s="1">
        <v>41899</v>
      </c>
      <c r="B814">
        <v>692.07600000000002</v>
      </c>
      <c r="C814">
        <v>167.25909999999999</v>
      </c>
      <c r="D814">
        <v>274.17930000000001</v>
      </c>
      <c r="F814">
        <v>430029579.04189998</v>
      </c>
      <c r="G814">
        <v>160.936836</v>
      </c>
      <c r="H814">
        <v>38.89479</v>
      </c>
      <c r="I814">
        <v>63.758242000000003</v>
      </c>
      <c r="K814" s="11">
        <f>VLOOKUP(Table_Query_from_Cello_SQL_Server[[#This Row],[AsOfDate]], 'CMO MV Raw'!$A:$B,2,FALSE)</f>
        <v>299367293.785074</v>
      </c>
      <c r="L814" s="5">
        <f>Table_Query_from_Cello_SQL_Server[[#This Row],[CMO MV]]/Table_Query_from_Cello_SQL_Server[[#This Row],[NAV]]*100</f>
        <v>69.61551213571407</v>
      </c>
    </row>
    <row r="815" spans="1:12" x14ac:dyDescent="0.2">
      <c r="A815" s="1">
        <v>41900</v>
      </c>
      <c r="B815">
        <v>691.01059999999995</v>
      </c>
      <c r="C815">
        <v>167.1765</v>
      </c>
      <c r="D815">
        <v>274.36840000000001</v>
      </c>
      <c r="F815">
        <v>429857181.05970001</v>
      </c>
      <c r="G815">
        <v>160.75353200000001</v>
      </c>
      <c r="H815">
        <v>38.891173000000002</v>
      </c>
      <c r="I815">
        <v>63.827804</v>
      </c>
      <c r="K815" s="11">
        <f>VLOOKUP(Table_Query_from_Cello_SQL_Server[[#This Row],[AsOfDate]], 'CMO MV Raw'!$A:$B,2,FALSE)</f>
        <v>299206255.76187903</v>
      </c>
      <c r="L815" s="5">
        <f>Table_Query_from_Cello_SQL_Server[[#This Row],[CMO MV]]/Table_Query_from_Cello_SQL_Server[[#This Row],[NAV]]*100</f>
        <v>69.605968899778432</v>
      </c>
    </row>
    <row r="816" spans="1:12" x14ac:dyDescent="0.2">
      <c r="A816" s="1">
        <v>41901</v>
      </c>
      <c r="B816">
        <v>698.24339999999995</v>
      </c>
      <c r="C816">
        <v>168.36680000000001</v>
      </c>
      <c r="D816">
        <v>275.55520000000001</v>
      </c>
      <c r="F816">
        <v>431397448.639</v>
      </c>
      <c r="G816">
        <v>161.85617300000001</v>
      </c>
      <c r="H816">
        <v>39.028233</v>
      </c>
      <c r="I816">
        <v>63.875017999999997</v>
      </c>
      <c r="K816" s="11">
        <f>VLOOKUP(Table_Query_from_Cello_SQL_Server[[#This Row],[AsOfDate]], 'CMO MV Raw'!$A:$B,2,FALSE)</f>
        <v>299471804.96880198</v>
      </c>
      <c r="L816" s="5">
        <f>Table_Query_from_Cello_SQL_Server[[#This Row],[CMO MV]]/Table_Query_from_Cello_SQL_Server[[#This Row],[NAV]]*100</f>
        <v>69.419002340786804</v>
      </c>
    </row>
    <row r="817" spans="1:12" x14ac:dyDescent="0.2">
      <c r="A817" s="1">
        <v>41904</v>
      </c>
      <c r="B817">
        <v>700.06219999999996</v>
      </c>
      <c r="C817">
        <v>168.43520000000001</v>
      </c>
      <c r="D817">
        <v>276.0908</v>
      </c>
      <c r="F817">
        <v>432084460.28399998</v>
      </c>
      <c r="G817">
        <v>162.01975899999999</v>
      </c>
      <c r="H817">
        <v>38.982008</v>
      </c>
      <c r="I817">
        <v>63.897415000000002</v>
      </c>
      <c r="K817" s="11">
        <f>VLOOKUP(Table_Query_from_Cello_SQL_Server[[#This Row],[AsOfDate]], 'CMO MV Raw'!$A:$B,2,FALSE)</f>
        <v>300126901.59221601</v>
      </c>
      <c r="L817" s="5">
        <f>Table_Query_from_Cello_SQL_Server[[#This Row],[CMO MV]]/Table_Query_from_Cello_SQL_Server[[#This Row],[NAV]]*100</f>
        <v>69.460239647347862</v>
      </c>
    </row>
    <row r="818" spans="1:12" x14ac:dyDescent="0.2">
      <c r="A818" s="1">
        <v>41905</v>
      </c>
      <c r="B818">
        <v>703.88430000000005</v>
      </c>
      <c r="C818">
        <v>168.98410000000001</v>
      </c>
      <c r="D818">
        <v>276.61169999999998</v>
      </c>
      <c r="F818">
        <v>433065008.21359998</v>
      </c>
      <c r="G818">
        <v>162.535482</v>
      </c>
      <c r="H818">
        <v>39.020493000000002</v>
      </c>
      <c r="I818">
        <v>63.873019999999997</v>
      </c>
      <c r="K818" s="11">
        <f>VLOOKUP(Table_Query_from_Cello_SQL_Server[[#This Row],[AsOfDate]], 'CMO MV Raw'!$A:$B,2,FALSE)</f>
        <v>300882241.84195203</v>
      </c>
      <c r="L818" s="5">
        <f>Table_Query_from_Cello_SQL_Server[[#This Row],[CMO MV]]/Table_Query_from_Cello_SQL_Server[[#This Row],[NAV]]*100</f>
        <v>69.4773847194665</v>
      </c>
    </row>
    <row r="819" spans="1:12" x14ac:dyDescent="0.2">
      <c r="A819" s="1">
        <v>41906</v>
      </c>
      <c r="B819">
        <v>701.51589999999999</v>
      </c>
      <c r="C819">
        <v>169.47</v>
      </c>
      <c r="D819">
        <v>275.54259999999999</v>
      </c>
      <c r="F819">
        <v>432928427.03130001</v>
      </c>
      <c r="G819">
        <v>162.039694</v>
      </c>
      <c r="H819">
        <v>39.145038999999997</v>
      </c>
      <c r="I819">
        <v>63.646225000000001</v>
      </c>
      <c r="K819" s="11">
        <f>VLOOKUP(Table_Query_from_Cello_SQL_Server[[#This Row],[AsOfDate]], 'CMO MV Raw'!$A:$B,2,FALSE)</f>
        <v>300937834.33043402</v>
      </c>
      <c r="L819" s="5">
        <f>Table_Query_from_Cello_SQL_Server[[#This Row],[CMO MV]]/Table_Query_from_Cello_SQL_Server[[#This Row],[NAV]]*100</f>
        <v>69.51214462724036</v>
      </c>
    </row>
    <row r="820" spans="1:12" x14ac:dyDescent="0.2">
      <c r="A820" s="1">
        <v>41907</v>
      </c>
      <c r="B820">
        <v>695.37609999999995</v>
      </c>
      <c r="C820">
        <v>167.185</v>
      </c>
      <c r="D820">
        <v>258.62580000000003</v>
      </c>
      <c r="F820">
        <v>434119648.8581</v>
      </c>
      <c r="G820">
        <v>160.18074799999999</v>
      </c>
      <c r="H820">
        <v>38.511271999999998</v>
      </c>
      <c r="I820">
        <v>59.574773999999998</v>
      </c>
      <c r="K820" s="11">
        <f>VLOOKUP(Table_Query_from_Cello_SQL_Server[[#This Row],[AsOfDate]], 'CMO MV Raw'!$A:$B,2,FALSE)</f>
        <v>299667182.62309498</v>
      </c>
      <c r="L820" s="5">
        <f>Table_Query_from_Cello_SQL_Server[[#This Row],[CMO MV]]/Table_Query_from_Cello_SQL_Server[[#This Row],[NAV]]*100</f>
        <v>69.028707502950809</v>
      </c>
    </row>
    <row r="821" spans="1:12" x14ac:dyDescent="0.2">
      <c r="A821" s="1">
        <v>41908</v>
      </c>
      <c r="B821">
        <v>696.5847</v>
      </c>
      <c r="C821">
        <v>167.5693</v>
      </c>
      <c r="D821">
        <v>258.53089999999997</v>
      </c>
      <c r="F821">
        <v>434163084.3143</v>
      </c>
      <c r="G821">
        <v>160.44309699999999</v>
      </c>
      <c r="H821">
        <v>38.595934999999997</v>
      </c>
      <c r="I821">
        <v>59.546956000000002</v>
      </c>
      <c r="K821" s="11">
        <f>VLOOKUP(Table_Query_from_Cello_SQL_Server[[#This Row],[AsOfDate]], 'CMO MV Raw'!$A:$B,2,FALSE)</f>
        <v>299498569.02125698</v>
      </c>
      <c r="L821" s="5">
        <f>Table_Query_from_Cello_SQL_Server[[#This Row],[CMO MV]]/Table_Query_from_Cello_SQL_Server[[#This Row],[NAV]]*100</f>
        <v>68.982965121107242</v>
      </c>
    </row>
    <row r="822" spans="1:12" x14ac:dyDescent="0.2">
      <c r="A822" s="1">
        <v>41911</v>
      </c>
      <c r="B822">
        <v>698.32380000000001</v>
      </c>
      <c r="C822">
        <v>167.18260000000001</v>
      </c>
      <c r="D822">
        <v>259.27769999999998</v>
      </c>
      <c r="F822">
        <v>434403040.80489999</v>
      </c>
      <c r="G822">
        <v>160.75481400000001</v>
      </c>
      <c r="H822">
        <v>38.485596000000001</v>
      </c>
      <c r="I822">
        <v>59.685977000000001</v>
      </c>
      <c r="K822" s="11">
        <f>VLOOKUP(Table_Query_from_Cello_SQL_Server[[#This Row],[AsOfDate]], 'CMO MV Raw'!$A:$B,2,FALSE)</f>
        <v>299337856.712964</v>
      </c>
      <c r="L822" s="5">
        <f>Table_Query_from_Cello_SQL_Server[[#This Row],[CMO MV]]/Table_Query_from_Cello_SQL_Server[[#This Row],[NAV]]*100</f>
        <v>68.907864032978367</v>
      </c>
    </row>
    <row r="823" spans="1:12" x14ac:dyDescent="0.2">
      <c r="A823" s="1">
        <v>41912</v>
      </c>
      <c r="B823">
        <v>690.96339999999998</v>
      </c>
      <c r="C823">
        <v>165.48859999999999</v>
      </c>
      <c r="D823">
        <v>258.65069999999997</v>
      </c>
      <c r="F823">
        <v>432835778.43970001</v>
      </c>
      <c r="G823">
        <v>159.63638700000001</v>
      </c>
      <c r="H823">
        <v>38.233576999999997</v>
      </c>
      <c r="I823">
        <v>59.757237000000003</v>
      </c>
      <c r="K823" s="11">
        <f>VLOOKUP(Table_Query_from_Cello_SQL_Server[[#This Row],[AsOfDate]], 'CMO MV Raw'!$A:$B,2,FALSE)</f>
        <v>298501089.35640502</v>
      </c>
      <c r="L823" s="5">
        <f>Table_Query_from_Cello_SQL_Server[[#This Row],[CMO MV]]/Table_Query_from_Cello_SQL_Server[[#This Row],[NAV]]*100</f>
        <v>68.964051546859437</v>
      </c>
    </row>
    <row r="824" spans="1:12" x14ac:dyDescent="0.2">
      <c r="A824" s="1">
        <v>41913</v>
      </c>
      <c r="B824">
        <v>697.65340000000003</v>
      </c>
      <c r="C824">
        <v>164.76060000000001</v>
      </c>
      <c r="D824">
        <v>262.3852</v>
      </c>
      <c r="F824">
        <v>422894632.87989998</v>
      </c>
      <c r="G824">
        <v>164.97097500000001</v>
      </c>
      <c r="H824">
        <v>38.960200999999998</v>
      </c>
      <c r="I824">
        <v>62.045053000000003</v>
      </c>
      <c r="K824" s="11">
        <f>VLOOKUP(Table_Query_from_Cello_SQL_Server[[#This Row],[AsOfDate]], 'CMO MV Raw'!$A:$B,2,FALSE)</f>
        <v>299678136.32004702</v>
      </c>
      <c r="L824" s="5">
        <f>Table_Query_from_Cello_SQL_Server[[#This Row],[CMO MV]]/Table_Query_from_Cello_SQL_Server[[#This Row],[NAV]]*100</f>
        <v>70.863546855453734</v>
      </c>
    </row>
    <row r="825" spans="1:12" x14ac:dyDescent="0.2">
      <c r="A825" s="1">
        <v>41914</v>
      </c>
      <c r="B825">
        <v>694.92740000000003</v>
      </c>
      <c r="C825">
        <v>164.61770000000001</v>
      </c>
      <c r="D825">
        <v>261.31209999999999</v>
      </c>
      <c r="F825">
        <v>422211890.6365</v>
      </c>
      <c r="G825">
        <v>164.592096</v>
      </c>
      <c r="H825">
        <v>38.989356999999998</v>
      </c>
      <c r="I825">
        <v>61.891221999999999</v>
      </c>
      <c r="K825" s="11">
        <f>VLOOKUP(Table_Query_from_Cello_SQL_Server[[#This Row],[AsOfDate]], 'CMO MV Raw'!$A:$B,2,FALSE)</f>
        <v>299398372.779217</v>
      </c>
      <c r="L825" s="5">
        <f>Table_Query_from_Cello_SQL_Server[[#This Row],[CMO MV]]/Table_Query_from_Cello_SQL_Server[[#This Row],[NAV]]*100</f>
        <v>70.911876102746163</v>
      </c>
    </row>
    <row r="826" spans="1:12" x14ac:dyDescent="0.2">
      <c r="A826" s="1">
        <v>41915</v>
      </c>
      <c r="B826">
        <v>696.39620000000002</v>
      </c>
      <c r="C826">
        <v>165.49520000000001</v>
      </c>
      <c r="D826">
        <v>261.15660000000003</v>
      </c>
      <c r="F826">
        <v>422709033.04220003</v>
      </c>
      <c r="G826">
        <v>164.745994</v>
      </c>
      <c r="H826">
        <v>39.151091000000001</v>
      </c>
      <c r="I826">
        <v>61.781646000000002</v>
      </c>
      <c r="K826" s="11">
        <f>VLOOKUP(Table_Query_from_Cello_SQL_Server[[#This Row],[AsOfDate]], 'CMO MV Raw'!$A:$B,2,FALSE)</f>
        <v>299622727.37837201</v>
      </c>
      <c r="L826" s="5">
        <f>Table_Query_from_Cello_SQL_Server[[#This Row],[CMO MV]]/Table_Query_from_Cello_SQL_Server[[#This Row],[NAV]]*100</f>
        <v>70.881553020528898</v>
      </c>
    </row>
    <row r="827" spans="1:12" x14ac:dyDescent="0.2">
      <c r="A827" s="1">
        <v>41918</v>
      </c>
      <c r="B827">
        <v>695.20709999999997</v>
      </c>
      <c r="C827">
        <v>164.84610000000001</v>
      </c>
      <c r="D827">
        <v>261.625</v>
      </c>
      <c r="F827">
        <v>422979325.95660001</v>
      </c>
      <c r="G827">
        <v>164.35959299999999</v>
      </c>
      <c r="H827">
        <v>38.972614</v>
      </c>
      <c r="I827">
        <v>61.852905</v>
      </c>
      <c r="K827" s="11">
        <f>VLOOKUP(Table_Query_from_Cello_SQL_Server[[#This Row],[AsOfDate]], 'CMO MV Raw'!$A:$B,2,FALSE)</f>
        <v>299977461.948439</v>
      </c>
      <c r="L827" s="5">
        <f>Table_Query_from_Cello_SQL_Server[[#This Row],[CMO MV]]/Table_Query_from_Cello_SQL_Server[[#This Row],[NAV]]*100</f>
        <v>70.920123878399281</v>
      </c>
    </row>
    <row r="828" spans="1:12" x14ac:dyDescent="0.2">
      <c r="A828" s="1">
        <v>41919</v>
      </c>
      <c r="B828">
        <v>698.29639999999995</v>
      </c>
      <c r="C828">
        <v>164.11879999999999</v>
      </c>
      <c r="D828">
        <v>262.34789999999998</v>
      </c>
      <c r="F828">
        <v>422901397.22219998</v>
      </c>
      <c r="G828">
        <v>165.12038100000001</v>
      </c>
      <c r="H828">
        <v>38.807817</v>
      </c>
      <c r="I828">
        <v>62.035240999999999</v>
      </c>
      <c r="K828" s="11">
        <f>VLOOKUP(Table_Query_from_Cello_SQL_Server[[#This Row],[AsOfDate]], 'CMO MV Raw'!$A:$B,2,FALSE)</f>
        <v>300153983.27533799</v>
      </c>
      <c r="L828" s="5">
        <f>Table_Query_from_Cello_SQL_Server[[#This Row],[CMO MV]]/Table_Query_from_Cello_SQL_Server[[#This Row],[NAV]]*100</f>
        <v>70.974932986005641</v>
      </c>
    </row>
    <row r="829" spans="1:12" x14ac:dyDescent="0.2">
      <c r="A829" s="1">
        <v>41920</v>
      </c>
      <c r="B829">
        <v>701.65279999999996</v>
      </c>
      <c r="C829">
        <v>163.5504</v>
      </c>
      <c r="D829">
        <v>265.80270000000002</v>
      </c>
      <c r="F829">
        <v>422282339.88069999</v>
      </c>
      <c r="G829">
        <v>166.15726799999999</v>
      </c>
      <c r="H829">
        <v>38.730106999999997</v>
      </c>
      <c r="I829">
        <v>62.944308999999997</v>
      </c>
      <c r="K829" s="11">
        <f>VLOOKUP(Table_Query_from_Cello_SQL_Server[[#This Row],[AsOfDate]], 'CMO MV Raw'!$A:$B,2,FALSE)</f>
        <v>298603356.58212203</v>
      </c>
      <c r="L829" s="5">
        <f>Table_Query_from_Cello_SQL_Server[[#This Row],[CMO MV]]/Table_Query_from_Cello_SQL_Server[[#This Row],[NAV]]*100</f>
        <v>70.711779390651557</v>
      </c>
    </row>
    <row r="830" spans="1:12" x14ac:dyDescent="0.2">
      <c r="A830" s="1">
        <v>41921</v>
      </c>
      <c r="B830">
        <v>702.66700000000003</v>
      </c>
      <c r="C830">
        <v>163.7458</v>
      </c>
      <c r="D830">
        <v>265.44380000000001</v>
      </c>
      <c r="F830">
        <v>422139007.98500001</v>
      </c>
      <c r="G830">
        <v>166.453937</v>
      </c>
      <c r="H830">
        <v>38.789544999999997</v>
      </c>
      <c r="I830">
        <v>62.880661000000003</v>
      </c>
      <c r="K830" s="11">
        <f>VLOOKUP(Table_Query_from_Cello_SQL_Server[[#This Row],[AsOfDate]], 'CMO MV Raw'!$A:$B,2,FALSE)</f>
        <v>298356267.49470103</v>
      </c>
      <c r="L830" s="5">
        <f>Table_Query_from_Cello_SQL_Server[[#This Row],[CMO MV]]/Table_Query_from_Cello_SQL_Server[[#This Row],[NAV]]*100</f>
        <v>70.677256034415706</v>
      </c>
    </row>
    <row r="831" spans="1:12" x14ac:dyDescent="0.2">
      <c r="A831" s="1">
        <v>41922</v>
      </c>
      <c r="B831">
        <v>700.83259999999996</v>
      </c>
      <c r="C831">
        <v>162.09450000000001</v>
      </c>
      <c r="D831">
        <v>290.05459999999999</v>
      </c>
      <c r="F831">
        <v>423234609.98369998</v>
      </c>
      <c r="G831">
        <v>165.58962399999999</v>
      </c>
      <c r="H831">
        <v>38.298971000000002</v>
      </c>
      <c r="I831">
        <v>68.532816999999994</v>
      </c>
      <c r="K831" s="11">
        <f>VLOOKUP(Table_Query_from_Cello_SQL_Server[[#This Row],[AsOfDate]], 'CMO MV Raw'!$A:$B,2,FALSE)</f>
        <v>298593068.91039002</v>
      </c>
      <c r="L831" s="5">
        <f>Table_Query_from_Cello_SQL_Server[[#This Row],[CMO MV]]/Table_Query_from_Cello_SQL_Server[[#This Row],[NAV]]*100</f>
        <v>70.550248459569445</v>
      </c>
    </row>
    <row r="832" spans="1:12" x14ac:dyDescent="0.2">
      <c r="A832" s="1">
        <v>41926</v>
      </c>
      <c r="B832">
        <v>705.23770000000002</v>
      </c>
      <c r="C832">
        <v>159.10400000000001</v>
      </c>
      <c r="D832">
        <v>244.54179999999999</v>
      </c>
      <c r="F832">
        <v>423111805.29890001</v>
      </c>
      <c r="G832">
        <v>166.67880500000001</v>
      </c>
      <c r="H832">
        <v>37.603299999999997</v>
      </c>
      <c r="I832">
        <v>57.796024000000003</v>
      </c>
      <c r="K832" s="11">
        <f>VLOOKUP(Table_Query_from_Cello_SQL_Server[[#This Row],[AsOfDate]], 'CMO MV Raw'!$A:$B,2,FALSE)</f>
        <v>296804002.65891099</v>
      </c>
      <c r="L832" s="5">
        <f>Table_Query_from_Cello_SQL_Server[[#This Row],[CMO MV]]/Table_Query_from_Cello_SQL_Server[[#This Row],[NAV]]*100</f>
        <v>70.147889740216286</v>
      </c>
    </row>
    <row r="833" spans="1:12" x14ac:dyDescent="0.2">
      <c r="A833" s="1">
        <v>41927</v>
      </c>
      <c r="B833">
        <v>528.25639999999999</v>
      </c>
      <c r="C833">
        <v>115.5137</v>
      </c>
      <c r="D833">
        <v>72.625</v>
      </c>
      <c r="F833">
        <v>422384893.65549999</v>
      </c>
      <c r="G833">
        <v>125.065173</v>
      </c>
      <c r="H833">
        <v>27.347971000000001</v>
      </c>
      <c r="I833">
        <v>17.194033000000001</v>
      </c>
      <c r="K833" s="11">
        <f>VLOOKUP(Table_Query_from_Cello_SQL_Server[[#This Row],[AsOfDate]], 'CMO MV Raw'!$A:$B,2,FALSE)</f>
        <v>258045595.23517099</v>
      </c>
      <c r="L833" s="5">
        <f>Table_Query_from_Cello_SQL_Server[[#This Row],[CMO MV]]/Table_Query_from_Cello_SQL_Server[[#This Row],[NAV]]*100</f>
        <v>61.092524640721344</v>
      </c>
    </row>
    <row r="834" spans="1:12" x14ac:dyDescent="0.2">
      <c r="A834" s="1">
        <v>41928</v>
      </c>
      <c r="B834">
        <v>527.59199999999998</v>
      </c>
      <c r="C834">
        <v>116.9036</v>
      </c>
      <c r="D834">
        <v>69.586299999999994</v>
      </c>
      <c r="F834">
        <v>421188755.20380002</v>
      </c>
      <c r="G834">
        <v>125.262603</v>
      </c>
      <c r="H834">
        <v>27.755631999999999</v>
      </c>
      <c r="I834">
        <v>16.521405000000001</v>
      </c>
      <c r="K834" s="11">
        <f>VLOOKUP(Table_Query_from_Cello_SQL_Server[[#This Row],[AsOfDate]], 'CMO MV Raw'!$A:$B,2,FALSE)</f>
        <v>257593958.783544</v>
      </c>
      <c r="L834" s="5">
        <f>Table_Query_from_Cello_SQL_Server[[#This Row],[CMO MV]]/Table_Query_from_Cello_SQL_Server[[#This Row],[NAV]]*100</f>
        <v>61.158792964190688</v>
      </c>
    </row>
    <row r="835" spans="1:12" x14ac:dyDescent="0.2">
      <c r="A835" s="1">
        <v>41929</v>
      </c>
      <c r="B835">
        <v>526.56970000000001</v>
      </c>
      <c r="C835">
        <v>116.91330000000001</v>
      </c>
      <c r="D835">
        <v>44.243699999999997</v>
      </c>
      <c r="F835">
        <v>420194807.37889999</v>
      </c>
      <c r="G835">
        <v>125.315613</v>
      </c>
      <c r="H835">
        <v>27.823595000000001</v>
      </c>
      <c r="I835">
        <v>10.529331000000001</v>
      </c>
      <c r="K835" s="11">
        <f>VLOOKUP(Table_Query_from_Cello_SQL_Server[[#This Row],[AsOfDate]], 'CMO MV Raw'!$A:$B,2,FALSE)</f>
        <v>257123621.313685</v>
      </c>
      <c r="L835" s="5">
        <f>Table_Query_from_Cello_SQL_Server[[#This Row],[CMO MV]]/Table_Query_from_Cello_SQL_Server[[#This Row],[NAV]]*100</f>
        <v>61.191527548276035</v>
      </c>
    </row>
    <row r="836" spans="1:12" x14ac:dyDescent="0.2">
      <c r="A836" s="1">
        <v>41932</v>
      </c>
      <c r="B836">
        <v>526.67920000000004</v>
      </c>
      <c r="C836">
        <v>116.1658</v>
      </c>
      <c r="D836">
        <v>45.773099999999999</v>
      </c>
      <c r="F836">
        <v>420275797.0747</v>
      </c>
      <c r="G836">
        <v>125.317519</v>
      </c>
      <c r="H836">
        <v>27.640373</v>
      </c>
      <c r="I836">
        <v>10.891204999999999</v>
      </c>
      <c r="K836" s="11">
        <f>VLOOKUP(Table_Query_from_Cello_SQL_Server[[#This Row],[AsOfDate]], 'CMO MV Raw'!$A:$B,2,FALSE)</f>
        <v>257396741.95238501</v>
      </c>
      <c r="L836" s="5">
        <f>Table_Query_from_Cello_SQL_Server[[#This Row],[CMO MV]]/Table_Query_from_Cello_SQL_Server[[#This Row],[NAV]]*100</f>
        <v>61.244721619464372</v>
      </c>
    </row>
    <row r="837" spans="1:12" x14ac:dyDescent="0.2">
      <c r="A837" s="1">
        <v>41933</v>
      </c>
      <c r="B837">
        <v>525.40179999999998</v>
      </c>
      <c r="C837">
        <v>116.0986</v>
      </c>
      <c r="D837">
        <v>44.419400000000003</v>
      </c>
      <c r="F837">
        <v>419259715.90499997</v>
      </c>
      <c r="G837">
        <v>125.316547</v>
      </c>
      <c r="H837">
        <v>27.691331999999999</v>
      </c>
      <c r="I837">
        <v>10.594722000000001</v>
      </c>
      <c r="K837" s="4">
        <f>VLOOKUP(Table_Query_from_Cello_SQL_Server[[#This Row],[AsOfDate]], 'CMO MV Raw'!$A:$B,2,FALSE)</f>
        <v>256315746.720301</v>
      </c>
      <c r="L837" s="5">
        <f>Table_Query_from_Cello_SQL_Server[[#This Row],[CMO MV]]/Table_Query_from_Cello_SQL_Server[[#This Row],[NAV]]*100</f>
        <v>61.135314697961483</v>
      </c>
    </row>
    <row r="838" spans="1:12" x14ac:dyDescent="0.2">
      <c r="A838" s="1">
        <v>41934</v>
      </c>
      <c r="B838">
        <v>525.34450000000004</v>
      </c>
      <c r="C838">
        <v>116.3019</v>
      </c>
      <c r="D838">
        <v>44.045000000000002</v>
      </c>
      <c r="F838">
        <v>418808134.07929999</v>
      </c>
      <c r="G838">
        <v>125.437989</v>
      </c>
      <c r="H838">
        <v>27.769732999999999</v>
      </c>
      <c r="I838">
        <v>10.516749000000001</v>
      </c>
      <c r="K838" s="4">
        <f>VLOOKUP(Table_Query_from_Cello_SQL_Server[[#This Row],[AsOfDate]], 'CMO MV Raw'!$A:$B,2,FALSE)</f>
        <v>256127106.059995</v>
      </c>
      <c r="L838" s="5">
        <f>Table_Query_from_Cello_SQL_Server[[#This Row],[CMO MV]]/Table_Query_from_Cello_SQL_Server[[#This Row],[NAV]]*100</f>
        <v>61.156191873651181</v>
      </c>
    </row>
    <row r="839" spans="1:12" x14ac:dyDescent="0.2">
      <c r="A839" s="1">
        <v>41935</v>
      </c>
      <c r="B839">
        <v>524.2482</v>
      </c>
      <c r="C839">
        <v>117.66670000000001</v>
      </c>
      <c r="D839">
        <v>41.651899999999998</v>
      </c>
      <c r="F839">
        <v>418245742.59600002</v>
      </c>
      <c r="G839">
        <v>125.344539</v>
      </c>
      <c r="H839">
        <v>28.133389000000001</v>
      </c>
      <c r="I839">
        <v>9.9587149999999998</v>
      </c>
      <c r="K839" s="4">
        <f>VLOOKUP(Table_Query_from_Cello_SQL_Server[[#This Row],[AsOfDate]], 'CMO MV Raw'!$A:$B,2,FALSE)</f>
        <v>256167489.26998699</v>
      </c>
      <c r="L839" s="5">
        <f>Table_Query_from_Cello_SQL_Server[[#This Row],[CMO MV]]/Table_Query_from_Cello_SQL_Server[[#This Row],[NAV]]*100</f>
        <v>61.248080537529638</v>
      </c>
    </row>
    <row r="840" spans="1:12" x14ac:dyDescent="0.2">
      <c r="A840" s="1">
        <v>41936</v>
      </c>
      <c r="B840">
        <v>526.67930000000001</v>
      </c>
      <c r="C840">
        <v>119.1069</v>
      </c>
      <c r="D840">
        <v>41.096800000000002</v>
      </c>
      <c r="F840">
        <v>419323638.17290002</v>
      </c>
      <c r="G840">
        <v>125.602101</v>
      </c>
      <c r="H840">
        <v>28.404527999999999</v>
      </c>
      <c r="I840">
        <v>9.8007349999999995</v>
      </c>
      <c r="K840" s="4">
        <f>VLOOKUP(Table_Query_from_Cello_SQL_Server[[#This Row],[AsOfDate]], 'CMO MV Raw'!$A:$B,2,FALSE)</f>
        <v>257229065.90519199</v>
      </c>
      <c r="L840" s="5">
        <f>Table_Query_from_Cello_SQL_Server[[#This Row],[CMO MV]]/Table_Query_from_Cello_SQL_Server[[#This Row],[NAV]]*100</f>
        <v>61.343802850229146</v>
      </c>
    </row>
    <row r="841" spans="1:12" x14ac:dyDescent="0.2">
      <c r="A841" s="1">
        <v>41939</v>
      </c>
      <c r="B841">
        <v>527.84879999999998</v>
      </c>
      <c r="C841">
        <v>119.2567</v>
      </c>
      <c r="D841">
        <v>41.832900000000002</v>
      </c>
      <c r="F841">
        <v>419901571.07859999</v>
      </c>
      <c r="G841">
        <v>125.707746</v>
      </c>
      <c r="H841">
        <v>28.401108000000001</v>
      </c>
      <c r="I841">
        <v>9.9625489999999992</v>
      </c>
      <c r="K841" s="4">
        <f>VLOOKUP(Table_Query_from_Cello_SQL_Server[[#This Row],[AsOfDate]], 'CMO MV Raw'!$A:$B,2,FALSE)</f>
        <v>257875577.754053</v>
      </c>
      <c r="L841" s="5">
        <f>Table_Query_from_Cello_SQL_Server[[#This Row],[CMO MV]]/Table_Query_from_Cello_SQL_Server[[#This Row],[NAV]]*100</f>
        <v>61.413339581380633</v>
      </c>
    </row>
    <row r="842" spans="1:12" x14ac:dyDescent="0.2">
      <c r="A842" s="1">
        <v>41940</v>
      </c>
      <c r="B842">
        <v>523.15009999999995</v>
      </c>
      <c r="C842">
        <v>119.0637</v>
      </c>
      <c r="D842">
        <v>41.132599999999996</v>
      </c>
      <c r="F842">
        <v>419697268.60509998</v>
      </c>
      <c r="G842">
        <v>124.649394</v>
      </c>
      <c r="H842">
        <v>28.368948</v>
      </c>
      <c r="I842">
        <v>9.8005399999999998</v>
      </c>
      <c r="K842" s="4">
        <f>VLOOKUP(Table_Query_from_Cello_SQL_Server[[#This Row],[AsOfDate]], 'CMO MV Raw'!$A:$B,2,FALSE)</f>
        <v>256451038.63116199</v>
      </c>
      <c r="L842" s="5">
        <f>Table_Query_from_Cello_SQL_Server[[#This Row],[CMO MV]]/Table_Query_from_Cello_SQL_Server[[#This Row],[NAV]]*100</f>
        <v>61.103814061859183</v>
      </c>
    </row>
    <row r="843" spans="1:12" x14ac:dyDescent="0.2">
      <c r="A843" s="1">
        <v>41941</v>
      </c>
      <c r="B843">
        <v>522.06439999999998</v>
      </c>
      <c r="C843">
        <v>120.0095</v>
      </c>
      <c r="D843">
        <v>40.412500000000001</v>
      </c>
      <c r="F843">
        <v>420541807.35280001</v>
      </c>
      <c r="G843">
        <v>124.14090400000001</v>
      </c>
      <c r="H843">
        <v>28.536877</v>
      </c>
      <c r="I843">
        <v>9.6096269999999997</v>
      </c>
      <c r="K843" s="4">
        <f>VLOOKUP(Table_Query_from_Cello_SQL_Server[[#This Row],[AsOfDate]], 'CMO MV Raw'!$A:$B,2,FALSE)</f>
        <v>256408689.48440501</v>
      </c>
      <c r="L843" s="5">
        <f>Table_Query_from_Cello_SQL_Server[[#This Row],[CMO MV]]/Table_Query_from_Cello_SQL_Server[[#This Row],[NAV]]*100</f>
        <v>60.971034270868387</v>
      </c>
    </row>
    <row r="844" spans="1:12" x14ac:dyDescent="0.2">
      <c r="A844" s="1">
        <v>41942</v>
      </c>
      <c r="B844">
        <v>521.58849999999995</v>
      </c>
      <c r="C844">
        <v>119.706</v>
      </c>
      <c r="D844">
        <v>41.222499999999997</v>
      </c>
      <c r="F844">
        <v>420737273.46780002</v>
      </c>
      <c r="G844">
        <v>123.970119</v>
      </c>
      <c r="H844">
        <v>28.451484000000001</v>
      </c>
      <c r="I844">
        <v>9.797682</v>
      </c>
      <c r="K844" s="4">
        <f>VLOOKUP(Table_Query_from_Cello_SQL_Server[[#This Row],[AsOfDate]], 'CMO MV Raw'!$A:$B,2,FALSE)</f>
        <v>256844586.39367899</v>
      </c>
      <c r="L844" s="5">
        <f>Table_Query_from_Cello_SQL_Server[[#This Row],[CMO MV]]/Table_Query_from_Cello_SQL_Server[[#This Row],[NAV]]*100</f>
        <v>61.046311461001537</v>
      </c>
    </row>
    <row r="845" spans="1:12" x14ac:dyDescent="0.2">
      <c r="A845" s="1">
        <v>41943</v>
      </c>
      <c r="B845">
        <v>522.66449999999998</v>
      </c>
      <c r="C845">
        <v>120.8711</v>
      </c>
      <c r="D845">
        <v>40.2151</v>
      </c>
      <c r="F845">
        <v>420439061.47479999</v>
      </c>
      <c r="G845">
        <v>124.313973</v>
      </c>
      <c r="H845">
        <v>28.74878</v>
      </c>
      <c r="I845">
        <v>9.5650250000000003</v>
      </c>
      <c r="K845" s="4">
        <f>VLOOKUP(Table_Query_from_Cello_SQL_Server[[#This Row],[AsOfDate]], 'CMO MV Raw'!$A:$B,2,FALSE)</f>
        <v>257493788.90979299</v>
      </c>
      <c r="L845" s="5">
        <f>Table_Query_from_Cello_SQL_Server[[#This Row],[CMO MV]]/Table_Query_from_Cello_SQL_Server[[#This Row],[NAV]]*100</f>
        <v>61.24402143001798</v>
      </c>
    </row>
    <row r="846" spans="1:12" x14ac:dyDescent="0.2">
      <c r="A846" s="1">
        <v>41946</v>
      </c>
      <c r="B846">
        <v>521.84490000000005</v>
      </c>
      <c r="C846">
        <v>121.6293</v>
      </c>
      <c r="D846">
        <v>39.578000000000003</v>
      </c>
      <c r="F846">
        <v>421443646.43049997</v>
      </c>
      <c r="G846">
        <v>123.82317399999999</v>
      </c>
      <c r="H846">
        <v>28.860157000000001</v>
      </c>
      <c r="I846">
        <v>9.3910540000000005</v>
      </c>
      <c r="K846" s="4">
        <f>VLOOKUP(Table_Query_from_Cello_SQL_Server[[#This Row],[AsOfDate]], 'CMO MV Raw'!$A:$B,2,FALSE)</f>
        <v>258050640.645464</v>
      </c>
      <c r="L846" s="5">
        <f>Table_Query_from_Cello_SQL_Server[[#This Row],[CMO MV]]/Table_Query_from_Cello_SQL_Server[[#This Row],[NAV]]*100</f>
        <v>61.230165131465327</v>
      </c>
    </row>
    <row r="847" spans="1:12" x14ac:dyDescent="0.2">
      <c r="A847" s="1">
        <v>41947</v>
      </c>
      <c r="B847">
        <v>522.41930000000002</v>
      </c>
      <c r="C847">
        <v>121.8955</v>
      </c>
      <c r="D847">
        <v>39.551699999999997</v>
      </c>
      <c r="F847">
        <v>421968478.11049998</v>
      </c>
      <c r="G847">
        <v>123.80529</v>
      </c>
      <c r="H847">
        <v>28.887346999999998</v>
      </c>
      <c r="I847">
        <v>9.3731410000000004</v>
      </c>
      <c r="K847" s="4">
        <f>VLOOKUP(Table_Query_from_Cello_SQL_Server[[#This Row],[AsOfDate]], 'CMO MV Raw'!$A:$B,2,FALSE)</f>
        <v>258389297.515405</v>
      </c>
      <c r="L847" s="5">
        <f>Table_Query_from_Cello_SQL_Server[[#This Row],[CMO MV]]/Table_Query_from_Cello_SQL_Server[[#This Row],[NAV]]*100</f>
        <v>61.234265334800938</v>
      </c>
    </row>
    <row r="848" spans="1:12" x14ac:dyDescent="0.2">
      <c r="A848" s="1">
        <v>41948</v>
      </c>
      <c r="B848">
        <v>521.49959999999999</v>
      </c>
      <c r="C848">
        <v>121.73180000000001</v>
      </c>
      <c r="D848">
        <v>39.769399999999997</v>
      </c>
      <c r="F848">
        <v>421695031.03960001</v>
      </c>
      <c r="G848">
        <v>123.66747599999999</v>
      </c>
      <c r="H848">
        <v>28.867260000000002</v>
      </c>
      <c r="I848">
        <v>9.4308440000000004</v>
      </c>
      <c r="K848" s="4">
        <f>VLOOKUP(Table_Query_from_Cello_SQL_Server[[#This Row],[AsOfDate]], 'CMO MV Raw'!$A:$B,2,FALSE)</f>
        <v>258209541.78743601</v>
      </c>
      <c r="L848" s="5">
        <f>Table_Query_from_Cello_SQL_Server[[#This Row],[CMO MV]]/Table_Query_from_Cello_SQL_Server[[#This Row],[NAV]]*100</f>
        <v>61.231345588985228</v>
      </c>
    </row>
    <row r="849" spans="1:12" x14ac:dyDescent="0.2">
      <c r="A849" s="1">
        <v>41949</v>
      </c>
      <c r="B849">
        <v>519.18859999999995</v>
      </c>
      <c r="C849">
        <v>121.32380000000001</v>
      </c>
      <c r="D849">
        <v>39.898600000000002</v>
      </c>
      <c r="F849">
        <v>420913437.8786</v>
      </c>
      <c r="G849">
        <v>123.34807000000001</v>
      </c>
      <c r="H849">
        <v>28.823931000000002</v>
      </c>
      <c r="I849">
        <v>9.4790510000000001</v>
      </c>
      <c r="K849" s="4">
        <f>VLOOKUP(Table_Query_from_Cello_SQL_Server[[#This Row],[AsOfDate]], 'CMO MV Raw'!$A:$B,2,FALSE)</f>
        <v>257691359.64729699</v>
      </c>
      <c r="L849" s="5">
        <f>Table_Query_from_Cello_SQL_Server[[#This Row],[CMO MV]]/Table_Query_from_Cello_SQL_Server[[#This Row],[NAV]]*100</f>
        <v>61.221936972613456</v>
      </c>
    </row>
    <row r="850" spans="1:12" x14ac:dyDescent="0.2">
      <c r="A850" s="1">
        <v>41950</v>
      </c>
      <c r="B850">
        <v>525.3098</v>
      </c>
      <c r="C850">
        <v>122.0051</v>
      </c>
      <c r="D850">
        <v>40.878100000000003</v>
      </c>
      <c r="F850">
        <v>422161408.87739998</v>
      </c>
      <c r="G850">
        <v>124.433401</v>
      </c>
      <c r="H850">
        <v>28.900106999999998</v>
      </c>
      <c r="I850">
        <v>9.6830499999999997</v>
      </c>
      <c r="K850" s="4">
        <f>VLOOKUP(Table_Query_from_Cello_SQL_Server[[#This Row],[AsOfDate]], 'CMO MV Raw'!$A:$B,2,FALSE)</f>
        <v>258702623.439567</v>
      </c>
      <c r="L850" s="5">
        <f>Table_Query_from_Cello_SQL_Server[[#This Row],[CMO MV]]/Table_Query_from_Cello_SQL_Server[[#This Row],[NAV]]*100</f>
        <v>61.280500301413596</v>
      </c>
    </row>
    <row r="851" spans="1:12" x14ac:dyDescent="0.2">
      <c r="A851" s="1">
        <v>41953</v>
      </c>
      <c r="B851">
        <v>516.85339999999997</v>
      </c>
      <c r="C851">
        <v>120.0068</v>
      </c>
      <c r="D851">
        <v>39.565300000000001</v>
      </c>
      <c r="F851">
        <v>420911561.19400001</v>
      </c>
      <c r="G851">
        <v>122.793824</v>
      </c>
      <c r="H851">
        <v>28.511167</v>
      </c>
      <c r="I851">
        <v>9.3999079999999999</v>
      </c>
      <c r="K851" s="4">
        <f>VLOOKUP(Table_Query_from_Cello_SQL_Server[[#This Row],[AsOfDate]], 'CMO MV Raw'!$A:$B,2,FALSE)</f>
        <v>256411208.65599501</v>
      </c>
      <c r="L851" s="5">
        <f>Table_Query_from_Cello_SQL_Server[[#This Row],[CMO MV]]/Table_Query_from_Cello_SQL_Server[[#This Row],[NAV]]*100</f>
        <v>60.918072178543447</v>
      </c>
    </row>
    <row r="852" spans="1:12" x14ac:dyDescent="0.2">
      <c r="A852" s="1">
        <v>41955</v>
      </c>
      <c r="B852">
        <v>517.77890000000002</v>
      </c>
      <c r="C852">
        <v>120.19159999999999</v>
      </c>
      <c r="D852">
        <v>40.032600000000002</v>
      </c>
      <c r="F852">
        <v>421398802.15969998</v>
      </c>
      <c r="G852">
        <v>122.871469</v>
      </c>
      <c r="H852">
        <v>28.522055000000002</v>
      </c>
      <c r="I852">
        <v>9.4999319999999994</v>
      </c>
      <c r="K852" s="4">
        <f>VLOOKUP(Table_Query_from_Cello_SQL_Server[[#This Row],[AsOfDate]], 'CMO MV Raw'!$A:$B,2,FALSE)</f>
        <v>256770609.32057801</v>
      </c>
      <c r="L852" s="5">
        <f>Table_Query_from_Cello_SQL_Server[[#This Row],[CMO MV]]/Table_Query_from_Cello_SQL_Server[[#This Row],[NAV]]*100</f>
        <v>60.93292339812303</v>
      </c>
    </row>
    <row r="853" spans="1:12" x14ac:dyDescent="0.2">
      <c r="A853" s="1">
        <v>41956</v>
      </c>
      <c r="B853">
        <v>518.3365</v>
      </c>
      <c r="C853">
        <v>120.12860000000001</v>
      </c>
      <c r="D853">
        <v>40.4499</v>
      </c>
      <c r="F853">
        <v>421515657.8628</v>
      </c>
      <c r="G853">
        <v>122.969691</v>
      </c>
      <c r="H853">
        <v>28.499202</v>
      </c>
      <c r="I853">
        <v>9.5962980000000009</v>
      </c>
      <c r="K853" s="4">
        <f>VLOOKUP(Table_Query_from_Cello_SQL_Server[[#This Row],[AsOfDate]], 'CMO MV Raw'!$A:$B,2,FALSE)</f>
        <v>257086719.82365701</v>
      </c>
      <c r="L853" s="5">
        <f>Table_Query_from_Cello_SQL_Server[[#This Row],[CMO MV]]/Table_Query_from_Cello_SQL_Server[[#This Row],[NAV]]*100</f>
        <v>60.991024895055425</v>
      </c>
    </row>
    <row r="854" spans="1:12" x14ac:dyDescent="0.2">
      <c r="A854" s="1">
        <v>41957</v>
      </c>
      <c r="B854">
        <v>520.00980000000004</v>
      </c>
      <c r="C854">
        <v>119.9362</v>
      </c>
      <c r="D854">
        <v>41.498899999999999</v>
      </c>
      <c r="F854">
        <v>421923362.14200002</v>
      </c>
      <c r="G854">
        <v>123.247454</v>
      </c>
      <c r="H854">
        <v>28.426062999999999</v>
      </c>
      <c r="I854">
        <v>9.8356490000000001</v>
      </c>
      <c r="K854" s="4">
        <f>VLOOKUP(Table_Query_from_Cello_SQL_Server[[#This Row],[AsOfDate]], 'CMO MV Raw'!$A:$B,2,FALSE)</f>
        <v>256980576.266534</v>
      </c>
      <c r="L854" s="5">
        <f>Table_Query_from_Cello_SQL_Server[[#This Row],[CMO MV]]/Table_Query_from_Cello_SQL_Server[[#This Row],[NAV]]*100</f>
        <v>60.906932235728192</v>
      </c>
    </row>
    <row r="855" spans="1:12" x14ac:dyDescent="0.2">
      <c r="A855" s="1">
        <v>41960</v>
      </c>
      <c r="B855">
        <v>499.34050000000002</v>
      </c>
      <c r="C855">
        <v>115.062</v>
      </c>
      <c r="D855">
        <v>20.704899999999999</v>
      </c>
      <c r="F855">
        <v>421353264.54549998</v>
      </c>
      <c r="G855">
        <v>118.508753</v>
      </c>
      <c r="H855">
        <v>27.307727</v>
      </c>
      <c r="I855">
        <v>4.9139049999999997</v>
      </c>
      <c r="K855" s="4">
        <f>VLOOKUP(Table_Query_from_Cello_SQL_Server[[#This Row],[AsOfDate]], 'CMO MV Raw'!$A:$B,2,FALSE)</f>
        <v>253755581.264328</v>
      </c>
      <c r="L855" s="5">
        <f>Table_Query_from_Cello_SQL_Server[[#This Row],[CMO MV]]/Table_Query_from_Cello_SQL_Server[[#This Row],[NAV]]*100</f>
        <v>60.22395045118396</v>
      </c>
    </row>
    <row r="856" spans="1:12" x14ac:dyDescent="0.2">
      <c r="A856" s="1">
        <v>41961</v>
      </c>
      <c r="B856">
        <v>502.1746</v>
      </c>
      <c r="C856">
        <v>115.52849999999999</v>
      </c>
      <c r="D856">
        <v>20.9986</v>
      </c>
      <c r="F856">
        <v>422085653.71990001</v>
      </c>
      <c r="G856">
        <v>118.97457199999999</v>
      </c>
      <c r="H856">
        <v>27.370865999999999</v>
      </c>
      <c r="I856">
        <v>4.9749619999999997</v>
      </c>
      <c r="K856" s="4">
        <f>VLOOKUP(Table_Query_from_Cello_SQL_Server[[#This Row],[AsOfDate]], 'CMO MV Raw'!$A:$B,2,FALSE)</f>
        <v>254338538.43588901</v>
      </c>
      <c r="L856" s="5">
        <f>Table_Query_from_Cello_SQL_Server[[#This Row],[CMO MV]]/Table_Query_from_Cello_SQL_Server[[#This Row],[NAV]]*100</f>
        <v>60.257565305612218</v>
      </c>
    </row>
    <row r="857" spans="1:12" x14ac:dyDescent="0.2">
      <c r="A857" s="1">
        <v>41962</v>
      </c>
      <c r="B857">
        <v>501.66829999999999</v>
      </c>
      <c r="C857">
        <v>116.0087</v>
      </c>
      <c r="D857">
        <v>19.841899999999999</v>
      </c>
      <c r="F857">
        <v>421741854.95169997</v>
      </c>
      <c r="G857">
        <v>118.951509</v>
      </c>
      <c r="H857">
        <v>27.50704</v>
      </c>
      <c r="I857">
        <v>4.7047499999999998</v>
      </c>
      <c r="K857" s="4">
        <f>VLOOKUP(Table_Query_from_Cello_SQL_Server[[#This Row],[AsOfDate]], 'CMO MV Raw'!$A:$B,2,FALSE)</f>
        <v>253558333.79614699</v>
      </c>
      <c r="L857" s="5">
        <f>Table_Query_from_Cello_SQL_Server[[#This Row],[CMO MV]]/Table_Query_from_Cello_SQL_Server[[#This Row],[NAV]]*100</f>
        <v>60.121690749708911</v>
      </c>
    </row>
    <row r="858" spans="1:12" x14ac:dyDescent="0.2">
      <c r="A858" s="1">
        <v>41963</v>
      </c>
      <c r="B858">
        <v>501.84589999999997</v>
      </c>
      <c r="C858">
        <v>115.55029999999999</v>
      </c>
      <c r="D858">
        <v>20.732500000000002</v>
      </c>
      <c r="F858">
        <v>421831758.36070001</v>
      </c>
      <c r="G858">
        <v>118.968259</v>
      </c>
      <c r="H858">
        <v>27.392507999999999</v>
      </c>
      <c r="I858">
        <v>4.9148740000000002</v>
      </c>
      <c r="K858" s="4">
        <f>VLOOKUP(Table_Query_from_Cello_SQL_Server[[#This Row],[AsOfDate]], 'CMO MV Raw'!$A:$B,2,FALSE)</f>
        <v>253665375.09938201</v>
      </c>
      <c r="L858" s="5">
        <f>Table_Query_from_Cello_SQL_Server[[#This Row],[CMO MV]]/Table_Query_from_Cello_SQL_Server[[#This Row],[NAV]]*100</f>
        <v>60.134252595196436</v>
      </c>
    </row>
    <row r="859" spans="1:12" x14ac:dyDescent="0.2">
      <c r="A859" s="1">
        <v>41964</v>
      </c>
      <c r="B859">
        <v>504.54349999999999</v>
      </c>
      <c r="C859">
        <v>115.92400000000001</v>
      </c>
      <c r="D859">
        <v>21.312799999999999</v>
      </c>
      <c r="F859">
        <v>422672215.11870003</v>
      </c>
      <c r="G859">
        <v>119.369924</v>
      </c>
      <c r="H859">
        <v>27.426454</v>
      </c>
      <c r="I859">
        <v>5.0423939999999998</v>
      </c>
      <c r="K859" s="4">
        <f>VLOOKUP(Table_Query_from_Cello_SQL_Server[[#This Row],[AsOfDate]], 'CMO MV Raw'!$A:$B,2,FALSE)</f>
        <v>254219345.96039999</v>
      </c>
      <c r="L859" s="5">
        <f>Table_Query_from_Cello_SQL_Server[[#This Row],[CMO MV]]/Table_Query_from_Cello_SQL_Server[[#This Row],[NAV]]*100</f>
        <v>60.145743407573406</v>
      </c>
    </row>
    <row r="860" spans="1:12" x14ac:dyDescent="0.2">
      <c r="A860" s="1">
        <v>41967</v>
      </c>
      <c r="B860">
        <v>498.04020000000003</v>
      </c>
      <c r="C860">
        <v>114.3231</v>
      </c>
      <c r="D860">
        <v>22.609000000000002</v>
      </c>
      <c r="F860">
        <v>422892722.57700002</v>
      </c>
      <c r="G860">
        <v>117.769868</v>
      </c>
      <c r="H860">
        <v>27.033594000000001</v>
      </c>
      <c r="I860">
        <v>5.3462730000000001</v>
      </c>
      <c r="K860" s="4">
        <f>VLOOKUP(Table_Query_from_Cello_SQL_Server[[#This Row],[AsOfDate]], 'CMO MV Raw'!$A:$B,2,FALSE)</f>
        <v>253067143.99281099</v>
      </c>
      <c r="L860" s="5">
        <f>Table_Query_from_Cello_SQL_Server[[#This Row],[CMO MV]]/Table_Query_from_Cello_SQL_Server[[#This Row],[NAV]]*100</f>
        <v>59.841924554928397</v>
      </c>
    </row>
    <row r="861" spans="1:12" x14ac:dyDescent="0.2">
      <c r="A861" s="1">
        <v>41968</v>
      </c>
      <c r="B861">
        <v>498.09649999999999</v>
      </c>
      <c r="C861">
        <v>112.9836</v>
      </c>
      <c r="D861">
        <v>25.2273</v>
      </c>
      <c r="F861">
        <v>423504145.29759997</v>
      </c>
      <c r="G861">
        <v>117.613134</v>
      </c>
      <c r="H861">
        <v>26.678274999999999</v>
      </c>
      <c r="I861">
        <v>5.9568009999999996</v>
      </c>
      <c r="K861" s="4">
        <f>VLOOKUP(Table_Query_from_Cello_SQL_Server[[#This Row],[AsOfDate]], 'CMO MV Raw'!$A:$B,2,FALSE)</f>
        <v>253175453.36237499</v>
      </c>
      <c r="L861" s="5">
        <f>Table_Query_from_Cello_SQL_Server[[#This Row],[CMO MV]]/Table_Query_from_Cello_SQL_Server[[#This Row],[NAV]]*100</f>
        <v>59.781103956955704</v>
      </c>
    </row>
    <row r="862" spans="1:12" x14ac:dyDescent="0.2">
      <c r="A862" s="1">
        <v>41969</v>
      </c>
      <c r="B862">
        <v>499.82049999999998</v>
      </c>
      <c r="C862">
        <v>113.0806</v>
      </c>
      <c r="D862">
        <v>25.975100000000001</v>
      </c>
      <c r="F862">
        <v>424383980.76279998</v>
      </c>
      <c r="G862">
        <v>117.77553399999999</v>
      </c>
      <c r="H862">
        <v>26.645821999999999</v>
      </c>
      <c r="I862">
        <v>6.12066</v>
      </c>
      <c r="K862" s="4">
        <f>VLOOKUP(Table_Query_from_Cello_SQL_Server[[#This Row],[AsOfDate]], 'CMO MV Raw'!$A:$B,2,FALSE)</f>
        <v>253586238.59727699</v>
      </c>
      <c r="L862" s="5">
        <f>Table_Query_from_Cello_SQL_Server[[#This Row],[CMO MV]]/Table_Query_from_Cello_SQL_Server[[#This Row],[NAV]]*100</f>
        <v>59.753961057029947</v>
      </c>
    </row>
    <row r="863" spans="1:12" x14ac:dyDescent="0.2">
      <c r="A863" s="1">
        <v>41971</v>
      </c>
      <c r="B863">
        <v>491.00970000000001</v>
      </c>
      <c r="C863">
        <v>109.8502</v>
      </c>
      <c r="D863">
        <v>28.159300000000002</v>
      </c>
      <c r="F863">
        <v>422650830.41939998</v>
      </c>
      <c r="G863">
        <v>116.17384</v>
      </c>
      <c r="H863">
        <v>25.990769</v>
      </c>
      <c r="I863">
        <v>6.6625449999999997</v>
      </c>
      <c r="K863" s="4">
        <f>VLOOKUP(Table_Query_from_Cello_SQL_Server[[#This Row],[AsOfDate]], 'CMO MV Raw'!$A:$B,2,FALSE)</f>
        <v>252337077.42742699</v>
      </c>
      <c r="L863" s="5">
        <f>Table_Query_from_Cello_SQL_Server[[#This Row],[CMO MV]]/Table_Query_from_Cello_SQL_Server[[#This Row],[NAV]]*100</f>
        <v>59.7034382203936</v>
      </c>
    </row>
    <row r="864" spans="1:12" x14ac:dyDescent="0.2">
      <c r="A864" s="1">
        <v>41974</v>
      </c>
      <c r="B864">
        <v>488.47140000000002</v>
      </c>
      <c r="C864">
        <v>109.2525</v>
      </c>
      <c r="D864">
        <v>27.8995</v>
      </c>
      <c r="F864">
        <v>421834291.09570003</v>
      </c>
      <c r="G864">
        <v>115.796987</v>
      </c>
      <c r="H864">
        <v>25.899387999999998</v>
      </c>
      <c r="I864">
        <v>6.6138529999999998</v>
      </c>
      <c r="K864" s="12">
        <f>VLOOKUP(Table_Query_from_Cello_SQL_Server[[#This Row],[AsOfDate]], 'CMO MV Raw'!$A:$B,2,FALSE)</f>
        <v>251997448.91082501</v>
      </c>
      <c r="L864" s="5">
        <f>Table_Query_from_Cello_SQL_Server[[#This Row],[CMO MV]]/Table_Query_from_Cello_SQL_Server[[#This Row],[NAV]]*100</f>
        <v>59.738493107393033</v>
      </c>
    </row>
    <row r="865" spans="1:12" x14ac:dyDescent="0.2">
      <c r="A865" s="1">
        <v>41975</v>
      </c>
      <c r="B865">
        <v>487.83240000000001</v>
      </c>
      <c r="C865">
        <v>110.6063</v>
      </c>
      <c r="D865">
        <v>24.425699999999999</v>
      </c>
      <c r="F865">
        <v>421046775.64130002</v>
      </c>
      <c r="G865">
        <v>115.861806</v>
      </c>
      <c r="H865">
        <v>26.269362000000001</v>
      </c>
      <c r="I865">
        <v>5.8011840000000001</v>
      </c>
      <c r="K865" s="12">
        <f>VLOOKUP(Table_Query_from_Cello_SQL_Server[[#This Row],[AsOfDate]], 'CMO MV Raw'!$A:$B,2,FALSE)</f>
        <v>251469338.39607799</v>
      </c>
      <c r="L865" s="5">
        <f>Table_Query_from_Cello_SQL_Server[[#This Row],[CMO MV]]/Table_Query_from_Cello_SQL_Server[[#This Row],[NAV]]*100</f>
        <v>59.724798512721733</v>
      </c>
    </row>
    <row r="866" spans="1:12" x14ac:dyDescent="0.2">
      <c r="A866" s="1">
        <v>41976</v>
      </c>
      <c r="B866">
        <v>490.84710000000001</v>
      </c>
      <c r="C866">
        <v>111.72110000000001</v>
      </c>
      <c r="D866">
        <v>24.191400000000002</v>
      </c>
      <c r="F866">
        <v>422067450.42070001</v>
      </c>
      <c r="G866">
        <v>116.295891</v>
      </c>
      <c r="H866">
        <v>26.469963</v>
      </c>
      <c r="I866">
        <v>5.731643</v>
      </c>
      <c r="K866" s="12">
        <f>VLOOKUP(Table_Query_from_Cello_SQL_Server[[#This Row],[AsOfDate]], 'CMO MV Raw'!$A:$B,2,FALSE)</f>
        <v>251917297.31897801</v>
      </c>
      <c r="L866" s="5">
        <f>Table_Query_from_Cello_SQL_Server[[#This Row],[CMO MV]]/Table_Query_from_Cello_SQL_Server[[#This Row],[NAV]]*100</f>
        <v>59.686502019494014</v>
      </c>
    </row>
    <row r="867" spans="1:12" x14ac:dyDescent="0.2">
      <c r="A867" s="1">
        <v>41977</v>
      </c>
      <c r="B867">
        <v>491.91879999999998</v>
      </c>
      <c r="C867">
        <v>111.5513</v>
      </c>
      <c r="D867">
        <v>26.808700000000002</v>
      </c>
      <c r="F867">
        <v>423075842.0966</v>
      </c>
      <c r="G867">
        <v>116.272013</v>
      </c>
      <c r="H867">
        <v>26.366738000000002</v>
      </c>
      <c r="I867">
        <v>6.3366179999999996</v>
      </c>
      <c r="K867" s="12">
        <f>VLOOKUP(Table_Query_from_Cello_SQL_Server[[#This Row],[AsOfDate]], 'CMO MV Raw'!$A:$B,2,FALSE)</f>
        <v>252690366.97878999</v>
      </c>
      <c r="L867" s="5">
        <f>Table_Query_from_Cello_SQL_Server[[#This Row],[CMO MV]]/Table_Query_from_Cello_SQL_Server[[#This Row],[NAV]]*100</f>
        <v>59.726966618220132</v>
      </c>
    </row>
    <row r="868" spans="1:12" x14ac:dyDescent="0.2">
      <c r="A868" s="1">
        <v>41978</v>
      </c>
      <c r="B868">
        <v>497.8562</v>
      </c>
      <c r="C868">
        <v>114.52079999999999</v>
      </c>
      <c r="D868">
        <v>23.6904</v>
      </c>
      <c r="F868">
        <v>424327007.03789997</v>
      </c>
      <c r="G868">
        <v>117.32842599999999</v>
      </c>
      <c r="H868">
        <v>26.988807999999999</v>
      </c>
      <c r="I868">
        <v>5.5830529999999996</v>
      </c>
      <c r="K868" s="13">
        <f>VLOOKUP(Table_Query_from_Cello_SQL_Server[[#This Row],[AsOfDate]], 'CMO MV Raw'!$A:$B,2,FALSE)</f>
        <v>252739686.39248499</v>
      </c>
      <c r="L868" s="5">
        <f>Table_Query_from_Cello_SQL_Server[[#This Row],[CMO MV]]/Table_Query_from_Cello_SQL_Server[[#This Row],[NAV]]*100</f>
        <v>59.562479455829411</v>
      </c>
    </row>
    <row r="869" spans="1:12" x14ac:dyDescent="0.2">
      <c r="A869" s="1">
        <v>41981</v>
      </c>
      <c r="B869">
        <v>499.45920000000001</v>
      </c>
      <c r="C869">
        <v>113.6112</v>
      </c>
      <c r="D869">
        <v>26.812899999999999</v>
      </c>
      <c r="F869">
        <v>425423016.12840003</v>
      </c>
      <c r="G869">
        <v>117.402957</v>
      </c>
      <c r="H869">
        <v>26.705466000000001</v>
      </c>
      <c r="I869">
        <v>6.3026439999999999</v>
      </c>
      <c r="K869" s="13">
        <f>VLOOKUP(Table_Query_from_Cello_SQL_Server[[#This Row],[AsOfDate]], 'CMO MV Raw'!$A:$B,2,FALSE)</f>
        <v>252966312.927452</v>
      </c>
      <c r="L869" s="5">
        <f>Table_Query_from_Cello_SQL_Server[[#This Row],[CMO MV]]/Table_Query_from_Cello_SQL_Server[[#This Row],[NAV]]*100</f>
        <v>59.462300660080501</v>
      </c>
    </row>
    <row r="870" spans="1:12" x14ac:dyDescent="0.2">
      <c r="A870" s="1">
        <v>41982</v>
      </c>
      <c r="B870">
        <v>490.8981</v>
      </c>
      <c r="C870">
        <v>110.86839999999999</v>
      </c>
      <c r="D870">
        <v>28.8568</v>
      </c>
      <c r="F870">
        <v>426015832.57590002</v>
      </c>
      <c r="G870">
        <v>115.230013</v>
      </c>
      <c r="H870">
        <v>26.024478999999999</v>
      </c>
      <c r="I870">
        <v>6.7736450000000001</v>
      </c>
      <c r="K870" s="13">
        <f>VLOOKUP(Table_Query_from_Cello_SQL_Server[[#This Row],[AsOfDate]], 'CMO MV Raw'!$A:$B,2,FALSE)</f>
        <v>264394560.30444199</v>
      </c>
      <c r="L870" s="5">
        <f>Table_Query_from_Cello_SQL_Server[[#This Row],[CMO MV]]/Table_Query_from_Cello_SQL_Server[[#This Row],[NAV]]*100</f>
        <v>62.062144194450056</v>
      </c>
    </row>
    <row r="871" spans="1:12" x14ac:dyDescent="0.2">
      <c r="A871" s="1">
        <v>41983</v>
      </c>
      <c r="B871">
        <v>494.07130000000001</v>
      </c>
      <c r="C871">
        <v>110.4747</v>
      </c>
      <c r="D871">
        <v>31.140599999999999</v>
      </c>
      <c r="F871">
        <v>426866606.76190001</v>
      </c>
      <c r="G871">
        <v>115.74372200000001</v>
      </c>
      <c r="H871">
        <v>25.880379999999999</v>
      </c>
      <c r="I871">
        <v>7.2951600000000001</v>
      </c>
      <c r="K871" s="13">
        <f>VLOOKUP(Table_Query_from_Cello_SQL_Server[[#This Row],[AsOfDate]], 'CMO MV Raw'!$A:$B,2,FALSE)</f>
        <v>265069294.35992199</v>
      </c>
      <c r="L871" s="5">
        <f>Table_Query_from_Cello_SQL_Server[[#This Row],[CMO MV]]/Table_Query_from_Cello_SQL_Server[[#This Row],[NAV]]*100</f>
        <v>62.096516841799662</v>
      </c>
    </row>
    <row r="872" spans="1:12" x14ac:dyDescent="0.2">
      <c r="A872" s="1">
        <v>41984</v>
      </c>
      <c r="B872">
        <v>490.29759999999999</v>
      </c>
      <c r="C872">
        <v>108.78530000000001</v>
      </c>
      <c r="D872">
        <v>30.349299999999999</v>
      </c>
      <c r="F872">
        <v>426564608.15579998</v>
      </c>
      <c r="G872">
        <v>114.940994</v>
      </c>
      <c r="H872">
        <v>25.502655000000001</v>
      </c>
      <c r="I872">
        <v>7.1148189999999998</v>
      </c>
      <c r="K872" s="13">
        <f>VLOOKUP(Table_Query_from_Cello_SQL_Server[[#This Row],[AsOfDate]], 'CMO MV Raw'!$A:$B,2,FALSE)</f>
        <v>264120358.087051</v>
      </c>
      <c r="L872" s="5">
        <f>Table_Query_from_Cello_SQL_Server[[#This Row],[CMO MV]]/Table_Query_from_Cello_SQL_Server[[#This Row],[NAV]]*100</f>
        <v>61.918019694353724</v>
      </c>
    </row>
    <row r="873" spans="1:12" x14ac:dyDescent="0.2">
      <c r="A873" s="1">
        <v>41985</v>
      </c>
      <c r="B873">
        <v>493.10610000000003</v>
      </c>
      <c r="C873">
        <v>107.39409999999999</v>
      </c>
      <c r="D873">
        <v>33.292499999999997</v>
      </c>
      <c r="F873">
        <v>427332643.02630001</v>
      </c>
      <c r="G873">
        <v>115.39162899999999</v>
      </c>
      <c r="H873">
        <v>25.131264999999999</v>
      </c>
      <c r="I873">
        <v>7.7907690000000001</v>
      </c>
      <c r="K873" s="13">
        <f>VLOOKUP(Table_Query_from_Cello_SQL_Server[[#This Row],[AsOfDate]], 'CMO MV Raw'!$A:$B,2,FALSE)</f>
        <v>264761827.76102701</v>
      </c>
      <c r="L873" s="5">
        <f>Table_Query_from_Cello_SQL_Server[[#This Row],[CMO MV]]/Table_Query_from_Cello_SQL_Server[[#This Row],[NAV]]*100</f>
        <v>61.956846049959339</v>
      </c>
    </row>
    <row r="874" spans="1:12" x14ac:dyDescent="0.2">
      <c r="A874" s="1">
        <v>41988</v>
      </c>
      <c r="B874">
        <v>496.50020000000001</v>
      </c>
      <c r="C874">
        <v>108.1818</v>
      </c>
      <c r="D874">
        <v>31.803699999999999</v>
      </c>
      <c r="F874">
        <v>427122149.1875</v>
      </c>
      <c r="G874">
        <v>116.24314099999999</v>
      </c>
      <c r="H874">
        <v>25.328071000000001</v>
      </c>
      <c r="I874">
        <v>7.4460430000000004</v>
      </c>
      <c r="K874" s="13">
        <f>VLOOKUP(Table_Query_from_Cello_SQL_Server[[#This Row],[AsOfDate]], 'CMO MV Raw'!$A:$B,2,FALSE)</f>
        <v>263884891.294462</v>
      </c>
      <c r="L874" s="5">
        <f>Table_Query_from_Cello_SQL_Server[[#This Row],[CMO MV]]/Table_Query_from_Cello_SQL_Server[[#This Row],[NAV]]*100</f>
        <v>61.782066745178469</v>
      </c>
    </row>
    <row r="875" spans="1:12" x14ac:dyDescent="0.2">
      <c r="A875" s="1">
        <v>41989</v>
      </c>
      <c r="B875">
        <v>500.38659999999999</v>
      </c>
      <c r="C875">
        <v>107.514</v>
      </c>
      <c r="D875">
        <v>33.6755</v>
      </c>
      <c r="F875">
        <v>427509671.91689998</v>
      </c>
      <c r="G875">
        <v>117.04684899999999</v>
      </c>
      <c r="H875">
        <v>25.148904999999999</v>
      </c>
      <c r="I875">
        <v>7.8771319999999996</v>
      </c>
      <c r="K875" s="13">
        <f>VLOOKUP(Table_Query_from_Cello_SQL_Server[[#This Row],[AsOfDate]], 'CMO MV Raw'!$A:$B,2,FALSE)</f>
        <v>263869802.110502</v>
      </c>
      <c r="L875" s="5">
        <f>Table_Query_from_Cello_SQL_Server[[#This Row],[CMO MV]]/Table_Query_from_Cello_SQL_Server[[#This Row],[NAV]]*100</f>
        <v>61.72253388498622</v>
      </c>
    </row>
    <row r="876" spans="1:12" x14ac:dyDescent="0.2">
      <c r="A876" s="1">
        <v>41990</v>
      </c>
      <c r="B876">
        <v>496.01929999999999</v>
      </c>
      <c r="C876">
        <v>108.0187</v>
      </c>
      <c r="D876">
        <v>31.018999999999998</v>
      </c>
      <c r="F876">
        <v>426194937.36260003</v>
      </c>
      <c r="G876">
        <v>116.383199</v>
      </c>
      <c r="H876">
        <v>25.344905000000001</v>
      </c>
      <c r="I876">
        <v>7.2781250000000002</v>
      </c>
      <c r="K876" s="13">
        <f>VLOOKUP(Table_Query_from_Cello_SQL_Server[[#This Row],[AsOfDate]], 'CMO MV Raw'!$A:$B,2,FALSE)</f>
        <v>263054256.14934999</v>
      </c>
      <c r="L876" s="5">
        <f>Table_Query_from_Cello_SQL_Server[[#This Row],[CMO MV]]/Table_Query_from_Cello_SQL_Server[[#This Row],[NAV]]*100</f>
        <v>61.721581625815404</v>
      </c>
    </row>
    <row r="877" spans="1:12" x14ac:dyDescent="0.2">
      <c r="A877" s="1">
        <v>41991</v>
      </c>
      <c r="B877">
        <v>491.34</v>
      </c>
      <c r="C877">
        <v>108.27549999999999</v>
      </c>
      <c r="D877">
        <v>29.186</v>
      </c>
      <c r="F877">
        <v>425166485.14859998</v>
      </c>
      <c r="G877">
        <v>115.564142</v>
      </c>
      <c r="H877">
        <v>25.466612000000001</v>
      </c>
      <c r="I877">
        <v>6.8646050000000001</v>
      </c>
      <c r="K877" s="13">
        <f>VLOOKUP(Table_Query_from_Cello_SQL_Server[[#This Row],[AsOfDate]], 'CMO MV Raw'!$A:$B,2,FALSE)</f>
        <v>262766079.10631099</v>
      </c>
      <c r="L877" s="5">
        <f>Table_Query_from_Cello_SQL_Server[[#This Row],[CMO MV]]/Table_Query_from_Cello_SQL_Server[[#This Row],[NAV]]*100</f>
        <v>61.803102616254336</v>
      </c>
    </row>
    <row r="878" spans="1:12" x14ac:dyDescent="0.2">
      <c r="A878" s="1">
        <v>41992</v>
      </c>
      <c r="B878">
        <v>467.21609999999998</v>
      </c>
      <c r="C878">
        <v>102.5115</v>
      </c>
      <c r="D878">
        <v>36.064100000000003</v>
      </c>
      <c r="F878">
        <v>425906650.16659999</v>
      </c>
      <c r="G878">
        <v>109.699179</v>
      </c>
      <c r="H878">
        <v>24.069006999999999</v>
      </c>
      <c r="I878">
        <v>8.4676069999999992</v>
      </c>
      <c r="K878" s="13">
        <f>VLOOKUP(Table_Query_from_Cello_SQL_Server[[#This Row],[AsOfDate]], 'CMO MV Raw'!$A:$B,2,FALSE)</f>
        <v>262122895.638455</v>
      </c>
      <c r="L878" s="5">
        <f>Table_Query_from_Cello_SQL_Server[[#This Row],[CMO MV]]/Table_Query_from_Cello_SQL_Server[[#This Row],[NAV]]*100</f>
        <v>61.544682511043582</v>
      </c>
    </row>
    <row r="879" spans="1:12" x14ac:dyDescent="0.2">
      <c r="A879" s="1">
        <v>41995</v>
      </c>
      <c r="B879">
        <v>470.74349999999998</v>
      </c>
      <c r="C879">
        <v>103.0369</v>
      </c>
      <c r="D879">
        <v>36.7027</v>
      </c>
      <c r="F879">
        <v>426751861.35619998</v>
      </c>
      <c r="G879">
        <v>110.308482</v>
      </c>
      <c r="H879">
        <v>24.144452000000001</v>
      </c>
      <c r="I879">
        <v>8.6004780000000007</v>
      </c>
      <c r="K879" s="13">
        <f>VLOOKUP(Table_Query_from_Cello_SQL_Server[[#This Row],[AsOfDate]], 'CMO MV Raw'!$A:$B,2,FALSE)</f>
        <v>262613666.29365</v>
      </c>
      <c r="L879" s="5">
        <f>Table_Query_from_Cello_SQL_Server[[#This Row],[CMO MV]]/Table_Query_from_Cello_SQL_Server[[#This Row],[NAV]]*100</f>
        <v>61.537790475962893</v>
      </c>
    </row>
    <row r="880" spans="1:12" x14ac:dyDescent="0.2">
      <c r="A880" s="1">
        <v>41996</v>
      </c>
      <c r="B880">
        <v>463.81099999999998</v>
      </c>
      <c r="C880">
        <v>103.232</v>
      </c>
      <c r="D880">
        <v>32.802</v>
      </c>
      <c r="F880">
        <v>424396976.08969998</v>
      </c>
      <c r="G880">
        <v>109.287065</v>
      </c>
      <c r="H880">
        <v>24.324396</v>
      </c>
      <c r="I880">
        <v>7.7290840000000003</v>
      </c>
      <c r="K880" s="13">
        <f>VLOOKUP(Table_Query_from_Cello_SQL_Server[[#This Row],[AsOfDate]], 'CMO MV Raw'!$A:$B,2,FALSE)</f>
        <v>261298139.58871999</v>
      </c>
      <c r="L880" s="5">
        <f>Table_Query_from_Cello_SQL_Server[[#This Row],[CMO MV]]/Table_Query_from_Cello_SQL_Server[[#This Row],[NAV]]*100</f>
        <v>61.569274596690896</v>
      </c>
    </row>
    <row r="881" spans="1:12" x14ac:dyDescent="0.2">
      <c r="A881" s="1">
        <v>41997</v>
      </c>
      <c r="B881">
        <v>464.93020000000001</v>
      </c>
      <c r="C881">
        <v>103.9341</v>
      </c>
      <c r="D881">
        <v>32.796599999999998</v>
      </c>
      <c r="F881">
        <v>425347681.24510002</v>
      </c>
      <c r="G881">
        <v>109.305921</v>
      </c>
      <c r="H881">
        <v>24.435092999999998</v>
      </c>
      <c r="I881">
        <v>7.7105389999999998</v>
      </c>
      <c r="K881" s="13">
        <f>VLOOKUP(Table_Query_from_Cello_SQL_Server[[#This Row],[AsOfDate]], 'CMO MV Raw'!$A:$B,2,FALSE)</f>
        <v>261899443.229729</v>
      </c>
      <c r="L881" s="5">
        <f>Table_Query_from_Cello_SQL_Server[[#This Row],[CMO MV]]/Table_Query_from_Cello_SQL_Server[[#This Row],[NAV]]*100</f>
        <v>61.573027144072633</v>
      </c>
    </row>
    <row r="882" spans="1:12" x14ac:dyDescent="0.2">
      <c r="A882" s="1">
        <v>41999</v>
      </c>
      <c r="B882">
        <v>459.05970000000002</v>
      </c>
      <c r="C882">
        <v>102.3261</v>
      </c>
      <c r="D882">
        <v>34.946399999999997</v>
      </c>
      <c r="F882">
        <v>425915450.912</v>
      </c>
      <c r="G882">
        <v>107.781885</v>
      </c>
      <c r="H882">
        <v>24.024979999999999</v>
      </c>
      <c r="I882">
        <v>8.2050090000000004</v>
      </c>
      <c r="K882" s="13">
        <f>VLOOKUP(Table_Query_from_Cello_SQL_Server[[#This Row],[AsOfDate]], 'CMO MV Raw'!$A:$B,2,FALSE)</f>
        <v>260982111.02226299</v>
      </c>
      <c r="L882" s="5">
        <f>Table_Query_from_Cello_SQL_Server[[#This Row],[CMO MV]]/Table_Query_from_Cello_SQL_Server[[#This Row],[NAV]]*100</f>
        <v>61.275567830054023</v>
      </c>
    </row>
    <row r="883" spans="1:12" x14ac:dyDescent="0.2">
      <c r="A883" s="1">
        <v>42002</v>
      </c>
      <c r="B883">
        <v>460.7328</v>
      </c>
      <c r="C883">
        <v>102.0959</v>
      </c>
      <c r="D883">
        <v>36.007100000000001</v>
      </c>
      <c r="F883">
        <v>426705208.64270002</v>
      </c>
      <c r="G883">
        <v>107.974496</v>
      </c>
      <c r="H883">
        <v>23.926565</v>
      </c>
      <c r="I883">
        <v>8.438402</v>
      </c>
      <c r="K883" s="13">
        <f>VLOOKUP(Table_Query_from_Cello_SQL_Server[[#This Row],[AsOfDate]], 'CMO MV Raw'!$A:$B,2,FALSE)</f>
        <v>261672083.84841901</v>
      </c>
      <c r="L883" s="5">
        <f>Table_Query_from_Cello_SQL_Server[[#This Row],[CMO MV]]/Table_Query_from_Cello_SQL_Server[[#This Row],[NAV]]*100</f>
        <v>61.32385509911343</v>
      </c>
    </row>
    <row r="884" spans="1:12" x14ac:dyDescent="0.2">
      <c r="A884" s="1">
        <v>42003</v>
      </c>
      <c r="B884">
        <v>462.84980000000002</v>
      </c>
      <c r="C884">
        <v>102.3202</v>
      </c>
      <c r="D884">
        <v>36.577500000000001</v>
      </c>
      <c r="F884">
        <v>427270626.71149999</v>
      </c>
      <c r="G884">
        <v>108.32708100000001</v>
      </c>
      <c r="H884">
        <v>23.947399000000001</v>
      </c>
      <c r="I884">
        <v>8.5607340000000001</v>
      </c>
      <c r="K884" s="13">
        <f>VLOOKUP(Table_Query_from_Cello_SQL_Server[[#This Row],[AsOfDate]], 'CMO MV Raw'!$A:$B,2,FALSE)</f>
        <v>262168532.331597</v>
      </c>
      <c r="L884" s="5">
        <f>Table_Query_from_Cello_SQL_Server[[#This Row],[CMO MV]]/Table_Query_from_Cello_SQL_Server[[#This Row],[NAV]]*100</f>
        <v>61.358894326386128</v>
      </c>
    </row>
    <row r="885" spans="1:12" x14ac:dyDescent="0.2">
      <c r="A885" s="1">
        <v>42004</v>
      </c>
      <c r="B885">
        <v>463.69819999999999</v>
      </c>
      <c r="C885">
        <v>102.11799999999999</v>
      </c>
      <c r="D885">
        <v>37.576799999999999</v>
      </c>
      <c r="F885">
        <v>426361160.19340003</v>
      </c>
      <c r="G885">
        <v>108.757139</v>
      </c>
      <c r="H885">
        <v>23.951056000000001</v>
      </c>
      <c r="I885">
        <v>8.8133730000000003</v>
      </c>
      <c r="K885" s="13">
        <f>VLOOKUP(Table_Query_from_Cello_SQL_Server[[#This Row],[AsOfDate]], 'CMO MV Raw'!$A:$B,2,FALSE)</f>
        <v>262586524.15434101</v>
      </c>
      <c r="L885" s="5">
        <f>Table_Query_from_Cello_SQL_Server[[#This Row],[CMO MV]]/Table_Query_from_Cello_SQL_Server[[#This Row],[NAV]]*100</f>
        <v>61.587815371182067</v>
      </c>
    </row>
    <row r="886" spans="1:12" x14ac:dyDescent="0.2">
      <c r="A886" s="1">
        <v>42006</v>
      </c>
      <c r="B886">
        <v>469.44929999999999</v>
      </c>
      <c r="C886">
        <v>102.2012</v>
      </c>
      <c r="D886">
        <v>40.168900000000001</v>
      </c>
      <c r="F886">
        <v>413998151.16390002</v>
      </c>
      <c r="G886">
        <v>113.394057</v>
      </c>
      <c r="H886">
        <v>24.686389999999999</v>
      </c>
      <c r="I886">
        <v>9.7026760000000003</v>
      </c>
      <c r="K886" s="13">
        <f>VLOOKUP(Table_Query_from_Cello_SQL_Server[[#This Row],[AsOfDate]], 'CMO MV Raw'!$A:$B,2,FALSE)</f>
        <v>263276435.99278</v>
      </c>
      <c r="L886" s="5">
        <f>Table_Query_from_Cello_SQL_Server[[#This Row],[CMO MV]]/Table_Query_from_Cello_SQL_Server[[#This Row],[NAV]]*100</f>
        <v>63.593626022873238</v>
      </c>
    </row>
    <row r="887" spans="1:12" x14ac:dyDescent="0.2">
      <c r="A887" s="1">
        <v>42009</v>
      </c>
      <c r="B887">
        <v>476.56330000000003</v>
      </c>
      <c r="C887">
        <v>100.8922</v>
      </c>
      <c r="D887">
        <v>44.262700000000002</v>
      </c>
      <c r="F887">
        <v>414984543.7094</v>
      </c>
      <c r="G887">
        <v>114.838807</v>
      </c>
      <c r="H887">
        <v>24.312279</v>
      </c>
      <c r="I887">
        <v>10.666107999999999</v>
      </c>
      <c r="K887" s="13">
        <f>VLOOKUP(Table_Query_from_Cello_SQL_Server[[#This Row],[AsOfDate]], 'CMO MV Raw'!$A:$B,2,FALSE)</f>
        <v>263323125.80473399</v>
      </c>
      <c r="L887" s="5">
        <f>Table_Query_from_Cello_SQL_Server[[#This Row],[CMO MV]]/Table_Query_from_Cello_SQL_Server[[#This Row],[NAV]]*100</f>
        <v>63.453718890583666</v>
      </c>
    </row>
    <row r="888" spans="1:12" x14ac:dyDescent="0.2">
      <c r="A888" s="1">
        <v>42010</v>
      </c>
      <c r="B888">
        <v>562.88679999999999</v>
      </c>
      <c r="C888">
        <v>111.1109</v>
      </c>
      <c r="D888">
        <v>44.205399999999997</v>
      </c>
      <c r="F888">
        <v>415384336.53549999</v>
      </c>
      <c r="G888">
        <v>135.50987599999999</v>
      </c>
      <c r="H888">
        <v>26.748937999999999</v>
      </c>
      <c r="I888">
        <v>10.642048000000001</v>
      </c>
      <c r="K888" s="13">
        <f>VLOOKUP(Table_Query_from_Cello_SQL_Server[[#This Row],[AsOfDate]], 'CMO MV Raw'!$A:$B,2,FALSE)</f>
        <v>263314868.028357</v>
      </c>
      <c r="L888" s="5">
        <f>Table_Query_from_Cello_SQL_Server[[#This Row],[CMO MV]]/Table_Query_from_Cello_SQL_Server[[#This Row],[NAV]]*100</f>
        <v>63.390658931563571</v>
      </c>
    </row>
    <row r="889" spans="1:12" x14ac:dyDescent="0.2">
      <c r="A889" s="1">
        <v>42011</v>
      </c>
      <c r="B889">
        <v>561.25329999999997</v>
      </c>
      <c r="C889">
        <v>110.6606</v>
      </c>
      <c r="D889">
        <v>43.631799999999998</v>
      </c>
      <c r="F889">
        <v>414647168.65259999</v>
      </c>
      <c r="G889">
        <v>135.35683900000001</v>
      </c>
      <c r="H889">
        <v>26.687895000000001</v>
      </c>
      <c r="I889">
        <v>10.522633000000001</v>
      </c>
      <c r="K889" s="13">
        <f>VLOOKUP(Table_Query_from_Cello_SQL_Server[[#This Row],[AsOfDate]], 'CMO MV Raw'!$A:$B,2,FALSE)</f>
        <v>262554777.396137</v>
      </c>
      <c r="L889" s="5">
        <f>Table_Query_from_Cello_SQL_Server[[#This Row],[CMO MV]]/Table_Query_from_Cello_SQL_Server[[#This Row],[NAV]]*100</f>
        <v>63.320045871604833</v>
      </c>
    </row>
    <row r="890" spans="1:12" x14ac:dyDescent="0.2">
      <c r="A890" s="1">
        <v>42012</v>
      </c>
      <c r="B890">
        <v>554.07270000000005</v>
      </c>
      <c r="C890">
        <v>110.1562</v>
      </c>
      <c r="D890">
        <v>41.963200000000001</v>
      </c>
      <c r="F890">
        <v>412452930.38870001</v>
      </c>
      <c r="G890">
        <v>134.335983</v>
      </c>
      <c r="H890">
        <v>26.707581000000001</v>
      </c>
      <c r="I890">
        <v>10.174058</v>
      </c>
      <c r="K890" s="13">
        <f>VLOOKUP(Table_Query_from_Cello_SQL_Server[[#This Row],[AsOfDate]], 'CMO MV Raw'!$A:$B,2,FALSE)</f>
        <v>261583391.13597599</v>
      </c>
      <c r="L890" s="5">
        <f>Table_Query_from_Cello_SQL_Server[[#This Row],[CMO MV]]/Table_Query_from_Cello_SQL_Server[[#This Row],[NAV]]*100</f>
        <v>63.421392324563442</v>
      </c>
    </row>
    <row r="891" spans="1:12" x14ac:dyDescent="0.2">
      <c r="A891" s="1">
        <v>42013</v>
      </c>
      <c r="B891">
        <v>555.64369999999997</v>
      </c>
      <c r="C891">
        <v>108.52370000000001</v>
      </c>
      <c r="D891">
        <v>43.619100000000003</v>
      </c>
      <c r="F891">
        <v>412421620.83740002</v>
      </c>
      <c r="G891">
        <v>134.727103</v>
      </c>
      <c r="H891">
        <v>26.313776000000001</v>
      </c>
      <c r="I891">
        <v>10.576337000000001</v>
      </c>
      <c r="K891" s="13">
        <f>VLOOKUP(Table_Query_from_Cello_SQL_Server[[#This Row],[AsOfDate]], 'CMO MV Raw'!$A:$B,2,FALSE)</f>
        <v>260273041.79929799</v>
      </c>
      <c r="L891" s="5">
        <f>Table_Query_from_Cello_SQL_Server[[#This Row],[CMO MV]]/Table_Query_from_Cello_SQL_Server[[#This Row],[NAV]]*100</f>
        <v>63.108486230869154</v>
      </c>
    </row>
    <row r="892" spans="1:12" x14ac:dyDescent="0.2">
      <c r="A892" s="1">
        <v>42016</v>
      </c>
      <c r="B892">
        <v>559.14800000000002</v>
      </c>
      <c r="C892">
        <v>106.45910000000001</v>
      </c>
      <c r="D892">
        <v>46.354199999999999</v>
      </c>
      <c r="F892">
        <v>411975930.4364</v>
      </c>
      <c r="G892">
        <v>135.72346300000001</v>
      </c>
      <c r="H892">
        <v>25.841097000000001</v>
      </c>
      <c r="I892">
        <v>11.251677000000001</v>
      </c>
      <c r="K892" s="13">
        <f>VLOOKUP(Table_Query_from_Cello_SQL_Server[[#This Row],[AsOfDate]], 'CMO MV Raw'!$A:$B,2,FALSE)</f>
        <v>259311996.36362201</v>
      </c>
      <c r="L892" s="5">
        <f>Table_Query_from_Cello_SQL_Server[[#This Row],[CMO MV]]/Table_Query_from_Cello_SQL_Server[[#This Row],[NAV]]*100</f>
        <v>62.943482180848932</v>
      </c>
    </row>
    <row r="893" spans="1:12" x14ac:dyDescent="0.2">
      <c r="A893" s="1">
        <v>42017</v>
      </c>
      <c r="B893">
        <v>558.53510000000006</v>
      </c>
      <c r="C893">
        <v>104.99290000000001</v>
      </c>
      <c r="D893">
        <v>46.785299999999999</v>
      </c>
      <c r="F893">
        <v>411076932.23540002</v>
      </c>
      <c r="G893">
        <v>135.871185</v>
      </c>
      <c r="H893">
        <v>25.540937</v>
      </c>
      <c r="I893">
        <v>11.381154</v>
      </c>
      <c r="K893" s="13">
        <f>VLOOKUP(Table_Query_from_Cello_SQL_Server[[#This Row],[AsOfDate]], 'CMO MV Raw'!$A:$B,2,FALSE)</f>
        <v>257801089.773617</v>
      </c>
      <c r="L893" s="5">
        <f>Table_Query_from_Cello_SQL_Server[[#This Row],[CMO MV]]/Table_Query_from_Cello_SQL_Server[[#This Row],[NAV]]*100</f>
        <v>62.713587058197952</v>
      </c>
    </row>
    <row r="894" spans="1:12" x14ac:dyDescent="0.2">
      <c r="A894" s="1">
        <v>42018</v>
      </c>
      <c r="B894">
        <v>556.87300000000005</v>
      </c>
      <c r="C894">
        <v>102.2902</v>
      </c>
      <c r="D894">
        <v>51.010199999999998</v>
      </c>
      <c r="F894">
        <v>410585612.10790002</v>
      </c>
      <c r="G894">
        <v>135.628961</v>
      </c>
      <c r="H894">
        <v>24.913245</v>
      </c>
      <c r="I894">
        <v>12.423767</v>
      </c>
      <c r="K894" s="13">
        <f>VLOOKUP(Table_Query_from_Cello_SQL_Server[[#This Row],[AsOfDate]], 'CMO MV Raw'!$A:$B,2,FALSE)</f>
        <v>257353307.18874499</v>
      </c>
      <c r="L894" s="5">
        <f>Table_Query_from_Cello_SQL_Server[[#This Row],[CMO MV]]/Table_Query_from_Cello_SQL_Server[[#This Row],[NAV]]*100</f>
        <v>62.679572688268905</v>
      </c>
    </row>
    <row r="895" spans="1:12" x14ac:dyDescent="0.2">
      <c r="A895" s="1">
        <v>42019</v>
      </c>
      <c r="B895">
        <v>568.2174</v>
      </c>
      <c r="C895">
        <v>102.2907</v>
      </c>
      <c r="D895">
        <v>53.428600000000003</v>
      </c>
      <c r="F895">
        <v>410211828.72670001</v>
      </c>
      <c r="G895">
        <v>138.518044</v>
      </c>
      <c r="H895">
        <v>24.936067999999999</v>
      </c>
      <c r="I895">
        <v>13.024637</v>
      </c>
      <c r="K895" s="13">
        <f>VLOOKUP(Table_Query_from_Cello_SQL_Server[[#This Row],[AsOfDate]], 'CMO MV Raw'!$A:$B,2,FALSE)</f>
        <v>256746523.433328</v>
      </c>
      <c r="L895" s="5">
        <f>Table_Query_from_Cello_SQL_Server[[#This Row],[CMO MV]]/Table_Query_from_Cello_SQL_Server[[#This Row],[NAV]]*100</f>
        <v>62.588766450316847</v>
      </c>
    </row>
    <row r="896" spans="1:12" x14ac:dyDescent="0.2">
      <c r="A896" s="1">
        <v>42020</v>
      </c>
      <c r="B896">
        <v>577.99530000000004</v>
      </c>
      <c r="C896">
        <v>106.9534</v>
      </c>
      <c r="D896">
        <v>49.106000000000002</v>
      </c>
      <c r="F896">
        <v>411805026.97009999</v>
      </c>
      <c r="G896">
        <v>140.35654299999999</v>
      </c>
      <c r="H896">
        <v>25.971854</v>
      </c>
      <c r="I896">
        <v>11.924575000000001</v>
      </c>
      <c r="K896" s="13">
        <f>VLOOKUP(Table_Query_from_Cello_SQL_Server[[#This Row],[AsOfDate]], 'CMO MV Raw'!$A:$B,2,FALSE)</f>
        <v>258119266.440341</v>
      </c>
      <c r="L896" s="5">
        <f>Table_Query_from_Cello_SQL_Server[[#This Row],[CMO MV]]/Table_Query_from_Cello_SQL_Server[[#This Row],[NAV]]*100</f>
        <v>62.679969775862475</v>
      </c>
    </row>
    <row r="897" spans="1:12" x14ac:dyDescent="0.2">
      <c r="A897" s="1">
        <v>42024</v>
      </c>
      <c r="B897">
        <v>582.00530000000003</v>
      </c>
      <c r="C897">
        <v>107.10720000000001</v>
      </c>
      <c r="D897">
        <v>49.122199999999999</v>
      </c>
      <c r="F897">
        <v>412131575.32660002</v>
      </c>
      <c r="G897">
        <v>141.218323</v>
      </c>
      <c r="H897">
        <v>25.988593999999999</v>
      </c>
      <c r="I897">
        <v>11.919058</v>
      </c>
      <c r="K897" s="13">
        <f>VLOOKUP(Table_Query_from_Cello_SQL_Server[[#This Row],[AsOfDate]], 'CMO MV Raw'!$A:$B,2,FALSE)</f>
        <v>257083023.853596</v>
      </c>
      <c r="L897" s="5">
        <f>Table_Query_from_Cello_SQL_Server[[#This Row],[CMO MV]]/Table_Query_from_Cello_SQL_Server[[#This Row],[NAV]]*100</f>
        <v>62.378871031627845</v>
      </c>
    </row>
    <row r="898" spans="1:12" x14ac:dyDescent="0.2">
      <c r="A898" s="1">
        <v>42025</v>
      </c>
      <c r="B898">
        <v>581.85540000000003</v>
      </c>
      <c r="C898">
        <v>107.85509999999999</v>
      </c>
      <c r="D898">
        <v>47.204799999999999</v>
      </c>
      <c r="F898">
        <v>410932526.4946</v>
      </c>
      <c r="G898">
        <v>141.59390200000001</v>
      </c>
      <c r="H898">
        <v>26.246426</v>
      </c>
      <c r="I898">
        <v>11.487239000000001</v>
      </c>
      <c r="K898" s="13">
        <f>VLOOKUP(Table_Query_from_Cello_SQL_Server[[#This Row],[AsOfDate]], 'CMO MV Raw'!$A:$B,2,FALSE)</f>
        <v>256596886.481287</v>
      </c>
      <c r="L898" s="5">
        <f>Table_Query_from_Cello_SQL_Server[[#This Row],[CMO MV]]/Table_Query_from_Cello_SQL_Server[[#This Row],[NAV]]*100</f>
        <v>62.442583620758697</v>
      </c>
    </row>
    <row r="899" spans="1:12" x14ac:dyDescent="0.2">
      <c r="A899" s="1">
        <v>42026</v>
      </c>
      <c r="B899">
        <v>580.16880000000003</v>
      </c>
      <c r="C899">
        <v>108.13500000000001</v>
      </c>
      <c r="D899">
        <v>47.302700000000002</v>
      </c>
      <c r="F899">
        <v>410388430.73009998</v>
      </c>
      <c r="G899">
        <v>141.37065200000001</v>
      </c>
      <c r="H899">
        <v>26.349426999999999</v>
      </c>
      <c r="I899">
        <v>11.526324000000001</v>
      </c>
      <c r="K899" s="4">
        <f>VLOOKUP(Table_Query_from_Cello_SQL_Server[[#This Row],[AsOfDate]], 'CMO MV Raw'!$A:$B,2,FALSE)</f>
        <v>256741549.57343</v>
      </c>
      <c r="L899" s="5">
        <f>Table_Query_from_Cello_SQL_Server[[#This Row],[CMO MV]]/Table_Query_from_Cello_SQL_Server[[#This Row],[NAV]]*100</f>
        <v>62.560620706747251</v>
      </c>
    </row>
    <row r="900" spans="1:12" x14ac:dyDescent="0.2">
      <c r="A900" s="1">
        <v>42027</v>
      </c>
      <c r="B900">
        <v>580.01329999999996</v>
      </c>
      <c r="C900">
        <v>106.16719999999999</v>
      </c>
      <c r="D900">
        <v>50.870199999999997</v>
      </c>
      <c r="F900">
        <v>411745435.49260002</v>
      </c>
      <c r="G900">
        <v>140.86696499999999</v>
      </c>
      <c r="H900">
        <v>25.784669999999998</v>
      </c>
      <c r="I900">
        <v>12.35477</v>
      </c>
      <c r="K900" s="4">
        <f>VLOOKUP(Table_Query_from_Cello_SQL_Server[[#This Row],[AsOfDate]], 'CMO MV Raw'!$A:$B,2,FALSE)</f>
        <v>256796739.32252899</v>
      </c>
      <c r="L900" s="5">
        <f>Table_Query_from_Cello_SQL_Server[[#This Row],[CMO MV]]/Table_Query_from_Cello_SQL_Server[[#This Row],[NAV]]*100</f>
        <v>62.367841191804587</v>
      </c>
    </row>
    <row r="901" spans="1:12" x14ac:dyDescent="0.2">
      <c r="A901" s="1">
        <v>42030</v>
      </c>
      <c r="B901">
        <v>582.56389999999999</v>
      </c>
      <c r="C901">
        <v>106.95569999999999</v>
      </c>
      <c r="D901">
        <v>49.758699999999997</v>
      </c>
      <c r="F901">
        <v>411526289.50470001</v>
      </c>
      <c r="G901">
        <v>141.56177</v>
      </c>
      <c r="H901">
        <v>25.990003999999999</v>
      </c>
      <c r="I901">
        <v>12.091257000000001</v>
      </c>
      <c r="K901" s="4">
        <f>VLOOKUP(Table_Query_from_Cello_SQL_Server[[#This Row],[AsOfDate]], 'CMO MV Raw'!$A:$B,2,FALSE)</f>
        <v>256595980.59289801</v>
      </c>
      <c r="L901" s="5">
        <f>Table_Query_from_Cello_SQL_Server[[#This Row],[CMO MV]]/Table_Query_from_Cello_SQL_Server[[#This Row],[NAV]]*100</f>
        <v>62.352269377912364</v>
      </c>
    </row>
    <row r="902" spans="1:12" x14ac:dyDescent="0.2">
      <c r="A902" s="1">
        <v>42031</v>
      </c>
      <c r="B902">
        <v>574.25229999999999</v>
      </c>
      <c r="C902">
        <v>105.1177</v>
      </c>
      <c r="D902">
        <v>50.633299999999998</v>
      </c>
      <c r="F902">
        <v>411133926.07969999</v>
      </c>
      <c r="G902">
        <v>139.67524</v>
      </c>
      <c r="H902">
        <v>25.567751000000001</v>
      </c>
      <c r="I902">
        <v>12.315524999999999</v>
      </c>
      <c r="K902" s="4">
        <f>VLOOKUP(Table_Query_from_Cello_SQL_Server[[#This Row],[AsOfDate]], 'CMO MV Raw'!$A:$B,2,FALSE)</f>
        <v>255150781.77182901</v>
      </c>
      <c r="L902" s="5">
        <f>Table_Query_from_Cello_SQL_Server[[#This Row],[CMO MV]]/Table_Query_from_Cello_SQL_Server[[#This Row],[NAV]]*100</f>
        <v>62.060259586159027</v>
      </c>
    </row>
    <row r="903" spans="1:12" x14ac:dyDescent="0.2">
      <c r="A903" s="1">
        <v>42032</v>
      </c>
      <c r="B903">
        <v>586.07230000000004</v>
      </c>
      <c r="C903">
        <v>104.4915</v>
      </c>
      <c r="D903">
        <v>59.858199999999997</v>
      </c>
      <c r="F903">
        <v>412570599.14590001</v>
      </c>
      <c r="G903">
        <v>142.053821</v>
      </c>
      <c r="H903">
        <v>25.326937999999998</v>
      </c>
      <c r="I903">
        <v>14.508596000000001</v>
      </c>
      <c r="K903" s="4">
        <f>VLOOKUP(Table_Query_from_Cello_SQL_Server[[#This Row],[AsOfDate]], 'CMO MV Raw'!$A:$B,2,FALSE)</f>
        <v>264688546.86002901</v>
      </c>
      <c r="L903" s="5">
        <f>Table_Query_from_Cello_SQL_Server[[#This Row],[CMO MV]]/Table_Query_from_Cello_SQL_Server[[#This Row],[NAV]]*100</f>
        <v>64.15594019738316</v>
      </c>
    </row>
    <row r="904" spans="1:12" x14ac:dyDescent="0.2">
      <c r="A904" s="1">
        <v>42033</v>
      </c>
      <c r="B904">
        <v>587.38980000000004</v>
      </c>
      <c r="C904">
        <v>105.69289999999999</v>
      </c>
      <c r="D904">
        <v>58.866999999999997</v>
      </c>
      <c r="F904">
        <v>412004614.05519998</v>
      </c>
      <c r="G904">
        <v>142.56874300000001</v>
      </c>
      <c r="H904">
        <v>25.653328999999999</v>
      </c>
      <c r="I904">
        <v>14.287947000000001</v>
      </c>
      <c r="K904" s="4">
        <f>VLOOKUP(Table_Query_from_Cello_SQL_Server[[#This Row],[AsOfDate]], 'CMO MV Raw'!$A:$B,2,FALSE)</f>
        <v>265062669.116723</v>
      </c>
      <c r="L904" s="5">
        <f>Table_Query_from_Cello_SQL_Server[[#This Row],[CMO MV]]/Table_Query_from_Cello_SQL_Server[[#This Row],[NAV]]*100</f>
        <v>64.334878803374323</v>
      </c>
    </row>
    <row r="905" spans="1:12" x14ac:dyDescent="0.2">
      <c r="A905" s="1">
        <v>42034</v>
      </c>
      <c r="B905">
        <v>585.19460000000004</v>
      </c>
      <c r="C905">
        <v>102.74379999999999</v>
      </c>
      <c r="D905">
        <v>61.911999999999999</v>
      </c>
      <c r="F905">
        <v>412388831.14829999</v>
      </c>
      <c r="G905">
        <v>141.90360100000001</v>
      </c>
      <c r="H905">
        <v>24.914301999999999</v>
      </c>
      <c r="I905">
        <v>15.013016</v>
      </c>
      <c r="K905" s="4">
        <f>VLOOKUP(Table_Query_from_Cello_SQL_Server[[#This Row],[AsOfDate]], 'CMO MV Raw'!$A:$B,2,FALSE)</f>
        <v>264581550.12534299</v>
      </c>
      <c r="L905" s="5">
        <f>Table_Query_from_Cello_SQL_Server[[#This Row],[CMO MV]]/Table_Query_from_Cello_SQL_Server[[#This Row],[NAV]]*100</f>
        <v>64.158272518829747</v>
      </c>
    </row>
    <row r="906" spans="1:12" x14ac:dyDescent="0.2">
      <c r="A906" s="1">
        <v>42037</v>
      </c>
      <c r="B906">
        <v>588.67269999999996</v>
      </c>
      <c r="C906">
        <v>103.0363</v>
      </c>
      <c r="D906">
        <v>62.497900000000001</v>
      </c>
      <c r="F906">
        <v>421786375.68430001</v>
      </c>
      <c r="G906">
        <v>139.566552</v>
      </c>
      <c r="H906">
        <v>24.428550999999999</v>
      </c>
      <c r="I906">
        <v>14.81743</v>
      </c>
      <c r="K906" s="4">
        <f>VLOOKUP(Table_Query_from_Cello_SQL_Server[[#This Row],[AsOfDate]], 'CMO MV Raw'!$A:$B,2,FALSE)</f>
        <v>265211302.44687</v>
      </c>
      <c r="L906" s="5">
        <f>Table_Query_from_Cello_SQL_Server[[#This Row],[CMO MV]]/Table_Query_from_Cello_SQL_Server[[#This Row],[NAV]]*100</f>
        <v>62.878110279544963</v>
      </c>
    </row>
    <row r="907" spans="1:12" x14ac:dyDescent="0.2">
      <c r="A907" s="1">
        <v>42038</v>
      </c>
      <c r="B907">
        <v>560.8664</v>
      </c>
      <c r="C907">
        <v>102.2475</v>
      </c>
      <c r="D907">
        <v>41.980200000000004</v>
      </c>
      <c r="F907">
        <v>420867187.09570003</v>
      </c>
      <c r="G907">
        <v>133.264464</v>
      </c>
      <c r="H907">
        <v>24.294481000000001</v>
      </c>
      <c r="I907">
        <v>9.974691</v>
      </c>
      <c r="K907" s="4">
        <f>VLOOKUP(Table_Query_from_Cello_SQL_Server[[#This Row],[AsOfDate]], 'CMO MV Raw'!$A:$B,2,FALSE)</f>
        <v>263158834.26888001</v>
      </c>
      <c r="L907" s="5">
        <f>Table_Query_from_Cello_SQL_Server[[#This Row],[CMO MV]]/Table_Query_from_Cello_SQL_Server[[#This Row],[NAV]]*100</f>
        <v>62.527762281700738</v>
      </c>
    </row>
    <row r="908" spans="1:12" x14ac:dyDescent="0.2">
      <c r="A908" s="1">
        <v>42039</v>
      </c>
      <c r="B908">
        <v>559.83489999999995</v>
      </c>
      <c r="C908">
        <v>103.2431</v>
      </c>
      <c r="D908">
        <v>41.126199999999997</v>
      </c>
      <c r="F908">
        <v>421804129.67860001</v>
      </c>
      <c r="G908">
        <v>132.72390200000001</v>
      </c>
      <c r="H908">
        <v>24.47655</v>
      </c>
      <c r="I908">
        <v>9.7500710000000002</v>
      </c>
      <c r="K908" s="4">
        <f>VLOOKUP(Table_Query_from_Cello_SQL_Server[[#This Row],[AsOfDate]], 'CMO MV Raw'!$A:$B,2,FALSE)</f>
        <v>263697511.24337301</v>
      </c>
      <c r="L908" s="5">
        <f>Table_Query_from_Cello_SQL_Server[[#This Row],[CMO MV]]/Table_Query_from_Cello_SQL_Server[[#This Row],[NAV]]*100</f>
        <v>62.516578831103729</v>
      </c>
    </row>
    <row r="909" spans="1:12" x14ac:dyDescent="0.2">
      <c r="A909" s="1">
        <v>42040</v>
      </c>
      <c r="B909">
        <v>558.96439999999996</v>
      </c>
      <c r="C909">
        <v>103.6532</v>
      </c>
      <c r="D909">
        <v>40.9512</v>
      </c>
      <c r="F909">
        <v>421306786.35699999</v>
      </c>
      <c r="G909">
        <v>132.67396099999999</v>
      </c>
      <c r="H909">
        <v>24.602784</v>
      </c>
      <c r="I909">
        <v>9.7200430000000004</v>
      </c>
      <c r="K909" s="4">
        <f>VLOOKUP(Table_Query_from_Cello_SQL_Server[[#This Row],[AsOfDate]], 'CMO MV Raw'!$A:$B,2,FALSE)</f>
        <v>264079436.12827399</v>
      </c>
      <c r="L909" s="5">
        <f>Table_Query_from_Cello_SQL_Server[[#This Row],[CMO MV]]/Table_Query_from_Cello_SQL_Server[[#This Row],[NAV]]*100</f>
        <v>62.681030707277216</v>
      </c>
    </row>
    <row r="910" spans="1:12" x14ac:dyDescent="0.2">
      <c r="A910" s="1">
        <v>42041</v>
      </c>
      <c r="B910">
        <v>551.97919999999999</v>
      </c>
      <c r="C910">
        <v>107.3254</v>
      </c>
      <c r="D910">
        <v>36.549799999999998</v>
      </c>
      <c r="F910">
        <v>422092223.67299998</v>
      </c>
      <c r="G910">
        <v>130.77217899999999</v>
      </c>
      <c r="H910">
        <v>25.427002000000002</v>
      </c>
      <c r="I910">
        <v>8.659198</v>
      </c>
      <c r="K910" s="4">
        <f>VLOOKUP(Table_Query_from_Cello_SQL_Server[[#This Row],[AsOfDate]], 'CMO MV Raw'!$A:$B,2,FALSE)</f>
        <v>264910339.46927899</v>
      </c>
      <c r="L910" s="5">
        <f>Table_Query_from_Cello_SQL_Server[[#This Row],[CMO MV]]/Table_Query_from_Cello_SQL_Server[[#This Row],[NAV]]*100</f>
        <v>62.761246147597426</v>
      </c>
    </row>
    <row r="911" spans="1:12" x14ac:dyDescent="0.2">
      <c r="A911" s="1">
        <v>42044</v>
      </c>
      <c r="B911">
        <v>548.15030000000002</v>
      </c>
      <c r="C911">
        <v>106.54130000000001</v>
      </c>
      <c r="D911">
        <v>37.056699999999999</v>
      </c>
      <c r="F911">
        <v>421729326.35149997</v>
      </c>
      <c r="G911">
        <v>129.97680399999999</v>
      </c>
      <c r="H911">
        <v>25.262957</v>
      </c>
      <c r="I911">
        <v>8.7868440000000003</v>
      </c>
      <c r="K911" s="4">
        <f>VLOOKUP(Table_Query_from_Cello_SQL_Server[[#This Row],[AsOfDate]], 'CMO MV Raw'!$A:$B,2,FALSE)</f>
        <v>264663263.67762399</v>
      </c>
      <c r="L911" s="5">
        <f>Table_Query_from_Cello_SQL_Server[[#This Row],[CMO MV]]/Table_Query_from_Cello_SQL_Server[[#This Row],[NAV]]*100</f>
        <v>62.75666574276466</v>
      </c>
    </row>
    <row r="912" spans="1:12" x14ac:dyDescent="0.2">
      <c r="A912" s="1">
        <v>42045</v>
      </c>
      <c r="B912">
        <v>543.55330000000004</v>
      </c>
      <c r="C912">
        <v>107.0518</v>
      </c>
      <c r="D912">
        <v>35.621099999999998</v>
      </c>
      <c r="F912">
        <v>421507389.4569</v>
      </c>
      <c r="G912">
        <v>128.95463100000001</v>
      </c>
      <c r="H912">
        <v>25.397372000000001</v>
      </c>
      <c r="I912">
        <v>8.4508840000000003</v>
      </c>
      <c r="K912" s="4">
        <f>VLOOKUP(Table_Query_from_Cello_SQL_Server[[#This Row],[AsOfDate]], 'CMO MV Raw'!$A:$B,2,FALSE)</f>
        <v>263520986.78240901</v>
      </c>
      <c r="L912" s="5">
        <f>Table_Query_from_Cello_SQL_Server[[#This Row],[CMO MV]]/Table_Query_from_Cello_SQL_Server[[#This Row],[NAV]]*100</f>
        <v>62.518711029466914</v>
      </c>
    </row>
    <row r="913" spans="1:12" x14ac:dyDescent="0.2">
      <c r="A913" s="1">
        <v>42046</v>
      </c>
      <c r="B913">
        <v>545.3768</v>
      </c>
      <c r="C913">
        <v>106.34820000000001</v>
      </c>
      <c r="D913">
        <v>36.151899999999998</v>
      </c>
      <c r="F913">
        <v>421807409.0223</v>
      </c>
      <c r="G913">
        <v>129.29521600000001</v>
      </c>
      <c r="H913">
        <v>25.212502000000001</v>
      </c>
      <c r="I913">
        <v>8.5707120000000003</v>
      </c>
      <c r="K913" s="4">
        <f>VLOOKUP(Table_Query_from_Cello_SQL_Server[[#This Row],[AsOfDate]], 'CMO MV Raw'!$A:$B,2,FALSE)</f>
        <v>263807048.121714</v>
      </c>
      <c r="L913" s="5">
        <f>Table_Query_from_Cello_SQL_Server[[#This Row],[CMO MV]]/Table_Query_from_Cello_SQL_Server[[#This Row],[NAV]]*100</f>
        <v>62.542061253306983</v>
      </c>
    </row>
    <row r="914" spans="1:12" x14ac:dyDescent="0.2">
      <c r="A914" s="1">
        <v>42047</v>
      </c>
      <c r="B914">
        <v>522.524</v>
      </c>
      <c r="C914">
        <v>100.6293</v>
      </c>
      <c r="D914">
        <v>37.620899999999999</v>
      </c>
      <c r="F914">
        <v>421027892.8215</v>
      </c>
      <c r="G914">
        <v>124.106742</v>
      </c>
      <c r="H914">
        <v>23.900863000000001</v>
      </c>
      <c r="I914">
        <v>8.9354890000000005</v>
      </c>
      <c r="K914" s="4">
        <f>VLOOKUP(Table_Query_from_Cello_SQL_Server[[#This Row],[AsOfDate]], 'CMO MV Raw'!$A:$B,2,FALSE)</f>
        <v>257093428.38471201</v>
      </c>
      <c r="L914" s="5">
        <f>Table_Query_from_Cello_SQL_Server[[#This Row],[CMO MV]]/Table_Query_from_Cello_SQL_Server[[#This Row],[NAV]]*100</f>
        <v>61.063276986665095</v>
      </c>
    </row>
    <row r="915" spans="1:12" x14ac:dyDescent="0.2">
      <c r="A915" s="1">
        <v>42048</v>
      </c>
      <c r="B915">
        <v>517.56470000000002</v>
      </c>
      <c r="C915">
        <v>100.33199999999999</v>
      </c>
      <c r="D915">
        <v>37.119100000000003</v>
      </c>
      <c r="F915">
        <v>419851851.04839998</v>
      </c>
      <c r="G915">
        <v>123.273173</v>
      </c>
      <c r="H915">
        <v>23.897000999999999</v>
      </c>
      <c r="I915">
        <v>8.8409990000000001</v>
      </c>
      <c r="K915" s="4">
        <f>VLOOKUP(Table_Query_from_Cello_SQL_Server[[#This Row],[AsOfDate]], 'CMO MV Raw'!$A:$B,2,FALSE)</f>
        <v>256596158.482685</v>
      </c>
      <c r="L915" s="5">
        <f>Table_Query_from_Cello_SQL_Server[[#This Row],[CMO MV]]/Table_Query_from_Cello_SQL_Server[[#This Row],[NAV]]*100</f>
        <v>61.115881195223054</v>
      </c>
    </row>
    <row r="916" spans="1:12" x14ac:dyDescent="0.2">
      <c r="A916" s="1">
        <v>42052</v>
      </c>
      <c r="B916">
        <v>513.45989999999995</v>
      </c>
      <c r="C916">
        <v>103.18940000000001</v>
      </c>
      <c r="D916">
        <v>32.335599999999999</v>
      </c>
      <c r="F916">
        <v>418902064.56940001</v>
      </c>
      <c r="G916">
        <v>122.572779</v>
      </c>
      <c r="H916">
        <v>24.633299000000001</v>
      </c>
      <c r="I916">
        <v>7.719131</v>
      </c>
      <c r="K916" s="4">
        <f>VLOOKUP(Table_Query_from_Cello_SQL_Server[[#This Row],[AsOfDate]], 'CMO MV Raw'!$A:$B,2,FALSE)</f>
        <v>256794788.90559599</v>
      </c>
      <c r="L916" s="5">
        <f>Table_Query_from_Cello_SQL_Server[[#This Row],[CMO MV]]/Table_Query_from_Cello_SQL_Server[[#This Row],[NAV]]*100</f>
        <v>61.301867578418786</v>
      </c>
    </row>
    <row r="917" spans="1:12" x14ac:dyDescent="0.2">
      <c r="A917" s="1">
        <v>42053</v>
      </c>
      <c r="B917">
        <v>520.3999</v>
      </c>
      <c r="C917">
        <v>102.7568</v>
      </c>
      <c r="D917">
        <v>34.056399999999996</v>
      </c>
      <c r="F917">
        <v>419234862.05430001</v>
      </c>
      <c r="G917">
        <v>124.13087400000001</v>
      </c>
      <c r="H917">
        <v>24.510556999999999</v>
      </c>
      <c r="I917">
        <v>8.1234660000000005</v>
      </c>
      <c r="K917" s="4">
        <f>VLOOKUP(Table_Query_from_Cello_SQL_Server[[#This Row],[AsOfDate]], 'CMO MV Raw'!$A:$B,2,FALSE)</f>
        <v>257309075.82357299</v>
      </c>
      <c r="L917" s="5">
        <f>Table_Query_from_Cello_SQL_Server[[#This Row],[CMO MV]]/Table_Query_from_Cello_SQL_Server[[#This Row],[NAV]]*100</f>
        <v>61.375877607775351</v>
      </c>
    </row>
    <row r="918" spans="1:12" x14ac:dyDescent="0.2">
      <c r="A918" s="1">
        <v>42054</v>
      </c>
      <c r="B918">
        <v>519.87879999999996</v>
      </c>
      <c r="C918">
        <v>103.6728</v>
      </c>
      <c r="D918">
        <v>32.253599999999999</v>
      </c>
      <c r="F918">
        <v>418637273.9831</v>
      </c>
      <c r="G918">
        <v>124.18359100000001</v>
      </c>
      <c r="H918">
        <v>24.76435</v>
      </c>
      <c r="I918">
        <v>7.7044259999999998</v>
      </c>
      <c r="K918" s="4">
        <f>VLOOKUP(Table_Query_from_Cello_SQL_Server[[#This Row],[AsOfDate]], 'CMO MV Raw'!$A:$B,2,FALSE)</f>
        <v>256571278.264732</v>
      </c>
      <c r="L918" s="5">
        <f>Table_Query_from_Cello_SQL_Server[[#This Row],[CMO MV]]/Table_Query_from_Cello_SQL_Server[[#This Row],[NAV]]*100</f>
        <v>61.287251329438377</v>
      </c>
    </row>
    <row r="919" spans="1:12" x14ac:dyDescent="0.2">
      <c r="A919" s="1">
        <v>42055</v>
      </c>
      <c r="B919">
        <v>519.9384</v>
      </c>
      <c r="C919">
        <v>103.9773</v>
      </c>
      <c r="D919">
        <v>31.7624</v>
      </c>
      <c r="F919">
        <v>418401125.1433</v>
      </c>
      <c r="G919">
        <v>124.267926</v>
      </c>
      <c r="H919">
        <v>24.851103999999999</v>
      </c>
      <c r="I919">
        <v>7.5913750000000002</v>
      </c>
      <c r="K919" s="4">
        <f>VLOOKUP(Table_Query_from_Cello_SQL_Server[[#This Row],[AsOfDate]], 'CMO MV Raw'!$A:$B,2,FALSE)</f>
        <v>256399079.53042799</v>
      </c>
      <c r="L919" s="5">
        <f>Table_Query_from_Cello_SQL_Server[[#This Row],[CMO MV]]/Table_Query_from_Cello_SQL_Server[[#This Row],[NAV]]*100</f>
        <v>61.280685954803005</v>
      </c>
    </row>
    <row r="920" spans="1:12" x14ac:dyDescent="0.2">
      <c r="A920" s="1">
        <v>42058</v>
      </c>
      <c r="B920">
        <v>526.24980000000005</v>
      </c>
      <c r="C920">
        <v>103.8853</v>
      </c>
      <c r="D920">
        <v>33.496499999999997</v>
      </c>
      <c r="F920">
        <v>420405455.72619998</v>
      </c>
      <c r="G920">
        <v>125.17672899999999</v>
      </c>
      <c r="H920">
        <v>24.710740000000001</v>
      </c>
      <c r="I920">
        <v>7.9676650000000002</v>
      </c>
      <c r="K920" s="4">
        <f>VLOOKUP(Table_Query_from_Cello_SQL_Server[[#This Row],[AsOfDate]], 'CMO MV Raw'!$A:$B,2,FALSE)</f>
        <v>257172911.90985</v>
      </c>
      <c r="L920" s="5">
        <f>Table_Query_from_Cello_SQL_Server[[#This Row],[CMO MV]]/Table_Query_from_Cello_SQL_Server[[#This Row],[NAV]]*100</f>
        <v>61.172591460692303</v>
      </c>
    </row>
    <row r="921" spans="1:12" x14ac:dyDescent="0.2">
      <c r="A921" s="1">
        <v>42059</v>
      </c>
      <c r="B921">
        <v>521.97280000000001</v>
      </c>
      <c r="C921">
        <v>101.208</v>
      </c>
      <c r="D921">
        <v>36.085900000000002</v>
      </c>
      <c r="F921">
        <v>420694132.16159999</v>
      </c>
      <c r="G921">
        <v>124.074181</v>
      </c>
      <c r="H921">
        <v>24.057383000000002</v>
      </c>
      <c r="I921">
        <v>8.5777049999999999</v>
      </c>
      <c r="K921" s="4">
        <f>VLOOKUP(Table_Query_from_Cello_SQL_Server[[#This Row],[AsOfDate]], 'CMO MV Raw'!$A:$B,2,FALSE)</f>
        <v>255600397.132238</v>
      </c>
      <c r="L921" s="5">
        <f>Table_Query_from_Cello_SQL_Server[[#This Row],[CMO MV]]/Table_Query_from_Cello_SQL_Server[[#This Row],[NAV]]*100</f>
        <v>60.756824873909807</v>
      </c>
    </row>
    <row r="922" spans="1:12" x14ac:dyDescent="0.2">
      <c r="A922" s="1">
        <v>42060</v>
      </c>
      <c r="B922">
        <v>525.53920000000005</v>
      </c>
      <c r="C922">
        <v>101.53270000000001</v>
      </c>
      <c r="D922">
        <v>36.673900000000003</v>
      </c>
      <c r="F922">
        <v>421381568.61070001</v>
      </c>
      <c r="G922">
        <v>124.718127</v>
      </c>
      <c r="H922">
        <v>24.095192000000001</v>
      </c>
      <c r="I922">
        <v>8.7032520000000009</v>
      </c>
      <c r="K922" s="4">
        <f>VLOOKUP(Table_Query_from_Cello_SQL_Server[[#This Row],[AsOfDate]], 'CMO MV Raw'!$A:$B,2,FALSE)</f>
        <v>255803744.579339</v>
      </c>
      <c r="L922" s="5">
        <f>Table_Query_from_Cello_SQL_Server[[#This Row],[CMO MV]]/Table_Query_from_Cello_SQL_Server[[#This Row],[NAV]]*100</f>
        <v>60.705964293295253</v>
      </c>
    </row>
    <row r="923" spans="1:12" x14ac:dyDescent="0.2">
      <c r="A923" s="1">
        <v>42061</v>
      </c>
      <c r="B923">
        <v>523.45929999999998</v>
      </c>
      <c r="C923">
        <v>102.40179999999999</v>
      </c>
      <c r="D923">
        <v>35.3232</v>
      </c>
      <c r="F923">
        <v>421482278.75749999</v>
      </c>
      <c r="G923">
        <v>124.19485400000001</v>
      </c>
      <c r="H923">
        <v>24.295635999999998</v>
      </c>
      <c r="I923">
        <v>8.3807080000000003</v>
      </c>
      <c r="K923" s="4">
        <f>VLOOKUP(Table_Query_from_Cello_SQL_Server[[#This Row],[AsOfDate]], 'CMO MV Raw'!$A:$B,2,FALSE)</f>
        <v>255771831.12015399</v>
      </c>
      <c r="L923" s="5">
        <f>Table_Query_from_Cello_SQL_Server[[#This Row],[CMO MV]]/Table_Query_from_Cello_SQL_Server[[#This Row],[NAV]]*100</f>
        <v>60.683887321230046</v>
      </c>
    </row>
    <row r="924" spans="1:12" x14ac:dyDescent="0.2">
      <c r="A924" s="1">
        <v>42062</v>
      </c>
      <c r="B924">
        <v>523.59950000000003</v>
      </c>
      <c r="C924">
        <v>102.48399999999999</v>
      </c>
      <c r="D924">
        <v>36.0212</v>
      </c>
      <c r="F924">
        <v>419815546.41790003</v>
      </c>
      <c r="G924">
        <v>124.721322</v>
      </c>
      <c r="H924">
        <v>24.411673</v>
      </c>
      <c r="I924">
        <v>8.5802440000000004</v>
      </c>
      <c r="K924" s="4">
        <f>VLOOKUP(Table_Query_from_Cello_SQL_Server[[#This Row],[AsOfDate]], 'CMO MV Raw'!$A:$B,2,FALSE)</f>
        <v>256608449.150785</v>
      </c>
      <c r="L924" s="5">
        <f>Table_Query_from_Cello_SQL_Server[[#This Row],[CMO MV]]/Table_Query_from_Cello_SQL_Server[[#This Row],[NAV]]*100</f>
        <v>61.124093983729551</v>
      </c>
    </row>
    <row r="925" spans="1:12" x14ac:dyDescent="0.2">
      <c r="A925" s="1">
        <v>42065</v>
      </c>
      <c r="B925">
        <v>515.77819999999997</v>
      </c>
      <c r="C925">
        <v>102.3663</v>
      </c>
      <c r="D925">
        <v>34.366199999999999</v>
      </c>
      <c r="F925">
        <v>419177976.32419997</v>
      </c>
      <c r="G925">
        <v>123.045157</v>
      </c>
      <c r="H925">
        <v>24.420725000000001</v>
      </c>
      <c r="I925">
        <v>8.1984750000000002</v>
      </c>
      <c r="K925" s="4">
        <f>VLOOKUP(Table_Query_from_Cello_SQL_Server[[#This Row],[AsOfDate]], 'CMO MV Raw'!$A:$B,2,FALSE)</f>
        <v>255883658.88298801</v>
      </c>
      <c r="L925" s="5">
        <f>Table_Query_from_Cello_SQL_Server[[#This Row],[CMO MV]]/Table_Query_from_Cello_SQL_Server[[#This Row],[NAV]]*100</f>
        <v>61.044156261941318</v>
      </c>
    </row>
    <row r="926" spans="1:12" x14ac:dyDescent="0.2">
      <c r="A926" s="1">
        <v>42066</v>
      </c>
      <c r="B926">
        <v>513.71699999999998</v>
      </c>
      <c r="C926">
        <v>102.8019</v>
      </c>
      <c r="D926">
        <v>33.060600000000001</v>
      </c>
      <c r="F926">
        <v>418571587.2956</v>
      </c>
      <c r="G926">
        <v>122.730977</v>
      </c>
      <c r="H926">
        <v>24.560172000000001</v>
      </c>
      <c r="I926">
        <v>7.898434</v>
      </c>
      <c r="K926" s="4">
        <f>VLOOKUP(Table_Query_from_Cello_SQL_Server[[#This Row],[AsOfDate]], 'CMO MV Raw'!$A:$B,2,FALSE)</f>
        <v>255491165.15736499</v>
      </c>
      <c r="L926" s="5">
        <f>Table_Query_from_Cello_SQL_Server[[#This Row],[CMO MV]]/Table_Query_from_Cello_SQL_Server[[#This Row],[NAV]]*100</f>
        <v>61.038821771945607</v>
      </c>
    </row>
    <row r="927" spans="1:12" x14ac:dyDescent="0.2">
      <c r="A927" s="1">
        <v>42067</v>
      </c>
      <c r="B927">
        <v>512.55050000000006</v>
      </c>
      <c r="C927">
        <v>102.4513</v>
      </c>
      <c r="D927">
        <v>33.827500000000001</v>
      </c>
      <c r="F927">
        <v>418316919.95829999</v>
      </c>
      <c r="G927">
        <v>122.526839</v>
      </c>
      <c r="H927">
        <v>24.491312000000001</v>
      </c>
      <c r="I927">
        <v>8.0865720000000003</v>
      </c>
      <c r="K927" s="4">
        <f>VLOOKUP(Table_Query_from_Cello_SQL_Server[[#This Row],[AsOfDate]], 'CMO MV Raw'!$A:$B,2,FALSE)</f>
        <v>255633733.315258</v>
      </c>
      <c r="L927" s="5">
        <f>Table_Query_from_Cello_SQL_Server[[#This Row],[CMO MV]]/Table_Query_from_Cello_SQL_Server[[#This Row],[NAV]]*100</f>
        <v>61.110062997389846</v>
      </c>
    </row>
    <row r="928" spans="1:12" x14ac:dyDescent="0.2">
      <c r="A928" s="1">
        <v>42068</v>
      </c>
      <c r="B928">
        <v>512.08910000000003</v>
      </c>
      <c r="C928">
        <v>102.24160000000001</v>
      </c>
      <c r="D928">
        <v>34.699199999999998</v>
      </c>
      <c r="F928">
        <v>418374775.87660003</v>
      </c>
      <c r="G928">
        <v>122.39961099999999</v>
      </c>
      <c r="H928">
        <v>24.437802000000001</v>
      </c>
      <c r="I928">
        <v>8.2938080000000003</v>
      </c>
      <c r="K928" s="4">
        <f>VLOOKUP(Table_Query_from_Cello_SQL_Server[[#This Row],[AsOfDate]], 'CMO MV Raw'!$A:$B,2,FALSE)</f>
        <v>255981396.21039701</v>
      </c>
      <c r="L928" s="5">
        <f>Table_Query_from_Cello_SQL_Server[[#This Row],[CMO MV]]/Table_Query_from_Cello_SQL_Server[[#This Row],[NAV]]*100</f>
        <v>61.184710687696651</v>
      </c>
    </row>
    <row r="929" spans="1:12" x14ac:dyDescent="0.2">
      <c r="A929" s="1">
        <v>42069</v>
      </c>
      <c r="B929">
        <v>504.01089999999999</v>
      </c>
      <c r="C929">
        <v>103.51130000000001</v>
      </c>
      <c r="D929">
        <v>29.952000000000002</v>
      </c>
      <c r="F929">
        <v>416165814.76599997</v>
      </c>
      <c r="G929">
        <v>121.108193</v>
      </c>
      <c r="H929">
        <v>24.872610000000002</v>
      </c>
      <c r="I929">
        <v>7.1971309999999997</v>
      </c>
      <c r="K929" s="4">
        <f>VLOOKUP(Table_Query_from_Cello_SQL_Server[[#This Row],[AsOfDate]], 'CMO MV Raw'!$A:$B,2,FALSE)</f>
        <v>255168392.46286699</v>
      </c>
      <c r="L929" s="5">
        <f>Table_Query_from_Cello_SQL_Server[[#This Row],[CMO MV]]/Table_Query_from_Cello_SQL_Server[[#This Row],[NAV]]*100</f>
        <v>61.31411649136583</v>
      </c>
    </row>
    <row r="930" spans="1:12" x14ac:dyDescent="0.2">
      <c r="A930" s="1">
        <v>42072</v>
      </c>
      <c r="B930">
        <v>506.93029999999999</v>
      </c>
      <c r="C930">
        <v>103.8364</v>
      </c>
      <c r="D930">
        <v>31.090800000000002</v>
      </c>
      <c r="F930">
        <v>417650834.73329997</v>
      </c>
      <c r="G930">
        <v>121.37658</v>
      </c>
      <c r="H930">
        <v>24.862012</v>
      </c>
      <c r="I930">
        <v>7.4442089999999999</v>
      </c>
      <c r="K930" s="4">
        <f>VLOOKUP(Table_Query_from_Cello_SQL_Server[[#This Row],[AsOfDate]], 'CMO MV Raw'!$A:$B,2,FALSE)</f>
        <v>256146865.01352501</v>
      </c>
      <c r="L930" s="5">
        <f>Table_Query_from_Cello_SQL_Server[[#This Row],[CMO MV]]/Table_Query_from_Cello_SQL_Server[[#This Row],[NAV]]*100</f>
        <v>61.33038502774528</v>
      </c>
    </row>
    <row r="931" spans="1:12" x14ac:dyDescent="0.2">
      <c r="A931" s="1">
        <v>42073</v>
      </c>
      <c r="B931">
        <v>512.15380000000005</v>
      </c>
      <c r="C931">
        <v>103.66840000000001</v>
      </c>
      <c r="D931">
        <v>32.957799999999999</v>
      </c>
      <c r="F931">
        <v>419230190.42610002</v>
      </c>
      <c r="G931">
        <v>122.165295</v>
      </c>
      <c r="H931">
        <v>24.728276000000001</v>
      </c>
      <c r="I931">
        <v>7.861504</v>
      </c>
      <c r="K931" s="4">
        <f>VLOOKUP(Table_Query_from_Cello_SQL_Server[[#This Row],[AsOfDate]], 'CMO MV Raw'!$A:$B,2,FALSE)</f>
        <v>255197661.09107599</v>
      </c>
      <c r="L931" s="5">
        <f>Table_Query_from_Cello_SQL_Server[[#This Row],[CMO MV]]/Table_Query_from_Cello_SQL_Server[[#This Row],[NAV]]*100</f>
        <v>60.872920633816108</v>
      </c>
    </row>
    <row r="932" spans="1:12" x14ac:dyDescent="0.2">
      <c r="A932" s="1">
        <v>42074</v>
      </c>
      <c r="B932">
        <v>511.02569999999997</v>
      </c>
      <c r="C932">
        <v>102.36499999999999</v>
      </c>
      <c r="D932">
        <v>33.207099999999997</v>
      </c>
      <c r="F932">
        <v>419735126.27100003</v>
      </c>
      <c r="G932">
        <v>121.749567</v>
      </c>
      <c r="H932">
        <v>24.387999000000001</v>
      </c>
      <c r="I932">
        <v>7.9114420000000001</v>
      </c>
      <c r="K932" s="4">
        <f>VLOOKUP(Table_Query_from_Cello_SQL_Server[[#This Row],[AsOfDate]], 'CMO MV Raw'!$A:$B,2,FALSE)</f>
        <v>255069336.88485801</v>
      </c>
      <c r="L932" s="5">
        <f>Table_Query_from_Cello_SQL_Server[[#This Row],[CMO MV]]/Table_Query_from_Cello_SQL_Server[[#This Row],[NAV]]*100</f>
        <v>60.769118646547035</v>
      </c>
    </row>
    <row r="933" spans="1:12" x14ac:dyDescent="0.2">
      <c r="A933" s="1">
        <v>42075</v>
      </c>
      <c r="B933">
        <v>493.27780000000001</v>
      </c>
      <c r="C933">
        <v>98.696700000000007</v>
      </c>
      <c r="D933">
        <v>14.203099999999999</v>
      </c>
      <c r="F933">
        <v>420136028.23049998</v>
      </c>
      <c r="G933">
        <v>117.409069</v>
      </c>
      <c r="H933">
        <v>23.491606000000001</v>
      </c>
      <c r="I933">
        <v>3.3805960000000002</v>
      </c>
      <c r="K933" s="4">
        <f>VLOOKUP(Table_Query_from_Cello_SQL_Server[[#This Row],[AsOfDate]], 'CMO MV Raw'!$A:$B,2,FALSE)</f>
        <v>255678920.13051</v>
      </c>
      <c r="L933" s="5">
        <f>Table_Query_from_Cello_SQL_Server[[#This Row],[CMO MV]]/Table_Query_from_Cello_SQL_Server[[#This Row],[NAV]]*100</f>
        <v>60.856223449191184</v>
      </c>
    </row>
    <row r="934" spans="1:12" x14ac:dyDescent="0.2">
      <c r="A934" s="1">
        <v>42076</v>
      </c>
      <c r="B934">
        <v>488.99779999999998</v>
      </c>
      <c r="C934">
        <v>98.191599999999994</v>
      </c>
      <c r="D934">
        <v>13.2684</v>
      </c>
      <c r="F934">
        <v>419862189.57539999</v>
      </c>
      <c r="G934">
        <v>116.466263</v>
      </c>
      <c r="H934">
        <v>23.386626</v>
      </c>
      <c r="I934">
        <v>3.16018</v>
      </c>
      <c r="K934" s="4">
        <f>VLOOKUP(Table_Query_from_Cello_SQL_Server[[#This Row],[AsOfDate]], 'CMO MV Raw'!$A:$B,2,FALSE)</f>
        <v>255419711.003407</v>
      </c>
      <c r="L934" s="5">
        <f>Table_Query_from_Cello_SQL_Server[[#This Row],[CMO MV]]/Table_Query_from_Cello_SQL_Server[[#This Row],[NAV]]*100</f>
        <v>60.834177819562399</v>
      </c>
    </row>
    <row r="935" spans="1:12" x14ac:dyDescent="0.2">
      <c r="A935" s="1">
        <v>42079</v>
      </c>
      <c r="B935">
        <v>490.30369999999999</v>
      </c>
      <c r="C935">
        <v>98.034800000000004</v>
      </c>
      <c r="D935">
        <v>13.9529</v>
      </c>
      <c r="F935">
        <v>420279939.79009998</v>
      </c>
      <c r="G935">
        <v>116.661219</v>
      </c>
      <c r="H935">
        <v>23.326072</v>
      </c>
      <c r="I935">
        <v>3.319906</v>
      </c>
      <c r="K935" s="4">
        <f>VLOOKUP(Table_Query_from_Cello_SQL_Server[[#This Row],[AsOfDate]], 'CMO MV Raw'!$A:$B,2,FALSE)</f>
        <v>255287018.47782001</v>
      </c>
      <c r="L935" s="5">
        <f>Table_Query_from_Cello_SQL_Server[[#This Row],[CMO MV]]/Table_Query_from_Cello_SQL_Server[[#This Row],[NAV]]*100</f>
        <v>60.742137396640381</v>
      </c>
    </row>
    <row r="936" spans="1:12" x14ac:dyDescent="0.2">
      <c r="A936" s="1">
        <v>42080</v>
      </c>
      <c r="B936">
        <v>494.63959999999997</v>
      </c>
      <c r="C936">
        <v>98.402100000000004</v>
      </c>
      <c r="D936">
        <v>14.790100000000001</v>
      </c>
      <c r="F936">
        <v>422073627.45319998</v>
      </c>
      <c r="G936">
        <v>117.192728</v>
      </c>
      <c r="H936">
        <v>23.313966000000001</v>
      </c>
      <c r="I936">
        <v>3.5041519999999999</v>
      </c>
      <c r="K936" s="4">
        <f>VLOOKUP(Table_Query_from_Cello_SQL_Server[[#This Row],[AsOfDate]], 'CMO MV Raw'!$A:$B,2,FALSE)</f>
        <v>255777223.51344401</v>
      </c>
      <c r="L936" s="5">
        <f>Table_Query_from_Cello_SQL_Server[[#This Row],[CMO MV]]/Table_Query_from_Cello_SQL_Server[[#This Row],[NAV]]*100</f>
        <v>60.600143405502124</v>
      </c>
    </row>
    <row r="937" spans="1:12" x14ac:dyDescent="0.2">
      <c r="A937" s="1">
        <v>42081</v>
      </c>
      <c r="B937">
        <v>500.53210000000001</v>
      </c>
      <c r="C937">
        <v>96.487499999999997</v>
      </c>
      <c r="D937">
        <v>17.997199999999999</v>
      </c>
      <c r="F937">
        <v>422090859.40880001</v>
      </c>
      <c r="G937">
        <v>118.58396999999999</v>
      </c>
      <c r="H937">
        <v>22.859414999999998</v>
      </c>
      <c r="I937">
        <v>4.2638210000000001</v>
      </c>
      <c r="K937" s="4">
        <f>VLOOKUP(Table_Query_from_Cello_SQL_Server[[#This Row],[AsOfDate]], 'CMO MV Raw'!$A:$B,2,FALSE)</f>
        <v>256075792.04596099</v>
      </c>
      <c r="L937" s="5">
        <f>Table_Query_from_Cello_SQL_Server[[#This Row],[CMO MV]]/Table_Query_from_Cello_SQL_Server[[#This Row],[NAV]]*100</f>
        <v>60.668404998069036</v>
      </c>
    </row>
    <row r="938" spans="1:12" x14ac:dyDescent="0.2">
      <c r="A938" s="1">
        <v>42082</v>
      </c>
      <c r="B938">
        <v>372.84780000000001</v>
      </c>
      <c r="C938">
        <v>72.196399999999997</v>
      </c>
      <c r="D938">
        <v>-77.355000000000004</v>
      </c>
      <c r="F938">
        <v>423273063.54250002</v>
      </c>
      <c r="G938">
        <v>88.086823999999993</v>
      </c>
      <c r="H938">
        <v>17.056695999999999</v>
      </c>
      <c r="I938">
        <v>-18.275437</v>
      </c>
      <c r="K938" s="4">
        <f>VLOOKUP(Table_Query_from_Cello_SQL_Server[[#This Row],[AsOfDate]], 'CMO MV Raw'!$A:$B,2,FALSE)</f>
        <v>246820180.22827101</v>
      </c>
      <c r="L938" s="5">
        <f>Table_Query_from_Cello_SQL_Server[[#This Row],[CMO MV]]/Table_Query_from_Cello_SQL_Server[[#This Row],[NAV]]*100</f>
        <v>58.312281476774928</v>
      </c>
    </row>
    <row r="939" spans="1:12" x14ac:dyDescent="0.2">
      <c r="A939" s="1">
        <v>42083</v>
      </c>
      <c r="B939">
        <v>374.3451</v>
      </c>
      <c r="C939">
        <v>71.878200000000007</v>
      </c>
      <c r="D939">
        <v>-76.316299999999998</v>
      </c>
      <c r="F939">
        <v>423906120.69800001</v>
      </c>
      <c r="G939">
        <v>88.308491000000004</v>
      </c>
      <c r="H939">
        <v>16.956160000000001</v>
      </c>
      <c r="I939">
        <v>-18.003112999999999</v>
      </c>
      <c r="K939" s="4">
        <f>VLOOKUP(Table_Query_from_Cello_SQL_Server[[#This Row],[AsOfDate]], 'CMO MV Raw'!$A:$B,2,FALSE)</f>
        <v>247210623.67736399</v>
      </c>
      <c r="L939" s="5">
        <f>Table_Query_from_Cello_SQL_Server[[#This Row],[CMO MV]]/Table_Query_from_Cello_SQL_Server[[#This Row],[NAV]]*100</f>
        <v>58.317304612235652</v>
      </c>
    </row>
    <row r="940" spans="1:12" x14ac:dyDescent="0.2">
      <c r="A940" s="1">
        <v>42086</v>
      </c>
      <c r="B940">
        <v>375.10550000000001</v>
      </c>
      <c r="C940">
        <v>71.703800000000001</v>
      </c>
      <c r="D940">
        <v>-75.594300000000004</v>
      </c>
      <c r="F940">
        <v>423893882.27990001</v>
      </c>
      <c r="G940">
        <v>88.490425000000002</v>
      </c>
      <c r="H940">
        <v>16.915507000000002</v>
      </c>
      <c r="I940">
        <v>-17.833307999999999</v>
      </c>
      <c r="K940" s="4">
        <f>VLOOKUP(Table_Query_from_Cello_SQL_Server[[#This Row],[AsOfDate]], 'CMO MV Raw'!$A:$B,2,FALSE)</f>
        <v>247493843.83945</v>
      </c>
      <c r="L940" s="5">
        <f>Table_Query_from_Cello_SQL_Server[[#This Row],[CMO MV]]/Table_Query_from_Cello_SQL_Server[[#This Row],[NAV]]*100</f>
        <v>58.385802245673389</v>
      </c>
    </row>
    <row r="941" spans="1:12" x14ac:dyDescent="0.2">
      <c r="A941" s="1">
        <v>42087</v>
      </c>
      <c r="B941">
        <v>379.43740000000003</v>
      </c>
      <c r="C941">
        <v>71.555499999999995</v>
      </c>
      <c r="D941">
        <v>-74.071200000000005</v>
      </c>
      <c r="F941">
        <v>424880659.24849999</v>
      </c>
      <c r="G941">
        <v>89.304464999999993</v>
      </c>
      <c r="H941">
        <v>16.841317</v>
      </c>
      <c r="I941">
        <v>-17.433413000000002</v>
      </c>
      <c r="K941" s="4">
        <f>VLOOKUP(Table_Query_from_Cello_SQL_Server[[#This Row],[AsOfDate]], 'CMO MV Raw'!$A:$B,2,FALSE)</f>
        <v>247938268.24120799</v>
      </c>
      <c r="L941" s="5">
        <f>Table_Query_from_Cello_SQL_Server[[#This Row],[CMO MV]]/Table_Query_from_Cello_SQL_Server[[#This Row],[NAV]]*100</f>
        <v>58.354802188394338</v>
      </c>
    </row>
    <row r="942" spans="1:12" x14ac:dyDescent="0.2">
      <c r="A942" s="1">
        <v>42088</v>
      </c>
      <c r="B942">
        <v>379.06020000000001</v>
      </c>
      <c r="C942">
        <v>72.404700000000005</v>
      </c>
      <c r="D942">
        <v>-75.878299999999996</v>
      </c>
      <c r="F942">
        <v>424675186.61500001</v>
      </c>
      <c r="G942">
        <v>89.258853000000002</v>
      </c>
      <c r="H942">
        <v>17.049430000000001</v>
      </c>
      <c r="I942">
        <v>-17.867373000000001</v>
      </c>
      <c r="K942" s="4">
        <f>VLOOKUP(Table_Query_from_Cello_SQL_Server[[#This Row],[AsOfDate]], 'CMO MV Raw'!$A:$B,2,FALSE)</f>
        <v>247977840.29352701</v>
      </c>
      <c r="L942" s="5">
        <f>Table_Query_from_Cello_SQL_Server[[#This Row],[CMO MV]]/Table_Query_from_Cello_SQL_Server[[#This Row],[NAV]]*100</f>
        <v>58.392354465093241</v>
      </c>
    </row>
    <row r="943" spans="1:12" x14ac:dyDescent="0.2">
      <c r="A943" s="1">
        <v>42089</v>
      </c>
      <c r="B943">
        <v>353.21530000000001</v>
      </c>
      <c r="C943">
        <v>68.987099999999998</v>
      </c>
      <c r="D943">
        <v>-93.214699999999993</v>
      </c>
      <c r="F943">
        <v>423098471.84289998</v>
      </c>
      <c r="G943">
        <v>83.483001000000002</v>
      </c>
      <c r="H943">
        <v>16.305211</v>
      </c>
      <c r="I943">
        <v>-22.031442999999999</v>
      </c>
      <c r="K943" s="4">
        <f>VLOOKUP(Table_Query_from_Cello_SQL_Server[[#This Row],[AsOfDate]], 'CMO MV Raw'!$A:$B,2,FALSE)</f>
        <v>245491037.238175</v>
      </c>
      <c r="L943" s="5">
        <f>Table_Query_from_Cello_SQL_Server[[#This Row],[CMO MV]]/Table_Query_from_Cello_SQL_Server[[#This Row],[NAV]]*100</f>
        <v>58.022198985707497</v>
      </c>
    </row>
    <row r="944" spans="1:12" x14ac:dyDescent="0.2">
      <c r="A944" s="1">
        <v>42090</v>
      </c>
      <c r="B944">
        <v>359.12</v>
      </c>
      <c r="C944">
        <v>69.500699999999995</v>
      </c>
      <c r="D944">
        <v>-91.978300000000004</v>
      </c>
      <c r="F944">
        <v>425137062.315</v>
      </c>
      <c r="G944">
        <v>84.471581</v>
      </c>
      <c r="H944">
        <v>16.347833999999999</v>
      </c>
      <c r="I944">
        <v>-21.634976000000002</v>
      </c>
      <c r="K944" s="4">
        <f>VLOOKUP(Table_Query_from_Cello_SQL_Server[[#This Row],[AsOfDate]], 'CMO MV Raw'!$A:$B,2,FALSE)</f>
        <v>246702858.690694</v>
      </c>
      <c r="L944" s="5">
        <f>Table_Query_from_Cello_SQL_Server[[#This Row],[CMO MV]]/Table_Query_from_Cello_SQL_Server[[#This Row],[NAV]]*100</f>
        <v>58.029017123871128</v>
      </c>
    </row>
    <row r="945" spans="1:12" x14ac:dyDescent="0.2">
      <c r="A945" s="1">
        <v>42093</v>
      </c>
      <c r="B945">
        <v>358.89479999999998</v>
      </c>
      <c r="C945">
        <v>69.375399999999999</v>
      </c>
      <c r="D945">
        <v>-92.566699999999997</v>
      </c>
      <c r="F945">
        <v>423930701.59930003</v>
      </c>
      <c r="G945">
        <v>84.658837000000005</v>
      </c>
      <c r="H945">
        <v>16.364796999999999</v>
      </c>
      <c r="I945">
        <v>-21.835338</v>
      </c>
      <c r="K945" s="4">
        <f>VLOOKUP(Table_Query_from_Cello_SQL_Server[[#This Row],[AsOfDate]], 'CMO MV Raw'!$A:$B,2,FALSE)</f>
        <v>246389954.647966</v>
      </c>
      <c r="L945" s="5">
        <f>Table_Query_from_Cello_SQL_Server[[#This Row],[CMO MV]]/Table_Query_from_Cello_SQL_Server[[#This Row],[NAV]]*100</f>
        <v>58.120337526498425</v>
      </c>
    </row>
    <row r="946" spans="1:12" x14ac:dyDescent="0.2">
      <c r="A946" s="1">
        <v>42094</v>
      </c>
      <c r="B946">
        <v>355.18619999999999</v>
      </c>
      <c r="C946">
        <v>67.936400000000006</v>
      </c>
      <c r="D946">
        <v>-91.983400000000003</v>
      </c>
      <c r="F946">
        <v>423216279.91219997</v>
      </c>
      <c r="G946">
        <v>83.925458000000006</v>
      </c>
      <c r="H946">
        <v>16.052406999999999</v>
      </c>
      <c r="I946">
        <v>-21.734372</v>
      </c>
      <c r="K946" s="4">
        <f>VLOOKUP(Table_Query_from_Cello_SQL_Server[[#This Row],[AsOfDate]], 'CMO MV Raw'!$A:$B,2,FALSE)</f>
        <v>245965803.13492599</v>
      </c>
      <c r="L946" s="5">
        <f>Table_Query_from_Cello_SQL_Server[[#This Row],[CMO MV]]/Table_Query_from_Cello_SQL_Server[[#This Row],[NAV]]*100</f>
        <v>58.11822815179837</v>
      </c>
    </row>
    <row r="947" spans="1:12" x14ac:dyDescent="0.2">
      <c r="A947" s="1">
        <v>42095</v>
      </c>
      <c r="B947">
        <v>359.87619999999998</v>
      </c>
      <c r="C947">
        <v>67.795299999999997</v>
      </c>
      <c r="D947">
        <v>-89.534099999999995</v>
      </c>
      <c r="F947">
        <v>395785350.36430001</v>
      </c>
      <c r="G947">
        <v>90.927115000000001</v>
      </c>
      <c r="H947">
        <v>17.12931</v>
      </c>
      <c r="I947">
        <v>-22.621883</v>
      </c>
      <c r="K947" s="4">
        <f>VLOOKUP(Table_Query_from_Cello_SQL_Server[[#This Row],[AsOfDate]], 'CMO MV Raw'!$A:$B,2,FALSE)</f>
        <v>246860336.65340099</v>
      </c>
      <c r="L947" s="5">
        <f>Table_Query_from_Cello_SQL_Server[[#This Row],[CMO MV]]/Table_Query_from_Cello_SQL_Server[[#This Row],[NAV]]*100</f>
        <v>62.372277403946043</v>
      </c>
    </row>
    <row r="948" spans="1:12" x14ac:dyDescent="0.2">
      <c r="A948" s="1">
        <v>42096</v>
      </c>
      <c r="B948">
        <v>360.42579999999998</v>
      </c>
      <c r="C948">
        <v>68.976299999999995</v>
      </c>
      <c r="D948">
        <v>-91.870599999999996</v>
      </c>
      <c r="F948">
        <v>395159774.11559999</v>
      </c>
      <c r="G948">
        <v>91.210144</v>
      </c>
      <c r="H948">
        <v>17.455293999999999</v>
      </c>
      <c r="I948">
        <v>-23.248975999999999</v>
      </c>
      <c r="K948" s="4">
        <f>VLOOKUP(Table_Query_from_Cello_SQL_Server[[#This Row],[AsOfDate]], 'CMO MV Raw'!$A:$B,2,FALSE)</f>
        <v>246919229.18715799</v>
      </c>
      <c r="L948" s="5">
        <f>Table_Query_from_Cello_SQL_Server[[#This Row],[CMO MV]]/Table_Query_from_Cello_SQL_Server[[#This Row],[NAV]]*100</f>
        <v>62.485922242410297</v>
      </c>
    </row>
    <row r="949" spans="1:12" x14ac:dyDescent="0.2">
      <c r="A949" s="1">
        <v>42097</v>
      </c>
      <c r="B949">
        <v>361.19619999999998</v>
      </c>
      <c r="C949">
        <v>67.995000000000005</v>
      </c>
      <c r="D949">
        <v>-89.571600000000004</v>
      </c>
      <c r="F949">
        <v>395629719.64469999</v>
      </c>
      <c r="G949">
        <v>91.296529000000007</v>
      </c>
      <c r="H949">
        <v>17.186525</v>
      </c>
      <c r="I949">
        <v>-22.640260999999999</v>
      </c>
      <c r="K949" s="4">
        <f>VLOOKUP(Table_Query_from_Cello_SQL_Server[[#This Row],[AsOfDate]], 'CMO MV Raw'!$A:$B,2,FALSE)</f>
        <v>247389054.331312</v>
      </c>
      <c r="L949" s="5">
        <f>Table_Query_from_Cello_SQL_Server[[#This Row],[CMO MV]]/Table_Query_from_Cello_SQL_Server[[#This Row],[NAV]]*100</f>
        <v>62.530452604390462</v>
      </c>
    </row>
    <row r="950" spans="1:12" x14ac:dyDescent="0.2">
      <c r="A950" s="1">
        <v>42100</v>
      </c>
      <c r="B950">
        <v>354.95170000000002</v>
      </c>
      <c r="C950">
        <v>67.626000000000005</v>
      </c>
      <c r="D950">
        <v>-140.1397</v>
      </c>
      <c r="F950">
        <v>393619299.20670003</v>
      </c>
      <c r="G950">
        <v>90.176396999999994</v>
      </c>
      <c r="H950">
        <v>17.18056</v>
      </c>
      <c r="I950">
        <v>-35.602853000000003</v>
      </c>
      <c r="K950" s="4">
        <f>VLOOKUP(Table_Query_from_Cello_SQL_Server[[#This Row],[AsOfDate]], 'CMO MV Raw'!$A:$B,2,FALSE)</f>
        <v>246655652.765645</v>
      </c>
      <c r="L950" s="5">
        <f>Table_Query_from_Cello_SQL_Server[[#This Row],[CMO MV]]/Table_Query_from_Cello_SQL_Server[[#This Row],[NAV]]*100</f>
        <v>62.663505895862983</v>
      </c>
    </row>
    <row r="951" spans="1:12" x14ac:dyDescent="0.2">
      <c r="A951" s="1">
        <v>42101</v>
      </c>
      <c r="B951">
        <v>350.2337</v>
      </c>
      <c r="C951">
        <v>66.373000000000005</v>
      </c>
      <c r="D951">
        <v>-132.4913</v>
      </c>
      <c r="F951">
        <v>394827725.69160002</v>
      </c>
      <c r="G951">
        <v>88.705447000000007</v>
      </c>
      <c r="H951">
        <v>16.810623</v>
      </c>
      <c r="I951">
        <v>-33.556736999999998</v>
      </c>
      <c r="K951" s="4">
        <f>VLOOKUP(Table_Query_from_Cello_SQL_Server[[#This Row],[AsOfDate]], 'CMO MV Raw'!$A:$B,2,FALSE)</f>
        <v>246800579.38719201</v>
      </c>
      <c r="L951" s="5">
        <f>Table_Query_from_Cello_SQL_Server[[#This Row],[CMO MV]]/Table_Query_from_Cello_SQL_Server[[#This Row],[NAV]]*100</f>
        <v>62.50842160460838</v>
      </c>
    </row>
    <row r="952" spans="1:12" x14ac:dyDescent="0.2">
      <c r="A952" s="1">
        <v>42102</v>
      </c>
      <c r="B952">
        <v>285.71690000000001</v>
      </c>
      <c r="C952">
        <v>54.081000000000003</v>
      </c>
      <c r="D952">
        <v>-188.4853</v>
      </c>
      <c r="F952">
        <v>394868728.43800002</v>
      </c>
      <c r="G952">
        <v>72.357438999999999</v>
      </c>
      <c r="H952">
        <v>13.695944000000001</v>
      </c>
      <c r="I952">
        <v>-47.733660999999998</v>
      </c>
      <c r="K952" s="4">
        <f>VLOOKUP(Table_Query_from_Cello_SQL_Server[[#This Row],[AsOfDate]], 'CMO MV Raw'!$A:$B,2,FALSE)</f>
        <v>264230281.770136</v>
      </c>
      <c r="L952" s="5">
        <f>Table_Query_from_Cello_SQL_Server[[#This Row],[CMO MV]]/Table_Query_from_Cello_SQL_Server[[#This Row],[NAV]]*100</f>
        <v>66.915980613446806</v>
      </c>
    </row>
    <row r="953" spans="1:12" x14ac:dyDescent="0.2">
      <c r="A953" s="1">
        <v>42103</v>
      </c>
      <c r="B953">
        <v>280.47000000000003</v>
      </c>
      <c r="C953">
        <v>53.330100000000002</v>
      </c>
      <c r="D953">
        <v>-190.58619999999999</v>
      </c>
      <c r="F953">
        <v>392253143.046</v>
      </c>
      <c r="G953">
        <v>71.502295000000004</v>
      </c>
      <c r="H953">
        <v>13.595838000000001</v>
      </c>
      <c r="I953">
        <v>-48.587552000000002</v>
      </c>
      <c r="K953" s="4">
        <f>VLOOKUP(Table_Query_from_Cello_SQL_Server[[#This Row],[AsOfDate]], 'CMO MV Raw'!$A:$B,2,FALSE)</f>
        <v>261505090.235742</v>
      </c>
      <c r="L953" s="5">
        <f>Table_Query_from_Cello_SQL_Server[[#This Row],[CMO MV]]/Table_Query_from_Cello_SQL_Server[[#This Row],[NAV]]*100</f>
        <v>66.667430171509167</v>
      </c>
    </row>
    <row r="954" spans="1:12" x14ac:dyDescent="0.2">
      <c r="A954" s="1">
        <v>42104</v>
      </c>
      <c r="B954">
        <v>278.84359999999998</v>
      </c>
      <c r="C954">
        <v>52.698599999999999</v>
      </c>
      <c r="D954">
        <v>-162.6884</v>
      </c>
      <c r="F954">
        <v>392618567.3775</v>
      </c>
      <c r="G954">
        <v>71.021501000000001</v>
      </c>
      <c r="H954">
        <v>13.42234</v>
      </c>
      <c r="I954">
        <v>-41.436757</v>
      </c>
      <c r="K954" s="4">
        <f>VLOOKUP(Table_Query_from_Cello_SQL_Server[[#This Row],[AsOfDate]], 'CMO MV Raw'!$A:$B,2,FALSE)</f>
        <v>261323972.49397501</v>
      </c>
      <c r="L954" s="5">
        <f>Table_Query_from_Cello_SQL_Server[[#This Row],[CMO MV]]/Table_Query_from_Cello_SQL_Server[[#This Row],[NAV]]*100</f>
        <v>66.559249665519218</v>
      </c>
    </row>
    <row r="955" spans="1:12" x14ac:dyDescent="0.2">
      <c r="A955" s="1">
        <v>42107</v>
      </c>
      <c r="B955">
        <v>264.97210000000001</v>
      </c>
      <c r="C955">
        <v>49.975000000000001</v>
      </c>
      <c r="D955">
        <v>-163.42449999999999</v>
      </c>
      <c r="F955">
        <v>392317200.41850001</v>
      </c>
      <c r="G955">
        <v>67.540271000000004</v>
      </c>
      <c r="H955">
        <v>12.738417</v>
      </c>
      <c r="I955">
        <v>-41.656216000000001</v>
      </c>
      <c r="K955" s="4">
        <f>VLOOKUP(Table_Query_from_Cello_SQL_Server[[#This Row],[AsOfDate]], 'CMO MV Raw'!$A:$B,2,FALSE)</f>
        <v>261962908.07292601</v>
      </c>
      <c r="L955" s="5">
        <f>Table_Query_from_Cello_SQL_Server[[#This Row],[CMO MV]]/Table_Query_from_Cello_SQL_Server[[#This Row],[NAV]]*100</f>
        <v>66.773240580193786</v>
      </c>
    </row>
    <row r="956" spans="1:12" x14ac:dyDescent="0.2">
      <c r="A956" s="1">
        <v>42108</v>
      </c>
      <c r="B956">
        <v>260.66399999999999</v>
      </c>
      <c r="C956">
        <v>48.613799999999998</v>
      </c>
      <c r="D956">
        <v>-162.3511</v>
      </c>
      <c r="F956">
        <v>391955106.30970001</v>
      </c>
      <c r="G956">
        <v>66.503534999999999</v>
      </c>
      <c r="H956">
        <v>12.402900000000001</v>
      </c>
      <c r="I956">
        <v>-41.420841000000003</v>
      </c>
      <c r="K956" s="4">
        <f>VLOOKUP(Table_Query_from_Cello_SQL_Server[[#This Row],[AsOfDate]], 'CMO MV Raw'!$A:$B,2,FALSE)</f>
        <v>260944143.47666901</v>
      </c>
      <c r="L956" s="5">
        <f>Table_Query_from_Cello_SQL_Server[[#This Row],[CMO MV]]/Table_Query_from_Cello_SQL_Server[[#This Row],[NAV]]*100</f>
        <v>66.57500802412973</v>
      </c>
    </row>
    <row r="957" spans="1:12" x14ac:dyDescent="0.2">
      <c r="A957" s="1">
        <v>42109</v>
      </c>
      <c r="B957">
        <v>258.3175</v>
      </c>
      <c r="C957">
        <v>48.238</v>
      </c>
      <c r="D957">
        <v>-162.51259999999999</v>
      </c>
      <c r="F957">
        <v>391271851.65060002</v>
      </c>
      <c r="G957">
        <v>66.019954999999996</v>
      </c>
      <c r="H957">
        <v>12.328512999999999</v>
      </c>
      <c r="I957">
        <v>-41.534447</v>
      </c>
      <c r="K957" s="4">
        <f>VLOOKUP(Table_Query_from_Cello_SQL_Server[[#This Row],[AsOfDate]], 'CMO MV Raw'!$A:$B,2,FALSE)</f>
        <v>260776674.514166</v>
      </c>
      <c r="L957" s="5">
        <f>Table_Query_from_Cello_SQL_Server[[#This Row],[CMO MV]]/Table_Query_from_Cello_SQL_Server[[#This Row],[NAV]]*100</f>
        <v>66.648462805097395</v>
      </c>
    </row>
    <row r="958" spans="1:12" x14ac:dyDescent="0.2">
      <c r="A958" s="1">
        <v>42110</v>
      </c>
      <c r="B958">
        <v>261.1386</v>
      </c>
      <c r="C958">
        <v>48.664000000000001</v>
      </c>
      <c r="D958">
        <v>-162.2354</v>
      </c>
      <c r="F958">
        <v>391408015.08249998</v>
      </c>
      <c r="G958">
        <v>66.717744999999994</v>
      </c>
      <c r="H958">
        <v>12.433062</v>
      </c>
      <c r="I958">
        <v>-41.449176999999999</v>
      </c>
      <c r="K958" s="4">
        <f>VLOOKUP(Table_Query_from_Cello_SQL_Server[[#This Row],[AsOfDate]], 'CMO MV Raw'!$A:$B,2,FALSE)</f>
        <v>261325500.73632801</v>
      </c>
      <c r="L958" s="5">
        <f>Table_Query_from_Cello_SQL_Server[[#This Row],[CMO MV]]/Table_Query_from_Cello_SQL_Server[[#This Row],[NAV]]*100</f>
        <v>66.765495510163859</v>
      </c>
    </row>
    <row r="959" spans="1:12" x14ac:dyDescent="0.2">
      <c r="A959" s="1">
        <v>42111</v>
      </c>
      <c r="B959">
        <v>269.5958</v>
      </c>
      <c r="C959">
        <v>50.1815</v>
      </c>
      <c r="D959">
        <v>-161.45079999999999</v>
      </c>
      <c r="F959">
        <v>393296030.55559999</v>
      </c>
      <c r="G959">
        <v>68.547805999999994</v>
      </c>
      <c r="H959">
        <v>12.759219</v>
      </c>
      <c r="I959">
        <v>-41.050707000000003</v>
      </c>
      <c r="K959" s="4">
        <f>VLOOKUP(Table_Query_from_Cello_SQL_Server[[#This Row],[AsOfDate]], 'CMO MV Raw'!$A:$B,2,FALSE)</f>
        <v>261885416.050888</v>
      </c>
      <c r="L959" s="5">
        <f>Table_Query_from_Cello_SQL_Server[[#This Row],[CMO MV]]/Table_Query_from_Cello_SQL_Server[[#This Row],[NAV]]*100</f>
        <v>66.587352961820812</v>
      </c>
    </row>
    <row r="960" spans="1:12" x14ac:dyDescent="0.2">
      <c r="A960" s="1">
        <v>42114</v>
      </c>
      <c r="B960">
        <v>270.7636</v>
      </c>
      <c r="C960">
        <v>50.9711</v>
      </c>
      <c r="D960">
        <v>-164.08369999999999</v>
      </c>
      <c r="F960">
        <v>392070067.23019999</v>
      </c>
      <c r="G960">
        <v>69.060002999999995</v>
      </c>
      <c r="H960">
        <v>13.000508</v>
      </c>
      <c r="I960">
        <v>-41.850605999999999</v>
      </c>
      <c r="K960" s="4">
        <f>VLOOKUP(Table_Query_from_Cello_SQL_Server[[#This Row],[AsOfDate]], 'CMO MV Raw'!$A:$B,2,FALSE)</f>
        <v>261965531.29991099</v>
      </c>
      <c r="L960" s="5">
        <f>Table_Query_from_Cello_SQL_Server[[#This Row],[CMO MV]]/Table_Query_from_Cello_SQL_Server[[#This Row],[NAV]]*100</f>
        <v>66.815998770469903</v>
      </c>
    </row>
    <row r="961" spans="1:12" x14ac:dyDescent="0.2">
      <c r="A961" s="1">
        <v>42115</v>
      </c>
      <c r="B961">
        <v>277.30119999999999</v>
      </c>
      <c r="C961">
        <v>52.658200000000001</v>
      </c>
      <c r="D961">
        <v>-166.00460000000001</v>
      </c>
      <c r="F961">
        <v>392610842.75300002</v>
      </c>
      <c r="G961">
        <v>70.630041000000006</v>
      </c>
      <c r="H961">
        <v>13.412314</v>
      </c>
      <c r="I961">
        <v>-42.282224999999997</v>
      </c>
      <c r="K961" s="4">
        <f>VLOOKUP(Table_Query_from_Cello_SQL_Server[[#This Row],[AsOfDate]], 'CMO MV Raw'!$A:$B,2,FALSE)</f>
        <v>262435906.046161</v>
      </c>
      <c r="L961" s="5">
        <f>Table_Query_from_Cello_SQL_Server[[#This Row],[CMO MV]]/Table_Query_from_Cello_SQL_Server[[#This Row],[NAV]]*100</f>
        <v>66.843774411820078</v>
      </c>
    </row>
    <row r="962" spans="1:12" x14ac:dyDescent="0.2">
      <c r="A962" s="1">
        <v>42116</v>
      </c>
      <c r="B962">
        <v>321.92520000000002</v>
      </c>
      <c r="C962">
        <v>62.064500000000002</v>
      </c>
      <c r="D962">
        <v>-212.45400000000001</v>
      </c>
      <c r="F962">
        <v>391563290.47100002</v>
      </c>
      <c r="G962">
        <v>82.215367999999998</v>
      </c>
      <c r="H962">
        <v>15.850439</v>
      </c>
      <c r="I962">
        <v>-54.257894999999998</v>
      </c>
      <c r="K962" s="4">
        <f>VLOOKUP(Table_Query_from_Cello_SQL_Server[[#This Row],[AsOfDate]], 'CMO MV Raw'!$A:$B,2,FALSE)</f>
        <v>262718401.919523</v>
      </c>
      <c r="L962" s="5">
        <f>Table_Query_from_Cello_SQL_Server[[#This Row],[CMO MV]]/Table_Query_from_Cello_SQL_Server[[#This Row],[NAV]]*100</f>
        <v>67.094747723543421</v>
      </c>
    </row>
    <row r="963" spans="1:12" x14ac:dyDescent="0.2">
      <c r="A963" s="1">
        <v>42117</v>
      </c>
      <c r="B963">
        <v>321.92809999999997</v>
      </c>
      <c r="C963">
        <v>61.890500000000003</v>
      </c>
      <c r="D963">
        <v>-210.8869</v>
      </c>
      <c r="F963">
        <v>392263760.1638</v>
      </c>
      <c r="G963">
        <v>82.069293999999999</v>
      </c>
      <c r="H963">
        <v>15.777777</v>
      </c>
      <c r="I963">
        <v>-53.761505</v>
      </c>
      <c r="K963" s="4">
        <f>VLOOKUP(Table_Query_from_Cello_SQL_Server[[#This Row],[AsOfDate]], 'CMO MV Raw'!$A:$B,2,FALSE)</f>
        <v>263314647.58239201</v>
      </c>
      <c r="L963" s="5">
        <f>Table_Query_from_Cello_SQL_Server[[#This Row],[CMO MV]]/Table_Query_from_Cello_SQL_Server[[#This Row],[NAV]]*100</f>
        <v>67.126937107939327</v>
      </c>
    </row>
    <row r="964" spans="1:12" x14ac:dyDescent="0.2">
      <c r="A964" s="1">
        <v>42118</v>
      </c>
      <c r="B964">
        <v>316.40620000000001</v>
      </c>
      <c r="C964">
        <v>60.561999999999998</v>
      </c>
      <c r="D964">
        <v>-208.95679999999999</v>
      </c>
      <c r="F964">
        <v>392198024.76520002</v>
      </c>
      <c r="G964">
        <v>80.675112999999996</v>
      </c>
      <c r="H964">
        <v>15.441689</v>
      </c>
      <c r="I964">
        <v>-53.278391999999997</v>
      </c>
      <c r="K964" s="4">
        <f>VLOOKUP(Table_Query_from_Cello_SQL_Server[[#This Row],[AsOfDate]], 'CMO MV Raw'!$A:$B,2,FALSE)</f>
        <v>263337267.88468501</v>
      </c>
      <c r="L964" s="5">
        <f>Table_Query_from_Cello_SQL_Server[[#This Row],[CMO MV]]/Table_Query_from_Cello_SQL_Server[[#This Row],[NAV]]*100</f>
        <v>67.143955669419555</v>
      </c>
    </row>
    <row r="965" spans="1:12" x14ac:dyDescent="0.2">
      <c r="A965" s="1">
        <v>42121</v>
      </c>
      <c r="B965">
        <v>322.81009999999998</v>
      </c>
      <c r="C965">
        <v>62.066899999999997</v>
      </c>
      <c r="D965">
        <v>-199.98339999999999</v>
      </c>
      <c r="F965">
        <v>392904328.45279998</v>
      </c>
      <c r="G965">
        <v>82.159976</v>
      </c>
      <c r="H965">
        <v>15.796950000000001</v>
      </c>
      <c r="I965">
        <v>-50.898752000000002</v>
      </c>
      <c r="K965" s="4">
        <f>VLOOKUP(Table_Query_from_Cello_SQL_Server[[#This Row],[AsOfDate]], 'CMO MV Raw'!$A:$B,2,FALSE)</f>
        <v>264638169.01115301</v>
      </c>
      <c r="L965" s="5">
        <f>Table_Query_from_Cello_SQL_Server[[#This Row],[CMO MV]]/Table_Query_from_Cello_SQL_Server[[#This Row],[NAV]]*100</f>
        <v>67.354353171231168</v>
      </c>
    </row>
    <row r="966" spans="1:12" x14ac:dyDescent="0.2">
      <c r="A966" s="1">
        <v>42122</v>
      </c>
      <c r="B966">
        <v>325.44279999999998</v>
      </c>
      <c r="C966">
        <v>63.718699999999998</v>
      </c>
      <c r="D966">
        <v>-205.06819999999999</v>
      </c>
      <c r="F966">
        <v>392308395.25590003</v>
      </c>
      <c r="G966">
        <v>82.955859000000004</v>
      </c>
      <c r="H966">
        <v>16.241992</v>
      </c>
      <c r="I966">
        <v>-52.272193000000001</v>
      </c>
      <c r="K966" s="4">
        <f>VLOOKUP(Table_Query_from_Cello_SQL_Server[[#This Row],[AsOfDate]], 'CMO MV Raw'!$A:$B,2,FALSE)</f>
        <v>264774028.83844599</v>
      </c>
      <c r="L966" s="5">
        <f>Table_Query_from_Cello_SQL_Server[[#This Row],[CMO MV]]/Table_Query_from_Cello_SQL_Server[[#This Row],[NAV]]*100</f>
        <v>67.491298182832864</v>
      </c>
    </row>
    <row r="967" spans="1:12" x14ac:dyDescent="0.2">
      <c r="A967" s="1">
        <v>42123</v>
      </c>
      <c r="B967">
        <v>326.59309999999999</v>
      </c>
      <c r="C967">
        <v>64.941000000000003</v>
      </c>
      <c r="D967">
        <v>-109.495</v>
      </c>
      <c r="F967">
        <v>391119355.39749998</v>
      </c>
      <c r="G967">
        <v>83.502156999999997</v>
      </c>
      <c r="H967">
        <v>16.603883</v>
      </c>
      <c r="I967">
        <v>-27.995291000000002</v>
      </c>
      <c r="K967" s="4">
        <f>VLOOKUP(Table_Query_from_Cello_SQL_Server[[#This Row],[AsOfDate]], 'CMO MV Raw'!$A:$B,2,FALSE)</f>
        <v>264660703.64671499</v>
      </c>
      <c r="L967" s="5">
        <f>Table_Query_from_Cello_SQL_Server[[#This Row],[CMO MV]]/Table_Query_from_Cello_SQL_Server[[#This Row],[NAV]]*100</f>
        <v>67.667503536800595</v>
      </c>
    </row>
    <row r="968" spans="1:12" x14ac:dyDescent="0.2">
      <c r="A968" s="1">
        <v>42124</v>
      </c>
      <c r="B968">
        <v>316.57740000000001</v>
      </c>
      <c r="C968">
        <v>63.0747</v>
      </c>
      <c r="D968">
        <v>-208.33250000000001</v>
      </c>
      <c r="F968">
        <v>390176195.51609999</v>
      </c>
      <c r="G968">
        <v>81.137035999999995</v>
      </c>
      <c r="H968">
        <v>16.165697000000002</v>
      </c>
      <c r="I968">
        <v>-53.394466999999999</v>
      </c>
      <c r="K968" s="4">
        <f>VLOOKUP(Table_Query_from_Cello_SQL_Server[[#This Row],[AsOfDate]], 'CMO MV Raw'!$A:$B,2,FALSE)</f>
        <v>264216632.932632</v>
      </c>
      <c r="L968" s="5">
        <f>Table_Query_from_Cello_SQL_Server[[#This Row],[CMO MV]]/Table_Query_from_Cello_SQL_Server[[#This Row],[NAV]]*100</f>
        <v>67.717261065386936</v>
      </c>
    </row>
    <row r="969" spans="1:12" x14ac:dyDescent="0.2">
      <c r="A969" s="1">
        <v>42125</v>
      </c>
      <c r="B969">
        <v>294.28129999999999</v>
      </c>
      <c r="C969">
        <v>59.533700000000003</v>
      </c>
      <c r="D969">
        <v>-211.74940000000001</v>
      </c>
      <c r="F969">
        <v>389319838.48290002</v>
      </c>
      <c r="G969">
        <v>75.588570000000004</v>
      </c>
      <c r="H969">
        <v>15.29172</v>
      </c>
      <c r="I969">
        <v>-54.389574000000003</v>
      </c>
      <c r="K969" s="4">
        <f>VLOOKUP(Table_Query_from_Cello_SQL_Server[[#This Row],[AsOfDate]], 'CMO MV Raw'!$A:$B,2,FALSE)</f>
        <v>260903843.63172501</v>
      </c>
      <c r="L969" s="5">
        <f>Table_Query_from_Cello_SQL_Server[[#This Row],[CMO MV]]/Table_Query_from_Cello_SQL_Server[[#This Row],[NAV]]*100</f>
        <v>67.01529638161108</v>
      </c>
    </row>
    <row r="970" spans="1:12" x14ac:dyDescent="0.2">
      <c r="A970" s="1">
        <v>42128</v>
      </c>
      <c r="B970">
        <v>311.58049999999997</v>
      </c>
      <c r="C970">
        <v>63.6434</v>
      </c>
      <c r="D970">
        <v>-214.6422</v>
      </c>
      <c r="F970">
        <v>388644522.6099</v>
      </c>
      <c r="G970">
        <v>80.171076999999997</v>
      </c>
      <c r="H970">
        <v>16.375736</v>
      </c>
      <c r="I970">
        <v>-55.228411999999999</v>
      </c>
      <c r="K970" s="4">
        <f>VLOOKUP(Table_Query_from_Cello_SQL_Server[[#This Row],[AsOfDate]], 'CMO MV Raw'!$A:$B,2,FALSE)</f>
        <v>266254492.30250701</v>
      </c>
      <c r="L970" s="5">
        <f>Table_Query_from_Cello_SQL_Server[[#This Row],[CMO MV]]/Table_Query_from_Cello_SQL_Server[[#This Row],[NAV]]*100</f>
        <v>68.508489586963421</v>
      </c>
    </row>
    <row r="971" spans="1:12" x14ac:dyDescent="0.2">
      <c r="A971" s="1">
        <v>42129</v>
      </c>
      <c r="B971">
        <v>351.5197</v>
      </c>
      <c r="C971">
        <v>72.709599999999995</v>
      </c>
      <c r="D971">
        <v>-115.4271</v>
      </c>
      <c r="F971">
        <v>388123120.55080003</v>
      </c>
      <c r="G971">
        <v>90.569120999999996</v>
      </c>
      <c r="H971">
        <v>18.733643000000001</v>
      </c>
      <c r="I971">
        <v>-29.739816000000001</v>
      </c>
      <c r="K971" s="4">
        <f>VLOOKUP(Table_Query_from_Cello_SQL_Server[[#This Row],[AsOfDate]], 'CMO MV Raw'!$A:$B,2,FALSE)</f>
        <v>277193588.66688597</v>
      </c>
      <c r="L971" s="5">
        <f>Table_Query_from_Cello_SQL_Server[[#This Row],[CMO MV]]/Table_Query_from_Cello_SQL_Server[[#This Row],[NAV]]*100</f>
        <v>71.418983819750338</v>
      </c>
    </row>
    <row r="972" spans="1:12" x14ac:dyDescent="0.2">
      <c r="A972" s="1">
        <v>42130</v>
      </c>
      <c r="B972">
        <v>347.45310000000001</v>
      </c>
      <c r="C972">
        <v>72.712000000000003</v>
      </c>
      <c r="D972">
        <v>-119.5266</v>
      </c>
      <c r="F972">
        <v>385822024.80589998</v>
      </c>
      <c r="G972">
        <v>90.055278999999999</v>
      </c>
      <c r="H972">
        <v>18.845994999999998</v>
      </c>
      <c r="I972">
        <v>-30.979724000000001</v>
      </c>
      <c r="K972" s="4">
        <f>VLOOKUP(Table_Query_from_Cello_SQL_Server[[#This Row],[AsOfDate]], 'CMO MV Raw'!$A:$B,2,FALSE)</f>
        <v>276314200.450975</v>
      </c>
      <c r="L972" s="5">
        <f>Table_Query_from_Cello_SQL_Server[[#This Row],[CMO MV]]/Table_Query_from_Cello_SQL_Server[[#This Row],[NAV]]*100</f>
        <v>71.617010612596218</v>
      </c>
    </row>
    <row r="973" spans="1:12" x14ac:dyDescent="0.2">
      <c r="A973" s="1">
        <v>42131</v>
      </c>
      <c r="B973">
        <v>424.01060000000001</v>
      </c>
      <c r="C973">
        <v>87.509500000000003</v>
      </c>
      <c r="D973">
        <v>-114.02070000000001</v>
      </c>
      <c r="F973">
        <v>387134574.60829997</v>
      </c>
      <c r="G973">
        <v>109.52537599999999</v>
      </c>
      <c r="H973">
        <v>22.604413000000001</v>
      </c>
      <c r="I973">
        <v>-29.452470999999999</v>
      </c>
      <c r="K973" s="4">
        <f>VLOOKUP(Table_Query_from_Cello_SQL_Server[[#This Row],[AsOfDate]], 'CMO MV Raw'!$A:$B,2,FALSE)</f>
        <v>292382963.152605</v>
      </c>
      <c r="L973" s="5">
        <f>Table_Query_from_Cello_SQL_Server[[#This Row],[CMO MV]]/Table_Query_from_Cello_SQL_Server[[#This Row],[NAV]]*100</f>
        <v>75.524890394622076</v>
      </c>
    </row>
    <row r="974" spans="1:12" x14ac:dyDescent="0.2">
      <c r="A974" s="1">
        <v>42132</v>
      </c>
      <c r="B974">
        <v>414.66070000000002</v>
      </c>
      <c r="C974">
        <v>84.841099999999997</v>
      </c>
      <c r="D974">
        <v>-110.5587</v>
      </c>
      <c r="F974">
        <v>386107357.07889998</v>
      </c>
      <c r="G974">
        <v>107.39518200000001</v>
      </c>
      <c r="H974">
        <v>21.973448000000001</v>
      </c>
      <c r="I974">
        <v>-28.634186</v>
      </c>
      <c r="K974" s="4">
        <f>VLOOKUP(Table_Query_from_Cello_SQL_Server[[#This Row],[AsOfDate]], 'CMO MV Raw'!$A:$B,2,FALSE)</f>
        <v>292339462.95383602</v>
      </c>
      <c r="L974" s="5">
        <f>Table_Query_from_Cello_SQL_Server[[#This Row],[CMO MV]]/Table_Query_from_Cello_SQL_Server[[#This Row],[NAV]]*100</f>
        <v>75.714553891315063</v>
      </c>
    </row>
    <row r="975" spans="1:12" x14ac:dyDescent="0.2">
      <c r="A975" s="1">
        <v>42135</v>
      </c>
      <c r="B975">
        <v>409.90219999999999</v>
      </c>
      <c r="C975">
        <v>85.247299999999996</v>
      </c>
      <c r="D975">
        <v>-119.724</v>
      </c>
      <c r="F975">
        <v>383359471.1965</v>
      </c>
      <c r="G975">
        <v>106.92371799999999</v>
      </c>
      <c r="H975">
        <v>22.236910000000002</v>
      </c>
      <c r="I975">
        <v>-31.230218000000001</v>
      </c>
      <c r="K975" s="4">
        <f>VLOOKUP(Table_Query_from_Cello_SQL_Server[[#This Row],[AsOfDate]], 'CMO MV Raw'!$A:$B,2,FALSE)</f>
        <v>289270686.34280503</v>
      </c>
      <c r="L975" s="5">
        <f>Table_Query_from_Cello_SQL_Server[[#This Row],[CMO MV]]/Table_Query_from_Cello_SQL_Server[[#This Row],[NAV]]*100</f>
        <v>75.456773101226574</v>
      </c>
    </row>
    <row r="976" spans="1:12" x14ac:dyDescent="0.2">
      <c r="A976" s="1">
        <v>42136</v>
      </c>
      <c r="B976">
        <v>414.86610000000002</v>
      </c>
      <c r="C976">
        <v>86.248999999999995</v>
      </c>
      <c r="D976">
        <v>-120.20659999999999</v>
      </c>
      <c r="F976">
        <v>384276674.2353</v>
      </c>
      <c r="G976">
        <v>107.960261</v>
      </c>
      <c r="H976">
        <v>22.444506000000001</v>
      </c>
      <c r="I976">
        <v>-31.281264</v>
      </c>
      <c r="K976" s="4">
        <f>VLOOKUP(Table_Query_from_Cello_SQL_Server[[#This Row],[AsOfDate]], 'CMO MV Raw'!$A:$B,2,FALSE)</f>
        <v>289810116.054461</v>
      </c>
      <c r="L976" s="5">
        <f>Table_Query_from_Cello_SQL_Server[[#This Row],[CMO MV]]/Table_Query_from_Cello_SQL_Server[[#This Row],[NAV]]*100</f>
        <v>75.417045968552515</v>
      </c>
    </row>
    <row r="977" spans="1:12" x14ac:dyDescent="0.2">
      <c r="A977" s="1">
        <v>42137</v>
      </c>
      <c r="B977">
        <v>433.20549999999997</v>
      </c>
      <c r="C977">
        <v>90.165800000000004</v>
      </c>
      <c r="D977">
        <v>-113.504</v>
      </c>
      <c r="F977">
        <v>383636539.41070002</v>
      </c>
      <c r="G977">
        <v>112.920813</v>
      </c>
      <c r="H977">
        <v>23.502922999999999</v>
      </c>
      <c r="I977">
        <v>-29.586337</v>
      </c>
      <c r="K977" s="4">
        <f>VLOOKUP(Table_Query_from_Cello_SQL_Server[[#This Row],[AsOfDate]], 'CMO MV Raw'!$A:$B,2,FALSE)</f>
        <v>293158154.24853998</v>
      </c>
      <c r="L977" s="5">
        <f>Table_Query_from_Cello_SQL_Server[[#This Row],[CMO MV]]/Table_Query_from_Cello_SQL_Server[[#This Row],[NAV]]*100</f>
        <v>76.415597611962895</v>
      </c>
    </row>
    <row r="978" spans="1:12" x14ac:dyDescent="0.2">
      <c r="A978" s="1">
        <v>42138</v>
      </c>
      <c r="B978">
        <v>427.54450000000003</v>
      </c>
      <c r="C978">
        <v>87.686999999999998</v>
      </c>
      <c r="D978">
        <v>-109.70659999999999</v>
      </c>
      <c r="F978">
        <v>382982194.2105</v>
      </c>
      <c r="G978">
        <v>111.635608</v>
      </c>
      <c r="H978">
        <v>22.895842999999999</v>
      </c>
      <c r="I978">
        <v>-28.645353</v>
      </c>
      <c r="K978" s="4">
        <f>VLOOKUP(Table_Query_from_Cello_SQL_Server[[#This Row],[AsOfDate]], 'CMO MV Raw'!$A:$B,2,FALSE)</f>
        <v>292471459.56093001</v>
      </c>
      <c r="L978" s="5">
        <f>Table_Query_from_Cello_SQL_Server[[#This Row],[CMO MV]]/Table_Query_from_Cello_SQL_Server[[#This Row],[NAV]]*100</f>
        <v>76.366855687337193</v>
      </c>
    </row>
    <row r="979" spans="1:12" x14ac:dyDescent="0.2">
      <c r="A979" s="1">
        <v>42139</v>
      </c>
      <c r="B979">
        <v>434.11700000000002</v>
      </c>
      <c r="C979">
        <v>87.447199999999995</v>
      </c>
      <c r="D979">
        <v>-102.4573</v>
      </c>
      <c r="F979">
        <v>384944240.99860001</v>
      </c>
      <c r="G979">
        <v>112.773995</v>
      </c>
      <c r="H979">
        <v>22.716847999999999</v>
      </c>
      <c r="I979">
        <v>-26.616140000000001</v>
      </c>
      <c r="K979" s="4">
        <f>VLOOKUP(Table_Query_from_Cello_SQL_Server[[#This Row],[AsOfDate]], 'CMO MV Raw'!$A:$B,2,FALSE)</f>
        <v>294077048.91185999</v>
      </c>
      <c r="L979" s="5">
        <f>Table_Query_from_Cello_SQL_Server[[#This Row],[CMO MV]]/Table_Query_from_Cello_SQL_Server[[#This Row],[NAV]]*100</f>
        <v>76.394713205471618</v>
      </c>
    </row>
    <row r="980" spans="1:12" x14ac:dyDescent="0.2">
      <c r="A980" s="1">
        <v>42142</v>
      </c>
      <c r="B980">
        <v>431.25330000000002</v>
      </c>
      <c r="C980">
        <v>87.849500000000006</v>
      </c>
      <c r="D980">
        <v>-107.0939</v>
      </c>
      <c r="F980">
        <v>383437854.6196</v>
      </c>
      <c r="G980">
        <v>112.47019400000001</v>
      </c>
      <c r="H980">
        <v>22.911014000000002</v>
      </c>
      <c r="I980">
        <v>-27.929924</v>
      </c>
      <c r="K980" s="4">
        <f>VLOOKUP(Table_Query_from_Cello_SQL_Server[[#This Row],[AsOfDate]], 'CMO MV Raw'!$A:$B,2,FALSE)</f>
        <v>292672015.19789797</v>
      </c>
      <c r="L980" s="5">
        <f>Table_Query_from_Cello_SQL_Server[[#This Row],[CMO MV]]/Table_Query_from_Cello_SQL_Server[[#This Row],[NAV]]*100</f>
        <v>76.328409329394788</v>
      </c>
    </row>
    <row r="981" spans="1:12" x14ac:dyDescent="0.2">
      <c r="A981" s="1">
        <v>42143</v>
      </c>
      <c r="B981">
        <v>445.92619999999999</v>
      </c>
      <c r="C981">
        <v>90.597200000000001</v>
      </c>
      <c r="D981">
        <v>-109.5446</v>
      </c>
      <c r="F981">
        <v>383899701.33200002</v>
      </c>
      <c r="G981">
        <v>116.156954</v>
      </c>
      <c r="H981">
        <v>23.599184999999999</v>
      </c>
      <c r="I981">
        <v>-28.534693000000001</v>
      </c>
      <c r="K981" s="4">
        <f>VLOOKUP(Table_Query_from_Cello_SQL_Server[[#This Row],[AsOfDate]], 'CMO MV Raw'!$A:$B,2,FALSE)</f>
        <v>292108531.24665803</v>
      </c>
      <c r="L981" s="5">
        <f>Table_Query_from_Cello_SQL_Server[[#This Row],[CMO MV]]/Table_Query_from_Cello_SQL_Server[[#This Row],[NAV]]*100</f>
        <v>76.089804246562792</v>
      </c>
    </row>
    <row r="982" spans="1:12" x14ac:dyDescent="0.2">
      <c r="A982" s="1">
        <v>42144</v>
      </c>
      <c r="B982">
        <v>459.63330000000002</v>
      </c>
      <c r="C982">
        <v>93.276899999999998</v>
      </c>
      <c r="D982">
        <v>-104.13639999999999</v>
      </c>
      <c r="F982">
        <v>383974824.51670003</v>
      </c>
      <c r="G982">
        <v>119.70402</v>
      </c>
      <c r="H982">
        <v>24.292452000000001</v>
      </c>
      <c r="I982">
        <v>-27.120632000000001</v>
      </c>
      <c r="K982" s="4">
        <f>VLOOKUP(Table_Query_from_Cello_SQL_Server[[#This Row],[AsOfDate]], 'CMO MV Raw'!$A:$B,2,FALSE)</f>
        <v>278037719.65856701</v>
      </c>
      <c r="L982" s="5">
        <f>Table_Query_from_Cello_SQL_Server[[#This Row],[CMO MV]]/Table_Query_from_Cello_SQL_Server[[#This Row],[NAV]]*100</f>
        <v>72.410403470729221</v>
      </c>
    </row>
    <row r="983" spans="1:12" x14ac:dyDescent="0.2">
      <c r="A983" s="1">
        <v>42145</v>
      </c>
      <c r="B983">
        <v>456.2527</v>
      </c>
      <c r="C983">
        <v>91.488500000000002</v>
      </c>
      <c r="D983">
        <v>-99.448499999999996</v>
      </c>
      <c r="F983">
        <v>384296021.68739998</v>
      </c>
      <c r="G983">
        <v>118.724284</v>
      </c>
      <c r="H983">
        <v>23.806778000000001</v>
      </c>
      <c r="I983">
        <v>-25.878098000000001</v>
      </c>
      <c r="K983" s="4">
        <f>VLOOKUP(Table_Query_from_Cello_SQL_Server[[#This Row],[AsOfDate]], 'CMO MV Raw'!$A:$B,2,FALSE)</f>
        <v>278115273.95486599</v>
      </c>
      <c r="L983" s="5">
        <f>Table_Query_from_Cello_SQL_Server[[#This Row],[CMO MV]]/Table_Query_from_Cello_SQL_Server[[#This Row],[NAV]]*100</f>
        <v>72.370063248038207</v>
      </c>
    </row>
    <row r="984" spans="1:12" x14ac:dyDescent="0.2">
      <c r="A984" s="1">
        <v>42146</v>
      </c>
      <c r="B984">
        <v>457.04169999999999</v>
      </c>
      <c r="C984">
        <v>92.441900000000004</v>
      </c>
      <c r="D984">
        <v>-101.94929999999999</v>
      </c>
      <c r="F984">
        <v>384089358.99910003</v>
      </c>
      <c r="G984">
        <v>118.99358599999999</v>
      </c>
      <c r="H984">
        <v>24.067810999999999</v>
      </c>
      <c r="I984">
        <v>-26.543119999999998</v>
      </c>
      <c r="K984" s="4">
        <f>VLOOKUP(Table_Query_from_Cello_SQL_Server[[#This Row],[AsOfDate]], 'CMO MV Raw'!$A:$B,2,FALSE)</f>
        <v>277650858.62779599</v>
      </c>
      <c r="L984" s="5">
        <f>Table_Query_from_Cello_SQL_Server[[#This Row],[CMO MV]]/Table_Query_from_Cello_SQL_Server[[#This Row],[NAV]]*100</f>
        <v>72.288089248639281</v>
      </c>
    </row>
    <row r="985" spans="1:12" x14ac:dyDescent="0.2">
      <c r="A985" s="1">
        <v>42150</v>
      </c>
      <c r="B985">
        <v>488.8005</v>
      </c>
      <c r="C985">
        <v>97.454300000000003</v>
      </c>
      <c r="D985">
        <v>-76.688299999999998</v>
      </c>
      <c r="F985">
        <v>385667601.84899998</v>
      </c>
      <c r="G985">
        <v>126.741395</v>
      </c>
      <c r="H985">
        <v>25.268988</v>
      </c>
      <c r="I985">
        <v>-19.884558999999999</v>
      </c>
      <c r="K985" s="4">
        <f>VLOOKUP(Table_Query_from_Cello_SQL_Server[[#This Row],[AsOfDate]], 'CMO MV Raw'!$A:$B,2,FALSE)</f>
        <v>276871214.62445402</v>
      </c>
      <c r="L985" s="5">
        <f>Table_Query_from_Cello_SQL_Server[[#This Row],[CMO MV]]/Table_Query_from_Cello_SQL_Server[[#This Row],[NAV]]*100</f>
        <v>71.790114932406766</v>
      </c>
    </row>
    <row r="986" spans="1:12" x14ac:dyDescent="0.2">
      <c r="A986" s="1">
        <v>42151</v>
      </c>
      <c r="B986">
        <v>488.90499999999997</v>
      </c>
      <c r="C986">
        <v>97.363600000000005</v>
      </c>
      <c r="D986">
        <v>-76.399000000000001</v>
      </c>
      <c r="F986">
        <v>385706122.46740001</v>
      </c>
      <c r="G986">
        <v>126.755831</v>
      </c>
      <c r="H986">
        <v>25.242948999999999</v>
      </c>
      <c r="I986">
        <v>-19.807566999999999</v>
      </c>
      <c r="K986" s="4">
        <f>VLOOKUP(Table_Query_from_Cello_SQL_Server[[#This Row],[AsOfDate]], 'CMO MV Raw'!$A:$B,2,FALSE)</f>
        <v>276886767.59646499</v>
      </c>
      <c r="L986" s="5">
        <f>Table_Query_from_Cello_SQL_Server[[#This Row],[CMO MV]]/Table_Query_from_Cello_SQL_Server[[#This Row],[NAV]]*100</f>
        <v>71.786977563434334</v>
      </c>
    </row>
    <row r="987" spans="1:12" x14ac:dyDescent="0.2">
      <c r="A987" s="1">
        <v>42152</v>
      </c>
      <c r="B987">
        <v>487.67219999999998</v>
      </c>
      <c r="C987">
        <v>97.1584</v>
      </c>
      <c r="D987">
        <v>-76.976600000000005</v>
      </c>
      <c r="F987">
        <v>385422084.66909999</v>
      </c>
      <c r="G987">
        <v>126.529387</v>
      </c>
      <c r="H987">
        <v>25.208311999999999</v>
      </c>
      <c r="I987">
        <v>-19.972026</v>
      </c>
      <c r="K987" s="4">
        <f>VLOOKUP(Table_Query_from_Cello_SQL_Server[[#This Row],[AsOfDate]], 'CMO MV Raw'!$A:$B,2,FALSE)</f>
        <v>276991075.44370598</v>
      </c>
      <c r="L987" s="5">
        <f>Table_Query_from_Cello_SQL_Server[[#This Row],[CMO MV]]/Table_Query_from_Cello_SQL_Server[[#This Row],[NAV]]*100</f>
        <v>71.866944438721958</v>
      </c>
    </row>
    <row r="988" spans="1:12" x14ac:dyDescent="0.2">
      <c r="A988" s="1">
        <v>42153</v>
      </c>
      <c r="B988">
        <v>490.48200000000003</v>
      </c>
      <c r="C988">
        <v>97.186899999999994</v>
      </c>
      <c r="D988">
        <v>-71.023600000000002</v>
      </c>
      <c r="F988">
        <v>385438708.16549999</v>
      </c>
      <c r="G988">
        <v>127.252917</v>
      </c>
      <c r="H988">
        <v>25.214618999999999</v>
      </c>
      <c r="I988">
        <v>-18.426691000000002</v>
      </c>
      <c r="K988" s="4">
        <f>VLOOKUP(Table_Query_from_Cello_SQL_Server[[#This Row],[AsOfDate]], 'CMO MV Raw'!$A:$B,2,FALSE)</f>
        <v>279590294.800331</v>
      </c>
      <c r="L988" s="5">
        <f>Table_Query_from_Cello_SQL_Server[[#This Row],[CMO MV]]/Table_Query_from_Cello_SQL_Server[[#This Row],[NAV]]*100</f>
        <v>72.538198389841085</v>
      </c>
    </row>
    <row r="989" spans="1:12" x14ac:dyDescent="0.2">
      <c r="A989" s="1">
        <v>42156</v>
      </c>
      <c r="B989">
        <v>490.62479999999999</v>
      </c>
      <c r="C989">
        <v>98.712599999999995</v>
      </c>
      <c r="D989">
        <v>-76.981399999999994</v>
      </c>
      <c r="F989">
        <v>383680924.75999999</v>
      </c>
      <c r="G989">
        <v>127.87312799999999</v>
      </c>
      <c r="H989">
        <v>25.727784</v>
      </c>
      <c r="I989">
        <v>-20.063911000000001</v>
      </c>
      <c r="K989" s="4">
        <f>VLOOKUP(Table_Query_from_Cello_SQL_Server[[#This Row],[AsOfDate]], 'CMO MV Raw'!$A:$B,2,FALSE)</f>
        <v>278627937.714688</v>
      </c>
      <c r="L989" s="5">
        <f>Table_Query_from_Cello_SQL_Server[[#This Row],[CMO MV]]/Table_Query_from_Cello_SQL_Server[[#This Row],[NAV]]*100</f>
        <v>72.619700311912894</v>
      </c>
    </row>
    <row r="990" spans="1:12" x14ac:dyDescent="0.2">
      <c r="A990" s="1">
        <v>42157</v>
      </c>
      <c r="B990">
        <v>521.66970000000003</v>
      </c>
      <c r="C990">
        <v>106.4701</v>
      </c>
      <c r="D990">
        <v>-56.732300000000002</v>
      </c>
      <c r="F990">
        <v>383432276.79000002</v>
      </c>
      <c r="G990">
        <v>136.05263099999999</v>
      </c>
      <c r="H990">
        <v>27.767641999999999</v>
      </c>
      <c r="I990">
        <v>-14.795911</v>
      </c>
      <c r="K990" s="4">
        <f>VLOOKUP(Table_Query_from_Cello_SQL_Server[[#This Row],[AsOfDate]], 'CMO MV Raw'!$A:$B,2,FALSE)</f>
        <v>282418276.075324</v>
      </c>
      <c r="L990" s="5">
        <f>Table_Query_from_Cello_SQL_Server[[#This Row],[CMO MV]]/Table_Query_from_Cello_SQL_Server[[#This Row],[NAV]]*100</f>
        <v>73.655321466325105</v>
      </c>
    </row>
    <row r="991" spans="1:12" x14ac:dyDescent="0.2">
      <c r="A991" s="1">
        <v>42158</v>
      </c>
      <c r="B991">
        <v>524.38210000000004</v>
      </c>
      <c r="C991">
        <v>108.95140000000001</v>
      </c>
      <c r="D991">
        <v>13.860799999999999</v>
      </c>
      <c r="F991">
        <v>382926313.61000001</v>
      </c>
      <c r="G991">
        <v>136.94073299999999</v>
      </c>
      <c r="H991">
        <v>28.452314999999999</v>
      </c>
      <c r="I991">
        <v>3.619704</v>
      </c>
      <c r="K991" s="4">
        <f>VLOOKUP(Table_Query_from_Cello_SQL_Server[[#This Row],[AsOfDate]], 'CMO MV Raw'!$A:$B,2,FALSE)</f>
        <v>281398746.35696203</v>
      </c>
      <c r="L991" s="5">
        <f>Table_Query_from_Cello_SQL_Server[[#This Row],[CMO MV]]/Table_Query_from_Cello_SQL_Server[[#This Row],[NAV]]*100</f>
        <v>73.486395777846425</v>
      </c>
    </row>
    <row r="992" spans="1:12" x14ac:dyDescent="0.2">
      <c r="A992" s="1">
        <v>42159</v>
      </c>
      <c r="B992">
        <v>560.673</v>
      </c>
      <c r="C992">
        <v>115.4873</v>
      </c>
      <c r="D992">
        <v>35.482199999999999</v>
      </c>
      <c r="F992">
        <v>383709288.5</v>
      </c>
      <c r="G992">
        <v>146.119215</v>
      </c>
      <c r="H992">
        <v>30.097602999999999</v>
      </c>
      <c r="I992">
        <v>9.2471569999999996</v>
      </c>
      <c r="K992" s="4">
        <f>VLOOKUP(Table_Query_from_Cello_SQL_Server[[#This Row],[AsOfDate]], 'CMO MV Raw'!$A:$B,2,FALSE)</f>
        <v>282209448.90758401</v>
      </c>
      <c r="L992" s="5">
        <f>Table_Query_from_Cello_SQL_Server[[#This Row],[CMO MV]]/Table_Query_from_Cello_SQL_Server[[#This Row],[NAV]]*100</f>
        <v>73.547724114472146</v>
      </c>
    </row>
    <row r="993" spans="1:12" x14ac:dyDescent="0.2">
      <c r="A993" s="1">
        <v>42160</v>
      </c>
      <c r="B993">
        <v>575.80060000000003</v>
      </c>
      <c r="C993">
        <v>120.2762</v>
      </c>
      <c r="D993">
        <v>27.165099999999999</v>
      </c>
      <c r="F993">
        <v>383226315.44</v>
      </c>
      <c r="G993">
        <v>150.250799</v>
      </c>
      <c r="H993">
        <v>31.385162000000001</v>
      </c>
      <c r="I993">
        <v>7.088527</v>
      </c>
      <c r="K993" s="4">
        <f>VLOOKUP(Table_Query_from_Cello_SQL_Server[[#This Row],[AsOfDate]], 'CMO MV Raw'!$A:$B,2,FALSE)</f>
        <v>281194207.199615</v>
      </c>
      <c r="L993" s="5">
        <f>Table_Query_from_Cello_SQL_Server[[#This Row],[CMO MV]]/Table_Query_from_Cello_SQL_Server[[#This Row],[NAV]]*100</f>
        <v>73.375495332767741</v>
      </c>
    </row>
    <row r="994" spans="1:12" x14ac:dyDescent="0.2">
      <c r="A994" s="1">
        <v>42163</v>
      </c>
      <c r="B994">
        <v>574.6259</v>
      </c>
      <c r="C994">
        <v>119.45050000000001</v>
      </c>
      <c r="D994">
        <v>29.292899999999999</v>
      </c>
      <c r="F994">
        <v>383258874.85000002</v>
      </c>
      <c r="G994">
        <v>149.93153100000001</v>
      </c>
      <c r="H994">
        <v>31.167054</v>
      </c>
      <c r="I994">
        <v>7.6431110000000002</v>
      </c>
      <c r="K994" s="4">
        <f>VLOOKUP(Table_Query_from_Cello_SQL_Server[[#This Row],[AsOfDate]], 'CMO MV Raw'!$A:$B,2,FALSE)</f>
        <v>281812700.25684297</v>
      </c>
      <c r="L994" s="5">
        <f>Table_Query_from_Cello_SQL_Server[[#This Row],[CMO MV]]/Table_Query_from_Cello_SQL_Server[[#This Row],[NAV]]*100</f>
        <v>73.530639144922333</v>
      </c>
    </row>
    <row r="995" spans="1:12" x14ac:dyDescent="0.2">
      <c r="A995" s="1">
        <v>42164</v>
      </c>
      <c r="B995">
        <v>583.92010000000005</v>
      </c>
      <c r="C995">
        <v>121.8874</v>
      </c>
      <c r="D995">
        <v>42.1267</v>
      </c>
      <c r="F995">
        <v>383270459.27999997</v>
      </c>
      <c r="G995">
        <v>152.35197099999999</v>
      </c>
      <c r="H995">
        <v>31.801929000000001</v>
      </c>
      <c r="I995">
        <v>10.991377</v>
      </c>
      <c r="K995" s="4">
        <f>VLOOKUP(Table_Query_from_Cello_SQL_Server[[#This Row],[AsOfDate]], 'CMO MV Raw'!$A:$B,2,FALSE)</f>
        <v>257792357.722947</v>
      </c>
      <c r="L995" s="5">
        <f>Table_Query_from_Cello_SQL_Server[[#This Row],[CMO MV]]/Table_Query_from_Cello_SQL_Server[[#This Row],[NAV]]*100</f>
        <v>67.261212410481036</v>
      </c>
    </row>
    <row r="996" spans="1:12" x14ac:dyDescent="0.2">
      <c r="A996" s="1">
        <v>42165</v>
      </c>
      <c r="B996">
        <v>586.70709999999997</v>
      </c>
      <c r="C996">
        <v>123.43470000000001</v>
      </c>
      <c r="D996">
        <v>38.746699999999997</v>
      </c>
      <c r="F996">
        <v>382809724.02999997</v>
      </c>
      <c r="G996">
        <v>153.263374</v>
      </c>
      <c r="H996">
        <v>32.244399999999999</v>
      </c>
      <c r="I996">
        <v>10.12166</v>
      </c>
      <c r="K996" s="4">
        <f>VLOOKUP(Table_Query_from_Cello_SQL_Server[[#This Row],[AsOfDate]], 'CMO MV Raw'!$A:$B,2,FALSE)</f>
        <v>257091294.05220801</v>
      </c>
      <c r="L996" s="5">
        <f>Table_Query_from_Cello_SQL_Server[[#This Row],[CMO MV]]/Table_Query_from_Cello_SQL_Server[[#This Row],[NAV]]*100</f>
        <v>67.15902912436475</v>
      </c>
    </row>
    <row r="997" spans="1:12" x14ac:dyDescent="0.2">
      <c r="A997" s="1">
        <v>42166</v>
      </c>
      <c r="B997">
        <v>571.52149999999995</v>
      </c>
      <c r="C997">
        <v>118.1437</v>
      </c>
      <c r="D997">
        <v>44.701000000000001</v>
      </c>
      <c r="F997">
        <v>382780516.72000003</v>
      </c>
      <c r="G997">
        <v>149.30788699999999</v>
      </c>
      <c r="H997">
        <v>30.864605999999998</v>
      </c>
      <c r="I997">
        <v>11.677972</v>
      </c>
      <c r="K997" s="4">
        <f>VLOOKUP(Table_Query_from_Cello_SQL_Server[[#This Row],[AsOfDate]], 'CMO MV Raw'!$A:$B,2,FALSE)</f>
        <v>257271657.221259</v>
      </c>
      <c r="L997" s="5">
        <f>Table_Query_from_Cello_SQL_Server[[#This Row],[CMO MV]]/Table_Query_from_Cello_SQL_Server[[#This Row],[NAV]]*100</f>
        <v>67.211272774745368</v>
      </c>
    </row>
    <row r="998" spans="1:12" x14ac:dyDescent="0.2">
      <c r="A998" s="1">
        <v>42167</v>
      </c>
      <c r="B998">
        <v>580.04849999999999</v>
      </c>
      <c r="C998">
        <v>120.23350000000001</v>
      </c>
      <c r="D998">
        <v>80.325800000000001</v>
      </c>
      <c r="F998">
        <v>383070667.82999998</v>
      </c>
      <c r="G998">
        <v>151.42075600000001</v>
      </c>
      <c r="H998">
        <v>31.386768</v>
      </c>
      <c r="I998">
        <v>20.968924999999999</v>
      </c>
      <c r="K998" s="4">
        <f>VLOOKUP(Table_Query_from_Cello_SQL_Server[[#This Row],[AsOfDate]], 'CMO MV Raw'!$A:$B,2,FALSE)</f>
        <v>257389211.67996901</v>
      </c>
      <c r="L998" s="5">
        <f>Table_Query_from_Cello_SQL_Server[[#This Row],[CMO MV]]/Table_Query_from_Cello_SQL_Server[[#This Row],[NAV]]*100</f>
        <v>67.191052016071822</v>
      </c>
    </row>
    <row r="999" spans="1:12" x14ac:dyDescent="0.2">
      <c r="A999" s="1">
        <v>42170</v>
      </c>
      <c r="B999">
        <v>581.0489</v>
      </c>
      <c r="C999">
        <v>120.21680000000001</v>
      </c>
      <c r="D999">
        <v>117.76349999999999</v>
      </c>
      <c r="F999">
        <v>383401226.39999998</v>
      </c>
      <c r="G999">
        <v>151.551132</v>
      </c>
      <c r="H999">
        <v>31.355350999999999</v>
      </c>
      <c r="I999">
        <v>30.715472999999999</v>
      </c>
      <c r="K999" s="4">
        <f>VLOOKUP(Table_Query_from_Cello_SQL_Server[[#This Row],[AsOfDate]], 'CMO MV Raw'!$A:$B,2,FALSE)</f>
        <v>257850648.952306</v>
      </c>
      <c r="L999" s="5">
        <f>Table_Query_from_Cello_SQL_Server[[#This Row],[CMO MV]]/Table_Query_from_Cello_SQL_Server[[#This Row],[NAV]]*100</f>
        <v>67.253475262307091</v>
      </c>
    </row>
    <row r="1000" spans="1:12" x14ac:dyDescent="0.2">
      <c r="A1000" s="1">
        <v>42171</v>
      </c>
      <c r="B1000">
        <v>597.09109999999998</v>
      </c>
      <c r="C1000">
        <v>123.02509999999999</v>
      </c>
      <c r="D1000">
        <v>116.815</v>
      </c>
      <c r="F1000">
        <v>384185122.87</v>
      </c>
      <c r="G1000">
        <v>155.41754900000001</v>
      </c>
      <c r="H1000">
        <v>32.022348999999998</v>
      </c>
      <c r="I1000">
        <v>30.405915</v>
      </c>
      <c r="K1000" s="4">
        <f>VLOOKUP(Table_Query_from_Cello_SQL_Server[[#This Row],[AsOfDate]], 'CMO MV Raw'!$A:$B,2,FALSE)</f>
        <v>245229721.50984299</v>
      </c>
      <c r="L1000" s="5">
        <f>Table_Query_from_Cello_SQL_Server[[#This Row],[CMO MV]]/Table_Query_from_Cello_SQL_Server[[#This Row],[NAV]]*100</f>
        <v>63.831134240152096</v>
      </c>
    </row>
    <row r="1001" spans="1:12" x14ac:dyDescent="0.2">
      <c r="A1001" s="1">
        <v>42172</v>
      </c>
      <c r="B1001">
        <v>596.06560000000002</v>
      </c>
      <c r="C1001">
        <v>122.86409999999999</v>
      </c>
      <c r="D1001">
        <v>116.9067</v>
      </c>
      <c r="F1001">
        <v>384553627.29000002</v>
      </c>
      <c r="G1001">
        <v>155.00194500000001</v>
      </c>
      <c r="H1001">
        <v>31.949795999999999</v>
      </c>
      <c r="I1001">
        <v>30.400623</v>
      </c>
      <c r="K1001" s="4">
        <f>VLOOKUP(Table_Query_from_Cello_SQL_Server[[#This Row],[AsOfDate]], 'CMO MV Raw'!$A:$B,2,FALSE)</f>
        <v>245937995.80096</v>
      </c>
      <c r="L1001" s="5">
        <f>Table_Query_from_Cello_SQL_Server[[#This Row],[CMO MV]]/Table_Query_from_Cello_SQL_Server[[#This Row],[NAV]]*100</f>
        <v>63.954147964776041</v>
      </c>
    </row>
    <row r="1002" spans="1:12" x14ac:dyDescent="0.2">
      <c r="A1002" s="1">
        <v>42173</v>
      </c>
      <c r="B1002">
        <v>592.15110000000004</v>
      </c>
      <c r="C1002">
        <v>122.6609</v>
      </c>
      <c r="D1002">
        <v>216.6379</v>
      </c>
      <c r="F1002">
        <v>383930515.81999999</v>
      </c>
      <c r="G1002">
        <v>154.233924</v>
      </c>
      <c r="H1002">
        <v>31.948723999999999</v>
      </c>
      <c r="I1002">
        <v>56.42633</v>
      </c>
      <c r="K1002" s="4">
        <f>VLOOKUP(Table_Query_from_Cello_SQL_Server[[#This Row],[AsOfDate]], 'CMO MV Raw'!$A:$B,2,FALSE)</f>
        <v>245647104.62523001</v>
      </c>
      <c r="L1002" s="5">
        <f>Table_Query_from_Cello_SQL_Server[[#This Row],[CMO MV]]/Table_Query_from_Cello_SQL_Server[[#This Row],[NAV]]*100</f>
        <v>63.982177634558738</v>
      </c>
    </row>
    <row r="1003" spans="1:12" x14ac:dyDescent="0.2">
      <c r="A1003" s="1">
        <v>42174</v>
      </c>
      <c r="B1003">
        <v>592.5059</v>
      </c>
      <c r="C1003">
        <v>121.6801</v>
      </c>
      <c r="D1003">
        <v>283.96359999999999</v>
      </c>
      <c r="F1003">
        <v>384880845.42000002</v>
      </c>
      <c r="G1003">
        <v>153.94528099999999</v>
      </c>
      <c r="H1003">
        <v>31.615005</v>
      </c>
      <c r="I1003">
        <v>73.779612999999998</v>
      </c>
      <c r="K1003" s="4">
        <f>VLOOKUP(Table_Query_from_Cello_SQL_Server[[#This Row],[AsOfDate]], 'CMO MV Raw'!$A:$B,2,FALSE)</f>
        <v>246078285.40755701</v>
      </c>
      <c r="L1003" s="5">
        <f>Table_Query_from_Cello_SQL_Server[[#This Row],[CMO MV]]/Table_Query_from_Cello_SQL_Server[[#This Row],[NAV]]*100</f>
        <v>63.936225545083921</v>
      </c>
    </row>
    <row r="1004" spans="1:12" x14ac:dyDescent="0.2">
      <c r="A1004" s="1">
        <v>42177</v>
      </c>
      <c r="B1004">
        <v>592.30439999999999</v>
      </c>
      <c r="C1004">
        <v>123.4465</v>
      </c>
      <c r="D1004">
        <v>280.7022</v>
      </c>
      <c r="F1004">
        <v>384032062.35000002</v>
      </c>
      <c r="G1004">
        <v>154.23305999999999</v>
      </c>
      <c r="H1004">
        <v>32.144841999999997</v>
      </c>
      <c r="I1004">
        <v>73.093428000000003</v>
      </c>
      <c r="K1004" s="4">
        <f>VLOOKUP(Table_Query_from_Cello_SQL_Server[[#This Row],[AsOfDate]], 'CMO MV Raw'!$A:$B,2,FALSE)</f>
        <v>245509645.8608</v>
      </c>
      <c r="L1004" s="5">
        <f>Table_Query_from_Cello_SQL_Server[[#This Row],[CMO MV]]/Table_Query_from_Cello_SQL_Server[[#This Row],[NAV]]*100</f>
        <v>63.929465773888126</v>
      </c>
    </row>
    <row r="1005" spans="1:12" x14ac:dyDescent="0.2">
      <c r="A1005" s="1">
        <v>42178</v>
      </c>
      <c r="B1005">
        <v>583.61569999999995</v>
      </c>
      <c r="C1005">
        <v>122.4132</v>
      </c>
      <c r="D1005">
        <v>279.82589999999999</v>
      </c>
      <c r="F1005">
        <v>382837687.58999997</v>
      </c>
      <c r="G1005">
        <v>152.444683</v>
      </c>
      <c r="H1005">
        <v>31.975221999999999</v>
      </c>
      <c r="I1005">
        <v>73.092568999999997</v>
      </c>
      <c r="K1005" s="4">
        <f>VLOOKUP(Table_Query_from_Cello_SQL_Server[[#This Row],[AsOfDate]], 'CMO MV Raw'!$A:$B,2,FALSE)</f>
        <v>244521685.165831</v>
      </c>
      <c r="L1005" s="5">
        <f>Table_Query_from_Cello_SQL_Server[[#This Row],[CMO MV]]/Table_Query_from_Cello_SQL_Server[[#This Row],[NAV]]*100</f>
        <v>63.870849995233883</v>
      </c>
    </row>
    <row r="1006" spans="1:12" x14ac:dyDescent="0.2">
      <c r="A1006" s="1">
        <v>42179</v>
      </c>
      <c r="B1006">
        <v>584.25310000000002</v>
      </c>
      <c r="C1006">
        <v>122.04770000000001</v>
      </c>
      <c r="D1006">
        <v>280.82859999999999</v>
      </c>
      <c r="F1006">
        <v>383228018.38</v>
      </c>
      <c r="G1006">
        <v>152.455737</v>
      </c>
      <c r="H1006">
        <v>31.847280000000001</v>
      </c>
      <c r="I1006">
        <v>73.279767000000007</v>
      </c>
      <c r="K1006" s="4">
        <f>VLOOKUP(Table_Query_from_Cello_SQL_Server[[#This Row],[AsOfDate]], 'CMO MV Raw'!$A:$B,2,FALSE)</f>
        <v>245030194.69355601</v>
      </c>
      <c r="L1006" s="5">
        <f>Table_Query_from_Cello_SQL_Server[[#This Row],[CMO MV]]/Table_Query_from_Cello_SQL_Server[[#This Row],[NAV]]*100</f>
        <v>63.938486473238441</v>
      </c>
    </row>
    <row r="1007" spans="1:12" x14ac:dyDescent="0.2">
      <c r="A1007" s="1">
        <v>42180</v>
      </c>
      <c r="B1007">
        <v>575.96529999999996</v>
      </c>
      <c r="C1007">
        <v>120.7247</v>
      </c>
      <c r="D1007">
        <v>281.03469999999999</v>
      </c>
      <c r="F1007">
        <v>382872183.17000002</v>
      </c>
      <c r="G1007">
        <v>150.43278799999999</v>
      </c>
      <c r="H1007">
        <v>31.531331999999999</v>
      </c>
      <c r="I1007">
        <v>73.401702</v>
      </c>
      <c r="K1007" s="4">
        <f>VLOOKUP(Table_Query_from_Cello_SQL_Server[[#This Row],[AsOfDate]], 'CMO MV Raw'!$A:$B,2,FALSE)</f>
        <v>243161289.319803</v>
      </c>
      <c r="L1007" s="5">
        <f>Table_Query_from_Cello_SQL_Server[[#This Row],[CMO MV]]/Table_Query_from_Cello_SQL_Server[[#This Row],[NAV]]*100</f>
        <v>63.509782117505353</v>
      </c>
    </row>
    <row r="1008" spans="1:12" x14ac:dyDescent="0.2">
      <c r="A1008" s="1">
        <v>42181</v>
      </c>
      <c r="B1008">
        <v>563.37699999999995</v>
      </c>
      <c r="C1008">
        <v>119.54730000000001</v>
      </c>
      <c r="D1008">
        <v>316.67939999999999</v>
      </c>
      <c r="F1008">
        <v>381985954.37</v>
      </c>
      <c r="G1008">
        <v>147.486313</v>
      </c>
      <c r="H1008">
        <v>31.296254999999999</v>
      </c>
      <c r="I1008">
        <v>82.903414999999995</v>
      </c>
      <c r="K1008" s="4">
        <f>VLOOKUP(Table_Query_from_Cello_SQL_Server[[#This Row],[AsOfDate]], 'CMO MV Raw'!$A:$B,2,FALSE)</f>
        <v>241039454.7211</v>
      </c>
      <c r="L1008" s="5">
        <f>Table_Query_from_Cello_SQL_Server[[#This Row],[CMO MV]]/Table_Query_from_Cello_SQL_Server[[#This Row],[NAV]]*100</f>
        <v>63.101653860189813</v>
      </c>
    </row>
    <row r="1009" spans="1:12" x14ac:dyDescent="0.2">
      <c r="A1009" s="1">
        <v>42184</v>
      </c>
      <c r="B1009">
        <v>563.17489999999998</v>
      </c>
      <c r="C1009">
        <v>117.6153</v>
      </c>
      <c r="D1009">
        <v>319.06869999999998</v>
      </c>
      <c r="F1009">
        <v>382200794.88</v>
      </c>
      <c r="G1009">
        <v>147.35053099999999</v>
      </c>
      <c r="H1009">
        <v>30.77317</v>
      </c>
      <c r="I1009">
        <v>83.481955999999997</v>
      </c>
      <c r="K1009" s="4">
        <f>VLOOKUP(Table_Query_from_Cello_SQL_Server[[#This Row],[AsOfDate]], 'CMO MV Raw'!$A:$B,2,FALSE)</f>
        <v>242259099.584245</v>
      </c>
      <c r="L1009" s="5">
        <f>Table_Query_from_Cello_SQL_Server[[#This Row],[CMO MV]]/Table_Query_from_Cello_SQL_Server[[#This Row],[NAV]]*100</f>
        <v>63.385294544012481</v>
      </c>
    </row>
    <row r="1010" spans="1:12" x14ac:dyDescent="0.2">
      <c r="A1010" s="1">
        <v>42185</v>
      </c>
      <c r="B1010">
        <v>552.93259999999998</v>
      </c>
      <c r="C1010">
        <v>115.2638</v>
      </c>
      <c r="D1010">
        <v>319.30919999999998</v>
      </c>
      <c r="F1010">
        <v>381989180.26999998</v>
      </c>
      <c r="G1010">
        <v>144.750854</v>
      </c>
      <c r="H1010">
        <v>30.174624000000001</v>
      </c>
      <c r="I1010">
        <v>83.591162999999995</v>
      </c>
      <c r="K1010" s="4">
        <f>VLOOKUP(Table_Query_from_Cello_SQL_Server[[#This Row],[AsOfDate]], 'CMO MV Raw'!$A:$B,2,FALSE)</f>
        <v>241191307.34227401</v>
      </c>
      <c r="L1010" s="5">
        <f>Table_Query_from_Cello_SQL_Server[[#This Row],[CMO MV]]/Table_Query_from_Cello_SQL_Server[[#This Row],[NAV]]*100</f>
        <v>63.140874087531394</v>
      </c>
    </row>
    <row r="1011" spans="1:12" x14ac:dyDescent="0.2">
      <c r="A1011" s="1">
        <v>42186</v>
      </c>
      <c r="B1011">
        <v>550.72749999999996</v>
      </c>
      <c r="C1011">
        <v>116.14100000000001</v>
      </c>
      <c r="D1011">
        <v>317.85239999999999</v>
      </c>
      <c r="F1011">
        <v>356728164.26999998</v>
      </c>
      <c r="G1011">
        <v>154.38296</v>
      </c>
      <c r="H1011">
        <v>32.557284000000003</v>
      </c>
      <c r="I1011">
        <v>89.102131999999997</v>
      </c>
      <c r="K1011" s="4">
        <f>VLOOKUP(Table_Query_from_Cello_SQL_Server[[#This Row],[AsOfDate]], 'CMO MV Raw'!$A:$B,2,FALSE)</f>
        <v>240505560.617309</v>
      </c>
      <c r="L1011" s="5">
        <f>Table_Query_from_Cello_SQL_Server[[#This Row],[CMO MV]]/Table_Query_from_Cello_SQL_Server[[#This Row],[NAV]]*100</f>
        <v>67.419840849817362</v>
      </c>
    </row>
    <row r="1012" spans="1:12" x14ac:dyDescent="0.2">
      <c r="A1012" s="1">
        <v>42187</v>
      </c>
      <c r="B1012">
        <v>547.46230000000003</v>
      </c>
      <c r="C1012">
        <v>115.37779999999999</v>
      </c>
      <c r="D1012">
        <v>318.09620000000001</v>
      </c>
      <c r="F1012">
        <v>356929346.43000001</v>
      </c>
      <c r="G1012">
        <v>153.38113999999999</v>
      </c>
      <c r="H1012">
        <v>32.325108999999998</v>
      </c>
      <c r="I1012">
        <v>89.120215000000002</v>
      </c>
      <c r="K1012" s="4">
        <f>VLOOKUP(Table_Query_from_Cello_SQL_Server[[#This Row],[AsOfDate]], 'CMO MV Raw'!$A:$B,2,FALSE)</f>
        <v>241091145.226942</v>
      </c>
      <c r="L1012" s="5">
        <f>Table_Query_from_Cello_SQL_Server[[#This Row],[CMO MV]]/Table_Query_from_Cello_SQL_Server[[#This Row],[NAV]]*100</f>
        <v>67.545901629644817</v>
      </c>
    </row>
    <row r="1013" spans="1:12" x14ac:dyDescent="0.2">
      <c r="A1013" s="1">
        <v>42191</v>
      </c>
      <c r="B1013">
        <v>550.96199999999999</v>
      </c>
      <c r="C1013">
        <v>114.6978</v>
      </c>
      <c r="D1013">
        <v>319.0487</v>
      </c>
      <c r="F1013">
        <v>357216239.14999998</v>
      </c>
      <c r="G1013">
        <v>154.23766900000001</v>
      </c>
      <c r="H1013">
        <v>32.108787</v>
      </c>
      <c r="I1013">
        <v>89.315284000000005</v>
      </c>
      <c r="K1013" s="4">
        <f>VLOOKUP(Table_Query_from_Cello_SQL_Server[[#This Row],[AsOfDate]], 'CMO MV Raw'!$A:$B,2,FALSE)</f>
        <v>242304658.89238399</v>
      </c>
      <c r="L1013" s="5">
        <f>Table_Query_from_Cello_SQL_Server[[#This Row],[CMO MV]]/Table_Query_from_Cello_SQL_Server[[#This Row],[NAV]]*100</f>
        <v>67.831367204623902</v>
      </c>
    </row>
    <row r="1014" spans="1:12" x14ac:dyDescent="0.2">
      <c r="A1014" s="1">
        <v>42192</v>
      </c>
      <c r="B1014">
        <v>548.63440000000003</v>
      </c>
      <c r="C1014">
        <v>113.57340000000001</v>
      </c>
      <c r="D1014">
        <v>320.07549999999998</v>
      </c>
      <c r="F1014">
        <v>357179334.63999999</v>
      </c>
      <c r="G1014">
        <v>153.601944</v>
      </c>
      <c r="H1014">
        <v>31.797304</v>
      </c>
      <c r="I1014">
        <v>89.611986999999999</v>
      </c>
      <c r="K1014" s="4">
        <f>VLOOKUP(Table_Query_from_Cello_SQL_Server[[#This Row],[AsOfDate]], 'CMO MV Raw'!$A:$B,2,FALSE)</f>
        <v>242929351.31786501</v>
      </c>
      <c r="L1014" s="5">
        <f>Table_Query_from_Cello_SQL_Server[[#This Row],[CMO MV]]/Table_Query_from_Cello_SQL_Server[[#This Row],[NAV]]*100</f>
        <v>68.01327169801489</v>
      </c>
    </row>
    <row r="1015" spans="1:12" x14ac:dyDescent="0.2">
      <c r="A1015" s="1">
        <v>42193</v>
      </c>
      <c r="B1015">
        <v>565.13189999999997</v>
      </c>
      <c r="C1015">
        <v>116.417</v>
      </c>
      <c r="D1015">
        <v>320.08280000000002</v>
      </c>
      <c r="F1015">
        <v>357167861.94999999</v>
      </c>
      <c r="G1015">
        <v>158.225854</v>
      </c>
      <c r="H1015">
        <v>32.594478000000002</v>
      </c>
      <c r="I1015">
        <v>89.616910000000004</v>
      </c>
      <c r="K1015" s="4">
        <f>VLOOKUP(Table_Query_from_Cello_SQL_Server[[#This Row],[AsOfDate]], 'CMO MV Raw'!$A:$B,2,FALSE)</f>
        <v>243233160.14063501</v>
      </c>
      <c r="L1015" s="5">
        <f>Table_Query_from_Cello_SQL_Server[[#This Row],[CMO MV]]/Table_Query_from_Cello_SQL_Server[[#This Row],[NAV]]*100</f>
        <v>68.100516886562787</v>
      </c>
    </row>
    <row r="1016" spans="1:12" x14ac:dyDescent="0.2">
      <c r="A1016" s="1">
        <v>42194</v>
      </c>
      <c r="B1016">
        <v>565.89490000000001</v>
      </c>
      <c r="C1016">
        <v>117.94710000000001</v>
      </c>
      <c r="D1016">
        <v>317.52120000000002</v>
      </c>
      <c r="F1016">
        <v>357316542.31999999</v>
      </c>
      <c r="G1016">
        <v>158.37355199999999</v>
      </c>
      <c r="H1016">
        <v>33.009135000000001</v>
      </c>
      <c r="I1016">
        <v>88.862719999999996</v>
      </c>
      <c r="K1016" s="4">
        <f>VLOOKUP(Table_Query_from_Cello_SQL_Server[[#This Row],[AsOfDate]], 'CMO MV Raw'!$A:$B,2,FALSE)</f>
        <v>241177080.34178099</v>
      </c>
      <c r="L1016" s="5">
        <f>Table_Query_from_Cello_SQL_Server[[#This Row],[CMO MV]]/Table_Query_from_Cello_SQL_Server[[#This Row],[NAV]]*100</f>
        <v>67.496757574070372</v>
      </c>
    </row>
    <row r="1017" spans="1:12" x14ac:dyDescent="0.2">
      <c r="A1017" s="1">
        <v>42195</v>
      </c>
      <c r="B1017">
        <v>554.21969999999999</v>
      </c>
      <c r="C1017">
        <v>116.6048</v>
      </c>
      <c r="D1017">
        <v>315.14120000000003</v>
      </c>
      <c r="F1017">
        <v>356890458.05000001</v>
      </c>
      <c r="G1017">
        <v>155.29126299999999</v>
      </c>
      <c r="H1017">
        <v>32.672434000000003</v>
      </c>
      <c r="I1017">
        <v>88.301940999999999</v>
      </c>
      <c r="K1017" s="4">
        <f>VLOOKUP(Table_Query_from_Cello_SQL_Server[[#This Row],[AsOfDate]], 'CMO MV Raw'!$A:$B,2,FALSE)</f>
        <v>239628579.92039001</v>
      </c>
      <c r="L1017" s="5">
        <f>Table_Query_from_Cello_SQL_Server[[#This Row],[CMO MV]]/Table_Query_from_Cello_SQL_Server[[#This Row],[NAV]]*100</f>
        <v>67.14345382885476</v>
      </c>
    </row>
    <row r="1018" spans="1:12" x14ac:dyDescent="0.2">
      <c r="A1018" s="1">
        <v>42198</v>
      </c>
      <c r="B1018">
        <v>555.79499999999996</v>
      </c>
      <c r="C1018">
        <v>116.8968</v>
      </c>
      <c r="D1018">
        <v>315.22030000000001</v>
      </c>
      <c r="F1018">
        <v>357191857.39999998</v>
      </c>
      <c r="G1018">
        <v>155.60125099999999</v>
      </c>
      <c r="H1018">
        <v>32.726613999999998</v>
      </c>
      <c r="I1018">
        <v>88.249576000000005</v>
      </c>
      <c r="K1018" s="4">
        <f>VLOOKUP(Table_Query_from_Cello_SQL_Server[[#This Row],[AsOfDate]], 'CMO MV Raw'!$A:$B,2,FALSE)</f>
        <v>239706516.98214999</v>
      </c>
      <c r="L1018" s="5">
        <f>Table_Query_from_Cello_SQL_Server[[#This Row],[CMO MV]]/Table_Query_from_Cello_SQL_Server[[#This Row],[NAV]]*100</f>
        <v>67.10861740437592</v>
      </c>
    </row>
    <row r="1019" spans="1:12" x14ac:dyDescent="0.2">
      <c r="A1019" s="1">
        <v>42199</v>
      </c>
      <c r="B1019">
        <v>553.89660000000003</v>
      </c>
      <c r="C1019">
        <v>115.9374</v>
      </c>
      <c r="D1019">
        <v>316.08890000000002</v>
      </c>
      <c r="F1019">
        <v>357640512.27999997</v>
      </c>
      <c r="G1019">
        <v>154.87523999999999</v>
      </c>
      <c r="H1019">
        <v>32.417301000000002</v>
      </c>
      <c r="I1019">
        <v>88.381737999999999</v>
      </c>
      <c r="K1019" s="4">
        <f>VLOOKUP(Table_Query_from_Cello_SQL_Server[[#This Row],[AsOfDate]], 'CMO MV Raw'!$A:$B,2,FALSE)</f>
        <v>240180666.80390301</v>
      </c>
      <c r="L1019" s="5">
        <f>Table_Query_from_Cello_SQL_Server[[#This Row],[CMO MV]]/Table_Query_from_Cello_SQL_Server[[#This Row],[NAV]]*100</f>
        <v>67.157007821268138</v>
      </c>
    </row>
    <row r="1020" spans="1:12" x14ac:dyDescent="0.2">
      <c r="A1020" s="1">
        <v>42200</v>
      </c>
      <c r="B1020">
        <v>553.55849999999998</v>
      </c>
      <c r="C1020">
        <v>115.2204</v>
      </c>
      <c r="D1020">
        <v>352.24560000000002</v>
      </c>
      <c r="F1020">
        <v>357829144.41000003</v>
      </c>
      <c r="G1020">
        <v>154.69910999999999</v>
      </c>
      <c r="H1020">
        <v>32.199837000000002</v>
      </c>
      <c r="I1020">
        <v>98.439605999999998</v>
      </c>
      <c r="K1020" s="4">
        <f>VLOOKUP(Table_Query_from_Cello_SQL_Server[[#This Row],[AsOfDate]], 'CMO MV Raw'!$A:$B,2,FALSE)</f>
        <v>240771463.65083799</v>
      </c>
      <c r="L1020" s="5">
        <f>Table_Query_from_Cello_SQL_Server[[#This Row],[CMO MV]]/Table_Query_from_Cello_SQL_Server[[#This Row],[NAV]]*100</f>
        <v>67.286711385074454</v>
      </c>
    </row>
    <row r="1021" spans="1:12" x14ac:dyDescent="0.2">
      <c r="A1021" s="1">
        <v>42201</v>
      </c>
      <c r="B1021">
        <v>554.42290000000003</v>
      </c>
      <c r="C1021">
        <v>115.3603</v>
      </c>
      <c r="D1021">
        <v>352.53399999999999</v>
      </c>
      <c r="F1021">
        <v>357722586.14999998</v>
      </c>
      <c r="G1021">
        <v>154.986831</v>
      </c>
      <c r="H1021">
        <v>32.248536999999999</v>
      </c>
      <c r="I1021">
        <v>98.549549999999996</v>
      </c>
      <c r="K1021" s="4">
        <f>VLOOKUP(Table_Query_from_Cello_SQL_Server[[#This Row],[AsOfDate]], 'CMO MV Raw'!$A:$B,2,FALSE)</f>
        <v>240619980.02030501</v>
      </c>
      <c r="L1021" s="5">
        <f>Table_Query_from_Cello_SQL_Server[[#This Row],[CMO MV]]/Table_Query_from_Cello_SQL_Server[[#This Row],[NAV]]*100</f>
        <v>67.264408045906393</v>
      </c>
    </row>
    <row r="1022" spans="1:12" x14ac:dyDescent="0.2">
      <c r="A1022" s="1">
        <v>42202</v>
      </c>
      <c r="B1022">
        <v>621.96010000000001</v>
      </c>
      <c r="C1022">
        <v>129.1798</v>
      </c>
      <c r="D1022">
        <v>403.99650000000003</v>
      </c>
      <c r="F1022">
        <v>357445458.60000002</v>
      </c>
      <c r="G1022">
        <v>174.00139899999999</v>
      </c>
      <c r="H1022">
        <v>36.139722999999996</v>
      </c>
      <c r="I1022">
        <v>113.023257</v>
      </c>
      <c r="K1022" s="4">
        <f>VLOOKUP(Table_Query_from_Cello_SQL_Server[[#This Row],[AsOfDate]], 'CMO MV Raw'!$A:$B,2,FALSE)</f>
        <v>253979249.15223399</v>
      </c>
      <c r="L1022" s="5">
        <f>Table_Query_from_Cello_SQL_Server[[#This Row],[CMO MV]]/Table_Query_from_Cello_SQL_Server[[#This Row],[NAV]]*100</f>
        <v>71.053986850746341</v>
      </c>
    </row>
    <row r="1023" spans="1:12" x14ac:dyDescent="0.2">
      <c r="A1023" s="1">
        <v>42205</v>
      </c>
      <c r="B1023">
        <v>622.5077</v>
      </c>
      <c r="C1023">
        <v>129.63749999999999</v>
      </c>
      <c r="D1023">
        <v>403.49</v>
      </c>
      <c r="F1023">
        <v>357505278.31</v>
      </c>
      <c r="G1023">
        <v>174.12545700000001</v>
      </c>
      <c r="H1023">
        <v>36.261702</v>
      </c>
      <c r="I1023">
        <v>112.862669</v>
      </c>
      <c r="K1023" s="4">
        <f>VLOOKUP(Table_Query_from_Cello_SQL_Server[[#This Row],[AsOfDate]], 'CMO MV Raw'!$A:$B,2,FALSE)</f>
        <v>253716580.999955</v>
      </c>
      <c r="L1023" s="5">
        <f>Table_Query_from_Cello_SQL_Server[[#This Row],[CMO MV]]/Table_Query_from_Cello_SQL_Server[[#This Row],[NAV]]*100</f>
        <v>70.968625190465644</v>
      </c>
    </row>
    <row r="1024" spans="1:12" x14ac:dyDescent="0.2">
      <c r="A1024" s="1">
        <v>42206</v>
      </c>
      <c r="B1024">
        <v>683.79319999999996</v>
      </c>
      <c r="C1024">
        <v>142.0291</v>
      </c>
      <c r="D1024">
        <v>441.23180000000002</v>
      </c>
      <c r="F1024">
        <v>358023124.69</v>
      </c>
      <c r="G1024">
        <v>190.99135000000001</v>
      </c>
      <c r="H1024">
        <v>39.670369999999998</v>
      </c>
      <c r="I1024">
        <v>123.241145</v>
      </c>
      <c r="K1024" s="4">
        <f>VLOOKUP(Table_Query_from_Cello_SQL_Server[[#This Row],[AsOfDate]], 'CMO MV Raw'!$A:$B,2,FALSE)</f>
        <v>263663657.72337201</v>
      </c>
      <c r="L1024" s="5">
        <f>Table_Query_from_Cello_SQL_Server[[#This Row],[CMO MV]]/Table_Query_from_Cello_SQL_Server[[#This Row],[NAV]]*100</f>
        <v>73.64430941483721</v>
      </c>
    </row>
    <row r="1025" spans="1:12" x14ac:dyDescent="0.2">
      <c r="A1025" s="1">
        <v>42207</v>
      </c>
      <c r="B1025">
        <v>685.61569999999995</v>
      </c>
      <c r="C1025">
        <v>142.1437</v>
      </c>
      <c r="D1025">
        <v>441.82940000000002</v>
      </c>
      <c r="F1025">
        <v>358190799.62</v>
      </c>
      <c r="G1025">
        <v>191.410751</v>
      </c>
      <c r="H1025">
        <v>39.683793999999999</v>
      </c>
      <c r="I1025">
        <v>123.35029299999999</v>
      </c>
      <c r="K1025" s="4">
        <f>VLOOKUP(Table_Query_from_Cello_SQL_Server[[#This Row],[AsOfDate]], 'CMO MV Raw'!$A:$B,2,FALSE)</f>
        <v>263822586.65860301</v>
      </c>
      <c r="L1025" s="5">
        <f>Table_Query_from_Cello_SQL_Server[[#This Row],[CMO MV]]/Table_Query_from_Cello_SQL_Server[[#This Row],[NAV]]*100</f>
        <v>73.654205227629802</v>
      </c>
    </row>
    <row r="1026" spans="1:12" x14ac:dyDescent="0.2">
      <c r="A1026" s="1">
        <v>42208</v>
      </c>
      <c r="B1026">
        <v>692.80169999999998</v>
      </c>
      <c r="C1026">
        <v>143.0412</v>
      </c>
      <c r="D1026">
        <v>442.42590000000001</v>
      </c>
      <c r="F1026">
        <v>358574029.95999998</v>
      </c>
      <c r="G1026">
        <v>193.210228</v>
      </c>
      <c r="H1026">
        <v>39.891679000000003</v>
      </c>
      <c r="I1026">
        <v>123.38481400000001</v>
      </c>
      <c r="K1026" s="4">
        <f>VLOOKUP(Table_Query_from_Cello_SQL_Server[[#This Row],[AsOfDate]], 'CMO MV Raw'!$A:$B,2,FALSE)</f>
        <v>264463211.375514</v>
      </c>
      <c r="L1026" s="5">
        <f>Table_Query_from_Cello_SQL_Server[[#This Row],[CMO MV]]/Table_Query_from_Cello_SQL_Server[[#This Row],[NAV]]*100</f>
        <v>73.754145386662742</v>
      </c>
    </row>
    <row r="1027" spans="1:12" x14ac:dyDescent="0.2">
      <c r="A1027" s="1">
        <v>42209</v>
      </c>
      <c r="B1027">
        <v>664.3519</v>
      </c>
      <c r="C1027">
        <v>137.4384</v>
      </c>
      <c r="D1027">
        <v>441.58510000000001</v>
      </c>
      <c r="F1027">
        <v>358515445</v>
      </c>
      <c r="G1027">
        <v>185.306354</v>
      </c>
      <c r="H1027">
        <v>38.335419999999999</v>
      </c>
      <c r="I1027">
        <v>123.17045400000001</v>
      </c>
      <c r="K1027" s="4">
        <f>VLOOKUP(Table_Query_from_Cello_SQL_Server[[#This Row],[AsOfDate]], 'CMO MV Raw'!$A:$B,2,FALSE)</f>
        <v>257626743.417119</v>
      </c>
      <c r="L1027" s="5">
        <f>Table_Query_from_Cello_SQL_Server[[#This Row],[CMO MV]]/Table_Query_from_Cello_SQL_Server[[#This Row],[NAV]]*100</f>
        <v>71.859315131352005</v>
      </c>
    </row>
    <row r="1028" spans="1:12" x14ac:dyDescent="0.2">
      <c r="A1028" s="1">
        <v>42212</v>
      </c>
      <c r="B1028">
        <v>660.13610000000006</v>
      </c>
      <c r="C1028">
        <v>135.4862</v>
      </c>
      <c r="D1028">
        <v>442.04610000000002</v>
      </c>
      <c r="F1028">
        <v>357945223.33999997</v>
      </c>
      <c r="G1028">
        <v>184.423777</v>
      </c>
      <c r="H1028">
        <v>37.851098999999998</v>
      </c>
      <c r="I1028">
        <v>123.49545999999999</v>
      </c>
      <c r="K1028" s="4">
        <f>VLOOKUP(Table_Query_from_Cello_SQL_Server[[#This Row],[AsOfDate]], 'CMO MV Raw'!$A:$B,2,FALSE)</f>
        <v>256898226.45141199</v>
      </c>
      <c r="L1028" s="5">
        <f>Table_Query_from_Cello_SQL_Server[[#This Row],[CMO MV]]/Table_Query_from_Cello_SQL_Server[[#This Row],[NAV]]*100</f>
        <v>71.770262515109224</v>
      </c>
    </row>
    <row r="1029" spans="1:12" x14ac:dyDescent="0.2">
      <c r="A1029" s="1">
        <v>42213</v>
      </c>
      <c r="B1029">
        <v>649.97569999999996</v>
      </c>
      <c r="C1029">
        <v>133.35380000000001</v>
      </c>
      <c r="D1029">
        <v>442.61410000000001</v>
      </c>
      <c r="F1029">
        <v>357800230.44999999</v>
      </c>
      <c r="G1029">
        <v>181.658827</v>
      </c>
      <c r="H1029">
        <v>37.270462000000002</v>
      </c>
      <c r="I1029">
        <v>123.704252</v>
      </c>
      <c r="K1029" s="4">
        <f>VLOOKUP(Table_Query_from_Cello_SQL_Server[[#This Row],[AsOfDate]], 'CMO MV Raw'!$A:$B,2,FALSE)</f>
        <v>254272519.69706699</v>
      </c>
      <c r="L1029" s="5">
        <f>Table_Query_from_Cello_SQL_Server[[#This Row],[CMO MV]]/Table_Query_from_Cello_SQL_Server[[#This Row],[NAV]]*100</f>
        <v>71.065499141035275</v>
      </c>
    </row>
    <row r="1030" spans="1:12" x14ac:dyDescent="0.2">
      <c r="A1030" s="1">
        <v>42214</v>
      </c>
      <c r="B1030">
        <v>648.43079999999998</v>
      </c>
      <c r="C1030">
        <v>132.98949999999999</v>
      </c>
      <c r="D1030">
        <v>442.31869999999998</v>
      </c>
      <c r="F1030">
        <v>356958733.74000001</v>
      </c>
      <c r="G1030">
        <v>181.65427500000001</v>
      </c>
      <c r="H1030">
        <v>37.256267000000001</v>
      </c>
      <c r="I1030">
        <v>123.91311899999999</v>
      </c>
      <c r="K1030" s="4">
        <f>VLOOKUP(Table_Query_from_Cello_SQL_Server[[#This Row],[AsOfDate]], 'CMO MV Raw'!$A:$B,2,FALSE)</f>
        <v>253628728.76188999</v>
      </c>
      <c r="L1030" s="5">
        <f>Table_Query_from_Cello_SQL_Server[[#This Row],[CMO MV]]/Table_Query_from_Cello_SQL_Server[[#This Row],[NAV]]*100</f>
        <v>71.052674942148059</v>
      </c>
    </row>
    <row r="1031" spans="1:12" x14ac:dyDescent="0.2">
      <c r="A1031" s="1">
        <v>42215</v>
      </c>
      <c r="B1031">
        <v>678.28049999999996</v>
      </c>
      <c r="C1031">
        <v>138.31909999999999</v>
      </c>
      <c r="D1031">
        <v>437.8186</v>
      </c>
      <c r="F1031">
        <v>356945450.62</v>
      </c>
      <c r="G1031">
        <v>190.023573</v>
      </c>
      <c r="H1031">
        <v>38.750767000000003</v>
      </c>
      <c r="I1031">
        <v>122.657005</v>
      </c>
      <c r="K1031" s="4">
        <f>VLOOKUP(Table_Query_from_Cello_SQL_Server[[#This Row],[AsOfDate]], 'CMO MV Raw'!$A:$B,2,FALSE)</f>
        <v>284179916.00306398</v>
      </c>
      <c r="L1031" s="5">
        <f>Table_Query_from_Cello_SQL_Server[[#This Row],[CMO MV]]/Table_Query_from_Cello_SQL_Server[[#This Row],[NAV]]*100</f>
        <v>79.614382396373117</v>
      </c>
    </row>
    <row r="1032" spans="1:12" x14ac:dyDescent="0.2">
      <c r="A1032" s="1">
        <v>42216</v>
      </c>
      <c r="B1032">
        <v>623.40769999999998</v>
      </c>
      <c r="C1032">
        <v>125.9667</v>
      </c>
      <c r="D1032">
        <v>410.1506</v>
      </c>
      <c r="F1032">
        <v>358751611.69</v>
      </c>
      <c r="G1032">
        <v>173.771401</v>
      </c>
      <c r="H1032">
        <v>35.112510999999998</v>
      </c>
      <c r="I1032">
        <v>114.32718</v>
      </c>
      <c r="K1032" s="4">
        <f>VLOOKUP(Table_Query_from_Cello_SQL_Server[[#This Row],[AsOfDate]], 'CMO MV Raw'!$A:$B,2,FALSE)</f>
        <v>284669983.76802403</v>
      </c>
      <c r="L1032" s="5">
        <f>Table_Query_from_Cello_SQL_Server[[#This Row],[CMO MV]]/Table_Query_from_Cello_SQL_Server[[#This Row],[NAV]]*100</f>
        <v>79.350161641645684</v>
      </c>
    </row>
    <row r="1033" spans="1:12" x14ac:dyDescent="0.2">
      <c r="A1033" s="1">
        <v>42219</v>
      </c>
      <c r="B1033">
        <v>626.94259999999997</v>
      </c>
      <c r="C1033">
        <v>125.8519</v>
      </c>
      <c r="D1033">
        <v>450.81459999999998</v>
      </c>
      <c r="F1033">
        <v>358119235.63999999</v>
      </c>
      <c r="G1033">
        <v>175.065324</v>
      </c>
      <c r="H1033">
        <v>35.142457</v>
      </c>
      <c r="I1033">
        <v>125.883939</v>
      </c>
      <c r="K1033" s="4">
        <f>VLOOKUP(Table_Query_from_Cello_SQL_Server[[#This Row],[AsOfDate]], 'CMO MV Raw'!$A:$B,2,FALSE)</f>
        <v>285296035.81100702</v>
      </c>
      <c r="L1033" s="5">
        <f>Table_Query_from_Cello_SQL_Server[[#This Row],[CMO MV]]/Table_Query_from_Cello_SQL_Server[[#This Row],[NAV]]*100</f>
        <v>79.665096822054366</v>
      </c>
    </row>
    <row r="1034" spans="1:12" x14ac:dyDescent="0.2">
      <c r="A1034" s="1">
        <v>42220</v>
      </c>
      <c r="B1034">
        <v>583.47540000000004</v>
      </c>
      <c r="C1034">
        <v>118.08629999999999</v>
      </c>
      <c r="D1034">
        <v>449.10899999999998</v>
      </c>
      <c r="F1034">
        <v>356962932.30000001</v>
      </c>
      <c r="G1034">
        <v>163.45545899999999</v>
      </c>
      <c r="H1034">
        <v>33.080829999999999</v>
      </c>
      <c r="I1034">
        <v>125.81390399999999</v>
      </c>
      <c r="K1034" s="4">
        <f>VLOOKUP(Table_Query_from_Cello_SQL_Server[[#This Row],[AsOfDate]], 'CMO MV Raw'!$A:$B,2,FALSE)</f>
        <v>275931994.08684999</v>
      </c>
      <c r="L1034" s="5">
        <f>Table_Query_from_Cello_SQL_Server[[#This Row],[CMO MV]]/Table_Query_from_Cello_SQL_Server[[#This Row],[NAV]]*100</f>
        <v>77.299901227545462</v>
      </c>
    </row>
    <row r="1035" spans="1:12" x14ac:dyDescent="0.2">
      <c r="A1035" s="1">
        <v>42221</v>
      </c>
      <c r="B1035">
        <v>531.62139999999999</v>
      </c>
      <c r="C1035">
        <v>108.4671</v>
      </c>
      <c r="D1035">
        <v>424.92450000000002</v>
      </c>
      <c r="F1035">
        <v>356165611.85000002</v>
      </c>
      <c r="G1035">
        <v>149.262417</v>
      </c>
      <c r="H1035">
        <v>30.454118999999999</v>
      </c>
      <c r="I1035">
        <v>119.305314</v>
      </c>
      <c r="K1035" s="4">
        <f>VLOOKUP(Table_Query_from_Cello_SQL_Server[[#This Row],[AsOfDate]], 'CMO MV Raw'!$A:$B,2,FALSE)</f>
        <v>275607773.85127401</v>
      </c>
      <c r="L1035" s="5">
        <f>Table_Query_from_Cello_SQL_Server[[#This Row],[CMO MV]]/Table_Query_from_Cello_SQL_Server[[#This Row],[NAV]]*100</f>
        <v>77.381915794651974</v>
      </c>
    </row>
    <row r="1036" spans="1:12" x14ac:dyDescent="0.2">
      <c r="A1036" s="1">
        <v>42222</v>
      </c>
      <c r="B1036">
        <v>539.66139999999996</v>
      </c>
      <c r="C1036">
        <v>109.7312</v>
      </c>
      <c r="D1036">
        <v>424.92079999999999</v>
      </c>
      <c r="F1036">
        <v>357374398.13999999</v>
      </c>
      <c r="G1036">
        <v>151.00729200000001</v>
      </c>
      <c r="H1036">
        <v>30.704830000000001</v>
      </c>
      <c r="I1036">
        <v>118.900739</v>
      </c>
      <c r="K1036" s="4">
        <f>VLOOKUP(Table_Query_from_Cello_SQL_Server[[#This Row],[AsOfDate]], 'CMO MV Raw'!$A:$B,2,FALSE)</f>
        <v>263826262.534996</v>
      </c>
      <c r="L1036" s="5">
        <f>Table_Query_from_Cello_SQL_Server[[#This Row],[CMO MV]]/Table_Query_from_Cello_SQL_Server[[#This Row],[NAV]]*100</f>
        <v>73.823492647518393</v>
      </c>
    </row>
    <row r="1037" spans="1:12" x14ac:dyDescent="0.2">
      <c r="A1037" s="1">
        <v>42223</v>
      </c>
      <c r="B1037">
        <v>495.053</v>
      </c>
      <c r="C1037">
        <v>99.856399999999994</v>
      </c>
      <c r="D1037">
        <v>397.95549999999997</v>
      </c>
      <c r="F1037">
        <v>358497275.13999999</v>
      </c>
      <c r="G1037">
        <v>138.09114700000001</v>
      </c>
      <c r="H1037">
        <v>27.854158999999999</v>
      </c>
      <c r="I1037">
        <v>111.006562</v>
      </c>
      <c r="K1037" s="4">
        <f>VLOOKUP(Table_Query_from_Cello_SQL_Server[[#This Row],[AsOfDate]], 'CMO MV Raw'!$A:$B,2,FALSE)</f>
        <v>254907501.25923899</v>
      </c>
      <c r="L1037" s="5">
        <f>Table_Query_from_Cello_SQL_Server[[#This Row],[CMO MV]]/Table_Query_from_Cello_SQL_Server[[#This Row],[NAV]]*100</f>
        <v>71.104445957000024</v>
      </c>
    </row>
    <row r="1038" spans="1:12" x14ac:dyDescent="0.2">
      <c r="A1038" s="1">
        <v>42226</v>
      </c>
      <c r="B1038">
        <v>495.34840000000003</v>
      </c>
      <c r="C1038">
        <v>100.8857</v>
      </c>
      <c r="D1038">
        <v>396.238</v>
      </c>
      <c r="F1038">
        <v>357812580.26999998</v>
      </c>
      <c r="G1038">
        <v>138.43795</v>
      </c>
      <c r="H1038">
        <v>28.195124</v>
      </c>
      <c r="I1038">
        <v>110.73898</v>
      </c>
      <c r="K1038" s="4">
        <f>VLOOKUP(Table_Query_from_Cello_SQL_Server[[#This Row],[AsOfDate]], 'CMO MV Raw'!$A:$B,2,FALSE)</f>
        <v>255099286.86037099</v>
      </c>
      <c r="L1038" s="5">
        <f>Table_Query_from_Cello_SQL_Server[[#This Row],[CMO MV]]/Table_Query_from_Cello_SQL_Server[[#This Row],[NAV]]*100</f>
        <v>71.294107844916169</v>
      </c>
    </row>
    <row r="1039" spans="1:12" x14ac:dyDescent="0.2">
      <c r="A1039" s="1">
        <v>42227</v>
      </c>
      <c r="B1039">
        <v>497.88670000000002</v>
      </c>
      <c r="C1039">
        <v>99.733199999999997</v>
      </c>
      <c r="D1039">
        <v>397.28230000000002</v>
      </c>
      <c r="F1039">
        <v>358988502.47000003</v>
      </c>
      <c r="G1039">
        <v>138.69154499999999</v>
      </c>
      <c r="H1039">
        <v>27.781725000000002</v>
      </c>
      <c r="I1039">
        <v>110.66713799999999</v>
      </c>
      <c r="K1039" s="4">
        <f>VLOOKUP(Table_Query_from_Cello_SQL_Server[[#This Row],[AsOfDate]], 'CMO MV Raw'!$A:$B,2,FALSE)</f>
        <v>253879598.302394</v>
      </c>
      <c r="L1039" s="5">
        <f>Table_Query_from_Cello_SQL_Server[[#This Row],[CMO MV]]/Table_Query_from_Cello_SQL_Server[[#This Row],[NAV]]*100</f>
        <v>70.720816002626776</v>
      </c>
    </row>
    <row r="1040" spans="1:12" x14ac:dyDescent="0.2">
      <c r="A1040" s="1">
        <v>42228</v>
      </c>
      <c r="B1040">
        <v>496.82319999999999</v>
      </c>
      <c r="C1040">
        <v>99.483699999999999</v>
      </c>
      <c r="D1040">
        <v>397.0077</v>
      </c>
      <c r="F1040">
        <v>358901576.92000002</v>
      </c>
      <c r="G1040">
        <v>138.42881499999999</v>
      </c>
      <c r="H1040">
        <v>27.718935999999999</v>
      </c>
      <c r="I1040">
        <v>110.61743</v>
      </c>
      <c r="K1040" s="4">
        <f>VLOOKUP(Table_Query_from_Cello_SQL_Server[[#This Row],[AsOfDate]], 'CMO MV Raw'!$A:$B,2,FALSE)</f>
        <v>254060002.85780001</v>
      </c>
      <c r="L1040" s="5">
        <f>Table_Query_from_Cello_SQL_Server[[#This Row],[CMO MV]]/Table_Query_from_Cello_SQL_Server[[#This Row],[NAV]]*100</f>
        <v>70.788210249193355</v>
      </c>
    </row>
    <row r="1041" spans="1:12" x14ac:dyDescent="0.2">
      <c r="A1041" s="1">
        <v>42229</v>
      </c>
      <c r="B1041">
        <v>498.74740000000003</v>
      </c>
      <c r="C1041">
        <v>100.6896</v>
      </c>
      <c r="D1041">
        <v>395.11860000000001</v>
      </c>
      <c r="F1041">
        <v>358085740.81</v>
      </c>
      <c r="G1041">
        <v>139.28155799999999</v>
      </c>
      <c r="H1041">
        <v>28.118852</v>
      </c>
      <c r="I1041">
        <v>110.341897</v>
      </c>
      <c r="K1041" s="4">
        <f>VLOOKUP(Table_Query_from_Cello_SQL_Server[[#This Row],[AsOfDate]], 'CMO MV Raw'!$A:$B,2,FALSE)</f>
        <v>253739611.85017601</v>
      </c>
      <c r="L1041" s="5">
        <f>Table_Query_from_Cello_SQL_Server[[#This Row],[CMO MV]]/Table_Query_from_Cello_SQL_Server[[#This Row],[NAV]]*100</f>
        <v>70.860015614196158</v>
      </c>
    </row>
    <row r="1042" spans="1:12" x14ac:dyDescent="0.2">
      <c r="A1042" s="1">
        <v>42230</v>
      </c>
      <c r="B1042">
        <v>501.05380000000002</v>
      </c>
      <c r="C1042">
        <v>101.5162</v>
      </c>
      <c r="D1042">
        <v>394.93209999999999</v>
      </c>
      <c r="F1042">
        <v>358235121.18000001</v>
      </c>
      <c r="G1042">
        <v>139.867302</v>
      </c>
      <c r="H1042">
        <v>28.337869000000001</v>
      </c>
      <c r="I1042">
        <v>110.243825</v>
      </c>
      <c r="K1042" s="4">
        <f>VLOOKUP(Table_Query_from_Cello_SQL_Server[[#This Row],[AsOfDate]], 'CMO MV Raw'!$A:$B,2,FALSE)</f>
        <v>254052085.055626</v>
      </c>
      <c r="L1042" s="5">
        <f>Table_Query_from_Cello_SQL_Server[[#This Row],[CMO MV]]/Table_Query_from_Cello_SQL_Server[[#This Row],[NAV]]*100</f>
        <v>70.917693446359252</v>
      </c>
    </row>
    <row r="1043" spans="1:12" x14ac:dyDescent="0.2">
      <c r="A1043" s="1">
        <v>42233</v>
      </c>
      <c r="B1043">
        <v>499.73880000000003</v>
      </c>
      <c r="C1043">
        <v>100.8224</v>
      </c>
      <c r="D1043">
        <v>395.79669999999999</v>
      </c>
      <c r="F1043">
        <v>358660867.33999997</v>
      </c>
      <c r="G1043">
        <v>139.334632</v>
      </c>
      <c r="H1043">
        <v>28.110789</v>
      </c>
      <c r="I1043">
        <v>110.354024</v>
      </c>
      <c r="K1043" s="4">
        <f>VLOOKUP(Table_Query_from_Cello_SQL_Server[[#This Row],[AsOfDate]], 'CMO MV Raw'!$A:$B,2,FALSE)</f>
        <v>254379845.391186</v>
      </c>
      <c r="L1043" s="5">
        <f>Table_Query_from_Cello_SQL_Server[[#This Row],[CMO MV]]/Table_Query_from_Cello_SQL_Server[[#This Row],[NAV]]*100</f>
        <v>70.924895508614654</v>
      </c>
    </row>
    <row r="1044" spans="1:12" x14ac:dyDescent="0.2">
      <c r="A1044" s="1">
        <v>42234</v>
      </c>
      <c r="B1044">
        <v>498.7174</v>
      </c>
      <c r="C1044">
        <v>101.125</v>
      </c>
      <c r="D1044">
        <v>406.8485</v>
      </c>
      <c r="F1044">
        <v>358115894.31</v>
      </c>
      <c r="G1044">
        <v>139.26145399999999</v>
      </c>
      <c r="H1044">
        <v>28.238064999999999</v>
      </c>
      <c r="I1044">
        <v>113.608054</v>
      </c>
      <c r="K1044" s="4">
        <f>VLOOKUP(Table_Query_from_Cello_SQL_Server[[#This Row],[AsOfDate]], 'CMO MV Raw'!$A:$B,2,FALSE)</f>
        <v>254274156.06536099</v>
      </c>
      <c r="L1044" s="5">
        <f>Table_Query_from_Cello_SQL_Server[[#This Row],[CMO MV]]/Table_Query_from_Cello_SQL_Server[[#This Row],[NAV]]*100</f>
        <v>71.003314878074278</v>
      </c>
    </row>
    <row r="1045" spans="1:12" x14ac:dyDescent="0.2">
      <c r="A1045" s="1">
        <v>42235</v>
      </c>
      <c r="B1045">
        <v>476.35149999999999</v>
      </c>
      <c r="C1045">
        <v>98.118499999999997</v>
      </c>
      <c r="D1045">
        <v>395.4896</v>
      </c>
      <c r="F1045">
        <v>358691570.69</v>
      </c>
      <c r="G1045">
        <v>132.80253500000001</v>
      </c>
      <c r="H1045">
        <v>27.354559999999999</v>
      </c>
      <c r="I1045">
        <v>110.258961</v>
      </c>
      <c r="K1045" s="4">
        <f>VLOOKUP(Table_Query_from_Cello_SQL_Server[[#This Row],[AsOfDate]], 'CMO MV Raw'!$A:$B,2,FALSE)</f>
        <v>253828961.30618599</v>
      </c>
      <c r="L1045" s="5">
        <f>Table_Query_from_Cello_SQL_Server[[#This Row],[CMO MV]]/Table_Query_from_Cello_SQL_Server[[#This Row],[NAV]]*100</f>
        <v>70.765242912707933</v>
      </c>
    </row>
    <row r="1046" spans="1:12" x14ac:dyDescent="0.2">
      <c r="A1046" s="1">
        <v>42236</v>
      </c>
      <c r="B1046">
        <v>477.70749999999998</v>
      </c>
      <c r="C1046">
        <v>97.541700000000006</v>
      </c>
      <c r="D1046">
        <v>397.20119999999997</v>
      </c>
      <c r="F1046">
        <v>359304961.04000002</v>
      </c>
      <c r="G1046">
        <v>132.953216</v>
      </c>
      <c r="H1046">
        <v>27.147328999999999</v>
      </c>
      <c r="I1046">
        <v>110.547096</v>
      </c>
      <c r="K1046" s="4">
        <f>VLOOKUP(Table_Query_from_Cello_SQL_Server[[#This Row],[AsOfDate]], 'CMO MV Raw'!$A:$B,2,FALSE)</f>
        <v>253622468.398471</v>
      </c>
      <c r="L1046" s="5">
        <f>Table_Query_from_Cello_SQL_Server[[#This Row],[CMO MV]]/Table_Query_from_Cello_SQL_Server[[#This Row],[NAV]]*100</f>
        <v>70.586965363452407</v>
      </c>
    </row>
    <row r="1047" spans="1:12" x14ac:dyDescent="0.2">
      <c r="A1047" s="1">
        <v>42237</v>
      </c>
      <c r="B1047">
        <v>478.04689999999999</v>
      </c>
      <c r="C1047">
        <v>97.207999999999998</v>
      </c>
      <c r="D1047">
        <v>396.78</v>
      </c>
      <c r="F1047">
        <v>358984720.20999998</v>
      </c>
      <c r="G1047">
        <v>133.16636399999999</v>
      </c>
      <c r="H1047">
        <v>27.078589999999998</v>
      </c>
      <c r="I1047">
        <v>110.528381</v>
      </c>
      <c r="K1047" s="4">
        <f>VLOOKUP(Table_Query_from_Cello_SQL_Server[[#This Row],[AsOfDate]], 'CMO MV Raw'!$A:$B,2,FALSE)</f>
        <v>253500989.04374501</v>
      </c>
      <c r="L1047" s="5">
        <f>Table_Query_from_Cello_SQL_Server[[#This Row],[CMO MV]]/Table_Query_from_Cello_SQL_Server[[#This Row],[NAV]]*100</f>
        <v>70.616094438629929</v>
      </c>
    </row>
    <row r="1048" spans="1:12" x14ac:dyDescent="0.2">
      <c r="A1048" s="1">
        <v>42240</v>
      </c>
      <c r="B1048">
        <v>482.54899999999998</v>
      </c>
      <c r="C1048">
        <v>97.032300000000006</v>
      </c>
      <c r="D1048">
        <v>397.19170000000003</v>
      </c>
      <c r="F1048">
        <v>358687805.12</v>
      </c>
      <c r="G1048">
        <v>134.531755</v>
      </c>
      <c r="H1048">
        <v>27.052021</v>
      </c>
      <c r="I1048">
        <v>110.73465400000001</v>
      </c>
      <c r="K1048" s="4">
        <f>VLOOKUP(Table_Query_from_Cello_SQL_Server[[#This Row],[AsOfDate]], 'CMO MV Raw'!$A:$B,2,FALSE)</f>
        <v>253576148.84206501</v>
      </c>
      <c r="L1048" s="5">
        <f>Table_Query_from_Cello_SQL_Server[[#This Row],[CMO MV]]/Table_Query_from_Cello_SQL_Server[[#This Row],[NAV]]*100</f>
        <v>70.695503226609674</v>
      </c>
    </row>
    <row r="1049" spans="1:12" x14ac:dyDescent="0.2">
      <c r="A1049" s="1">
        <v>42241</v>
      </c>
      <c r="B1049">
        <v>428.6182</v>
      </c>
      <c r="C1049">
        <v>88.366900000000001</v>
      </c>
      <c r="D1049">
        <v>365.15539999999999</v>
      </c>
      <c r="F1049">
        <v>357221609.98000002</v>
      </c>
      <c r="G1049">
        <v>119.986638</v>
      </c>
      <c r="H1049">
        <v>24.737276999999999</v>
      </c>
      <c r="I1049">
        <v>102.22097100000001</v>
      </c>
      <c r="K1049" s="4">
        <f>VLOOKUP(Table_Query_from_Cello_SQL_Server[[#This Row],[AsOfDate]], 'CMO MV Raw'!$A:$B,2,FALSE)</f>
        <v>247123068.66777799</v>
      </c>
      <c r="L1049" s="5">
        <f>Table_Query_from_Cello_SQL_Server[[#This Row],[CMO MV]]/Table_Query_from_Cello_SQL_Server[[#This Row],[NAV]]*100</f>
        <v>69.179204662790085</v>
      </c>
    </row>
    <row r="1050" spans="1:12" x14ac:dyDescent="0.2">
      <c r="A1050" s="1">
        <v>42242</v>
      </c>
      <c r="B1050">
        <v>419.27749999999997</v>
      </c>
      <c r="C1050">
        <v>87.131399999999999</v>
      </c>
      <c r="D1050">
        <v>364.52550000000002</v>
      </c>
      <c r="F1050">
        <v>356496807.75</v>
      </c>
      <c r="G1050">
        <v>117.61045</v>
      </c>
      <c r="H1050">
        <v>24.441004</v>
      </c>
      <c r="I1050">
        <v>102.25210800000001</v>
      </c>
      <c r="K1050" s="4">
        <f>VLOOKUP(Table_Query_from_Cello_SQL_Server[[#This Row],[AsOfDate]], 'CMO MV Raw'!$A:$B,2,FALSE)</f>
        <v>245214111.815505</v>
      </c>
      <c r="L1050" s="5">
        <f>Table_Query_from_Cello_SQL_Server[[#This Row],[CMO MV]]/Table_Query_from_Cello_SQL_Server[[#This Row],[NAV]]*100</f>
        <v>68.784378004154789</v>
      </c>
    </row>
    <row r="1051" spans="1:12" x14ac:dyDescent="0.2">
      <c r="A1051" s="1">
        <v>42243</v>
      </c>
      <c r="B1051">
        <v>416.43259999999998</v>
      </c>
      <c r="C1051">
        <v>86.509799999999998</v>
      </c>
      <c r="D1051">
        <v>364.8503</v>
      </c>
      <c r="F1051">
        <v>356544380.56</v>
      </c>
      <c r="G1051">
        <v>116.79684899999999</v>
      </c>
      <c r="H1051">
        <v>24.263403</v>
      </c>
      <c r="I1051">
        <v>102.329561</v>
      </c>
      <c r="K1051" s="4">
        <f>VLOOKUP(Table_Query_from_Cello_SQL_Server[[#This Row],[AsOfDate]], 'CMO MV Raw'!$A:$B,2,FALSE)</f>
        <v>244915280.273864</v>
      </c>
      <c r="L1051" s="5">
        <f>Table_Query_from_Cello_SQL_Server[[#This Row],[CMO MV]]/Table_Query_from_Cello_SQL_Server[[#This Row],[NAV]]*100</f>
        <v>68.691386999058082</v>
      </c>
    </row>
    <row r="1052" spans="1:12" x14ac:dyDescent="0.2">
      <c r="A1052" s="1">
        <v>42244</v>
      </c>
      <c r="B1052">
        <v>414.67230000000001</v>
      </c>
      <c r="C1052">
        <v>86.247200000000007</v>
      </c>
      <c r="D1052">
        <v>365.2783</v>
      </c>
      <c r="F1052">
        <v>356875997.17000002</v>
      </c>
      <c r="G1052">
        <v>116.195066</v>
      </c>
      <c r="H1052">
        <v>24.167273999999999</v>
      </c>
      <c r="I1052">
        <v>102.354404</v>
      </c>
      <c r="K1052" s="4">
        <f>VLOOKUP(Table_Query_from_Cello_SQL_Server[[#This Row],[AsOfDate]], 'CMO MV Raw'!$A:$B,2,FALSE)</f>
        <v>244647805.84771499</v>
      </c>
      <c r="L1052" s="5">
        <f>Table_Query_from_Cello_SQL_Server[[#This Row],[CMO MV]]/Table_Query_from_Cello_SQL_Server[[#This Row],[NAV]]*100</f>
        <v>68.552608689784066</v>
      </c>
    </row>
    <row r="1053" spans="1:12" x14ac:dyDescent="0.2">
      <c r="A1053" s="1">
        <v>42247</v>
      </c>
      <c r="B1053">
        <v>418.77379999999999</v>
      </c>
      <c r="C1053">
        <v>87.2971</v>
      </c>
      <c r="D1053">
        <v>365.06060000000002</v>
      </c>
      <c r="F1053">
        <v>358104206.48000002</v>
      </c>
      <c r="G1053">
        <v>116.94188200000001</v>
      </c>
      <c r="H1053">
        <v>24.377569000000001</v>
      </c>
      <c r="I1053">
        <v>101.942561</v>
      </c>
      <c r="K1053" s="4">
        <f>VLOOKUP(Table_Query_from_Cello_SQL_Server[[#This Row],[AsOfDate]], 'CMO MV Raw'!$A:$B,2,FALSE)</f>
        <v>245112484.652695</v>
      </c>
      <c r="L1053" s="5">
        <f>Table_Query_from_Cello_SQL_Server[[#This Row],[CMO MV]]/Table_Query_from_Cello_SQL_Server[[#This Row],[NAV]]*100</f>
        <v>68.447250888795253</v>
      </c>
    </row>
    <row r="1054" spans="1:12" x14ac:dyDescent="0.2">
      <c r="A1054" s="1">
        <v>42248</v>
      </c>
      <c r="B1054">
        <v>419.89780000000002</v>
      </c>
      <c r="C1054">
        <v>87.238500000000002</v>
      </c>
      <c r="D1054">
        <v>365.20229999999998</v>
      </c>
      <c r="F1054">
        <v>357085994.74000001</v>
      </c>
      <c r="G1054">
        <v>117.59010600000001</v>
      </c>
      <c r="H1054">
        <v>24.430669999999999</v>
      </c>
      <c r="I1054">
        <v>102.272927</v>
      </c>
      <c r="K1054" s="4">
        <f>VLOOKUP(Table_Query_from_Cello_SQL_Server[[#This Row],[AsOfDate]], 'CMO MV Raw'!$A:$B,2,FALSE)</f>
        <v>245781375.97130799</v>
      </c>
      <c r="L1054" s="5">
        <f>Table_Query_from_Cello_SQL_Server[[#This Row],[CMO MV]]/Table_Query_from_Cello_SQL_Server[[#This Row],[NAV]]*100</f>
        <v>68.829743980932463</v>
      </c>
    </row>
    <row r="1055" spans="1:12" x14ac:dyDescent="0.2">
      <c r="A1055" s="1">
        <v>42249</v>
      </c>
      <c r="B1055">
        <v>419.42160000000001</v>
      </c>
      <c r="C1055">
        <v>87.567499999999995</v>
      </c>
      <c r="D1055">
        <v>364.1053</v>
      </c>
      <c r="F1055">
        <v>356526465.25999999</v>
      </c>
      <c r="G1055">
        <v>117.64108400000001</v>
      </c>
      <c r="H1055">
        <v>24.56129</v>
      </c>
      <c r="I1055">
        <v>102.125743</v>
      </c>
      <c r="K1055" s="14">
        <f>VLOOKUP(Table_Query_from_Cello_SQL_Server[[#This Row],[AsOfDate]], 'CMO MV Raw'!$A:$B,2,FALSE)</f>
        <v>245641922.972101</v>
      </c>
      <c r="L1055" s="5">
        <f>Table_Query_from_Cello_SQL_Server[[#This Row],[CMO MV]]/Table_Query_from_Cello_SQL_Server[[#This Row],[NAV]]*100</f>
        <v>68.898650425001279</v>
      </c>
    </row>
    <row r="1056" spans="1:12" x14ac:dyDescent="0.2">
      <c r="A1056" s="1">
        <v>42250</v>
      </c>
      <c r="B1056">
        <v>416.18849999999998</v>
      </c>
      <c r="C1056">
        <v>86.342200000000005</v>
      </c>
      <c r="D1056">
        <v>364.95319999999998</v>
      </c>
      <c r="F1056">
        <v>356484604.36000001</v>
      </c>
      <c r="G1056">
        <v>116.74795899999999</v>
      </c>
      <c r="H1056">
        <v>24.220457</v>
      </c>
      <c r="I1056">
        <v>102.375585</v>
      </c>
      <c r="K1056" s="14">
        <f>VLOOKUP(Table_Query_from_Cello_SQL_Server[[#This Row],[AsOfDate]], 'CMO MV Raw'!$A:$B,2,FALSE)</f>
        <v>245118531.31468001</v>
      </c>
      <c r="L1056" s="5">
        <f>Table_Query_from_Cello_SQL_Server[[#This Row],[CMO MV]]/Table_Query_from_Cello_SQL_Server[[#This Row],[NAV]]*100</f>
        <v>68.759920713755236</v>
      </c>
    </row>
    <row r="1057" spans="1:12" x14ac:dyDescent="0.2">
      <c r="A1057" s="1">
        <v>42251</v>
      </c>
      <c r="B1057">
        <v>419.24380000000002</v>
      </c>
      <c r="C1057">
        <v>86.656800000000004</v>
      </c>
      <c r="D1057">
        <v>366.02620000000002</v>
      </c>
      <c r="F1057">
        <v>357310349.36000001</v>
      </c>
      <c r="G1057">
        <v>117.333237</v>
      </c>
      <c r="H1057">
        <v>24.25253</v>
      </c>
      <c r="I1057">
        <v>102.439294</v>
      </c>
      <c r="K1057" s="14">
        <f>VLOOKUP(Table_Query_from_Cello_SQL_Server[[#This Row],[AsOfDate]], 'CMO MV Raw'!$A:$B,2,FALSE)</f>
        <v>245752355.401539</v>
      </c>
      <c r="L1057" s="5">
        <f>Table_Query_from_Cello_SQL_Server[[#This Row],[CMO MV]]/Table_Query_from_Cello_SQL_Server[[#This Row],[NAV]]*100</f>
        <v>68.778403939802118</v>
      </c>
    </row>
    <row r="1058" spans="1:12" x14ac:dyDescent="0.2">
      <c r="A1058" s="1">
        <v>42255</v>
      </c>
      <c r="B1058">
        <v>425.04579999999999</v>
      </c>
      <c r="C1058">
        <v>88.688199999999995</v>
      </c>
      <c r="D1058">
        <v>364.58929999999998</v>
      </c>
      <c r="F1058">
        <v>356847927.44999999</v>
      </c>
      <c r="G1058">
        <v>119.111186</v>
      </c>
      <c r="H1058">
        <v>24.85322</v>
      </c>
      <c r="I1058">
        <v>102.169376</v>
      </c>
      <c r="K1058" s="14">
        <f>VLOOKUP(Table_Query_from_Cello_SQL_Server[[#This Row],[AsOfDate]], 'CMO MV Raw'!$A:$B,2,FALSE)</f>
        <v>245734227.729983</v>
      </c>
      <c r="L1058" s="5">
        <f>Table_Query_from_Cello_SQL_Server[[#This Row],[CMO MV]]/Table_Query_from_Cello_SQL_Server[[#This Row],[NAV]]*100</f>
        <v>68.862450592322475</v>
      </c>
    </row>
    <row r="1059" spans="1:12" x14ac:dyDescent="0.2">
      <c r="A1059" s="1">
        <v>42256</v>
      </c>
      <c r="B1059">
        <v>427.3261</v>
      </c>
      <c r="C1059">
        <v>88.9328</v>
      </c>
      <c r="D1059">
        <v>365.47500000000002</v>
      </c>
      <c r="F1059">
        <v>357630209.20999998</v>
      </c>
      <c r="G1059">
        <v>119.48825600000001</v>
      </c>
      <c r="H1059">
        <v>24.867251</v>
      </c>
      <c r="I1059">
        <v>102.19354800000001</v>
      </c>
      <c r="K1059" s="14">
        <f>VLOOKUP(Table_Query_from_Cello_SQL_Server[[#This Row],[AsOfDate]], 'CMO MV Raw'!$A:$B,2,FALSE)</f>
        <v>245092668.64665699</v>
      </c>
      <c r="L1059" s="5">
        <f>Table_Query_from_Cello_SQL_Server[[#This Row],[CMO MV]]/Table_Query_from_Cello_SQL_Server[[#This Row],[NAV]]*100</f>
        <v>68.532428842648159</v>
      </c>
    </row>
    <row r="1060" spans="1:12" x14ac:dyDescent="0.2">
      <c r="A1060" s="1">
        <v>42257</v>
      </c>
      <c r="B1060">
        <v>428.37880000000001</v>
      </c>
      <c r="C1060">
        <v>89.790300000000002</v>
      </c>
      <c r="D1060">
        <v>363.93180000000001</v>
      </c>
      <c r="F1060">
        <v>357155931.85000002</v>
      </c>
      <c r="G1060">
        <v>119.94167299999999</v>
      </c>
      <c r="H1060">
        <v>25.140364000000002</v>
      </c>
      <c r="I1060">
        <v>101.89717400000001</v>
      </c>
      <c r="K1060" s="14">
        <f>VLOOKUP(Table_Query_from_Cello_SQL_Server[[#This Row],[AsOfDate]], 'CMO MV Raw'!$A:$B,2,FALSE)</f>
        <v>245188289.74485099</v>
      </c>
      <c r="L1060" s="5">
        <f>Table_Query_from_Cello_SQL_Server[[#This Row],[CMO MV]]/Table_Query_from_Cello_SQL_Server[[#This Row],[NAV]]*100</f>
        <v>68.650207900740199</v>
      </c>
    </row>
    <row r="1061" spans="1:12" x14ac:dyDescent="0.2">
      <c r="A1061" s="1">
        <v>42258</v>
      </c>
      <c r="B1061">
        <v>422.2183</v>
      </c>
      <c r="C1061">
        <v>87.879000000000005</v>
      </c>
      <c r="D1061">
        <v>364.88760000000002</v>
      </c>
      <c r="F1061">
        <v>357634520.12</v>
      </c>
      <c r="G1061">
        <v>118.058598</v>
      </c>
      <c r="H1061">
        <v>24.572292000000001</v>
      </c>
      <c r="I1061">
        <v>102.02807</v>
      </c>
      <c r="K1061" s="14">
        <f>VLOOKUP(Table_Query_from_Cello_SQL_Server[[#This Row],[AsOfDate]], 'CMO MV Raw'!$A:$B,2,FALSE)</f>
        <v>245550758.82806501</v>
      </c>
      <c r="L1061" s="5">
        <f>Table_Query_from_Cello_SQL_Server[[#This Row],[CMO MV]]/Table_Query_from_Cello_SQL_Server[[#This Row],[NAV]]*100</f>
        <v>68.659691672289739</v>
      </c>
    </row>
    <row r="1062" spans="1:12" x14ac:dyDescent="0.2">
      <c r="A1062" s="1">
        <v>42261</v>
      </c>
      <c r="B1062">
        <v>417.28219999999999</v>
      </c>
      <c r="C1062">
        <v>86.820999999999998</v>
      </c>
      <c r="D1062">
        <v>365.12520000000001</v>
      </c>
      <c r="F1062">
        <v>357563309.54000002</v>
      </c>
      <c r="G1062">
        <v>116.701627</v>
      </c>
      <c r="H1062">
        <v>24.281293999999999</v>
      </c>
      <c r="I1062">
        <v>102.11484</v>
      </c>
      <c r="K1062" s="14">
        <f>VLOOKUP(Table_Query_from_Cello_SQL_Server[[#This Row],[AsOfDate]], 'CMO MV Raw'!$A:$B,2,FALSE)</f>
        <v>245187886.265549</v>
      </c>
      <c r="L1062" s="5">
        <f>Table_Query_from_Cello_SQL_Server[[#This Row],[CMO MV]]/Table_Query_from_Cello_SQL_Server[[#This Row],[NAV]]*100</f>
        <v>68.571880761753661</v>
      </c>
    </row>
    <row r="1063" spans="1:12" x14ac:dyDescent="0.2">
      <c r="A1063" s="1">
        <v>42262</v>
      </c>
      <c r="B1063">
        <v>414.25060000000002</v>
      </c>
      <c r="C1063">
        <v>87.325400000000002</v>
      </c>
      <c r="D1063">
        <v>362.62599999999998</v>
      </c>
      <c r="F1063">
        <v>356447131.61000001</v>
      </c>
      <c r="G1063">
        <v>116.216562</v>
      </c>
      <c r="H1063">
        <v>24.498837000000002</v>
      </c>
      <c r="I1063">
        <v>101.73345999999999</v>
      </c>
      <c r="K1063" s="14">
        <f>VLOOKUP(Table_Query_from_Cello_SQL_Server[[#This Row],[AsOfDate]], 'CMO MV Raw'!$A:$B,2,FALSE)</f>
        <v>244876329.926624</v>
      </c>
      <c r="L1063" s="5">
        <f>Table_Query_from_Cello_SQL_Server[[#This Row],[CMO MV]]/Table_Query_from_Cello_SQL_Server[[#This Row],[NAV]]*100</f>
        <v>68.699200585670823</v>
      </c>
    </row>
    <row r="1064" spans="1:12" x14ac:dyDescent="0.2">
      <c r="A1064" s="1">
        <v>42263</v>
      </c>
      <c r="B1064">
        <v>410.81509999999997</v>
      </c>
      <c r="C1064">
        <v>86.634500000000003</v>
      </c>
      <c r="D1064">
        <v>322.6146</v>
      </c>
      <c r="F1064">
        <v>356220380.42000002</v>
      </c>
      <c r="G1064">
        <v>115.326108</v>
      </c>
      <c r="H1064">
        <v>24.320478000000001</v>
      </c>
      <c r="I1064">
        <v>90.566013999999996</v>
      </c>
      <c r="K1064" s="14">
        <f>VLOOKUP(Table_Query_from_Cello_SQL_Server[[#This Row],[AsOfDate]], 'CMO MV Raw'!$A:$B,2,FALSE)</f>
        <v>244541015.49725601</v>
      </c>
      <c r="L1064" s="5">
        <f>Table_Query_from_Cello_SQL_Server[[#This Row],[CMO MV]]/Table_Query_from_Cello_SQL_Server[[#This Row],[NAV]]*100</f>
        <v>68.648799714640433</v>
      </c>
    </row>
    <row r="1065" spans="1:12" x14ac:dyDescent="0.2">
      <c r="A1065" s="1">
        <v>42264</v>
      </c>
      <c r="B1065">
        <v>411.22500000000002</v>
      </c>
      <c r="C1065">
        <v>85.599500000000006</v>
      </c>
      <c r="D1065">
        <v>324.43020000000001</v>
      </c>
      <c r="F1065">
        <v>356891758.88</v>
      </c>
      <c r="G1065">
        <v>115.224011</v>
      </c>
      <c r="H1065">
        <v>23.984722999999999</v>
      </c>
      <c r="I1065">
        <v>90.904369000000003</v>
      </c>
      <c r="K1065" s="14">
        <f>VLOOKUP(Table_Query_from_Cello_SQL_Server[[#This Row],[AsOfDate]], 'CMO MV Raw'!$A:$B,2,FALSE)</f>
        <v>245112485.78121999</v>
      </c>
      <c r="L1065" s="5">
        <f>Table_Query_from_Cello_SQL_Server[[#This Row],[CMO MV]]/Table_Query_from_Cello_SQL_Server[[#This Row],[NAV]]*100</f>
        <v>68.679783066561569</v>
      </c>
    </row>
    <row r="1066" spans="1:12" x14ac:dyDescent="0.2">
      <c r="A1066" s="1">
        <v>42265</v>
      </c>
      <c r="B1066">
        <v>414.62189999999998</v>
      </c>
      <c r="C1066">
        <v>85.437600000000003</v>
      </c>
      <c r="D1066">
        <v>326.67140000000001</v>
      </c>
      <c r="F1066">
        <v>357919722.51999998</v>
      </c>
      <c r="G1066">
        <v>115.84214900000001</v>
      </c>
      <c r="H1066">
        <v>23.870604</v>
      </c>
      <c r="I1066">
        <v>91.269461000000007</v>
      </c>
      <c r="K1066" s="14">
        <f>VLOOKUP(Table_Query_from_Cello_SQL_Server[[#This Row],[AsOfDate]], 'CMO MV Raw'!$A:$B,2,FALSE)</f>
        <v>245665595.73402801</v>
      </c>
      <c r="L1066" s="5">
        <f>Table_Query_from_Cello_SQL_Server[[#This Row],[CMO MV]]/Table_Query_from_Cello_SQL_Server[[#This Row],[NAV]]*100</f>
        <v>68.637065877335274</v>
      </c>
    </row>
    <row r="1067" spans="1:12" x14ac:dyDescent="0.2">
      <c r="A1067" s="1">
        <v>42268</v>
      </c>
      <c r="B1067">
        <v>415.65839999999997</v>
      </c>
      <c r="C1067">
        <v>86.855500000000006</v>
      </c>
      <c r="D1067">
        <v>324.2525</v>
      </c>
      <c r="F1067">
        <v>357401404.61000001</v>
      </c>
      <c r="G1067">
        <v>116.300158</v>
      </c>
      <c r="H1067">
        <v>24.301946999999998</v>
      </c>
      <c r="I1067">
        <v>90.725020999999998</v>
      </c>
      <c r="K1067" s="14">
        <f>VLOOKUP(Table_Query_from_Cello_SQL_Server[[#This Row],[AsOfDate]], 'CMO MV Raw'!$A:$B,2,FALSE)</f>
        <v>245541840.32182199</v>
      </c>
      <c r="L1067" s="5">
        <f>Table_Query_from_Cello_SQL_Server[[#This Row],[CMO MV]]/Table_Query_from_Cello_SQL_Server[[#This Row],[NAV]]*100</f>
        <v>68.701979666185053</v>
      </c>
    </row>
    <row r="1068" spans="1:12" x14ac:dyDescent="0.2">
      <c r="A1068" s="1">
        <v>42269</v>
      </c>
      <c r="B1068">
        <v>419.47570000000002</v>
      </c>
      <c r="C1068">
        <v>86.770200000000003</v>
      </c>
      <c r="D1068">
        <v>326.22930000000002</v>
      </c>
      <c r="F1068">
        <v>358309104.43000001</v>
      </c>
      <c r="G1068">
        <v>117.070902</v>
      </c>
      <c r="H1068">
        <v>24.216577000000001</v>
      </c>
      <c r="I1068">
        <v>91.046891000000002</v>
      </c>
      <c r="K1068" s="14">
        <f>VLOOKUP(Table_Query_from_Cello_SQL_Server[[#This Row],[AsOfDate]], 'CMO MV Raw'!$A:$B,2,FALSE)</f>
        <v>246389284.46109501</v>
      </c>
      <c r="L1068" s="5">
        <f>Table_Query_from_Cello_SQL_Server[[#This Row],[CMO MV]]/Table_Query_from_Cello_SQL_Server[[#This Row],[NAV]]*100</f>
        <v>68.764449860422147</v>
      </c>
    </row>
    <row r="1069" spans="1:12" x14ac:dyDescent="0.2">
      <c r="A1069" s="1">
        <v>42270</v>
      </c>
      <c r="B1069">
        <v>428.34300000000002</v>
      </c>
      <c r="C1069">
        <v>88.840599999999995</v>
      </c>
      <c r="D1069">
        <v>332.94749999999999</v>
      </c>
      <c r="F1069">
        <v>357821868.31</v>
      </c>
      <c r="G1069">
        <v>119.70844700000001</v>
      </c>
      <c r="H1069">
        <v>24.828164000000001</v>
      </c>
      <c r="I1069">
        <v>93.048393000000004</v>
      </c>
      <c r="K1069" s="14">
        <f>VLOOKUP(Table_Query_from_Cello_SQL_Server[[#This Row],[AsOfDate]], 'CMO MV Raw'!$A:$B,2,FALSE)</f>
        <v>248228357.91009599</v>
      </c>
      <c r="L1069" s="5">
        <f>Table_Query_from_Cello_SQL_Server[[#This Row],[CMO MV]]/Table_Query_from_Cello_SQL_Server[[#This Row],[NAV]]*100</f>
        <v>69.372047908218576</v>
      </c>
    </row>
    <row r="1070" spans="1:12" x14ac:dyDescent="0.2">
      <c r="A1070" s="1">
        <v>42271</v>
      </c>
      <c r="B1070">
        <v>432.80450000000002</v>
      </c>
      <c r="C1070">
        <v>89.599599999999995</v>
      </c>
      <c r="D1070">
        <v>333.34390000000002</v>
      </c>
      <c r="F1070">
        <v>358107483.31999999</v>
      </c>
      <c r="G1070">
        <v>120.85882599999999</v>
      </c>
      <c r="H1070">
        <v>25.020309000000001</v>
      </c>
      <c r="I1070">
        <v>93.084873999999999</v>
      </c>
      <c r="K1070" s="14">
        <f>VLOOKUP(Table_Query_from_Cello_SQL_Server[[#This Row],[AsOfDate]], 'CMO MV Raw'!$A:$B,2,FALSE)</f>
        <v>248744901.18428901</v>
      </c>
      <c r="L1070" s="5">
        <f>Table_Query_from_Cello_SQL_Server[[#This Row],[CMO MV]]/Table_Query_from_Cello_SQL_Server[[#This Row],[NAV]]*100</f>
        <v>69.460961518643813</v>
      </c>
    </row>
    <row r="1071" spans="1:12" x14ac:dyDescent="0.2">
      <c r="A1071" s="1">
        <v>42272</v>
      </c>
      <c r="B1071">
        <v>425.0308</v>
      </c>
      <c r="C1071">
        <v>88.561000000000007</v>
      </c>
      <c r="D1071">
        <v>333.11579999999998</v>
      </c>
      <c r="F1071">
        <v>357707132.41000003</v>
      </c>
      <c r="G1071">
        <v>118.82089000000001</v>
      </c>
      <c r="H1071">
        <v>24.757963</v>
      </c>
      <c r="I1071">
        <v>93.125288999999995</v>
      </c>
      <c r="K1071" s="14">
        <f>VLOOKUP(Table_Query_from_Cello_SQL_Server[[#This Row],[AsOfDate]], 'CMO MV Raw'!$A:$B,2,FALSE)</f>
        <v>246759376.65334401</v>
      </c>
      <c r="L1071" s="5">
        <f>Table_Query_from_Cello_SQL_Server[[#This Row],[CMO MV]]/Table_Query_from_Cello_SQL_Server[[#This Row],[NAV]]*100</f>
        <v>68.983633340168097</v>
      </c>
    </row>
    <row r="1072" spans="1:12" x14ac:dyDescent="0.2">
      <c r="A1072" s="1">
        <v>42275</v>
      </c>
      <c r="B1072">
        <v>437.79730000000001</v>
      </c>
      <c r="C1072">
        <v>90.299899999999994</v>
      </c>
      <c r="D1072">
        <v>340.62169999999998</v>
      </c>
      <c r="F1072">
        <v>358438081.69999999</v>
      </c>
      <c r="G1072">
        <v>122.140287</v>
      </c>
      <c r="H1072">
        <v>25.192608</v>
      </c>
      <c r="I1072">
        <v>95.029439999999994</v>
      </c>
      <c r="K1072" s="14">
        <f>VLOOKUP(Table_Query_from_Cello_SQL_Server[[#This Row],[AsOfDate]], 'CMO MV Raw'!$A:$B,2,FALSE)</f>
        <v>249456882.93278101</v>
      </c>
      <c r="L1072" s="5">
        <f>Table_Query_from_Cello_SQL_Server[[#This Row],[CMO MV]]/Table_Query_from_Cello_SQL_Server[[#This Row],[NAV]]*100</f>
        <v>69.595530070258434</v>
      </c>
    </row>
    <row r="1073" spans="1:12" x14ac:dyDescent="0.2">
      <c r="A1073" s="1">
        <v>42276</v>
      </c>
      <c r="B1073">
        <v>438.33519999999999</v>
      </c>
      <c r="C1073">
        <v>89.488799999999998</v>
      </c>
      <c r="D1073">
        <v>341.28550000000001</v>
      </c>
      <c r="F1073">
        <v>358436337.95999998</v>
      </c>
      <c r="G1073">
        <v>122.290949</v>
      </c>
      <c r="H1073">
        <v>24.966442000000001</v>
      </c>
      <c r="I1073">
        <v>95.215095000000005</v>
      </c>
      <c r="K1073" s="14">
        <f>VLOOKUP(Table_Query_from_Cello_SQL_Server[[#This Row],[AsOfDate]], 'CMO MV Raw'!$A:$B,2,FALSE)</f>
        <v>249071747.10243499</v>
      </c>
      <c r="L1073" s="5">
        <f>Table_Query_from_Cello_SQL_Server[[#This Row],[CMO MV]]/Table_Query_from_Cello_SQL_Server[[#This Row],[NAV]]*100</f>
        <v>69.488419762348528</v>
      </c>
    </row>
    <row r="1074" spans="1:12" x14ac:dyDescent="0.2">
      <c r="A1074" s="1">
        <v>42277</v>
      </c>
      <c r="B1074">
        <v>427.07679999999999</v>
      </c>
      <c r="C1074">
        <v>86.825599999999994</v>
      </c>
      <c r="D1074">
        <v>341.17630000000003</v>
      </c>
      <c r="F1074">
        <v>357449566.72000003</v>
      </c>
      <c r="G1074">
        <v>119.478897</v>
      </c>
      <c r="H1074">
        <v>24.290308</v>
      </c>
      <c r="I1074">
        <v>95.447395</v>
      </c>
      <c r="K1074" s="14">
        <f>VLOOKUP(Table_Query_from_Cello_SQL_Server[[#This Row],[AsOfDate]], 'CMO MV Raw'!$A:$B,2,FALSE)</f>
        <v>247240100.086371</v>
      </c>
      <c r="L1074" s="5">
        <f>Table_Query_from_Cello_SQL_Server[[#This Row],[CMO MV]]/Table_Query_from_Cello_SQL_Server[[#This Row],[NAV]]*100</f>
        <v>69.167827605744705</v>
      </c>
    </row>
    <row r="1075" spans="1:12" x14ac:dyDescent="0.2">
      <c r="A1075" s="1">
        <v>42278</v>
      </c>
      <c r="B1075">
        <v>375.67939999999999</v>
      </c>
      <c r="C1075">
        <v>75.585700000000003</v>
      </c>
      <c r="D1075">
        <v>311.03660000000002</v>
      </c>
      <c r="F1075">
        <v>296231257.66000003</v>
      </c>
      <c r="G1075">
        <v>126.81963500000001</v>
      </c>
      <c r="H1075">
        <v>25.515775000000001</v>
      </c>
      <c r="I1075">
        <v>104.9979</v>
      </c>
      <c r="K1075" s="14">
        <f>VLOOKUP(Table_Query_from_Cello_SQL_Server[[#This Row],[AsOfDate]], 'CMO MV Raw'!$A:$B,2,FALSE)</f>
        <v>245948093.497244</v>
      </c>
      <c r="L1075" s="5">
        <f>Table_Query_from_Cello_SQL_Server[[#This Row],[CMO MV]]/Table_Query_from_Cello_SQL_Server[[#This Row],[NAV]]*100</f>
        <v>83.025706145950124</v>
      </c>
    </row>
    <row r="1076" spans="1:12" x14ac:dyDescent="0.2">
      <c r="A1076" s="1">
        <v>42279</v>
      </c>
      <c r="B1076">
        <v>379.80110000000002</v>
      </c>
      <c r="C1076">
        <v>75.501300000000001</v>
      </c>
      <c r="D1076">
        <v>339.38799999999998</v>
      </c>
      <c r="F1076">
        <v>295724665.12</v>
      </c>
      <c r="G1076">
        <v>128.43064699999999</v>
      </c>
      <c r="H1076">
        <v>25.530944000000002</v>
      </c>
      <c r="I1076">
        <v>114.764861</v>
      </c>
      <c r="K1076" s="15">
        <f>VLOOKUP(Table_Query_from_Cello_SQL_Server[[#This Row],[AsOfDate]], 'CMO MV Raw'!$A:$B,2,FALSE)</f>
        <v>245746563.195097</v>
      </c>
      <c r="L1076" s="5">
        <f>Table_Query_from_Cello_SQL_Server[[#This Row],[CMO MV]]/Table_Query_from_Cello_SQL_Server[[#This Row],[NAV]]*100</f>
        <v>83.099785773830277</v>
      </c>
    </row>
    <row r="1077" spans="1:12" x14ac:dyDescent="0.2">
      <c r="A1077" s="1">
        <v>42282</v>
      </c>
      <c r="B1077">
        <v>370.63170000000002</v>
      </c>
      <c r="C1077">
        <v>74.288399999999996</v>
      </c>
      <c r="D1077">
        <v>338.84179999999998</v>
      </c>
      <c r="F1077">
        <v>295093393.55000001</v>
      </c>
      <c r="G1077">
        <v>125.598102</v>
      </c>
      <c r="H1077">
        <v>25.174538999999999</v>
      </c>
      <c r="I1077">
        <v>114.825275</v>
      </c>
      <c r="K1077" s="15">
        <f>VLOOKUP(Table_Query_from_Cello_SQL_Server[[#This Row],[AsOfDate]], 'CMO MV Raw'!$A:$B,2,FALSE)</f>
        <v>245289763.411053</v>
      </c>
      <c r="L1077" s="5">
        <f>Table_Query_from_Cello_SQL_Server[[#This Row],[CMO MV]]/Table_Query_from_Cello_SQL_Server[[#This Row],[NAV]]*100</f>
        <v>83.122756650088007</v>
      </c>
    </row>
    <row r="1078" spans="1:12" x14ac:dyDescent="0.2">
      <c r="A1078" s="1">
        <v>42283</v>
      </c>
      <c r="B1078">
        <v>338.69639999999998</v>
      </c>
      <c r="C1078">
        <v>67.704300000000003</v>
      </c>
      <c r="D1078">
        <v>335.68090000000001</v>
      </c>
      <c r="F1078">
        <v>295716932.36000001</v>
      </c>
      <c r="G1078">
        <v>114.53398900000001</v>
      </c>
      <c r="H1078">
        <v>22.894969</v>
      </c>
      <c r="I1078">
        <v>113.514264</v>
      </c>
      <c r="K1078" s="15">
        <f>VLOOKUP(Table_Query_from_Cello_SQL_Server[[#This Row],[AsOfDate]], 'CMO MV Raw'!$A:$B,2,FALSE)</f>
        <v>233697246.08934799</v>
      </c>
      <c r="L1078" s="5">
        <f>Table_Query_from_Cello_SQL_Server[[#This Row],[CMO MV]]/Table_Query_from_Cello_SQL_Server[[#This Row],[NAV]]*100</f>
        <v>79.027346937594203</v>
      </c>
    </row>
    <row r="1079" spans="1:12" x14ac:dyDescent="0.2">
      <c r="A1079" s="1">
        <v>42284</v>
      </c>
      <c r="B1079">
        <v>348.8057</v>
      </c>
      <c r="C1079">
        <v>69.972200000000001</v>
      </c>
      <c r="D1079">
        <v>335.8605</v>
      </c>
      <c r="F1079">
        <v>295664256.22000003</v>
      </c>
      <c r="G1079">
        <v>117.97357700000001</v>
      </c>
      <c r="H1079">
        <v>23.6661</v>
      </c>
      <c r="I1079">
        <v>113.59523299999999</v>
      </c>
      <c r="K1079" s="15">
        <f>VLOOKUP(Table_Query_from_Cello_SQL_Server[[#This Row],[AsOfDate]], 'CMO MV Raw'!$A:$B,2,FALSE)</f>
        <v>233538831.61737299</v>
      </c>
      <c r="L1079" s="5">
        <f>Table_Query_from_Cello_SQL_Server[[#This Row],[CMO MV]]/Table_Query_from_Cello_SQL_Server[[#This Row],[NAV]]*100</f>
        <v>78.987847433137034</v>
      </c>
    </row>
    <row r="1080" spans="1:12" x14ac:dyDescent="0.2">
      <c r="A1080" s="1">
        <v>42285</v>
      </c>
      <c r="B1080">
        <v>332.41890000000001</v>
      </c>
      <c r="C1080">
        <v>67.283799999999999</v>
      </c>
      <c r="D1080">
        <v>312.80950000000001</v>
      </c>
      <c r="F1080">
        <v>295119996.67000002</v>
      </c>
      <c r="G1080">
        <v>112.638555</v>
      </c>
      <c r="H1080">
        <v>22.798794000000001</v>
      </c>
      <c r="I1080">
        <v>105.994004</v>
      </c>
      <c r="K1080" s="15">
        <f>VLOOKUP(Table_Query_from_Cello_SQL_Server[[#This Row],[AsOfDate]], 'CMO MV Raw'!$A:$B,2,FALSE)</f>
        <v>228475868.13560101</v>
      </c>
      <c r="L1080" s="5">
        <f>Table_Query_from_Cello_SQL_Server[[#This Row],[CMO MV]]/Table_Query_from_Cello_SQL_Server[[#This Row],[NAV]]*100</f>
        <v>77.41795564977599</v>
      </c>
    </row>
    <row r="1081" spans="1:12" x14ac:dyDescent="0.2">
      <c r="A1081" s="1">
        <v>42286</v>
      </c>
      <c r="B1081">
        <v>329.91210000000001</v>
      </c>
      <c r="C1081">
        <v>66.422300000000007</v>
      </c>
      <c r="D1081">
        <v>313.01560000000001</v>
      </c>
      <c r="F1081">
        <v>295593634.82999998</v>
      </c>
      <c r="G1081">
        <v>111.610015</v>
      </c>
      <c r="H1081">
        <v>22.470815000000002</v>
      </c>
      <c r="I1081">
        <v>105.893891</v>
      </c>
      <c r="K1081" s="15">
        <f>VLOOKUP(Table_Query_from_Cello_SQL_Server[[#This Row],[AsOfDate]], 'CMO MV Raw'!$A:$B,2,FALSE)</f>
        <v>228641319.20604801</v>
      </c>
      <c r="L1081" s="5">
        <f>Table_Query_from_Cello_SQL_Server[[#This Row],[CMO MV]]/Table_Query_from_Cello_SQL_Server[[#This Row],[NAV]]*100</f>
        <v>77.349879112770083</v>
      </c>
    </row>
    <row r="1082" spans="1:12" x14ac:dyDescent="0.2">
      <c r="A1082" s="1">
        <v>42290</v>
      </c>
      <c r="B1082">
        <v>334.3424</v>
      </c>
      <c r="C1082">
        <v>66.662700000000001</v>
      </c>
      <c r="D1082">
        <v>313.66860000000003</v>
      </c>
      <c r="F1082">
        <v>295907574.07999998</v>
      </c>
      <c r="G1082">
        <v>112.988794</v>
      </c>
      <c r="H1082">
        <v>22.528217000000001</v>
      </c>
      <c r="I1082">
        <v>106.00222100000001</v>
      </c>
      <c r="K1082" s="15">
        <f>VLOOKUP(Table_Query_from_Cello_SQL_Server[[#This Row],[AsOfDate]], 'CMO MV Raw'!$A:$B,2,FALSE)</f>
        <v>228890479.41841701</v>
      </c>
      <c r="L1082" s="5">
        <f>Table_Query_from_Cello_SQL_Server[[#This Row],[CMO MV]]/Table_Query_from_Cello_SQL_Server[[#This Row],[NAV]]*100</f>
        <v>77.352017815040924</v>
      </c>
    </row>
    <row r="1083" spans="1:12" x14ac:dyDescent="0.2">
      <c r="A1083" s="1">
        <v>42291</v>
      </c>
      <c r="B1083">
        <v>345.67989999999998</v>
      </c>
      <c r="C1083">
        <v>67.9803</v>
      </c>
      <c r="D1083">
        <v>314.7663</v>
      </c>
      <c r="F1083">
        <v>296611996.67000002</v>
      </c>
      <c r="G1083">
        <v>116.54279099999999</v>
      </c>
      <c r="H1083">
        <v>22.918931000000001</v>
      </c>
      <c r="I1083">
        <v>106.12055599999999</v>
      </c>
      <c r="K1083" s="15">
        <f>VLOOKUP(Table_Query_from_Cello_SQL_Server[[#This Row],[AsOfDate]], 'CMO MV Raw'!$A:$B,2,FALSE)</f>
        <v>229621901.83068401</v>
      </c>
      <c r="L1083" s="5">
        <f>Table_Query_from_Cello_SQL_Server[[#This Row],[CMO MV]]/Table_Query_from_Cello_SQL_Server[[#This Row],[NAV]]*100</f>
        <v>77.414907154329697</v>
      </c>
    </row>
    <row r="1084" spans="1:12" x14ac:dyDescent="0.2">
      <c r="A1084" s="1">
        <v>42292</v>
      </c>
      <c r="B1084">
        <v>340.51229999999998</v>
      </c>
      <c r="C1084">
        <v>67.258600000000001</v>
      </c>
      <c r="D1084">
        <v>314.14920000000001</v>
      </c>
      <c r="F1084">
        <v>296324021.47000003</v>
      </c>
      <c r="G1084">
        <v>114.912149</v>
      </c>
      <c r="H1084">
        <v>22.697654</v>
      </c>
      <c r="I1084">
        <v>106.015435</v>
      </c>
      <c r="K1084" s="15">
        <f>VLOOKUP(Table_Query_from_Cello_SQL_Server[[#This Row],[AsOfDate]], 'CMO MV Raw'!$A:$B,2,FALSE)</f>
        <v>228931680.81541601</v>
      </c>
      <c r="L1084" s="5">
        <f>Table_Query_from_Cello_SQL_Server[[#This Row],[CMO MV]]/Table_Query_from_Cello_SQL_Server[[#This Row],[NAV]]*100</f>
        <v>77.257213127621227</v>
      </c>
    </row>
    <row r="1085" spans="1:12" x14ac:dyDescent="0.2">
      <c r="A1085" s="1">
        <v>42293</v>
      </c>
      <c r="B1085">
        <v>340.47879999999998</v>
      </c>
      <c r="C1085">
        <v>67.336600000000004</v>
      </c>
      <c r="D1085">
        <v>313.59750000000003</v>
      </c>
      <c r="F1085">
        <v>296612440.52999997</v>
      </c>
      <c r="G1085">
        <v>114.789117</v>
      </c>
      <c r="H1085">
        <v>22.701879999999999</v>
      </c>
      <c r="I1085">
        <v>105.726348</v>
      </c>
      <c r="K1085" s="15">
        <f>VLOOKUP(Table_Query_from_Cello_SQL_Server[[#This Row],[AsOfDate]], 'CMO MV Raw'!$A:$B,2,FALSE)</f>
        <v>228929081.941255</v>
      </c>
      <c r="L1085" s="5">
        <f>Table_Query_from_Cello_SQL_Server[[#This Row],[CMO MV]]/Table_Query_from_Cello_SQL_Server[[#This Row],[NAV]]*100</f>
        <v>77.181213819688281</v>
      </c>
    </row>
    <row r="1086" spans="1:12" x14ac:dyDescent="0.2">
      <c r="A1086" s="1">
        <v>42296</v>
      </c>
      <c r="B1086">
        <v>338.38940000000002</v>
      </c>
      <c r="C1086">
        <v>66.899199999999993</v>
      </c>
      <c r="D1086">
        <v>313.3741</v>
      </c>
      <c r="F1086">
        <v>296417876.37</v>
      </c>
      <c r="G1086">
        <v>114.15957899999999</v>
      </c>
      <c r="H1086">
        <v>22.569219</v>
      </c>
      <c r="I1086">
        <v>105.720378</v>
      </c>
      <c r="K1086" s="15">
        <f>VLOOKUP(Table_Query_from_Cello_SQL_Server[[#This Row],[AsOfDate]], 'CMO MV Raw'!$A:$B,2,FALSE)</f>
        <v>228864233.640201</v>
      </c>
      <c r="L1086" s="5">
        <f>Table_Query_from_Cello_SQL_Server[[#This Row],[CMO MV]]/Table_Query_from_Cello_SQL_Server[[#This Row],[NAV]]*100</f>
        <v>77.2099970632419</v>
      </c>
    </row>
    <row r="1087" spans="1:12" x14ac:dyDescent="0.2">
      <c r="A1087" s="1">
        <v>42297</v>
      </c>
      <c r="B1087">
        <v>333.09890000000001</v>
      </c>
      <c r="C1087">
        <v>66.348799999999997</v>
      </c>
      <c r="D1087">
        <v>312.65350000000001</v>
      </c>
      <c r="F1087">
        <v>296106729.76999998</v>
      </c>
      <c r="G1087">
        <v>112.49285</v>
      </c>
      <c r="H1087">
        <v>22.407056000000001</v>
      </c>
      <c r="I1087">
        <v>105.58811</v>
      </c>
      <c r="K1087" s="15">
        <f>VLOOKUP(Table_Query_from_Cello_SQL_Server[[#This Row],[AsOfDate]], 'CMO MV Raw'!$A:$B,2,FALSE)</f>
        <v>228220200.732014</v>
      </c>
      <c r="L1087" s="5">
        <f>Table_Query_from_Cello_SQL_Server[[#This Row],[CMO MV]]/Table_Query_from_Cello_SQL_Server[[#This Row],[NAV]]*100</f>
        <v>77.073628454606009</v>
      </c>
    </row>
    <row r="1088" spans="1:12" x14ac:dyDescent="0.2">
      <c r="A1088" s="1">
        <v>42298</v>
      </c>
      <c r="B1088">
        <v>338.17489999999998</v>
      </c>
      <c r="C1088">
        <v>66.965900000000005</v>
      </c>
      <c r="D1088">
        <v>313.42320000000001</v>
      </c>
      <c r="F1088">
        <v>296681996.66000003</v>
      </c>
      <c r="G1088">
        <v>113.985649</v>
      </c>
      <c r="H1088">
        <v>22.571608999999999</v>
      </c>
      <c r="I1088">
        <v>105.64281099999999</v>
      </c>
      <c r="K1088" s="15">
        <f>VLOOKUP(Table_Query_from_Cello_SQL_Server[[#This Row],[AsOfDate]], 'CMO MV Raw'!$A:$B,2,FALSE)</f>
        <v>228514167.816688</v>
      </c>
      <c r="L1088" s="5">
        <f>Table_Query_from_Cello_SQL_Server[[#This Row],[CMO MV]]/Table_Query_from_Cello_SQL_Server[[#This Row],[NAV]]*100</f>
        <v>77.023267467950575</v>
      </c>
    </row>
    <row r="1089" spans="1:12" x14ac:dyDescent="0.2">
      <c r="A1089" s="1">
        <v>42299</v>
      </c>
      <c r="B1089">
        <v>332.71249999999998</v>
      </c>
      <c r="C1089">
        <v>65.703900000000004</v>
      </c>
      <c r="D1089">
        <v>313.2799</v>
      </c>
      <c r="F1089">
        <v>295999396.29000002</v>
      </c>
      <c r="G1089">
        <v>112.40310100000001</v>
      </c>
      <c r="H1089">
        <v>22.197309000000001</v>
      </c>
      <c r="I1089">
        <v>105.83802</v>
      </c>
      <c r="K1089" s="15">
        <f>VLOOKUP(Table_Query_from_Cello_SQL_Server[[#This Row],[AsOfDate]], 'CMO MV Raw'!$A:$B,2,FALSE)</f>
        <v>227595426.77680701</v>
      </c>
      <c r="L1089" s="5">
        <f>Table_Query_from_Cello_SQL_Server[[#This Row],[CMO MV]]/Table_Query_from_Cello_SQL_Server[[#This Row],[NAV]]*100</f>
        <v>76.890503706914501</v>
      </c>
    </row>
    <row r="1090" spans="1:12" x14ac:dyDescent="0.2">
      <c r="A1090" s="1">
        <v>42300</v>
      </c>
      <c r="B1090">
        <v>327.33109999999999</v>
      </c>
      <c r="C1090">
        <v>65.490200000000002</v>
      </c>
      <c r="D1090">
        <v>313.048</v>
      </c>
      <c r="F1090">
        <v>296083202.49000001</v>
      </c>
      <c r="G1090">
        <v>110.55375600000001</v>
      </c>
      <c r="H1090">
        <v>22.118849999999998</v>
      </c>
      <c r="I1090">
        <v>105.72974000000001</v>
      </c>
      <c r="K1090" s="15">
        <f>VLOOKUP(Table_Query_from_Cello_SQL_Server[[#This Row],[AsOfDate]], 'CMO MV Raw'!$A:$B,2,FALSE)</f>
        <v>227965391.27350101</v>
      </c>
      <c r="L1090" s="5">
        <f>Table_Query_from_Cello_SQL_Server[[#This Row],[CMO MV]]/Table_Query_from_Cello_SQL_Server[[#This Row],[NAV]]*100</f>
        <v>76.993692771612189</v>
      </c>
    </row>
    <row r="1091" spans="1:12" x14ac:dyDescent="0.2">
      <c r="A1091" s="1">
        <v>42303</v>
      </c>
      <c r="B1091">
        <v>331.31180000000001</v>
      </c>
      <c r="C1091">
        <v>66.055000000000007</v>
      </c>
      <c r="D1091">
        <v>313.44580000000002</v>
      </c>
      <c r="F1091">
        <v>296543348.26999998</v>
      </c>
      <c r="G1091">
        <v>111.724577</v>
      </c>
      <c r="H1091">
        <v>22.274989999999999</v>
      </c>
      <c r="I1091">
        <v>105.699825</v>
      </c>
      <c r="K1091" s="15">
        <f>VLOOKUP(Table_Query_from_Cello_SQL_Server[[#This Row],[AsOfDate]], 'CMO MV Raw'!$A:$B,2,FALSE)</f>
        <v>228340541.90620399</v>
      </c>
      <c r="L1091" s="5">
        <f>Table_Query_from_Cello_SQL_Server[[#This Row],[CMO MV]]/Table_Query_from_Cello_SQL_Server[[#This Row],[NAV]]*100</f>
        <v>77.000729653292382</v>
      </c>
    </row>
    <row r="1092" spans="1:12" x14ac:dyDescent="0.2">
      <c r="A1092" s="1">
        <v>42304</v>
      </c>
      <c r="B1092">
        <v>328.50170000000003</v>
      </c>
      <c r="C1092">
        <v>65.265600000000006</v>
      </c>
      <c r="D1092">
        <v>313.71280000000002</v>
      </c>
      <c r="F1092">
        <v>296538426.92000002</v>
      </c>
      <c r="G1092">
        <v>110.778796</v>
      </c>
      <c r="H1092">
        <v>22.009153999999999</v>
      </c>
      <c r="I1092">
        <v>105.791618</v>
      </c>
      <c r="K1092" s="15">
        <f>VLOOKUP(Table_Query_from_Cello_SQL_Server[[#This Row],[AsOfDate]], 'CMO MV Raw'!$A:$B,2,FALSE)</f>
        <v>226834533.03441399</v>
      </c>
      <c r="L1092" s="5">
        <f>Table_Query_from_Cello_SQL_Server[[#This Row],[CMO MV]]/Table_Query_from_Cello_SQL_Server[[#This Row],[NAV]]*100</f>
        <v>76.494144583699878</v>
      </c>
    </row>
    <row r="1093" spans="1:12" x14ac:dyDescent="0.2">
      <c r="A1093" s="1">
        <v>42305</v>
      </c>
      <c r="B1093">
        <v>320.11219999999997</v>
      </c>
      <c r="C1093">
        <v>64.375600000000006</v>
      </c>
      <c r="D1093">
        <v>313.79039999999998</v>
      </c>
      <c r="F1093">
        <v>296356455.64999998</v>
      </c>
      <c r="G1093">
        <v>108.015936</v>
      </c>
      <c r="H1093">
        <v>21.722355</v>
      </c>
      <c r="I1093">
        <v>105.882762</v>
      </c>
      <c r="K1093" s="15">
        <f>VLOOKUP(Table_Query_from_Cello_SQL_Server[[#This Row],[AsOfDate]], 'CMO MV Raw'!$A:$B,2,FALSE)</f>
        <v>226498267.729761</v>
      </c>
      <c r="L1093" s="5">
        <f>Table_Query_from_Cello_SQL_Server[[#This Row],[CMO MV]]/Table_Query_from_Cello_SQL_Server[[#This Row],[NAV]]*100</f>
        <v>76.427647655922087</v>
      </c>
    </row>
    <row r="1094" spans="1:12" x14ac:dyDescent="0.2">
      <c r="A1094" s="1">
        <v>42306</v>
      </c>
      <c r="B1094">
        <v>314.88010000000003</v>
      </c>
      <c r="C1094">
        <v>64.334000000000003</v>
      </c>
      <c r="D1094">
        <v>311.52089999999998</v>
      </c>
      <c r="F1094">
        <v>295170730.63</v>
      </c>
      <c r="G1094">
        <v>106.677278</v>
      </c>
      <c r="H1094">
        <v>21.795521000000001</v>
      </c>
      <c r="I1094">
        <v>105.539224</v>
      </c>
      <c r="K1094" s="15">
        <f>VLOOKUP(Table_Query_from_Cello_SQL_Server[[#This Row],[AsOfDate]], 'CMO MV Raw'!$A:$B,2,FALSE)</f>
        <v>226217188.208314</v>
      </c>
      <c r="L1094" s="5">
        <f>Table_Query_from_Cello_SQL_Server[[#This Row],[CMO MV]]/Table_Query_from_Cello_SQL_Server[[#This Row],[NAV]]*100</f>
        <v>76.639437699491936</v>
      </c>
    </row>
    <row r="1095" spans="1:12" x14ac:dyDescent="0.2">
      <c r="A1095" s="1">
        <v>42307</v>
      </c>
      <c r="B1095">
        <v>305.3639</v>
      </c>
      <c r="C1095">
        <v>62.345300000000002</v>
      </c>
      <c r="D1095">
        <v>312.7568</v>
      </c>
      <c r="F1095">
        <v>295450075.58999997</v>
      </c>
      <c r="G1095">
        <v>103.35549899999999</v>
      </c>
      <c r="H1095">
        <v>21.101804999999999</v>
      </c>
      <c r="I1095">
        <v>105.857749</v>
      </c>
      <c r="K1095" s="15">
        <f>VLOOKUP(Table_Query_from_Cello_SQL_Server[[#This Row],[AsOfDate]], 'CMO MV Raw'!$A:$B,2,FALSE)</f>
        <v>225808452.66436601</v>
      </c>
      <c r="L1095" s="5">
        <f>Table_Query_from_Cello_SQL_Server[[#This Row],[CMO MV]]/Table_Query_from_Cello_SQL_Server[[#This Row],[NAV]]*100</f>
        <v>76.42863255778056</v>
      </c>
    </row>
    <row r="1096" spans="1:12" x14ac:dyDescent="0.2">
      <c r="A1096" s="1">
        <v>42310</v>
      </c>
      <c r="B1096">
        <v>300.17090000000002</v>
      </c>
      <c r="C1096">
        <v>61.637999999999998</v>
      </c>
      <c r="D1096">
        <v>312.22399999999999</v>
      </c>
      <c r="F1096">
        <v>294525765.47000003</v>
      </c>
      <c r="G1096">
        <v>101.916686</v>
      </c>
      <c r="H1096">
        <v>20.927879999999998</v>
      </c>
      <c r="I1096">
        <v>106.009062</v>
      </c>
      <c r="K1096" s="15">
        <f>VLOOKUP(Table_Query_from_Cello_SQL_Server[[#This Row],[AsOfDate]], 'CMO MV Raw'!$A:$B,2,FALSE)</f>
        <v>225509047.8671</v>
      </c>
      <c r="L1096" s="5">
        <f>Table_Query_from_Cello_SQL_Server[[#This Row],[CMO MV]]/Table_Query_from_Cello_SQL_Server[[#This Row],[NAV]]*100</f>
        <v>76.566831939893561</v>
      </c>
    </row>
    <row r="1097" spans="1:12" x14ac:dyDescent="0.2">
      <c r="A1097" s="1">
        <v>42311</v>
      </c>
      <c r="B1097">
        <v>301.23590000000002</v>
      </c>
      <c r="C1097">
        <v>62.352600000000002</v>
      </c>
      <c r="D1097">
        <v>309.63220000000001</v>
      </c>
      <c r="F1097">
        <v>294274965.5</v>
      </c>
      <c r="G1097">
        <v>102.365452</v>
      </c>
      <c r="H1097">
        <v>21.188551</v>
      </c>
      <c r="I1097">
        <v>105.21866799999999</v>
      </c>
      <c r="K1097" s="15">
        <f>VLOOKUP(Table_Query_from_Cello_SQL_Server[[#This Row],[AsOfDate]], 'CMO MV Raw'!$A:$B,2,FALSE)</f>
        <v>225894928.64371499</v>
      </c>
      <c r="L1097" s="5">
        <f>Table_Query_from_Cello_SQL_Server[[#This Row],[CMO MV]]/Table_Query_from_Cello_SQL_Server[[#This Row],[NAV]]*100</f>
        <v>76.763216422402408</v>
      </c>
    </row>
    <row r="1098" spans="1:12" x14ac:dyDescent="0.2">
      <c r="A1098" s="1">
        <v>42312</v>
      </c>
      <c r="B1098">
        <v>316.4169</v>
      </c>
      <c r="C1098">
        <v>65.8673</v>
      </c>
      <c r="D1098">
        <v>315.34140000000002</v>
      </c>
      <c r="F1098">
        <v>295019235.88999999</v>
      </c>
      <c r="G1098">
        <v>107.252973</v>
      </c>
      <c r="H1098">
        <v>22.326442</v>
      </c>
      <c r="I1098">
        <v>106.88842</v>
      </c>
      <c r="K1098" s="15">
        <f>VLOOKUP(Table_Query_from_Cello_SQL_Server[[#This Row],[AsOfDate]], 'CMO MV Raw'!$A:$B,2,FALSE)</f>
        <v>210105966.145179</v>
      </c>
      <c r="L1098" s="5">
        <f>Table_Query_from_Cello_SQL_Server[[#This Row],[CMO MV]]/Table_Query_from_Cello_SQL_Server[[#This Row],[NAV]]*100</f>
        <v>71.217717553684707</v>
      </c>
    </row>
    <row r="1099" spans="1:12" x14ac:dyDescent="0.2">
      <c r="A1099" s="1">
        <v>42313</v>
      </c>
      <c r="B1099">
        <v>317.36829999999998</v>
      </c>
      <c r="C1099">
        <v>66.091800000000006</v>
      </c>
      <c r="D1099">
        <v>284.40030000000002</v>
      </c>
      <c r="F1099">
        <v>294689947.54000002</v>
      </c>
      <c r="G1099">
        <v>107.69566500000001</v>
      </c>
      <c r="H1099">
        <v>22.427572000000001</v>
      </c>
      <c r="I1099">
        <v>96.508313999999999</v>
      </c>
      <c r="K1099" s="15">
        <f>VLOOKUP(Table_Query_from_Cello_SQL_Server[[#This Row],[AsOfDate]], 'CMO MV Raw'!$A:$B,2,FALSE)</f>
        <v>210095464.94084701</v>
      </c>
      <c r="L1099" s="5">
        <f>Table_Query_from_Cello_SQL_Server[[#This Row],[CMO MV]]/Table_Query_from_Cello_SQL_Server[[#This Row],[NAV]]*100</f>
        <v>71.293733191333075</v>
      </c>
    </row>
    <row r="1100" spans="1:12" x14ac:dyDescent="0.2">
      <c r="A1100" s="1">
        <v>42314</v>
      </c>
      <c r="B1100">
        <v>312.77480000000003</v>
      </c>
      <c r="C1100">
        <v>66.191199999999995</v>
      </c>
      <c r="D1100">
        <v>258.30419999999998</v>
      </c>
      <c r="F1100">
        <v>293574144.18000001</v>
      </c>
      <c r="G1100">
        <v>106.54030899999999</v>
      </c>
      <c r="H1100">
        <v>22.546672000000001</v>
      </c>
      <c r="I1100">
        <v>87.986018000000001</v>
      </c>
      <c r="K1100" s="15">
        <f>VLOOKUP(Table_Query_from_Cello_SQL_Server[[#This Row],[AsOfDate]], 'CMO MV Raw'!$A:$B,2,FALSE)</f>
        <v>209080745.47890601</v>
      </c>
      <c r="L1100" s="5">
        <f>Table_Query_from_Cello_SQL_Server[[#This Row],[CMO MV]]/Table_Query_from_Cello_SQL_Server[[#This Row],[NAV]]*100</f>
        <v>71.219059860636662</v>
      </c>
    </row>
    <row r="1101" spans="1:12" x14ac:dyDescent="0.2">
      <c r="A1101" s="1">
        <v>42317</v>
      </c>
      <c r="B1101">
        <v>316.34769999999997</v>
      </c>
      <c r="C1101">
        <v>67.171400000000006</v>
      </c>
      <c r="D1101">
        <v>257.93950000000001</v>
      </c>
      <c r="F1101">
        <v>293705378.97000003</v>
      </c>
      <c r="G1101">
        <v>107.70919499999999</v>
      </c>
      <c r="H1101">
        <v>22.870334</v>
      </c>
      <c r="I1101">
        <v>87.822531999999995</v>
      </c>
      <c r="K1101" s="15">
        <f>VLOOKUP(Table_Query_from_Cello_SQL_Server[[#This Row],[AsOfDate]], 'CMO MV Raw'!$A:$B,2,FALSE)</f>
        <v>208704130.76302299</v>
      </c>
      <c r="L1101" s="5">
        <f>Table_Query_from_Cello_SQL_Server[[#This Row],[CMO MV]]/Table_Query_from_Cello_SQL_Server[[#This Row],[NAV]]*100</f>
        <v>71.059008689228222</v>
      </c>
    </row>
    <row r="1102" spans="1:12" x14ac:dyDescent="0.2">
      <c r="A1102" s="1">
        <v>42318</v>
      </c>
      <c r="B1102">
        <v>318.6155</v>
      </c>
      <c r="C1102">
        <v>66.9589</v>
      </c>
      <c r="D1102">
        <v>258.12720000000002</v>
      </c>
      <c r="F1102">
        <v>294058550.61000001</v>
      </c>
      <c r="G1102">
        <v>108.351041</v>
      </c>
      <c r="H1102">
        <v>22.770600999999999</v>
      </c>
      <c r="I1102">
        <v>87.780885999999995</v>
      </c>
      <c r="K1102" s="15">
        <f>VLOOKUP(Table_Query_from_Cello_SQL_Server[[#This Row],[AsOfDate]], 'CMO MV Raw'!$A:$B,2,FALSE)</f>
        <v>208996613.69283399</v>
      </c>
      <c r="L1102" s="5">
        <f>Table_Query_from_Cello_SQL_Server[[#This Row],[CMO MV]]/Table_Query_from_Cello_SQL_Server[[#This Row],[NAV]]*100</f>
        <v>71.07312923201448</v>
      </c>
    </row>
    <row r="1103" spans="1:12" x14ac:dyDescent="0.2">
      <c r="A1103" s="1">
        <v>42320</v>
      </c>
      <c r="B1103">
        <v>313.4384</v>
      </c>
      <c r="C1103">
        <v>66.289000000000001</v>
      </c>
      <c r="D1103">
        <v>258.24419999999998</v>
      </c>
      <c r="F1103">
        <v>293852227.91000003</v>
      </c>
      <c r="G1103">
        <v>106.665313</v>
      </c>
      <c r="H1103">
        <v>22.558617000000002</v>
      </c>
      <c r="I1103">
        <v>87.882334999999998</v>
      </c>
      <c r="K1103" s="15">
        <f>VLOOKUP(Table_Query_from_Cello_SQL_Server[[#This Row],[AsOfDate]], 'CMO MV Raw'!$A:$B,2,FALSE)</f>
        <v>208696776.762272</v>
      </c>
      <c r="L1103" s="5">
        <f>Table_Query_from_Cello_SQL_Server[[#This Row],[CMO MV]]/Table_Query_from_Cello_SQL_Server[[#This Row],[NAV]]*100</f>
        <v>71.02099522831962</v>
      </c>
    </row>
    <row r="1104" spans="1:12" x14ac:dyDescent="0.2">
      <c r="A1104" s="1">
        <v>42321</v>
      </c>
      <c r="B1104">
        <v>315.8125</v>
      </c>
      <c r="C1104">
        <v>66.4756</v>
      </c>
      <c r="D1104">
        <v>258.2593</v>
      </c>
      <c r="F1104">
        <v>294110462.72000003</v>
      </c>
      <c r="G1104">
        <v>107.378873</v>
      </c>
      <c r="H1104">
        <v>22.602256000000001</v>
      </c>
      <c r="I1104">
        <v>87.810306999999995</v>
      </c>
      <c r="K1104" s="15">
        <f>VLOOKUP(Table_Query_from_Cello_SQL_Server[[#This Row],[AsOfDate]], 'CMO MV Raw'!$A:$B,2,FALSE)</f>
        <v>209277528.749127</v>
      </c>
      <c r="L1104" s="5">
        <f>Table_Query_from_Cello_SQL_Server[[#This Row],[CMO MV]]/Table_Query_from_Cello_SQL_Server[[#This Row],[NAV]]*100</f>
        <v>71.156097887059545</v>
      </c>
    </row>
    <row r="1105" spans="1:12" x14ac:dyDescent="0.2">
      <c r="A1105" s="1">
        <v>42324</v>
      </c>
      <c r="B1105">
        <v>315.00869999999998</v>
      </c>
      <c r="C1105">
        <v>66.1357</v>
      </c>
      <c r="D1105">
        <v>258.01490000000001</v>
      </c>
      <c r="F1105">
        <v>294179843.63999999</v>
      </c>
      <c r="G1105">
        <v>107.080314</v>
      </c>
      <c r="H1105">
        <v>22.481383999999998</v>
      </c>
      <c r="I1105">
        <v>87.706519</v>
      </c>
      <c r="K1105" s="15">
        <f>VLOOKUP(Table_Query_from_Cello_SQL_Server[[#This Row],[AsOfDate]], 'CMO MV Raw'!$A:$B,2,FALSE)</f>
        <v>209240040.67243901</v>
      </c>
      <c r="L1105" s="5">
        <f>Table_Query_from_Cello_SQL_Server[[#This Row],[CMO MV]]/Table_Query_from_Cello_SQL_Server[[#This Row],[NAV]]*100</f>
        <v>71.126572807787156</v>
      </c>
    </row>
    <row r="1106" spans="1:12" x14ac:dyDescent="0.2">
      <c r="A1106" s="1">
        <v>42325</v>
      </c>
      <c r="B1106">
        <v>317.05369999999999</v>
      </c>
      <c r="C1106">
        <v>66.343199999999996</v>
      </c>
      <c r="D1106">
        <v>258.4221</v>
      </c>
      <c r="F1106">
        <v>294745642.80000001</v>
      </c>
      <c r="G1106">
        <v>107.568579</v>
      </c>
      <c r="H1106">
        <v>22.508628000000002</v>
      </c>
      <c r="I1106">
        <v>87.676309000000003</v>
      </c>
      <c r="K1106" s="4">
        <f>VLOOKUP(Table_Query_from_Cello_SQL_Server[[#This Row],[AsOfDate]], 'CMO MV Raw'!$A:$B,2,FALSE)</f>
        <v>209566039.99738899</v>
      </c>
      <c r="L1106" s="5">
        <f>Table_Query_from_Cello_SQL_Server[[#This Row],[CMO MV]]/Table_Query_from_Cello_SQL_Server[[#This Row],[NAV]]*100</f>
        <v>71.100640540966452</v>
      </c>
    </row>
    <row r="1107" spans="1:12" x14ac:dyDescent="0.2">
      <c r="A1107" s="1">
        <v>42326</v>
      </c>
      <c r="B1107">
        <v>317.1576</v>
      </c>
      <c r="C1107">
        <v>66.391400000000004</v>
      </c>
      <c r="D1107">
        <v>258.63119999999998</v>
      </c>
      <c r="F1107">
        <v>295051871.44</v>
      </c>
      <c r="G1107">
        <v>107.49215</v>
      </c>
      <c r="H1107">
        <v>22.501602999999999</v>
      </c>
      <c r="I1107">
        <v>87.656180000000006</v>
      </c>
      <c r="K1107" s="4">
        <f>VLOOKUP(Table_Query_from_Cello_SQL_Server[[#This Row],[AsOfDate]], 'CMO MV Raw'!$A:$B,2,FALSE)</f>
        <v>209678038.128492</v>
      </c>
      <c r="L1107" s="5">
        <f>Table_Query_from_Cello_SQL_Server[[#This Row],[CMO MV]]/Table_Query_from_Cello_SQL_Server[[#This Row],[NAV]]*100</f>
        <v>71.064805352753339</v>
      </c>
    </row>
    <row r="1108" spans="1:12" x14ac:dyDescent="0.2">
      <c r="A1108" s="1">
        <v>42327</v>
      </c>
      <c r="B1108">
        <v>320.05040000000002</v>
      </c>
      <c r="C1108">
        <v>66.673699999999997</v>
      </c>
      <c r="D1108">
        <v>259.8612</v>
      </c>
      <c r="F1108">
        <v>295905317.67000002</v>
      </c>
      <c r="G1108">
        <v>108.15973200000001</v>
      </c>
      <c r="H1108">
        <v>22.532105999999999</v>
      </c>
      <c r="I1108">
        <v>87.819036999999994</v>
      </c>
      <c r="K1108" s="4">
        <f>VLOOKUP(Table_Query_from_Cello_SQL_Server[[#This Row],[AsOfDate]], 'CMO MV Raw'!$A:$B,2,FALSE)</f>
        <v>209769872.57283801</v>
      </c>
      <c r="L1108" s="5">
        <f>Table_Query_from_Cello_SQL_Server[[#This Row],[CMO MV]]/Table_Query_from_Cello_SQL_Server[[#This Row],[NAV]]*100</f>
        <v>70.890876252105045</v>
      </c>
    </row>
    <row r="1109" spans="1:12" x14ac:dyDescent="0.2">
      <c r="A1109" s="1">
        <v>42328</v>
      </c>
      <c r="B1109">
        <v>317.80380000000002</v>
      </c>
      <c r="C1109">
        <v>66.582899999999995</v>
      </c>
      <c r="D1109">
        <v>259.3963</v>
      </c>
      <c r="F1109">
        <v>295568950.87</v>
      </c>
      <c r="G1109">
        <v>107.522728</v>
      </c>
      <c r="H1109">
        <v>22.527028000000001</v>
      </c>
      <c r="I1109">
        <v>87.761688000000007</v>
      </c>
      <c r="K1109" s="4">
        <f>VLOOKUP(Table_Query_from_Cello_SQL_Server[[#This Row],[AsOfDate]], 'CMO MV Raw'!$A:$B,2,FALSE)</f>
        <v>209871612.22430199</v>
      </c>
      <c r="L1109" s="5">
        <f>Table_Query_from_Cello_SQL_Server[[#This Row],[CMO MV]]/Table_Query_from_Cello_SQL_Server[[#This Row],[NAV]]*100</f>
        <v>71.005973938246896</v>
      </c>
    </row>
    <row r="1110" spans="1:12" x14ac:dyDescent="0.2">
      <c r="A1110" s="1">
        <v>42331</v>
      </c>
      <c r="B1110">
        <v>315.15629999999999</v>
      </c>
      <c r="C1110">
        <v>66.005899999999997</v>
      </c>
      <c r="D1110">
        <v>259.35379999999998</v>
      </c>
      <c r="F1110">
        <v>295560440.54000002</v>
      </c>
      <c r="G1110">
        <v>106.63006799999999</v>
      </c>
      <c r="H1110">
        <v>22.332453999999998</v>
      </c>
      <c r="I1110">
        <v>87.749835000000004</v>
      </c>
      <c r="K1110" s="4">
        <f>VLOOKUP(Table_Query_from_Cello_SQL_Server[[#This Row],[AsOfDate]], 'CMO MV Raw'!$A:$B,2,FALSE)</f>
        <v>209552783.783986</v>
      </c>
      <c r="L1110" s="5">
        <f>Table_Query_from_Cello_SQL_Server[[#This Row],[CMO MV]]/Table_Query_from_Cello_SQL_Server[[#This Row],[NAV]]*100</f>
        <v>70.900145973908153</v>
      </c>
    </row>
    <row r="1111" spans="1:12" x14ac:dyDescent="0.2">
      <c r="A1111" s="1">
        <v>42332</v>
      </c>
      <c r="B1111">
        <v>315.27820000000003</v>
      </c>
      <c r="C1111">
        <v>64.700800000000001</v>
      </c>
      <c r="D1111">
        <v>259.90960000000001</v>
      </c>
      <c r="F1111">
        <v>295396756.19999999</v>
      </c>
      <c r="G1111">
        <v>106.73042</v>
      </c>
      <c r="H1111">
        <v>21.903016000000001</v>
      </c>
      <c r="I1111">
        <v>87.986613000000006</v>
      </c>
      <c r="K1111" s="4">
        <f>VLOOKUP(Table_Query_from_Cello_SQL_Server[[#This Row],[AsOfDate]], 'CMO MV Raw'!$A:$B,2,FALSE)</f>
        <v>207774312.07562399</v>
      </c>
      <c r="L1111" s="5">
        <f>Table_Query_from_Cello_SQL_Server[[#This Row],[CMO MV]]/Table_Query_from_Cello_SQL_Server[[#This Row],[NAV]]*100</f>
        <v>70.337370913764957</v>
      </c>
    </row>
    <row r="1112" spans="1:12" x14ac:dyDescent="0.2">
      <c r="A1112" s="1">
        <v>42333</v>
      </c>
      <c r="B1112">
        <v>315.27820000000003</v>
      </c>
      <c r="C1112">
        <v>64.6691</v>
      </c>
      <c r="D1112">
        <v>260.14769999999999</v>
      </c>
      <c r="F1112">
        <v>295561636.23000002</v>
      </c>
      <c r="G1112">
        <v>106.67088099999999</v>
      </c>
      <c r="H1112">
        <v>21.880071999999998</v>
      </c>
      <c r="I1112">
        <v>88.018088000000006</v>
      </c>
      <c r="K1112" s="4">
        <f>VLOOKUP(Table_Query_from_Cello_SQL_Server[[#This Row],[AsOfDate]], 'CMO MV Raw'!$A:$B,2,FALSE)</f>
        <v>207997225.46427801</v>
      </c>
      <c r="L1112" s="5">
        <f>Table_Query_from_Cello_SQL_Server[[#This Row],[CMO MV]]/Table_Query_from_Cello_SQL_Server[[#This Row],[NAV]]*100</f>
        <v>70.373553251822855</v>
      </c>
    </row>
    <row r="1113" spans="1:12" x14ac:dyDescent="0.2">
      <c r="A1113" s="1">
        <v>42335</v>
      </c>
      <c r="B1113">
        <v>315.27820000000003</v>
      </c>
      <c r="C1113">
        <v>64.275800000000004</v>
      </c>
      <c r="D1113">
        <v>260.20740000000001</v>
      </c>
      <c r="F1113">
        <v>295488406.47000003</v>
      </c>
      <c r="G1113">
        <v>106.697316</v>
      </c>
      <c r="H1113">
        <v>21.752393000000001</v>
      </c>
      <c r="I1113">
        <v>88.060104999999993</v>
      </c>
      <c r="K1113" s="4">
        <f>VLOOKUP(Table_Query_from_Cello_SQL_Server[[#This Row],[AsOfDate]], 'CMO MV Raw'!$A:$B,2,FALSE)</f>
        <v>207969553.840628</v>
      </c>
      <c r="L1113" s="5">
        <f>Table_Query_from_Cello_SQL_Server[[#This Row],[CMO MV]]/Table_Query_from_Cello_SQL_Server[[#This Row],[NAV]]*100</f>
        <v>70.381628952925595</v>
      </c>
    </row>
    <row r="1114" spans="1:12" x14ac:dyDescent="0.2">
      <c r="A1114" s="1">
        <v>42338</v>
      </c>
      <c r="B1114">
        <v>315.27820000000003</v>
      </c>
      <c r="C1114">
        <v>64.197199999999995</v>
      </c>
      <c r="D1114">
        <v>260.25029999999998</v>
      </c>
      <c r="F1114">
        <v>295850378.92000002</v>
      </c>
      <c r="G1114">
        <v>106.566772</v>
      </c>
      <c r="H1114">
        <v>21.699211999999999</v>
      </c>
      <c r="I1114">
        <v>87.966864000000001</v>
      </c>
      <c r="K1114" s="4">
        <f>VLOOKUP(Table_Query_from_Cello_SQL_Server[[#This Row],[AsOfDate]], 'CMO MV Raw'!$A:$B,2,FALSE)</f>
        <v>207908482.58836401</v>
      </c>
      <c r="L1114" s="5">
        <f>Table_Query_from_Cello_SQL_Server[[#This Row],[CMO MV]]/Table_Query_from_Cello_SQL_Server[[#This Row],[NAV]]*100</f>
        <v>70.274874531961956</v>
      </c>
    </row>
    <row r="1115" spans="1:12" x14ac:dyDescent="0.2">
      <c r="A1115" s="1">
        <v>42339</v>
      </c>
      <c r="B1115">
        <v>315.27820000000003</v>
      </c>
      <c r="C1115">
        <v>63.721699999999998</v>
      </c>
      <c r="D1115">
        <v>260.52190000000002</v>
      </c>
      <c r="F1115">
        <v>295805136.76999998</v>
      </c>
      <c r="G1115">
        <v>106.583071</v>
      </c>
      <c r="H1115">
        <v>21.541782999999999</v>
      </c>
      <c r="I1115">
        <v>88.072135000000003</v>
      </c>
      <c r="K1115" s="4">
        <f>VLOOKUP(Table_Query_from_Cello_SQL_Server[[#This Row],[AsOfDate]], 'CMO MV Raw'!$A:$B,2,FALSE)</f>
        <v>207820702.08083001</v>
      </c>
      <c r="L1115" s="5">
        <f>Table_Query_from_Cello_SQL_Server[[#This Row],[CMO MV]]/Table_Query_from_Cello_SQL_Server[[#This Row],[NAV]]*100</f>
        <v>70.255947665445277</v>
      </c>
    </row>
    <row r="1116" spans="1:12" x14ac:dyDescent="0.2">
      <c r="A1116" s="1">
        <v>42340</v>
      </c>
      <c r="B1116">
        <v>315.27820000000003</v>
      </c>
      <c r="C1116">
        <v>63.063600000000001</v>
      </c>
      <c r="D1116">
        <v>260.41109999999998</v>
      </c>
      <c r="F1116">
        <v>295404570.31999999</v>
      </c>
      <c r="G1116">
        <v>106.727597</v>
      </c>
      <c r="H1116">
        <v>21.348213999999999</v>
      </c>
      <c r="I1116">
        <v>88.154053000000005</v>
      </c>
      <c r="K1116" s="4">
        <f>VLOOKUP(Table_Query_from_Cello_SQL_Server[[#This Row],[AsOfDate]], 'CMO MV Raw'!$A:$B,2,FALSE)</f>
        <v>207202691.57267201</v>
      </c>
      <c r="L1116" s="5">
        <f>Table_Query_from_Cello_SQL_Server[[#This Row],[CMO MV]]/Table_Query_from_Cello_SQL_Server[[#This Row],[NAV]]*100</f>
        <v>70.142006045545472</v>
      </c>
    </row>
    <row r="1117" spans="1:12" x14ac:dyDescent="0.2">
      <c r="A1117" s="1">
        <v>42341</v>
      </c>
      <c r="B1117">
        <v>315.27820000000003</v>
      </c>
      <c r="C1117">
        <v>62.966900000000003</v>
      </c>
      <c r="D1117">
        <v>258.5154</v>
      </c>
      <c r="F1117">
        <v>293957788.38999999</v>
      </c>
      <c r="G1117">
        <v>107.252882</v>
      </c>
      <c r="H1117">
        <v>21.420387999999999</v>
      </c>
      <c r="I1117">
        <v>87.943034999999995</v>
      </c>
      <c r="K1117" s="4">
        <f>VLOOKUP(Table_Query_from_Cello_SQL_Server[[#This Row],[AsOfDate]], 'CMO MV Raw'!$A:$B,2,FALSE)</f>
        <v>207817754.22878399</v>
      </c>
      <c r="L1117" s="5">
        <f>Table_Query_from_Cello_SQL_Server[[#This Row],[CMO MV]]/Table_Query_from_Cello_SQL_Server[[#This Row],[NAV]]*100</f>
        <v>70.696461341268417</v>
      </c>
    </row>
    <row r="1118" spans="1:12" x14ac:dyDescent="0.2">
      <c r="A1118" s="1">
        <v>42342</v>
      </c>
      <c r="B1118">
        <v>315.27820000000003</v>
      </c>
      <c r="C1118">
        <v>62.528300000000002</v>
      </c>
      <c r="D1118">
        <v>257.87349999999998</v>
      </c>
      <c r="F1118">
        <v>294520207.44999999</v>
      </c>
      <c r="G1118">
        <v>107.04807099999999</v>
      </c>
      <c r="H1118">
        <v>21.230564000000001</v>
      </c>
      <c r="I1118">
        <v>87.557149999999993</v>
      </c>
      <c r="K1118" s="4">
        <f>VLOOKUP(Table_Query_from_Cello_SQL_Server[[#This Row],[AsOfDate]], 'CMO MV Raw'!$A:$B,2,FALSE)</f>
        <v>207440056.34661701</v>
      </c>
      <c r="L1118" s="5">
        <f>Table_Query_from_Cello_SQL_Server[[#This Row],[CMO MV]]/Table_Query_from_Cello_SQL_Server[[#This Row],[NAV]]*100</f>
        <v>70.433216838553818</v>
      </c>
    </row>
    <row r="1119" spans="1:12" x14ac:dyDescent="0.2">
      <c r="A1119" s="1">
        <v>42345</v>
      </c>
      <c r="B1119">
        <v>315.27820000000003</v>
      </c>
      <c r="C1119">
        <v>63.394599999999997</v>
      </c>
      <c r="D1119">
        <v>259.78089999999997</v>
      </c>
      <c r="F1119">
        <v>295006710.44999999</v>
      </c>
      <c r="G1119">
        <v>106.87153499999999</v>
      </c>
      <c r="H1119">
        <v>21.489205999999999</v>
      </c>
      <c r="I1119">
        <v>88.059319000000002</v>
      </c>
      <c r="K1119" s="4">
        <f>VLOOKUP(Table_Query_from_Cello_SQL_Server[[#This Row],[AsOfDate]], 'CMO MV Raw'!$A:$B,2,FALSE)</f>
        <v>207153486.90464699</v>
      </c>
      <c r="L1119" s="5">
        <f>Table_Query_from_Cello_SQL_Server[[#This Row],[CMO MV]]/Table_Query_from_Cello_SQL_Server[[#This Row],[NAV]]*100</f>
        <v>70.219923671789488</v>
      </c>
    </row>
    <row r="1120" spans="1:12" x14ac:dyDescent="0.2">
      <c r="A1120" s="1">
        <v>42346</v>
      </c>
      <c r="B1120">
        <v>315.27820000000003</v>
      </c>
      <c r="C1120">
        <v>62.287599999999998</v>
      </c>
      <c r="D1120">
        <v>259.8252</v>
      </c>
      <c r="F1120">
        <v>294185739.11000001</v>
      </c>
      <c r="G1120">
        <v>107.169777</v>
      </c>
      <c r="H1120">
        <v>21.172882000000001</v>
      </c>
      <c r="I1120">
        <v>88.320121</v>
      </c>
      <c r="K1120" s="4">
        <f>VLOOKUP(Table_Query_from_Cello_SQL_Server[[#This Row],[AsOfDate]], 'CMO MV Raw'!$A:$B,2,FALSE)</f>
        <v>206529480.00792801</v>
      </c>
      <c r="L1120" s="5">
        <f>Table_Query_from_Cello_SQL_Server[[#This Row],[CMO MV]]/Table_Query_from_Cello_SQL_Server[[#This Row],[NAV]]*100</f>
        <v>70.203770119089242</v>
      </c>
    </row>
    <row r="1121" spans="1:12" x14ac:dyDescent="0.2">
      <c r="A1121" s="1">
        <v>42347</v>
      </c>
      <c r="B1121">
        <v>315.27820000000003</v>
      </c>
      <c r="C1121">
        <v>62.604700000000001</v>
      </c>
      <c r="D1121">
        <v>259.72300000000001</v>
      </c>
      <c r="F1121">
        <v>294288381.81</v>
      </c>
      <c r="G1121">
        <v>107.13239799999999</v>
      </c>
      <c r="H1121">
        <v>21.273249</v>
      </c>
      <c r="I1121">
        <v>88.254587999999998</v>
      </c>
      <c r="K1121" s="4">
        <f>VLOOKUP(Table_Query_from_Cello_SQL_Server[[#This Row],[AsOfDate]], 'CMO MV Raw'!$A:$B,2,FALSE)</f>
        <v>205841220.882112</v>
      </c>
      <c r="L1121" s="5">
        <f>Table_Query_from_Cello_SQL_Server[[#This Row],[CMO MV]]/Table_Query_from_Cello_SQL_Server[[#This Row],[NAV]]*100</f>
        <v>69.945411917419236</v>
      </c>
    </row>
    <row r="1122" spans="1:12" x14ac:dyDescent="0.2">
      <c r="A1122" s="1">
        <v>42348</v>
      </c>
      <c r="B1122">
        <v>315.27820000000003</v>
      </c>
      <c r="C1122">
        <v>61.972799999999999</v>
      </c>
      <c r="D1122">
        <v>258.87520000000001</v>
      </c>
      <c r="F1122">
        <v>293666114.23000002</v>
      </c>
      <c r="G1122">
        <v>107.359407</v>
      </c>
      <c r="H1122">
        <v>21.103149999999999</v>
      </c>
      <c r="I1122">
        <v>88.152901</v>
      </c>
      <c r="K1122" s="4">
        <f>VLOOKUP(Table_Query_from_Cello_SQL_Server[[#This Row],[AsOfDate]], 'CMO MV Raw'!$A:$B,2,FALSE)</f>
        <v>205575108.470557</v>
      </c>
      <c r="L1122" s="5">
        <f>Table_Query_from_Cello_SQL_Server[[#This Row],[CMO MV]]/Table_Query_from_Cello_SQL_Server[[#This Row],[NAV]]*100</f>
        <v>70.003006308569212</v>
      </c>
    </row>
    <row r="1123" spans="1:12" x14ac:dyDescent="0.2">
      <c r="A1123" s="1">
        <v>42349</v>
      </c>
      <c r="B1123">
        <v>315.27820000000003</v>
      </c>
      <c r="C1123">
        <v>52.498699999999999</v>
      </c>
      <c r="D1123">
        <v>256.5573</v>
      </c>
      <c r="F1123">
        <v>292591397</v>
      </c>
      <c r="G1123">
        <v>107.753749</v>
      </c>
      <c r="H1123">
        <v>17.942667</v>
      </c>
      <c r="I1123">
        <v>87.684499000000002</v>
      </c>
      <c r="K1123" s="4">
        <f>VLOOKUP(Table_Query_from_Cello_SQL_Server[[#This Row],[AsOfDate]], 'CMO MV Raw'!$A:$B,2,FALSE)</f>
        <v>188296556.78789899</v>
      </c>
      <c r="L1123" s="5">
        <f>Table_Query_from_Cello_SQL_Server[[#This Row],[CMO MV]]/Table_Query_from_Cello_SQL_Server[[#This Row],[NAV]]*100</f>
        <v>64.354782375197104</v>
      </c>
    </row>
    <row r="1124" spans="1:12" x14ac:dyDescent="0.2">
      <c r="A1124" s="1">
        <v>42352</v>
      </c>
      <c r="B1124">
        <v>315.27820000000003</v>
      </c>
      <c r="C1124">
        <v>53.418300000000002</v>
      </c>
      <c r="D1124">
        <v>255.51339999999999</v>
      </c>
      <c r="F1124">
        <v>292077224.98000002</v>
      </c>
      <c r="G1124">
        <v>107.943439</v>
      </c>
      <c r="H1124">
        <v>18.289100999999999</v>
      </c>
      <c r="I1124">
        <v>87.481453000000002</v>
      </c>
      <c r="K1124" s="4">
        <f>VLOOKUP(Table_Query_from_Cello_SQL_Server[[#This Row],[AsOfDate]], 'CMO MV Raw'!$A:$B,2,FALSE)</f>
        <v>188855923.21732101</v>
      </c>
      <c r="L1124" s="5">
        <f>Table_Query_from_Cello_SQL_Server[[#This Row],[CMO MV]]/Table_Query_from_Cello_SQL_Server[[#This Row],[NAV]]*100</f>
        <v>64.65958557030693</v>
      </c>
    </row>
    <row r="1125" spans="1:12" x14ac:dyDescent="0.2">
      <c r="A1125" s="1">
        <v>42353</v>
      </c>
      <c r="B1125">
        <v>315.27820000000003</v>
      </c>
      <c r="C1125">
        <v>53.3399</v>
      </c>
      <c r="D1125">
        <v>254.88630000000001</v>
      </c>
      <c r="F1125">
        <v>291682883.82999998</v>
      </c>
      <c r="G1125">
        <v>108.08937299999999</v>
      </c>
      <c r="H1125">
        <v>18.286949</v>
      </c>
      <c r="I1125">
        <v>87.384730000000005</v>
      </c>
      <c r="K1125" s="4">
        <f>VLOOKUP(Table_Query_from_Cello_SQL_Server[[#This Row],[AsOfDate]], 'CMO MV Raw'!$A:$B,2,FALSE)</f>
        <v>188578093.20776501</v>
      </c>
      <c r="L1125" s="5">
        <f>Table_Query_from_Cello_SQL_Server[[#This Row],[CMO MV]]/Table_Query_from_Cello_SQL_Server[[#This Row],[NAV]]*100</f>
        <v>64.65175149518646</v>
      </c>
    </row>
    <row r="1126" spans="1:12" x14ac:dyDescent="0.2">
      <c r="A1126" s="1">
        <v>42354</v>
      </c>
      <c r="B1126">
        <v>315.27820000000003</v>
      </c>
      <c r="C1126">
        <v>52.930300000000003</v>
      </c>
      <c r="D1126">
        <v>254.5789</v>
      </c>
      <c r="F1126">
        <v>291567096.01999998</v>
      </c>
      <c r="G1126">
        <v>108.13229800000001</v>
      </c>
      <c r="H1126">
        <v>18.153728999999998</v>
      </c>
      <c r="I1126">
        <v>87.314002000000002</v>
      </c>
      <c r="K1126" s="4">
        <f>VLOOKUP(Table_Query_from_Cello_SQL_Server[[#This Row],[AsOfDate]], 'CMO MV Raw'!$A:$B,2,FALSE)</f>
        <v>187920651.304102</v>
      </c>
      <c r="L1126" s="5">
        <f>Table_Query_from_Cello_SQL_Server[[#This Row],[CMO MV]]/Table_Query_from_Cello_SQL_Server[[#This Row],[NAV]]*100</f>
        <v>64.451940520480278</v>
      </c>
    </row>
    <row r="1127" spans="1:12" x14ac:dyDescent="0.2">
      <c r="A1127" s="1">
        <v>42355</v>
      </c>
      <c r="B1127">
        <v>315.27820000000003</v>
      </c>
      <c r="C1127">
        <v>52.7301</v>
      </c>
      <c r="D1127">
        <v>255.64830000000001</v>
      </c>
      <c r="F1127">
        <v>292386146.18000001</v>
      </c>
      <c r="G1127">
        <v>107.829391</v>
      </c>
      <c r="H1127">
        <v>18.034403999999999</v>
      </c>
      <c r="I1127">
        <v>87.435162000000005</v>
      </c>
      <c r="K1127" s="4">
        <f>VLOOKUP(Table_Query_from_Cello_SQL_Server[[#This Row],[AsOfDate]], 'CMO MV Raw'!$A:$B,2,FALSE)</f>
        <v>187754547.46449101</v>
      </c>
      <c r="L1127" s="5">
        <f>Table_Query_from_Cello_SQL_Server[[#This Row],[CMO MV]]/Table_Query_from_Cello_SQL_Server[[#This Row],[NAV]]*100</f>
        <v>64.214584007309554</v>
      </c>
    </row>
    <row r="1128" spans="1:12" x14ac:dyDescent="0.2">
      <c r="A1128" s="1">
        <v>42356</v>
      </c>
      <c r="B1128">
        <v>315.27820000000003</v>
      </c>
      <c r="C1128">
        <v>52.288699999999999</v>
      </c>
      <c r="D1128">
        <v>256.06479999999999</v>
      </c>
      <c r="F1128">
        <v>292655423.94</v>
      </c>
      <c r="G1128">
        <v>107.730175</v>
      </c>
      <c r="H1128">
        <v>17.866985</v>
      </c>
      <c r="I1128">
        <v>87.497028999999998</v>
      </c>
      <c r="K1128" s="4">
        <f>VLOOKUP(Table_Query_from_Cello_SQL_Server[[#This Row],[AsOfDate]], 'CMO MV Raw'!$A:$B,2,FALSE)</f>
        <v>187553629.93755099</v>
      </c>
      <c r="L1128" s="5">
        <f>Table_Query_from_Cello_SQL_Server[[#This Row],[CMO MV]]/Table_Query_from_Cello_SQL_Server[[#This Row],[NAV]]*100</f>
        <v>64.086845687849987</v>
      </c>
    </row>
    <row r="1129" spans="1:12" x14ac:dyDescent="0.2">
      <c r="A1129" s="1">
        <v>42359</v>
      </c>
      <c r="B1129">
        <v>315.27820000000003</v>
      </c>
      <c r="C1129">
        <v>51.880299999999998</v>
      </c>
      <c r="D1129">
        <v>255.61429999999999</v>
      </c>
      <c r="F1129">
        <v>292316114.18000001</v>
      </c>
      <c r="G1129">
        <v>107.85522400000001</v>
      </c>
      <c r="H1129">
        <v>17.748011999999999</v>
      </c>
      <c r="I1129">
        <v>87.444478000000004</v>
      </c>
      <c r="K1129" s="4">
        <f>VLOOKUP(Table_Query_from_Cello_SQL_Server[[#This Row],[AsOfDate]], 'CMO MV Raw'!$A:$B,2,FALSE)</f>
        <v>186843777.48525301</v>
      </c>
      <c r="L1129" s="5">
        <f>Table_Query_from_Cello_SQL_Server[[#This Row],[CMO MV]]/Table_Query_from_Cello_SQL_Server[[#This Row],[NAV]]*100</f>
        <v>63.918398070316393</v>
      </c>
    </row>
    <row r="1130" spans="1:12" x14ac:dyDescent="0.2">
      <c r="A1130" s="1">
        <v>42360</v>
      </c>
      <c r="B1130">
        <v>315.27820000000003</v>
      </c>
      <c r="C1130">
        <v>51.941899999999997</v>
      </c>
      <c r="D1130">
        <v>255.07830000000001</v>
      </c>
      <c r="F1130">
        <v>291742145.64999998</v>
      </c>
      <c r="G1130">
        <v>108.06741700000001</v>
      </c>
      <c r="H1130">
        <v>17.804044000000001</v>
      </c>
      <c r="I1130">
        <v>87.432790999999995</v>
      </c>
      <c r="K1130" s="4">
        <f>VLOOKUP(Table_Query_from_Cello_SQL_Server[[#This Row],[AsOfDate]], 'CMO MV Raw'!$A:$B,2,FALSE)</f>
        <v>186795425.99863201</v>
      </c>
      <c r="L1130" s="5">
        <f>Table_Query_from_Cello_SQL_Server[[#This Row],[CMO MV]]/Table_Query_from_Cello_SQL_Server[[#This Row],[NAV]]*100</f>
        <v>64.027576674755977</v>
      </c>
    </row>
    <row r="1131" spans="1:12" x14ac:dyDescent="0.2">
      <c r="A1131" s="1">
        <v>42361</v>
      </c>
      <c r="B1131">
        <v>315.27820000000003</v>
      </c>
      <c r="C1131">
        <v>51.698599999999999</v>
      </c>
      <c r="D1131">
        <v>254.65629999999999</v>
      </c>
      <c r="F1131">
        <v>291059393.24000001</v>
      </c>
      <c r="G1131">
        <v>108.320916</v>
      </c>
      <c r="H1131">
        <v>17.762217</v>
      </c>
      <c r="I1131">
        <v>87.492898999999994</v>
      </c>
      <c r="K1131" s="4">
        <f>VLOOKUP(Table_Query_from_Cello_SQL_Server[[#This Row],[AsOfDate]], 'CMO MV Raw'!$A:$B,2,FALSE)</f>
        <v>186405911.89646399</v>
      </c>
      <c r="L1131" s="5">
        <f>Table_Query_from_Cello_SQL_Server[[#This Row],[CMO MV]]/Table_Query_from_Cello_SQL_Server[[#This Row],[NAV]]*100</f>
        <v>64.043942997832929</v>
      </c>
    </row>
    <row r="1132" spans="1:12" x14ac:dyDescent="0.2">
      <c r="A1132" s="1">
        <v>42362</v>
      </c>
      <c r="B1132">
        <v>315.27820000000003</v>
      </c>
      <c r="C1132">
        <v>52.0002</v>
      </c>
      <c r="D1132">
        <v>255.06</v>
      </c>
      <c r="F1132">
        <v>291631667.02999997</v>
      </c>
      <c r="G1132">
        <v>108.108356</v>
      </c>
      <c r="H1132">
        <v>17.830780000000001</v>
      </c>
      <c r="I1132">
        <v>87.459637999999998</v>
      </c>
      <c r="K1132" s="4">
        <f>VLOOKUP(Table_Query_from_Cello_SQL_Server[[#This Row],[AsOfDate]], 'CMO MV Raw'!$A:$B,2,FALSE)</f>
        <v>186724122.05461001</v>
      </c>
      <c r="L1132" s="5">
        <f>Table_Query_from_Cello_SQL_Server[[#This Row],[CMO MV]]/Table_Query_from_Cello_SQL_Server[[#This Row],[NAV]]*100</f>
        <v>64.027382196255729</v>
      </c>
    </row>
    <row r="1133" spans="1:12" x14ac:dyDescent="0.2">
      <c r="A1133" s="1">
        <v>42366</v>
      </c>
      <c r="B1133">
        <v>315.27820000000003</v>
      </c>
      <c r="C1133">
        <v>50.736499999999999</v>
      </c>
      <c r="D1133">
        <v>256.06830000000002</v>
      </c>
      <c r="F1133">
        <v>292094392.81999999</v>
      </c>
      <c r="G1133">
        <v>107.937094</v>
      </c>
      <c r="H1133">
        <v>17.369899</v>
      </c>
      <c r="I1133">
        <v>87.666284000000005</v>
      </c>
      <c r="K1133" s="4">
        <f>VLOOKUP(Table_Query_from_Cello_SQL_Server[[#This Row],[AsOfDate]], 'CMO MV Raw'!$A:$B,2,FALSE)</f>
        <v>185159962.27575499</v>
      </c>
      <c r="L1133" s="5">
        <f>Table_Query_from_Cello_SQL_Server[[#This Row],[CMO MV]]/Table_Query_from_Cello_SQL_Server[[#This Row],[NAV]]*100</f>
        <v>63.390454191244203</v>
      </c>
    </row>
    <row r="1134" spans="1:12" x14ac:dyDescent="0.2">
      <c r="A1134" s="1">
        <v>42367</v>
      </c>
      <c r="B1134">
        <v>315.27820000000003</v>
      </c>
      <c r="C1134">
        <v>50.467300000000002</v>
      </c>
      <c r="D1134">
        <v>254.82660000000001</v>
      </c>
      <c r="F1134">
        <v>291112562.98000002</v>
      </c>
      <c r="G1134">
        <v>108.301132</v>
      </c>
      <c r="H1134">
        <v>17.336009000000001</v>
      </c>
      <c r="I1134">
        <v>87.535418000000007</v>
      </c>
      <c r="K1134" s="4">
        <f>VLOOKUP(Table_Query_from_Cello_SQL_Server[[#This Row],[AsOfDate]], 'CMO MV Raw'!$A:$B,2,FALSE)</f>
        <v>184386014.80047399</v>
      </c>
      <c r="L1134" s="5">
        <f>Table_Query_from_Cello_SQL_Server[[#This Row],[CMO MV]]/Table_Query_from_Cello_SQL_Server[[#This Row],[NAV]]*100</f>
        <v>63.338391484376324</v>
      </c>
    </row>
    <row r="1135" spans="1:12" x14ac:dyDescent="0.2">
      <c r="A1135" s="1">
        <v>42368</v>
      </c>
      <c r="B1135">
        <v>315.27820000000003</v>
      </c>
      <c r="C1135">
        <v>50.385800000000003</v>
      </c>
      <c r="D1135">
        <v>255.30090000000001</v>
      </c>
      <c r="F1135">
        <v>291410927.08999997</v>
      </c>
      <c r="G1135">
        <v>108.190246</v>
      </c>
      <c r="H1135">
        <v>17.290292000000001</v>
      </c>
      <c r="I1135">
        <v>87.608553999999998</v>
      </c>
      <c r="K1135" s="4">
        <f>VLOOKUP(Table_Query_from_Cello_SQL_Server[[#This Row],[AsOfDate]], 'CMO MV Raw'!$A:$B,2,FALSE)</f>
        <v>184644088.837926</v>
      </c>
      <c r="L1135" s="5">
        <f>Table_Query_from_Cello_SQL_Server[[#This Row],[CMO MV]]/Table_Query_from_Cello_SQL_Server[[#This Row],[NAV]]*100</f>
        <v>63.362101991769215</v>
      </c>
    </row>
    <row r="1136" spans="1:12" x14ac:dyDescent="0.2">
      <c r="A1136" s="1">
        <v>42369</v>
      </c>
      <c r="B1136">
        <v>315.27820000000003</v>
      </c>
      <c r="C1136">
        <v>48.876600000000003</v>
      </c>
      <c r="D1136">
        <v>231.58869999999999</v>
      </c>
      <c r="F1136">
        <v>291734001.44999999</v>
      </c>
      <c r="G1136">
        <v>108.07043299999999</v>
      </c>
      <c r="H1136">
        <v>16.753824000000002</v>
      </c>
      <c r="I1136">
        <v>79.383512999999994</v>
      </c>
      <c r="K1136" s="4">
        <f>VLOOKUP(Table_Query_from_Cello_SQL_Server[[#This Row],[AsOfDate]], 'CMO MV Raw'!$A:$B,2,FALSE)</f>
        <v>184422809.70974699</v>
      </c>
      <c r="L1136" s="5">
        <f>Table_Query_from_Cello_SQL_Server[[#This Row],[CMO MV]]/Table_Query_from_Cello_SQL_Server[[#This Row],[NAV]]*100</f>
        <v>63.21608341609609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 tint="0.79998168889431442"/>
  </sheetPr>
  <dimension ref="A1:B1145"/>
  <sheetViews>
    <sheetView topLeftCell="A731" workbookViewId="0">
      <selection activeCell="B777" sqref="B777"/>
    </sheetView>
  </sheetViews>
  <sheetFormatPr defaultRowHeight="12.75" x14ac:dyDescent="0.2"/>
  <cols>
    <col min="1" max="1" width="10.42578125" bestFit="1" customWidth="1"/>
    <col min="2" max="2" width="28.85546875" bestFit="1" customWidth="1"/>
  </cols>
  <sheetData>
    <row r="1" spans="1:2" x14ac:dyDescent="0.2">
      <c r="A1" t="s">
        <v>11</v>
      </c>
      <c r="B1" t="s">
        <v>12</v>
      </c>
    </row>
    <row r="2" spans="1:2" x14ac:dyDescent="0.2">
      <c r="A2" s="3">
        <v>40207</v>
      </c>
      <c r="B2" s="4">
        <v>12103348.966093</v>
      </c>
    </row>
    <row r="3" spans="1:2" x14ac:dyDescent="0.2">
      <c r="A3" s="3">
        <v>40235</v>
      </c>
      <c r="B3" s="4">
        <v>10650810.914542999</v>
      </c>
    </row>
    <row r="4" spans="1:2" x14ac:dyDescent="0.2">
      <c r="A4" s="3">
        <v>40268</v>
      </c>
      <c r="B4" s="4">
        <v>20003612.230838999</v>
      </c>
    </row>
    <row r="5" spans="1:2" x14ac:dyDescent="0.2">
      <c r="A5" s="3">
        <v>40298</v>
      </c>
      <c r="B5" s="4">
        <v>20807732.871468</v>
      </c>
    </row>
    <row r="6" spans="1:2" x14ac:dyDescent="0.2">
      <c r="A6" s="3">
        <v>40325</v>
      </c>
      <c r="B6" s="4">
        <v>21292092.738519002</v>
      </c>
    </row>
    <row r="7" spans="1:2" x14ac:dyDescent="0.2">
      <c r="A7" s="3">
        <v>40326</v>
      </c>
      <c r="B7" s="4">
        <v>21401293.014359001</v>
      </c>
    </row>
    <row r="8" spans="1:2" x14ac:dyDescent="0.2">
      <c r="A8" s="3">
        <v>40359</v>
      </c>
      <c r="B8" s="4">
        <v>7823559.5088060005</v>
      </c>
    </row>
    <row r="9" spans="1:2" x14ac:dyDescent="0.2">
      <c r="A9" s="3">
        <v>40389</v>
      </c>
      <c r="B9" s="4">
        <v>11008916.667780999</v>
      </c>
    </row>
    <row r="10" spans="1:2" x14ac:dyDescent="0.2">
      <c r="A10" s="3">
        <v>40421</v>
      </c>
      <c r="B10" s="4">
        <v>8239973.8770230003</v>
      </c>
    </row>
    <row r="11" spans="1:2" x14ac:dyDescent="0.2">
      <c r="A11" s="3">
        <v>40451</v>
      </c>
      <c r="B11" s="4">
        <v>8571911.2038049996</v>
      </c>
    </row>
    <row r="12" spans="1:2" x14ac:dyDescent="0.2">
      <c r="A12" s="3">
        <v>40480</v>
      </c>
      <c r="B12" s="4">
        <v>18379432.606690999</v>
      </c>
    </row>
    <row r="13" spans="1:2" x14ac:dyDescent="0.2">
      <c r="A13" s="3">
        <v>40512</v>
      </c>
      <c r="B13" s="4">
        <v>34024817.519175</v>
      </c>
    </row>
    <row r="14" spans="1:2" x14ac:dyDescent="0.2">
      <c r="A14" s="3">
        <v>40543</v>
      </c>
      <c r="B14" s="4">
        <v>20395488.812401</v>
      </c>
    </row>
    <row r="15" spans="1:2" x14ac:dyDescent="0.2">
      <c r="A15" s="3">
        <v>40574</v>
      </c>
      <c r="B15" s="4">
        <v>36898663.685938001</v>
      </c>
    </row>
    <row r="16" spans="1:2" x14ac:dyDescent="0.2">
      <c r="A16" s="3">
        <v>40584</v>
      </c>
      <c r="B16" s="4">
        <v>35873008.461138003</v>
      </c>
    </row>
    <row r="17" spans="1:2" x14ac:dyDescent="0.2">
      <c r="A17" s="3">
        <v>40602</v>
      </c>
      <c r="B17" s="4">
        <v>51433966.281531997</v>
      </c>
    </row>
    <row r="18" spans="1:2" x14ac:dyDescent="0.2">
      <c r="A18" s="3">
        <v>40633</v>
      </c>
      <c r="B18" s="4">
        <v>45635832.519947</v>
      </c>
    </row>
    <row r="19" spans="1:2" x14ac:dyDescent="0.2">
      <c r="A19" s="3">
        <v>40662</v>
      </c>
      <c r="B19" s="4">
        <v>56251276.851631999</v>
      </c>
    </row>
    <row r="20" spans="1:2" x14ac:dyDescent="0.2">
      <c r="A20" s="3">
        <v>40694</v>
      </c>
      <c r="B20" s="4">
        <v>67783331.900382996</v>
      </c>
    </row>
    <row r="21" spans="1:2" x14ac:dyDescent="0.2">
      <c r="A21" s="3">
        <v>40715</v>
      </c>
      <c r="B21" s="4">
        <v>29293150</v>
      </c>
    </row>
    <row r="22" spans="1:2" x14ac:dyDescent="0.2">
      <c r="A22" s="3">
        <v>40718</v>
      </c>
      <c r="B22" s="4">
        <v>29940741.117991</v>
      </c>
    </row>
    <row r="23" spans="1:2" x14ac:dyDescent="0.2">
      <c r="A23" s="3">
        <v>40721</v>
      </c>
      <c r="B23" s="4">
        <v>29510723.349114001</v>
      </c>
    </row>
    <row r="24" spans="1:2" x14ac:dyDescent="0.2">
      <c r="A24" s="3">
        <v>40722</v>
      </c>
      <c r="B24" s="4">
        <v>29082142.039811</v>
      </c>
    </row>
    <row r="25" spans="1:2" x14ac:dyDescent="0.2">
      <c r="A25" s="3">
        <v>40723</v>
      </c>
      <c r="B25" s="4">
        <v>28880835.576292999</v>
      </c>
    </row>
    <row r="26" spans="1:2" x14ac:dyDescent="0.2">
      <c r="A26" s="3">
        <v>40724</v>
      </c>
      <c r="B26" s="4">
        <v>28992617.973283999</v>
      </c>
    </row>
    <row r="27" spans="1:2" x14ac:dyDescent="0.2">
      <c r="A27" s="3">
        <v>40725</v>
      </c>
      <c r="B27" s="4">
        <v>31346013.419355001</v>
      </c>
    </row>
    <row r="28" spans="1:2" x14ac:dyDescent="0.2">
      <c r="A28" s="3">
        <v>40729</v>
      </c>
      <c r="B28" s="4">
        <v>42473475.248838998</v>
      </c>
    </row>
    <row r="29" spans="1:2" x14ac:dyDescent="0.2">
      <c r="A29" s="3">
        <v>40730</v>
      </c>
      <c r="B29" s="4">
        <v>44505054.906465001</v>
      </c>
    </row>
    <row r="30" spans="1:2" x14ac:dyDescent="0.2">
      <c r="A30" s="3">
        <v>40731</v>
      </c>
      <c r="B30" s="4">
        <v>52015388.093102999</v>
      </c>
    </row>
    <row r="31" spans="1:2" x14ac:dyDescent="0.2">
      <c r="A31" s="3">
        <v>40732</v>
      </c>
      <c r="B31" s="4">
        <v>53353771.865979001</v>
      </c>
    </row>
    <row r="32" spans="1:2" x14ac:dyDescent="0.2">
      <c r="A32" s="3">
        <v>40735</v>
      </c>
      <c r="B32" s="4">
        <v>53624863.617063999</v>
      </c>
    </row>
    <row r="33" spans="1:2" x14ac:dyDescent="0.2">
      <c r="A33" s="3">
        <v>40736</v>
      </c>
      <c r="B33" s="4">
        <v>63164287.611651003</v>
      </c>
    </row>
    <row r="34" spans="1:2" x14ac:dyDescent="0.2">
      <c r="A34" s="3">
        <v>40737</v>
      </c>
      <c r="B34" s="4">
        <v>66333973.543240003</v>
      </c>
    </row>
    <row r="35" spans="1:2" x14ac:dyDescent="0.2">
      <c r="A35" s="3">
        <v>40738</v>
      </c>
      <c r="B35" s="4">
        <v>53457293.265657</v>
      </c>
    </row>
    <row r="36" spans="1:2" x14ac:dyDescent="0.2">
      <c r="A36" s="3">
        <v>40739</v>
      </c>
      <c r="B36" s="4">
        <v>53052536.336402997</v>
      </c>
    </row>
    <row r="37" spans="1:2" x14ac:dyDescent="0.2">
      <c r="A37" s="3">
        <v>40742</v>
      </c>
      <c r="B37" s="4">
        <v>54682433.380038001</v>
      </c>
    </row>
    <row r="38" spans="1:2" x14ac:dyDescent="0.2">
      <c r="A38" s="3">
        <v>40743</v>
      </c>
      <c r="B38" s="4">
        <v>49994458.354813002</v>
      </c>
    </row>
    <row r="39" spans="1:2" x14ac:dyDescent="0.2">
      <c r="A39" s="3">
        <v>40744</v>
      </c>
      <c r="B39" s="4">
        <v>49682479.114413001</v>
      </c>
    </row>
    <row r="40" spans="1:2" x14ac:dyDescent="0.2">
      <c r="A40" s="3">
        <v>40745</v>
      </c>
      <c r="B40" s="4">
        <v>45120022.790591002</v>
      </c>
    </row>
    <row r="41" spans="1:2" x14ac:dyDescent="0.2">
      <c r="A41" s="3">
        <v>40746</v>
      </c>
      <c r="B41" s="4">
        <v>45518890.781763002</v>
      </c>
    </row>
    <row r="42" spans="1:2" x14ac:dyDescent="0.2">
      <c r="A42" s="3">
        <v>40749</v>
      </c>
      <c r="B42" s="4">
        <v>45416634.243842997</v>
      </c>
    </row>
    <row r="43" spans="1:2" x14ac:dyDescent="0.2">
      <c r="A43" s="3">
        <v>40750</v>
      </c>
      <c r="B43" s="4">
        <v>45657601.787102997</v>
      </c>
    </row>
    <row r="44" spans="1:2" x14ac:dyDescent="0.2">
      <c r="A44" s="3">
        <v>40751</v>
      </c>
      <c r="B44" s="4">
        <v>45556146.044761002</v>
      </c>
    </row>
    <row r="45" spans="1:2" x14ac:dyDescent="0.2">
      <c r="A45" s="3">
        <v>40752</v>
      </c>
      <c r="B45" s="4">
        <v>45559689.815745004</v>
      </c>
    </row>
    <row r="46" spans="1:2" x14ac:dyDescent="0.2">
      <c r="A46" s="3">
        <v>40753</v>
      </c>
      <c r="B46" s="4">
        <v>45960783.841651998</v>
      </c>
    </row>
    <row r="47" spans="1:2" x14ac:dyDescent="0.2">
      <c r="A47" s="3">
        <v>40757</v>
      </c>
      <c r="B47" s="4">
        <v>45993054.03215</v>
      </c>
    </row>
    <row r="48" spans="1:2" x14ac:dyDescent="0.2">
      <c r="A48" s="3">
        <v>40758</v>
      </c>
      <c r="B48" s="4">
        <v>45907146.394073002</v>
      </c>
    </row>
    <row r="49" spans="1:2" x14ac:dyDescent="0.2">
      <c r="A49" s="3">
        <v>40759</v>
      </c>
      <c r="B49" s="4">
        <v>37884544.215414003</v>
      </c>
    </row>
    <row r="50" spans="1:2" x14ac:dyDescent="0.2">
      <c r="A50" s="3">
        <v>40760</v>
      </c>
      <c r="B50" s="4">
        <v>37746537.455539003</v>
      </c>
    </row>
    <row r="51" spans="1:2" x14ac:dyDescent="0.2">
      <c r="A51" s="3">
        <v>40763</v>
      </c>
      <c r="B51" s="4">
        <v>37894172.874862999</v>
      </c>
    </row>
    <row r="52" spans="1:2" x14ac:dyDescent="0.2">
      <c r="A52" s="3">
        <v>40764</v>
      </c>
      <c r="B52" s="4">
        <v>38483848.482095003</v>
      </c>
    </row>
    <row r="53" spans="1:2" x14ac:dyDescent="0.2">
      <c r="A53" s="3">
        <v>40765</v>
      </c>
      <c r="B53" s="4">
        <v>37941067.898501001</v>
      </c>
    </row>
    <row r="54" spans="1:2" x14ac:dyDescent="0.2">
      <c r="A54" s="3">
        <v>40766</v>
      </c>
      <c r="B54" s="4">
        <v>45868601.966596</v>
      </c>
    </row>
    <row r="55" spans="1:2" x14ac:dyDescent="0.2">
      <c r="A55" s="3">
        <v>40767</v>
      </c>
      <c r="B55" s="4">
        <v>50465447.898914002</v>
      </c>
    </row>
    <row r="56" spans="1:2" x14ac:dyDescent="0.2">
      <c r="A56" s="3">
        <v>40770</v>
      </c>
      <c r="B56" s="4">
        <v>49890260.768932</v>
      </c>
    </row>
    <row r="57" spans="1:2" x14ac:dyDescent="0.2">
      <c r="A57" s="3">
        <v>40771</v>
      </c>
      <c r="B57" s="4">
        <v>49724629.717271999</v>
      </c>
    </row>
    <row r="58" spans="1:2" x14ac:dyDescent="0.2">
      <c r="A58" s="3">
        <v>40772</v>
      </c>
      <c r="B58" s="4">
        <v>49713124.947379999</v>
      </c>
    </row>
    <row r="59" spans="1:2" x14ac:dyDescent="0.2">
      <c r="A59" s="3">
        <v>40773</v>
      </c>
      <c r="B59" s="4">
        <v>51415067.191618003</v>
      </c>
    </row>
    <row r="60" spans="1:2" x14ac:dyDescent="0.2">
      <c r="A60" s="3">
        <v>40774</v>
      </c>
      <c r="B60" s="4">
        <v>51326810.196699001</v>
      </c>
    </row>
    <row r="61" spans="1:2" x14ac:dyDescent="0.2">
      <c r="A61" s="3">
        <v>40777</v>
      </c>
      <c r="B61" s="4">
        <v>50989712.872454002</v>
      </c>
    </row>
    <row r="62" spans="1:2" x14ac:dyDescent="0.2">
      <c r="A62" s="3">
        <v>40778</v>
      </c>
      <c r="B62" s="4">
        <v>50991724.146489002</v>
      </c>
    </row>
    <row r="63" spans="1:2" x14ac:dyDescent="0.2">
      <c r="A63" s="3">
        <v>40779</v>
      </c>
      <c r="B63" s="4">
        <v>48931342.828294002</v>
      </c>
    </row>
    <row r="64" spans="1:2" x14ac:dyDescent="0.2">
      <c r="A64" s="3">
        <v>40780</v>
      </c>
      <c r="B64" s="4">
        <v>41536747.848909996</v>
      </c>
    </row>
    <row r="65" spans="1:2" x14ac:dyDescent="0.2">
      <c r="A65" s="3">
        <v>40781</v>
      </c>
      <c r="B65" s="4">
        <v>41552021.734495997</v>
      </c>
    </row>
    <row r="66" spans="1:2" x14ac:dyDescent="0.2">
      <c r="A66" s="3">
        <v>40784</v>
      </c>
      <c r="B66" s="4">
        <v>41651274.140623003</v>
      </c>
    </row>
    <row r="67" spans="1:2" x14ac:dyDescent="0.2">
      <c r="A67" s="3">
        <v>40785</v>
      </c>
      <c r="B67" s="4">
        <v>41644052.342364997</v>
      </c>
    </row>
    <row r="68" spans="1:2" x14ac:dyDescent="0.2">
      <c r="A68" s="3">
        <v>40786</v>
      </c>
      <c r="B68" s="4">
        <v>41934003.672518</v>
      </c>
    </row>
    <row r="69" spans="1:2" x14ac:dyDescent="0.2">
      <c r="A69" s="3">
        <v>40787</v>
      </c>
      <c r="B69" s="4">
        <v>41961353.648988999</v>
      </c>
    </row>
    <row r="70" spans="1:2" x14ac:dyDescent="0.2">
      <c r="A70" s="3">
        <v>40788</v>
      </c>
      <c r="B70" s="4">
        <v>41770409.063474</v>
      </c>
    </row>
    <row r="71" spans="1:2" x14ac:dyDescent="0.2">
      <c r="A71" s="3">
        <v>40792</v>
      </c>
      <c r="B71" s="4">
        <v>41682488.137169003</v>
      </c>
    </row>
    <row r="72" spans="1:2" x14ac:dyDescent="0.2">
      <c r="A72" s="3">
        <v>40793</v>
      </c>
      <c r="B72" s="4">
        <v>48438165.543866001</v>
      </c>
    </row>
    <row r="73" spans="1:2" x14ac:dyDescent="0.2">
      <c r="A73" s="3">
        <v>40794</v>
      </c>
      <c r="B73" s="4">
        <v>54213749.521674</v>
      </c>
    </row>
    <row r="74" spans="1:2" x14ac:dyDescent="0.2">
      <c r="A74" s="3">
        <v>40795</v>
      </c>
      <c r="B74" s="4">
        <v>53577510.567557998</v>
      </c>
    </row>
    <row r="75" spans="1:2" x14ac:dyDescent="0.2">
      <c r="A75" s="3">
        <v>40798</v>
      </c>
      <c r="B75" s="4">
        <v>53669138.064260997</v>
      </c>
    </row>
    <row r="76" spans="1:2" x14ac:dyDescent="0.2">
      <c r="A76" s="3">
        <v>40799</v>
      </c>
      <c r="B76" s="4">
        <v>55463736.388342001</v>
      </c>
    </row>
    <row r="77" spans="1:2" x14ac:dyDescent="0.2">
      <c r="A77" s="3">
        <v>40800</v>
      </c>
      <c r="B77" s="4">
        <v>66241951.472445004</v>
      </c>
    </row>
    <row r="78" spans="1:2" x14ac:dyDescent="0.2">
      <c r="A78" s="3">
        <v>40801</v>
      </c>
      <c r="B78" s="4">
        <v>66339266.992219001</v>
      </c>
    </row>
    <row r="79" spans="1:2" x14ac:dyDescent="0.2">
      <c r="A79" s="3">
        <v>40802</v>
      </c>
      <c r="B79" s="4">
        <v>66118196.485643998</v>
      </c>
    </row>
    <row r="80" spans="1:2" x14ac:dyDescent="0.2">
      <c r="A80" s="3">
        <v>40805</v>
      </c>
      <c r="B80" s="4">
        <v>61751889.821085997</v>
      </c>
    </row>
    <row r="81" spans="1:2" x14ac:dyDescent="0.2">
      <c r="A81" s="3">
        <v>40806</v>
      </c>
      <c r="B81" s="4">
        <v>61389188.394851997</v>
      </c>
    </row>
    <row r="82" spans="1:2" x14ac:dyDescent="0.2">
      <c r="A82" s="3">
        <v>40807</v>
      </c>
      <c r="B82" s="4">
        <v>60070576.341495998</v>
      </c>
    </row>
    <row r="83" spans="1:2" x14ac:dyDescent="0.2">
      <c r="A83" s="3">
        <v>40808</v>
      </c>
      <c r="B83" s="4">
        <v>59129400.411362998</v>
      </c>
    </row>
    <row r="84" spans="1:2" x14ac:dyDescent="0.2">
      <c r="A84" s="3">
        <v>40809</v>
      </c>
      <c r="B84" s="4">
        <v>59881304.990694001</v>
      </c>
    </row>
    <row r="85" spans="1:2" x14ac:dyDescent="0.2">
      <c r="A85" s="3">
        <v>40812</v>
      </c>
      <c r="B85" s="4">
        <v>59944269.177933</v>
      </c>
    </row>
    <row r="86" spans="1:2" x14ac:dyDescent="0.2">
      <c r="A86" s="3">
        <v>40814</v>
      </c>
      <c r="B86" s="4">
        <v>59835961.002443999</v>
      </c>
    </row>
    <row r="87" spans="1:2" x14ac:dyDescent="0.2">
      <c r="A87" s="3">
        <v>40816</v>
      </c>
      <c r="B87" s="4">
        <v>52429524.344803996</v>
      </c>
    </row>
    <row r="88" spans="1:2" x14ac:dyDescent="0.2">
      <c r="A88" s="3">
        <v>40819</v>
      </c>
      <c r="B88" s="4">
        <v>52767754.421351999</v>
      </c>
    </row>
    <row r="89" spans="1:2" x14ac:dyDescent="0.2">
      <c r="A89" s="3">
        <v>40820</v>
      </c>
      <c r="B89" s="4">
        <v>52916247.950714</v>
      </c>
    </row>
    <row r="90" spans="1:2" x14ac:dyDescent="0.2">
      <c r="A90" s="3">
        <v>40821</v>
      </c>
      <c r="B90" s="4">
        <v>53013108.252843</v>
      </c>
    </row>
    <row r="91" spans="1:2" x14ac:dyDescent="0.2">
      <c r="A91" s="3">
        <v>40822</v>
      </c>
      <c r="B91" s="4">
        <v>53364457.375423998</v>
      </c>
    </row>
    <row r="92" spans="1:2" x14ac:dyDescent="0.2">
      <c r="A92" s="3">
        <v>40823</v>
      </c>
      <c r="B92" s="4">
        <v>53140695.646173</v>
      </c>
    </row>
    <row r="93" spans="1:2" x14ac:dyDescent="0.2">
      <c r="A93" s="3">
        <v>40828</v>
      </c>
      <c r="B93" s="4">
        <v>52699739.094648004</v>
      </c>
    </row>
    <row r="94" spans="1:2" x14ac:dyDescent="0.2">
      <c r="A94" s="3">
        <v>40829</v>
      </c>
      <c r="B94" s="4">
        <v>52829087.883658998</v>
      </c>
    </row>
    <row r="95" spans="1:2" x14ac:dyDescent="0.2">
      <c r="A95" s="3">
        <v>40830</v>
      </c>
      <c r="B95" s="4">
        <v>52718537.284190997</v>
      </c>
    </row>
    <row r="96" spans="1:2" x14ac:dyDescent="0.2">
      <c r="A96" s="3">
        <v>40833</v>
      </c>
      <c r="B96" s="4">
        <v>52509837.304903001</v>
      </c>
    </row>
    <row r="97" spans="1:2" x14ac:dyDescent="0.2">
      <c r="A97" s="3">
        <v>40834</v>
      </c>
      <c r="B97" s="4">
        <v>52268970.537687004</v>
      </c>
    </row>
    <row r="98" spans="1:2" x14ac:dyDescent="0.2">
      <c r="A98" s="3">
        <v>40835</v>
      </c>
      <c r="B98" s="4">
        <v>51761763.571117997</v>
      </c>
    </row>
    <row r="99" spans="1:2" x14ac:dyDescent="0.2">
      <c r="A99" s="3">
        <v>40836</v>
      </c>
      <c r="B99" s="4">
        <v>51863691.735422</v>
      </c>
    </row>
    <row r="100" spans="1:2" x14ac:dyDescent="0.2">
      <c r="A100" s="3">
        <v>40837</v>
      </c>
      <c r="B100" s="4">
        <v>51783317.531493001</v>
      </c>
    </row>
    <row r="101" spans="1:2" x14ac:dyDescent="0.2">
      <c r="A101" s="3">
        <v>40840</v>
      </c>
      <c r="B101" s="4">
        <v>51089187.765405998</v>
      </c>
    </row>
    <row r="102" spans="1:2" x14ac:dyDescent="0.2">
      <c r="A102" s="3">
        <v>40841</v>
      </c>
      <c r="B102" s="4">
        <v>51202683.019643001</v>
      </c>
    </row>
    <row r="103" spans="1:2" x14ac:dyDescent="0.2">
      <c r="A103" s="3">
        <v>40842</v>
      </c>
      <c r="B103" s="4">
        <v>51008408.513728999</v>
      </c>
    </row>
    <row r="104" spans="1:2" x14ac:dyDescent="0.2">
      <c r="A104" s="3">
        <v>40843</v>
      </c>
      <c r="B104" s="4">
        <v>46631568.354817003</v>
      </c>
    </row>
    <row r="105" spans="1:2" x14ac:dyDescent="0.2">
      <c r="A105" s="3">
        <v>40844</v>
      </c>
      <c r="B105" s="4">
        <v>46896791.378288999</v>
      </c>
    </row>
    <row r="106" spans="1:2" x14ac:dyDescent="0.2">
      <c r="A106" s="3">
        <v>40847</v>
      </c>
      <c r="B106" s="4">
        <v>46932219.740194</v>
      </c>
    </row>
    <row r="107" spans="1:2" x14ac:dyDescent="0.2">
      <c r="A107" s="3">
        <v>40848</v>
      </c>
      <c r="B107" s="4">
        <v>46556355.319439001</v>
      </c>
    </row>
    <row r="108" spans="1:2" x14ac:dyDescent="0.2">
      <c r="A108" s="3">
        <v>40849</v>
      </c>
      <c r="B108" s="4">
        <v>46846978.336061999</v>
      </c>
    </row>
    <row r="109" spans="1:2" x14ac:dyDescent="0.2">
      <c r="A109" s="3">
        <v>40850</v>
      </c>
      <c r="B109" s="4">
        <v>49613010.246946</v>
      </c>
    </row>
    <row r="110" spans="1:2" x14ac:dyDescent="0.2">
      <c r="A110" s="3">
        <v>40851</v>
      </c>
      <c r="B110" s="4">
        <v>51705613.813221999</v>
      </c>
    </row>
    <row r="111" spans="1:2" x14ac:dyDescent="0.2">
      <c r="A111" s="3">
        <v>40854</v>
      </c>
      <c r="B111" s="4">
        <v>51611289.236042</v>
      </c>
    </row>
    <row r="112" spans="1:2" x14ac:dyDescent="0.2">
      <c r="A112" s="3">
        <v>40855</v>
      </c>
      <c r="B112" s="4">
        <v>51317962.611910999</v>
      </c>
    </row>
    <row r="113" spans="1:2" x14ac:dyDescent="0.2">
      <c r="A113" s="3">
        <v>40856</v>
      </c>
      <c r="B113" s="4">
        <v>50841011.456905</v>
      </c>
    </row>
    <row r="114" spans="1:2" x14ac:dyDescent="0.2">
      <c r="A114" s="3">
        <v>40857</v>
      </c>
      <c r="B114" s="4">
        <v>54821004.328351997</v>
      </c>
    </row>
    <row r="115" spans="1:2" x14ac:dyDescent="0.2">
      <c r="A115" s="3">
        <v>40861</v>
      </c>
      <c r="B115" s="4">
        <v>54628377.888452001</v>
      </c>
    </row>
    <row r="116" spans="1:2" x14ac:dyDescent="0.2">
      <c r="A116" s="3">
        <v>40862</v>
      </c>
      <c r="B116" s="4">
        <v>61830275.644139998</v>
      </c>
    </row>
    <row r="117" spans="1:2" x14ac:dyDescent="0.2">
      <c r="A117" s="3">
        <v>40863</v>
      </c>
      <c r="B117" s="4">
        <v>55479064.383339003</v>
      </c>
    </row>
    <row r="118" spans="1:2" x14ac:dyDescent="0.2">
      <c r="A118" s="3">
        <v>40864</v>
      </c>
      <c r="B118" s="4">
        <v>60763345.064906001</v>
      </c>
    </row>
    <row r="119" spans="1:2" x14ac:dyDescent="0.2">
      <c r="A119" s="3">
        <v>40865</v>
      </c>
      <c r="B119" s="4">
        <v>60955349.302711003</v>
      </c>
    </row>
    <row r="120" spans="1:2" x14ac:dyDescent="0.2">
      <c r="A120" s="3">
        <v>40868</v>
      </c>
      <c r="B120" s="4">
        <v>68791453.113769993</v>
      </c>
    </row>
    <row r="121" spans="1:2" x14ac:dyDescent="0.2">
      <c r="A121" s="3">
        <v>40869</v>
      </c>
      <c r="B121" s="4">
        <v>68561938.791693002</v>
      </c>
    </row>
    <row r="122" spans="1:2" x14ac:dyDescent="0.2">
      <c r="A122" s="3">
        <v>40870</v>
      </c>
      <c r="B122" s="4">
        <v>68379303.112655997</v>
      </c>
    </row>
    <row r="123" spans="1:2" x14ac:dyDescent="0.2">
      <c r="A123" s="3">
        <v>40872</v>
      </c>
      <c r="B123" s="4">
        <v>68620425.373119995</v>
      </c>
    </row>
    <row r="124" spans="1:2" x14ac:dyDescent="0.2">
      <c r="A124" s="3">
        <v>40875</v>
      </c>
      <c r="B124" s="4">
        <v>68176250.758807003</v>
      </c>
    </row>
    <row r="125" spans="1:2" x14ac:dyDescent="0.2">
      <c r="A125" s="3">
        <v>40876</v>
      </c>
      <c r="B125" s="4">
        <v>68287613.027890995</v>
      </c>
    </row>
    <row r="126" spans="1:2" x14ac:dyDescent="0.2">
      <c r="A126" s="3">
        <v>40877</v>
      </c>
      <c r="B126" s="4">
        <v>69779757.096002996</v>
      </c>
    </row>
    <row r="127" spans="1:2" x14ac:dyDescent="0.2">
      <c r="A127" s="3">
        <v>40878</v>
      </c>
      <c r="B127" s="4">
        <v>69631844.449880004</v>
      </c>
    </row>
    <row r="128" spans="1:2" x14ac:dyDescent="0.2">
      <c r="A128" s="3">
        <v>40879</v>
      </c>
      <c r="B128" s="4">
        <v>68739643.468081996</v>
      </c>
    </row>
    <row r="129" spans="1:2" x14ac:dyDescent="0.2">
      <c r="A129" s="3">
        <v>40882</v>
      </c>
      <c r="B129" s="4">
        <v>69091278.344569996</v>
      </c>
    </row>
    <row r="130" spans="1:2" x14ac:dyDescent="0.2">
      <c r="A130" s="3">
        <v>40883</v>
      </c>
      <c r="B130" s="4">
        <v>69430553.514320001</v>
      </c>
    </row>
    <row r="131" spans="1:2" x14ac:dyDescent="0.2">
      <c r="A131" s="3">
        <v>40884</v>
      </c>
      <c r="B131" s="4">
        <v>77535706.132863998</v>
      </c>
    </row>
    <row r="132" spans="1:2" x14ac:dyDescent="0.2">
      <c r="A132" s="3">
        <v>40885</v>
      </c>
      <c r="B132" s="4">
        <v>77575619.793482006</v>
      </c>
    </row>
    <row r="133" spans="1:2" x14ac:dyDescent="0.2">
      <c r="A133" s="3">
        <v>40886</v>
      </c>
      <c r="B133" s="4">
        <v>77980783.465014994</v>
      </c>
    </row>
    <row r="134" spans="1:2" x14ac:dyDescent="0.2">
      <c r="A134" s="3">
        <v>40889</v>
      </c>
      <c r="B134" s="4">
        <v>77615129.109623</v>
      </c>
    </row>
    <row r="135" spans="1:2" x14ac:dyDescent="0.2">
      <c r="A135" s="3">
        <v>40890</v>
      </c>
      <c r="B135" s="4">
        <v>77002336.359559998</v>
      </c>
    </row>
    <row r="136" spans="1:2" x14ac:dyDescent="0.2">
      <c r="A136" s="3">
        <v>40891</v>
      </c>
      <c r="B136" s="4">
        <v>75556900.238931</v>
      </c>
    </row>
    <row r="137" spans="1:2" x14ac:dyDescent="0.2">
      <c r="A137" s="3">
        <v>40892</v>
      </c>
      <c r="B137" s="4">
        <v>76342061.006984994</v>
      </c>
    </row>
    <row r="138" spans="1:2" x14ac:dyDescent="0.2">
      <c r="A138" s="3">
        <v>40893</v>
      </c>
      <c r="B138" s="4">
        <v>75547902.437399</v>
      </c>
    </row>
    <row r="139" spans="1:2" x14ac:dyDescent="0.2">
      <c r="A139" s="3">
        <v>40896</v>
      </c>
      <c r="B139" s="4">
        <v>71890734.017162994</v>
      </c>
    </row>
    <row r="140" spans="1:2" x14ac:dyDescent="0.2">
      <c r="A140" s="3">
        <v>40897</v>
      </c>
      <c r="B140" s="4">
        <v>72978928.386866003</v>
      </c>
    </row>
    <row r="141" spans="1:2" x14ac:dyDescent="0.2">
      <c r="A141" s="3">
        <v>40898</v>
      </c>
      <c r="B141" s="4">
        <v>73496565.086942002</v>
      </c>
    </row>
    <row r="142" spans="1:2" x14ac:dyDescent="0.2">
      <c r="A142" s="3">
        <v>40899</v>
      </c>
      <c r="B142" s="4">
        <v>73382892.283014998</v>
      </c>
    </row>
    <row r="143" spans="1:2" x14ac:dyDescent="0.2">
      <c r="A143" s="3">
        <v>40900</v>
      </c>
      <c r="B143" s="4">
        <v>74139180.888889</v>
      </c>
    </row>
    <row r="144" spans="1:2" x14ac:dyDescent="0.2">
      <c r="A144" s="3">
        <v>40904</v>
      </c>
      <c r="B144" s="4">
        <v>73246491.724876001</v>
      </c>
    </row>
    <row r="145" spans="1:2" x14ac:dyDescent="0.2">
      <c r="A145" s="3">
        <v>40905</v>
      </c>
      <c r="B145" s="4">
        <v>71848738.706676006</v>
      </c>
    </row>
    <row r="146" spans="1:2" x14ac:dyDescent="0.2">
      <c r="A146" s="3">
        <v>40906</v>
      </c>
      <c r="B146" s="4">
        <v>71734780.285759002</v>
      </c>
    </row>
    <row r="147" spans="1:2" x14ac:dyDescent="0.2">
      <c r="A147" s="3">
        <v>40907</v>
      </c>
      <c r="B147" s="4">
        <v>77697732.752280995</v>
      </c>
    </row>
    <row r="148" spans="1:2" x14ac:dyDescent="0.2">
      <c r="A148" s="3">
        <v>40911</v>
      </c>
      <c r="B148" s="4">
        <v>163941673.80366799</v>
      </c>
    </row>
    <row r="149" spans="1:2" x14ac:dyDescent="0.2">
      <c r="A149" s="3">
        <v>40912</v>
      </c>
      <c r="B149" s="4">
        <v>78056208.232034996</v>
      </c>
    </row>
    <row r="150" spans="1:2" x14ac:dyDescent="0.2">
      <c r="A150" s="3">
        <v>40913</v>
      </c>
      <c r="B150" s="4">
        <v>76494943.254437</v>
      </c>
    </row>
    <row r="151" spans="1:2" x14ac:dyDescent="0.2">
      <c r="A151" s="3">
        <v>40914</v>
      </c>
      <c r="B151" s="4">
        <v>75811196.017830998</v>
      </c>
    </row>
    <row r="152" spans="1:2" x14ac:dyDescent="0.2">
      <c r="A152" s="3">
        <v>40917</v>
      </c>
      <c r="B152" s="4">
        <v>77295525.347170994</v>
      </c>
    </row>
    <row r="153" spans="1:2" x14ac:dyDescent="0.2">
      <c r="A153" s="3">
        <v>40918</v>
      </c>
      <c r="B153" s="4">
        <v>79414692.914096996</v>
      </c>
    </row>
    <row r="154" spans="1:2" x14ac:dyDescent="0.2">
      <c r="A154" s="3">
        <v>40919</v>
      </c>
      <c r="B154" s="4">
        <v>78884597.551269993</v>
      </c>
    </row>
    <row r="155" spans="1:2" x14ac:dyDescent="0.2">
      <c r="A155" s="3">
        <v>40920</v>
      </c>
      <c r="B155" s="4">
        <v>78545896.246104002</v>
      </c>
    </row>
    <row r="156" spans="1:2" x14ac:dyDescent="0.2">
      <c r="A156" s="3">
        <v>40925</v>
      </c>
      <c r="B156" s="4">
        <v>76296108.587053999</v>
      </c>
    </row>
    <row r="157" spans="1:2" x14ac:dyDescent="0.2">
      <c r="A157" s="3">
        <v>40926</v>
      </c>
      <c r="B157" s="4">
        <v>71151619.014136001</v>
      </c>
    </row>
    <row r="158" spans="1:2" x14ac:dyDescent="0.2">
      <c r="A158" s="3">
        <v>40927</v>
      </c>
      <c r="B158" s="4">
        <v>71377830.395080999</v>
      </c>
    </row>
    <row r="159" spans="1:2" x14ac:dyDescent="0.2">
      <c r="A159" s="3">
        <v>40928</v>
      </c>
      <c r="B159" s="4">
        <v>71436082.893693</v>
      </c>
    </row>
    <row r="160" spans="1:2" x14ac:dyDescent="0.2">
      <c r="A160" s="3">
        <v>40931</v>
      </c>
      <c r="B160" s="4">
        <v>71344590.635856003</v>
      </c>
    </row>
    <row r="161" spans="1:2" x14ac:dyDescent="0.2">
      <c r="A161" s="3">
        <v>40932</v>
      </c>
      <c r="B161" s="4">
        <v>71131197.715121001</v>
      </c>
    </row>
    <row r="162" spans="1:2" x14ac:dyDescent="0.2">
      <c r="A162" s="3">
        <v>40933</v>
      </c>
      <c r="B162" s="4">
        <v>70611034.298065007</v>
      </c>
    </row>
    <row r="163" spans="1:2" x14ac:dyDescent="0.2">
      <c r="A163" s="3">
        <v>40934</v>
      </c>
      <c r="B163" s="4">
        <v>68775011.878686994</v>
      </c>
    </row>
    <row r="164" spans="1:2" x14ac:dyDescent="0.2">
      <c r="A164" s="3">
        <v>40935</v>
      </c>
      <c r="B164" s="4">
        <v>67502833.960924</v>
      </c>
    </row>
    <row r="165" spans="1:2" x14ac:dyDescent="0.2">
      <c r="A165" s="3">
        <v>40938</v>
      </c>
      <c r="B165" s="4">
        <v>59009755.659854002</v>
      </c>
    </row>
    <row r="166" spans="1:2" x14ac:dyDescent="0.2">
      <c r="A166" s="3">
        <v>40939</v>
      </c>
      <c r="B166" s="4">
        <v>58521260.627534002</v>
      </c>
    </row>
    <row r="167" spans="1:2" x14ac:dyDescent="0.2">
      <c r="A167" s="3">
        <v>40940</v>
      </c>
      <c r="B167" s="4">
        <v>58696796.919198997</v>
      </c>
    </row>
    <row r="168" spans="1:2" x14ac:dyDescent="0.2">
      <c r="A168" s="3">
        <v>40941</v>
      </c>
      <c r="B168" s="4">
        <v>65476338.697346002</v>
      </c>
    </row>
    <row r="169" spans="1:2" x14ac:dyDescent="0.2">
      <c r="A169" s="3">
        <v>40942</v>
      </c>
      <c r="B169" s="4">
        <v>73671289.685464993</v>
      </c>
    </row>
    <row r="170" spans="1:2" x14ac:dyDescent="0.2">
      <c r="A170" s="3">
        <v>40945</v>
      </c>
      <c r="B170" s="4">
        <v>72949130.932538003</v>
      </c>
    </row>
    <row r="171" spans="1:2" x14ac:dyDescent="0.2">
      <c r="A171" s="3">
        <v>40946</v>
      </c>
      <c r="B171" s="4">
        <v>74311374.355609998</v>
      </c>
    </row>
    <row r="172" spans="1:2" x14ac:dyDescent="0.2">
      <c r="A172" s="3">
        <v>40947</v>
      </c>
      <c r="B172" s="4">
        <v>72755873.194240004</v>
      </c>
    </row>
    <row r="173" spans="1:2" x14ac:dyDescent="0.2">
      <c r="A173" s="3">
        <v>40948</v>
      </c>
      <c r="B173" s="4">
        <v>75361373.561247006</v>
      </c>
    </row>
    <row r="174" spans="1:2" x14ac:dyDescent="0.2">
      <c r="A174" s="3">
        <v>40949</v>
      </c>
      <c r="B174" s="4">
        <v>74103285.348822996</v>
      </c>
    </row>
    <row r="175" spans="1:2" x14ac:dyDescent="0.2">
      <c r="A175" s="3">
        <v>40952</v>
      </c>
      <c r="B175" s="4">
        <v>74463913.041346997</v>
      </c>
    </row>
    <row r="176" spans="1:2" x14ac:dyDescent="0.2">
      <c r="A176" s="3">
        <v>40953</v>
      </c>
      <c r="B176" s="4">
        <v>76634190.063038006</v>
      </c>
    </row>
    <row r="177" spans="1:2" x14ac:dyDescent="0.2">
      <c r="A177" s="3">
        <v>40954</v>
      </c>
      <c r="B177" s="4">
        <v>77170254.986230001</v>
      </c>
    </row>
    <row r="178" spans="1:2" x14ac:dyDescent="0.2">
      <c r="A178" s="3">
        <v>40955</v>
      </c>
      <c r="B178" s="4">
        <v>78648135.030928999</v>
      </c>
    </row>
    <row r="179" spans="1:2" x14ac:dyDescent="0.2">
      <c r="A179" s="3">
        <v>40956</v>
      </c>
      <c r="B179" s="4">
        <v>79815959.068477005</v>
      </c>
    </row>
    <row r="180" spans="1:2" x14ac:dyDescent="0.2">
      <c r="A180" s="3">
        <v>40960</v>
      </c>
      <c r="B180" s="4">
        <v>81432913.190897003</v>
      </c>
    </row>
    <row r="181" spans="1:2" x14ac:dyDescent="0.2">
      <c r="A181" s="3">
        <v>40961</v>
      </c>
      <c r="B181" s="4">
        <v>79078792.786647007</v>
      </c>
    </row>
    <row r="182" spans="1:2" x14ac:dyDescent="0.2">
      <c r="A182" s="3">
        <v>40962</v>
      </c>
      <c r="B182" s="4">
        <v>77811447.378134996</v>
      </c>
    </row>
    <row r="183" spans="1:2" x14ac:dyDescent="0.2">
      <c r="A183" s="3">
        <v>40963</v>
      </c>
      <c r="B183" s="4">
        <v>76693933.777998999</v>
      </c>
    </row>
    <row r="184" spans="1:2" x14ac:dyDescent="0.2">
      <c r="A184" s="3">
        <v>40966</v>
      </c>
      <c r="B184" s="4">
        <v>76259576.523812994</v>
      </c>
    </row>
    <row r="185" spans="1:2" x14ac:dyDescent="0.2">
      <c r="A185" s="3">
        <v>40967</v>
      </c>
      <c r="B185" s="4">
        <v>75571939.676747993</v>
      </c>
    </row>
    <row r="186" spans="1:2" x14ac:dyDescent="0.2">
      <c r="A186" s="3">
        <v>40968</v>
      </c>
      <c r="B186" s="4">
        <v>76968587.813905999</v>
      </c>
    </row>
    <row r="187" spans="1:2" x14ac:dyDescent="0.2">
      <c r="A187" s="3">
        <v>40969</v>
      </c>
      <c r="B187" s="4">
        <v>90168328.392536998</v>
      </c>
    </row>
    <row r="188" spans="1:2" x14ac:dyDescent="0.2">
      <c r="A188" s="3">
        <v>40970</v>
      </c>
      <c r="B188" s="4">
        <v>89547934.229680002</v>
      </c>
    </row>
    <row r="189" spans="1:2" x14ac:dyDescent="0.2">
      <c r="A189" s="3">
        <v>40973</v>
      </c>
      <c r="B189" s="4">
        <v>91517899.258293003</v>
      </c>
    </row>
    <row r="190" spans="1:2" x14ac:dyDescent="0.2">
      <c r="A190" s="3">
        <v>40974</v>
      </c>
      <c r="B190" s="4">
        <v>90544763.495988995</v>
      </c>
    </row>
    <row r="191" spans="1:2" x14ac:dyDescent="0.2">
      <c r="A191" s="3">
        <v>40975</v>
      </c>
      <c r="B191" s="4">
        <v>91993700.054475993</v>
      </c>
    </row>
    <row r="192" spans="1:2" x14ac:dyDescent="0.2">
      <c r="A192" s="3">
        <v>40976</v>
      </c>
      <c r="B192" s="4">
        <v>93113861.714732006</v>
      </c>
    </row>
    <row r="193" spans="1:2" x14ac:dyDescent="0.2">
      <c r="A193" s="3">
        <v>40977</v>
      </c>
      <c r="B193" s="4">
        <v>91944950.100775003</v>
      </c>
    </row>
    <row r="194" spans="1:2" x14ac:dyDescent="0.2">
      <c r="A194" s="3">
        <v>40980</v>
      </c>
      <c r="B194" s="4">
        <v>95526798.743256003</v>
      </c>
    </row>
    <row r="195" spans="1:2" x14ac:dyDescent="0.2">
      <c r="A195" s="3">
        <v>40981</v>
      </c>
      <c r="B195" s="4">
        <v>97161222.068205997</v>
      </c>
    </row>
    <row r="196" spans="1:2" x14ac:dyDescent="0.2">
      <c r="A196" s="3">
        <v>40982</v>
      </c>
      <c r="B196" s="4">
        <v>100029275.71738601</v>
      </c>
    </row>
    <row r="197" spans="1:2" x14ac:dyDescent="0.2">
      <c r="A197" s="3">
        <v>40983</v>
      </c>
      <c r="B197" s="4">
        <v>100415206.96423</v>
      </c>
    </row>
    <row r="198" spans="1:2" x14ac:dyDescent="0.2">
      <c r="A198" s="3">
        <v>40984</v>
      </c>
      <c r="B198" s="4">
        <v>99981921.626603007</v>
      </c>
    </row>
    <row r="199" spans="1:2" x14ac:dyDescent="0.2">
      <c r="A199" s="3">
        <v>40987</v>
      </c>
      <c r="B199" s="4">
        <v>100951438.722077</v>
      </c>
    </row>
    <row r="200" spans="1:2" x14ac:dyDescent="0.2">
      <c r="A200" s="3">
        <v>40988</v>
      </c>
      <c r="B200" s="4">
        <v>99545966.082737997</v>
      </c>
    </row>
    <row r="201" spans="1:2" x14ac:dyDescent="0.2">
      <c r="A201" s="3">
        <v>40989</v>
      </c>
      <c r="B201" s="4">
        <v>98767320.719181001</v>
      </c>
    </row>
    <row r="202" spans="1:2" x14ac:dyDescent="0.2">
      <c r="A202" s="3">
        <v>40990</v>
      </c>
      <c r="B202" s="4">
        <v>105062784.436915</v>
      </c>
    </row>
    <row r="203" spans="1:2" x14ac:dyDescent="0.2">
      <c r="A203" s="3">
        <v>40991</v>
      </c>
      <c r="B203" s="4">
        <v>104805084.986145</v>
      </c>
    </row>
    <row r="204" spans="1:2" x14ac:dyDescent="0.2">
      <c r="A204" s="3">
        <v>40994</v>
      </c>
      <c r="B204" s="4">
        <v>104636950.232749</v>
      </c>
    </row>
    <row r="205" spans="1:2" x14ac:dyDescent="0.2">
      <c r="A205" s="3">
        <v>40995</v>
      </c>
      <c r="B205" s="4">
        <v>103223881.286476</v>
      </c>
    </row>
    <row r="206" spans="1:2" x14ac:dyDescent="0.2">
      <c r="A206" s="3">
        <v>40996</v>
      </c>
      <c r="B206" s="4">
        <v>103499340.915711</v>
      </c>
    </row>
    <row r="207" spans="1:2" x14ac:dyDescent="0.2">
      <c r="A207" s="3">
        <v>40997</v>
      </c>
      <c r="B207" s="4">
        <v>103046686.447501</v>
      </c>
    </row>
    <row r="208" spans="1:2" x14ac:dyDescent="0.2">
      <c r="A208" s="3">
        <v>40998</v>
      </c>
      <c r="B208" s="4">
        <v>103824256.14947499</v>
      </c>
    </row>
    <row r="209" spans="1:2" x14ac:dyDescent="0.2">
      <c r="A209" s="3">
        <v>41001</v>
      </c>
      <c r="B209" s="4">
        <v>109934087.254335</v>
      </c>
    </row>
    <row r="210" spans="1:2" x14ac:dyDescent="0.2">
      <c r="A210" s="3">
        <v>41002</v>
      </c>
      <c r="B210" s="4">
        <v>105441711.22273301</v>
      </c>
    </row>
    <row r="211" spans="1:2" x14ac:dyDescent="0.2">
      <c r="A211" s="3">
        <v>41003</v>
      </c>
      <c r="B211" s="4">
        <v>104394948.45191599</v>
      </c>
    </row>
    <row r="212" spans="1:2" x14ac:dyDescent="0.2">
      <c r="A212" s="3">
        <v>41004</v>
      </c>
      <c r="B212" s="4">
        <v>103204372.54161701</v>
      </c>
    </row>
    <row r="213" spans="1:2" x14ac:dyDescent="0.2">
      <c r="A213" s="3">
        <v>41005</v>
      </c>
      <c r="B213" s="4">
        <v>109981707.786222</v>
      </c>
    </row>
    <row r="214" spans="1:2" x14ac:dyDescent="0.2">
      <c r="A214" s="3">
        <v>41008</v>
      </c>
      <c r="B214" s="4">
        <v>109455975.201728</v>
      </c>
    </row>
    <row r="215" spans="1:2" x14ac:dyDescent="0.2">
      <c r="A215" s="3">
        <v>41009</v>
      </c>
      <c r="B215" s="4">
        <v>110530341.740344</v>
      </c>
    </row>
    <row r="216" spans="1:2" x14ac:dyDescent="0.2">
      <c r="A216" s="3">
        <v>41010</v>
      </c>
      <c r="B216" s="4">
        <v>116024175.192808</v>
      </c>
    </row>
    <row r="217" spans="1:2" x14ac:dyDescent="0.2">
      <c r="A217" s="3">
        <v>41011</v>
      </c>
      <c r="B217" s="4">
        <v>119132694.289004</v>
      </c>
    </row>
    <row r="218" spans="1:2" x14ac:dyDescent="0.2">
      <c r="A218" s="3">
        <v>41012</v>
      </c>
      <c r="B218" s="4">
        <v>122603139.821419</v>
      </c>
    </row>
    <row r="219" spans="1:2" x14ac:dyDescent="0.2">
      <c r="A219" s="3">
        <v>41015</v>
      </c>
      <c r="B219" s="4">
        <v>121723031.03613199</v>
      </c>
    </row>
    <row r="220" spans="1:2" x14ac:dyDescent="0.2">
      <c r="A220" s="3">
        <v>41016</v>
      </c>
      <c r="B220" s="4">
        <v>133409244.45327</v>
      </c>
    </row>
    <row r="221" spans="1:2" x14ac:dyDescent="0.2">
      <c r="A221" s="3">
        <v>41017</v>
      </c>
      <c r="B221" s="4">
        <v>132369318.447423</v>
      </c>
    </row>
    <row r="222" spans="1:2" x14ac:dyDescent="0.2">
      <c r="A222" s="3">
        <v>41018</v>
      </c>
      <c r="B222" s="4">
        <v>129071198.304906</v>
      </c>
    </row>
    <row r="223" spans="1:2" x14ac:dyDescent="0.2">
      <c r="A223" s="3">
        <v>41019</v>
      </c>
      <c r="B223" s="4">
        <v>129592311.845024</v>
      </c>
    </row>
    <row r="224" spans="1:2" x14ac:dyDescent="0.2">
      <c r="A224" s="3">
        <v>41022</v>
      </c>
      <c r="B224" s="4">
        <v>128400354.911164</v>
      </c>
    </row>
    <row r="225" spans="1:2" x14ac:dyDescent="0.2">
      <c r="A225" s="3">
        <v>41023</v>
      </c>
      <c r="B225" s="4">
        <v>125008693.53763901</v>
      </c>
    </row>
    <row r="226" spans="1:2" x14ac:dyDescent="0.2">
      <c r="A226" s="3">
        <v>41024</v>
      </c>
      <c r="B226" s="4">
        <v>127972928.219466</v>
      </c>
    </row>
    <row r="227" spans="1:2" x14ac:dyDescent="0.2">
      <c r="A227" s="3">
        <v>41025</v>
      </c>
      <c r="B227" s="4">
        <v>135703080.17941299</v>
      </c>
    </row>
    <row r="228" spans="1:2" x14ac:dyDescent="0.2">
      <c r="A228" s="3">
        <v>41026</v>
      </c>
      <c r="B228" s="4">
        <v>131482245.976068</v>
      </c>
    </row>
    <row r="229" spans="1:2" x14ac:dyDescent="0.2">
      <c r="A229" s="3">
        <v>41029</v>
      </c>
      <c r="B229" s="4">
        <v>128721789.19695599</v>
      </c>
    </row>
    <row r="230" spans="1:2" x14ac:dyDescent="0.2">
      <c r="A230" s="3">
        <v>41030</v>
      </c>
      <c r="B230" s="4">
        <v>137619474.77511099</v>
      </c>
    </row>
    <row r="231" spans="1:2" x14ac:dyDescent="0.2">
      <c r="A231" s="3">
        <v>41031</v>
      </c>
      <c r="B231" s="4">
        <v>137068353.00955001</v>
      </c>
    </row>
    <row r="232" spans="1:2" x14ac:dyDescent="0.2">
      <c r="A232" s="3">
        <v>41032</v>
      </c>
      <c r="B232" s="4">
        <v>137667257.248337</v>
      </c>
    </row>
    <row r="233" spans="1:2" x14ac:dyDescent="0.2">
      <c r="A233" s="3">
        <v>41033</v>
      </c>
      <c r="B233" s="4">
        <v>136884091.04695699</v>
      </c>
    </row>
    <row r="234" spans="1:2" x14ac:dyDescent="0.2">
      <c r="A234" s="3">
        <v>41036</v>
      </c>
      <c r="B234" s="4">
        <v>137175288.755889</v>
      </c>
    </row>
    <row r="235" spans="1:2" x14ac:dyDescent="0.2">
      <c r="A235" s="3">
        <v>41037</v>
      </c>
      <c r="B235" s="4">
        <v>136485617.141193</v>
      </c>
    </row>
    <row r="236" spans="1:2" x14ac:dyDescent="0.2">
      <c r="A236" s="3">
        <v>41038</v>
      </c>
      <c r="B236" s="4">
        <v>134059250.92117099</v>
      </c>
    </row>
    <row r="237" spans="1:2" x14ac:dyDescent="0.2">
      <c r="A237" s="3">
        <v>41039</v>
      </c>
      <c r="B237" s="4">
        <v>143187818.31066999</v>
      </c>
    </row>
    <row r="238" spans="1:2" x14ac:dyDescent="0.2">
      <c r="A238" s="3">
        <v>41040</v>
      </c>
      <c r="B238" s="4">
        <v>143082564.503757</v>
      </c>
    </row>
    <row r="239" spans="1:2" x14ac:dyDescent="0.2">
      <c r="A239" s="3">
        <v>41043</v>
      </c>
      <c r="B239" s="4">
        <v>141059956.36781299</v>
      </c>
    </row>
    <row r="240" spans="1:2" x14ac:dyDescent="0.2">
      <c r="A240" s="3">
        <v>41044</v>
      </c>
      <c r="B240" s="4">
        <v>140100547.60620299</v>
      </c>
    </row>
    <row r="241" spans="1:2" x14ac:dyDescent="0.2">
      <c r="A241" s="3">
        <v>41045</v>
      </c>
      <c r="B241" s="4">
        <v>134657822.698908</v>
      </c>
    </row>
    <row r="242" spans="1:2" x14ac:dyDescent="0.2">
      <c r="A242" s="3">
        <v>41046</v>
      </c>
      <c r="B242" s="4">
        <v>126406197.639731</v>
      </c>
    </row>
    <row r="243" spans="1:2" x14ac:dyDescent="0.2">
      <c r="A243" s="3">
        <v>41047</v>
      </c>
      <c r="B243" s="4">
        <v>126959674.200827</v>
      </c>
    </row>
    <row r="244" spans="1:2" x14ac:dyDescent="0.2">
      <c r="A244" s="3">
        <v>41050</v>
      </c>
      <c r="B244" s="4">
        <v>130001046.83808</v>
      </c>
    </row>
    <row r="245" spans="1:2" x14ac:dyDescent="0.2">
      <c r="A245" s="3">
        <v>41051</v>
      </c>
      <c r="B245" s="4">
        <v>130582686.092421</v>
      </c>
    </row>
    <row r="246" spans="1:2" x14ac:dyDescent="0.2">
      <c r="A246" s="3">
        <v>41052</v>
      </c>
      <c r="B246" s="4">
        <v>128698384.987352</v>
      </c>
    </row>
    <row r="247" spans="1:2" x14ac:dyDescent="0.2">
      <c r="A247" s="3">
        <v>41053</v>
      </c>
      <c r="B247" s="4">
        <v>130077577.73599701</v>
      </c>
    </row>
    <row r="248" spans="1:2" x14ac:dyDescent="0.2">
      <c r="A248" s="3">
        <v>41054</v>
      </c>
      <c r="B248" s="4">
        <v>129435031.993247</v>
      </c>
    </row>
    <row r="249" spans="1:2" x14ac:dyDescent="0.2">
      <c r="A249" s="3">
        <v>41058</v>
      </c>
      <c r="B249" s="4">
        <v>126926175.954521</v>
      </c>
    </row>
    <row r="250" spans="1:2" x14ac:dyDescent="0.2">
      <c r="A250" s="3">
        <v>41059</v>
      </c>
      <c r="B250" s="4">
        <v>130638485.62880599</v>
      </c>
    </row>
    <row r="251" spans="1:2" x14ac:dyDescent="0.2">
      <c r="A251" s="3">
        <v>41060</v>
      </c>
      <c r="B251" s="4">
        <v>130577492.65129399</v>
      </c>
    </row>
    <row r="252" spans="1:2" x14ac:dyDescent="0.2">
      <c r="A252" s="3">
        <v>41061</v>
      </c>
      <c r="B252" s="4">
        <v>123310594.01515</v>
      </c>
    </row>
    <row r="253" spans="1:2" x14ac:dyDescent="0.2">
      <c r="A253" s="3">
        <v>41064</v>
      </c>
      <c r="B253" s="4">
        <v>127611402.113684</v>
      </c>
    </row>
    <row r="254" spans="1:2" x14ac:dyDescent="0.2">
      <c r="A254" s="3">
        <v>41065</v>
      </c>
      <c r="B254" s="4">
        <v>134456828.600283</v>
      </c>
    </row>
    <row r="255" spans="1:2" x14ac:dyDescent="0.2">
      <c r="A255" s="3">
        <v>41066</v>
      </c>
      <c r="B255" s="4">
        <v>138612349.08282799</v>
      </c>
    </row>
    <row r="256" spans="1:2" x14ac:dyDescent="0.2">
      <c r="A256" s="3">
        <v>41067</v>
      </c>
      <c r="B256" s="4">
        <v>138418713.85752901</v>
      </c>
    </row>
    <row r="257" spans="1:2" x14ac:dyDescent="0.2">
      <c r="A257" s="3">
        <v>41068</v>
      </c>
      <c r="B257" s="4">
        <v>135805818.571233</v>
      </c>
    </row>
    <row r="258" spans="1:2" x14ac:dyDescent="0.2">
      <c r="A258" s="3">
        <v>41071</v>
      </c>
      <c r="B258" s="4">
        <v>132671760.352781</v>
      </c>
    </row>
    <row r="259" spans="1:2" x14ac:dyDescent="0.2">
      <c r="A259" s="3">
        <v>41072</v>
      </c>
      <c r="B259" s="4">
        <v>135377219.479173</v>
      </c>
    </row>
    <row r="260" spans="1:2" x14ac:dyDescent="0.2">
      <c r="A260" s="3">
        <v>41073</v>
      </c>
      <c r="B260" s="4">
        <v>144809416.587892</v>
      </c>
    </row>
    <row r="261" spans="1:2" x14ac:dyDescent="0.2">
      <c r="A261" s="3">
        <v>41074</v>
      </c>
      <c r="B261" s="4">
        <v>160214042.24346399</v>
      </c>
    </row>
    <row r="262" spans="1:2" x14ac:dyDescent="0.2">
      <c r="A262" s="3">
        <v>41075</v>
      </c>
      <c r="B262" s="4">
        <v>160934536.73628101</v>
      </c>
    </row>
    <row r="263" spans="1:2" x14ac:dyDescent="0.2">
      <c r="A263" s="3">
        <v>41078</v>
      </c>
      <c r="B263" s="4">
        <v>155992207.52922699</v>
      </c>
    </row>
    <row r="264" spans="1:2" x14ac:dyDescent="0.2">
      <c r="A264" s="3">
        <v>41079</v>
      </c>
      <c r="B264" s="4">
        <v>155818570.47053</v>
      </c>
    </row>
    <row r="265" spans="1:2" x14ac:dyDescent="0.2">
      <c r="A265" s="3">
        <v>41080</v>
      </c>
      <c r="B265" s="4">
        <v>157379600.15679201</v>
      </c>
    </row>
    <row r="266" spans="1:2" x14ac:dyDescent="0.2">
      <c r="A266" s="3">
        <v>41081</v>
      </c>
      <c r="B266" s="4">
        <v>156060952.15062499</v>
      </c>
    </row>
    <row r="267" spans="1:2" x14ac:dyDescent="0.2">
      <c r="A267" s="3">
        <v>41082</v>
      </c>
      <c r="B267" s="4">
        <v>157993018.86230701</v>
      </c>
    </row>
    <row r="268" spans="1:2" x14ac:dyDescent="0.2">
      <c r="A268" s="3">
        <v>41085</v>
      </c>
      <c r="B268" s="4">
        <v>157657470.74616599</v>
      </c>
    </row>
    <row r="269" spans="1:2" x14ac:dyDescent="0.2">
      <c r="A269" s="3">
        <v>41086</v>
      </c>
      <c r="B269" s="4">
        <v>146376954.621214</v>
      </c>
    </row>
    <row r="270" spans="1:2" x14ac:dyDescent="0.2">
      <c r="A270" s="3">
        <v>41087</v>
      </c>
      <c r="B270" s="4">
        <v>149031965.25030699</v>
      </c>
    </row>
    <row r="271" spans="1:2" x14ac:dyDescent="0.2">
      <c r="A271" s="3">
        <v>41088</v>
      </c>
      <c r="B271" s="4">
        <v>147857547.24159899</v>
      </c>
    </row>
    <row r="272" spans="1:2" x14ac:dyDescent="0.2">
      <c r="A272" s="3">
        <v>41089</v>
      </c>
      <c r="B272" s="4">
        <v>151726293.45125699</v>
      </c>
    </row>
    <row r="273" spans="1:2" x14ac:dyDescent="0.2">
      <c r="A273" s="3">
        <v>41092</v>
      </c>
      <c r="B273" s="4">
        <v>148600983.842031</v>
      </c>
    </row>
    <row r="274" spans="1:2" x14ac:dyDescent="0.2">
      <c r="A274" s="3">
        <v>41093</v>
      </c>
      <c r="B274" s="4">
        <v>149901230.689183</v>
      </c>
    </row>
    <row r="275" spans="1:2" x14ac:dyDescent="0.2">
      <c r="A275" s="3">
        <v>41095</v>
      </c>
      <c r="B275" s="4">
        <v>149348419.53285</v>
      </c>
    </row>
    <row r="276" spans="1:2" x14ac:dyDescent="0.2">
      <c r="A276" s="3">
        <v>41096</v>
      </c>
      <c r="B276" s="4">
        <v>147841434.582706</v>
      </c>
    </row>
    <row r="277" spans="1:2" x14ac:dyDescent="0.2">
      <c r="A277" s="3">
        <v>41099</v>
      </c>
      <c r="B277" s="4">
        <v>148750801.480537</v>
      </c>
    </row>
    <row r="278" spans="1:2" x14ac:dyDescent="0.2">
      <c r="A278" s="3">
        <v>41100</v>
      </c>
      <c r="B278" s="4">
        <v>146281007.30831701</v>
      </c>
    </row>
    <row r="279" spans="1:2" x14ac:dyDescent="0.2">
      <c r="A279" s="3">
        <v>41101</v>
      </c>
      <c r="B279" s="4">
        <v>158861240.46990699</v>
      </c>
    </row>
    <row r="280" spans="1:2" x14ac:dyDescent="0.2">
      <c r="A280" s="3">
        <v>41102</v>
      </c>
      <c r="B280" s="4">
        <v>155535320.24672201</v>
      </c>
    </row>
    <row r="281" spans="1:2" x14ac:dyDescent="0.2">
      <c r="A281" s="3">
        <v>41103</v>
      </c>
      <c r="B281" s="4">
        <v>157160865.79664099</v>
      </c>
    </row>
    <row r="282" spans="1:2" x14ac:dyDescent="0.2">
      <c r="A282" s="3">
        <v>41106</v>
      </c>
      <c r="B282" s="4">
        <v>154726722.96075299</v>
      </c>
    </row>
    <row r="283" spans="1:2" x14ac:dyDescent="0.2">
      <c r="A283" s="3">
        <v>41107</v>
      </c>
      <c r="B283" s="4">
        <v>155623424.301963</v>
      </c>
    </row>
    <row r="284" spans="1:2" x14ac:dyDescent="0.2">
      <c r="A284" s="3">
        <v>41108</v>
      </c>
      <c r="B284" s="4">
        <v>147298527.04357299</v>
      </c>
    </row>
    <row r="285" spans="1:2" x14ac:dyDescent="0.2">
      <c r="A285" s="3">
        <v>41109</v>
      </c>
      <c r="B285" s="4">
        <v>150797055.65551099</v>
      </c>
    </row>
    <row r="286" spans="1:2" x14ac:dyDescent="0.2">
      <c r="A286" s="3">
        <v>41110</v>
      </c>
      <c r="B286" s="4">
        <v>146117479.21373701</v>
      </c>
    </row>
    <row r="287" spans="1:2" x14ac:dyDescent="0.2">
      <c r="A287" s="3">
        <v>41113</v>
      </c>
      <c r="B287" s="4">
        <v>144893885.303819</v>
      </c>
    </row>
    <row r="288" spans="1:2" x14ac:dyDescent="0.2">
      <c r="A288" s="3">
        <v>41114</v>
      </c>
      <c r="B288" s="4">
        <v>144321333.43600199</v>
      </c>
    </row>
    <row r="289" spans="1:2" x14ac:dyDescent="0.2">
      <c r="A289" s="3">
        <v>41115</v>
      </c>
      <c r="B289" s="4">
        <v>144843137.45645699</v>
      </c>
    </row>
    <row r="290" spans="1:2" x14ac:dyDescent="0.2">
      <c r="A290" s="3">
        <v>41116</v>
      </c>
      <c r="B290" s="4">
        <v>143864070.87652001</v>
      </c>
    </row>
    <row r="291" spans="1:2" x14ac:dyDescent="0.2">
      <c r="A291" s="3">
        <v>41117</v>
      </c>
      <c r="B291" s="4">
        <v>148101099.58279601</v>
      </c>
    </row>
    <row r="292" spans="1:2" x14ac:dyDescent="0.2">
      <c r="A292" s="3">
        <v>41120</v>
      </c>
      <c r="B292" s="4">
        <v>145176714.302513</v>
      </c>
    </row>
    <row r="293" spans="1:2" x14ac:dyDescent="0.2">
      <c r="A293" s="3">
        <v>41121</v>
      </c>
      <c r="B293" s="4">
        <v>150974422.99702701</v>
      </c>
    </row>
    <row r="294" spans="1:2" x14ac:dyDescent="0.2">
      <c r="A294" s="3">
        <v>41122</v>
      </c>
      <c r="B294" s="4">
        <v>157565028.30939901</v>
      </c>
    </row>
    <row r="295" spans="1:2" x14ac:dyDescent="0.2">
      <c r="A295" s="3">
        <v>41123</v>
      </c>
      <c r="B295" s="4">
        <v>158802128.65368599</v>
      </c>
    </row>
    <row r="296" spans="1:2" x14ac:dyDescent="0.2">
      <c r="A296" s="3">
        <v>41124</v>
      </c>
      <c r="B296" s="4">
        <v>164822163.62084299</v>
      </c>
    </row>
    <row r="297" spans="1:2" x14ac:dyDescent="0.2">
      <c r="A297" s="3">
        <v>41127</v>
      </c>
      <c r="B297" s="4">
        <v>164998541.70555401</v>
      </c>
    </row>
    <row r="298" spans="1:2" x14ac:dyDescent="0.2">
      <c r="A298" s="3">
        <v>41128</v>
      </c>
      <c r="B298" s="4">
        <v>173604955.715691</v>
      </c>
    </row>
    <row r="299" spans="1:2" x14ac:dyDescent="0.2">
      <c r="A299" s="3">
        <v>41129</v>
      </c>
      <c r="B299" s="4">
        <v>182648610.994982</v>
      </c>
    </row>
    <row r="300" spans="1:2" x14ac:dyDescent="0.2">
      <c r="A300" s="3">
        <v>41130</v>
      </c>
      <c r="B300" s="4">
        <v>196648560.74004301</v>
      </c>
    </row>
    <row r="301" spans="1:2" x14ac:dyDescent="0.2">
      <c r="A301" s="3">
        <v>41131</v>
      </c>
      <c r="B301" s="4">
        <v>196640790.72975099</v>
      </c>
    </row>
    <row r="302" spans="1:2" x14ac:dyDescent="0.2">
      <c r="A302" s="3">
        <v>41134</v>
      </c>
      <c r="B302" s="4">
        <v>205467677.371562</v>
      </c>
    </row>
    <row r="303" spans="1:2" x14ac:dyDescent="0.2">
      <c r="A303" s="3">
        <v>41135</v>
      </c>
      <c r="B303" s="4">
        <v>207131436.197153</v>
      </c>
    </row>
    <row r="304" spans="1:2" x14ac:dyDescent="0.2">
      <c r="A304" s="3">
        <v>41136</v>
      </c>
      <c r="B304" s="4">
        <v>211734375.647569</v>
      </c>
    </row>
    <row r="305" spans="1:2" x14ac:dyDescent="0.2">
      <c r="A305" s="3">
        <v>41137</v>
      </c>
      <c r="B305" s="4">
        <v>212241135.59631199</v>
      </c>
    </row>
    <row r="306" spans="1:2" x14ac:dyDescent="0.2">
      <c r="A306" s="3">
        <v>41138</v>
      </c>
      <c r="B306" s="4">
        <v>210884046.45781699</v>
      </c>
    </row>
    <row r="307" spans="1:2" x14ac:dyDescent="0.2">
      <c r="A307" s="3">
        <v>41141</v>
      </c>
      <c r="B307" s="4">
        <v>210408756.72825</v>
      </c>
    </row>
    <row r="308" spans="1:2" x14ac:dyDescent="0.2">
      <c r="A308" s="3">
        <v>41142</v>
      </c>
      <c r="B308" s="4">
        <v>213513371.87103799</v>
      </c>
    </row>
    <row r="309" spans="1:2" x14ac:dyDescent="0.2">
      <c r="A309" s="3">
        <v>41143</v>
      </c>
      <c r="B309" s="4">
        <v>213311343.06040299</v>
      </c>
    </row>
    <row r="310" spans="1:2" x14ac:dyDescent="0.2">
      <c r="A310" s="3">
        <v>41144</v>
      </c>
      <c r="B310" s="4">
        <v>227989771.222693</v>
      </c>
    </row>
    <row r="311" spans="1:2" x14ac:dyDescent="0.2">
      <c r="A311" s="3">
        <v>41145</v>
      </c>
      <c r="B311" s="4">
        <v>228742545.862748</v>
      </c>
    </row>
    <row r="312" spans="1:2" x14ac:dyDescent="0.2">
      <c r="A312" s="3">
        <v>41148</v>
      </c>
      <c r="B312" s="4">
        <v>229681557.08665401</v>
      </c>
    </row>
    <row r="313" spans="1:2" x14ac:dyDescent="0.2">
      <c r="A313" s="3">
        <v>41149</v>
      </c>
      <c r="B313" s="4">
        <v>227141355.448071</v>
      </c>
    </row>
    <row r="314" spans="1:2" x14ac:dyDescent="0.2">
      <c r="A314" s="3">
        <v>41150</v>
      </c>
      <c r="B314" s="4">
        <v>228218194.45493099</v>
      </c>
    </row>
    <row r="315" spans="1:2" x14ac:dyDescent="0.2">
      <c r="A315" s="3">
        <v>41151</v>
      </c>
      <c r="B315" s="4">
        <v>227814948.921444</v>
      </c>
    </row>
    <row r="316" spans="1:2" x14ac:dyDescent="0.2">
      <c r="A316" s="3">
        <v>41152</v>
      </c>
      <c r="B316" s="4">
        <v>227619435.04939499</v>
      </c>
    </row>
    <row r="317" spans="1:2" x14ac:dyDescent="0.2">
      <c r="A317" s="3">
        <v>41156</v>
      </c>
      <c r="B317" s="4">
        <v>228514038.21615899</v>
      </c>
    </row>
    <row r="318" spans="1:2" x14ac:dyDescent="0.2">
      <c r="A318" s="3">
        <v>41157</v>
      </c>
      <c r="B318" s="4">
        <v>228129284.86062899</v>
      </c>
    </row>
    <row r="319" spans="1:2" x14ac:dyDescent="0.2">
      <c r="A319" s="3">
        <v>41158</v>
      </c>
      <c r="B319" s="4">
        <v>228198953.90193701</v>
      </c>
    </row>
    <row r="320" spans="1:2" x14ac:dyDescent="0.2">
      <c r="A320" s="3">
        <v>41159</v>
      </c>
      <c r="B320" s="4">
        <v>226890730.65184101</v>
      </c>
    </row>
    <row r="321" spans="1:2" x14ac:dyDescent="0.2">
      <c r="A321" s="3">
        <v>41162</v>
      </c>
      <c r="B321" s="4">
        <v>229586092.10090399</v>
      </c>
    </row>
    <row r="322" spans="1:2" x14ac:dyDescent="0.2">
      <c r="A322" s="3">
        <v>41163</v>
      </c>
      <c r="B322" s="4">
        <v>227575620.02989501</v>
      </c>
    </row>
    <row r="323" spans="1:2" x14ac:dyDescent="0.2">
      <c r="A323" s="3">
        <v>41164</v>
      </c>
      <c r="B323" s="4">
        <v>221676825.49942401</v>
      </c>
    </row>
    <row r="324" spans="1:2" x14ac:dyDescent="0.2">
      <c r="A324" s="3">
        <v>41165</v>
      </c>
      <c r="B324" s="4">
        <v>214055787.88280699</v>
      </c>
    </row>
    <row r="325" spans="1:2" x14ac:dyDescent="0.2">
      <c r="A325" s="3">
        <v>41166</v>
      </c>
      <c r="B325" s="4">
        <v>217865159.41273299</v>
      </c>
    </row>
    <row r="326" spans="1:2" x14ac:dyDescent="0.2">
      <c r="A326" s="3">
        <v>41169</v>
      </c>
      <c r="B326" s="4">
        <v>209664030.10308701</v>
      </c>
    </row>
    <row r="327" spans="1:2" x14ac:dyDescent="0.2">
      <c r="A327" s="3">
        <v>41170</v>
      </c>
      <c r="B327" s="4">
        <v>203975808.58456799</v>
      </c>
    </row>
    <row r="328" spans="1:2" x14ac:dyDescent="0.2">
      <c r="A328" s="3">
        <v>41171</v>
      </c>
      <c r="B328" s="4">
        <v>194132116.54617301</v>
      </c>
    </row>
    <row r="329" spans="1:2" x14ac:dyDescent="0.2">
      <c r="A329" s="3">
        <v>41172</v>
      </c>
      <c r="B329" s="4">
        <v>185405743.88563401</v>
      </c>
    </row>
    <row r="330" spans="1:2" x14ac:dyDescent="0.2">
      <c r="A330" s="3">
        <v>41173</v>
      </c>
      <c r="B330" s="4">
        <v>182429187.251378</v>
      </c>
    </row>
    <row r="331" spans="1:2" x14ac:dyDescent="0.2">
      <c r="A331" s="3">
        <v>41176</v>
      </c>
      <c r="B331" s="4">
        <v>173725210.465404</v>
      </c>
    </row>
    <row r="332" spans="1:2" x14ac:dyDescent="0.2">
      <c r="A332" s="3">
        <v>41177</v>
      </c>
      <c r="B332" s="4">
        <v>157081892.284242</v>
      </c>
    </row>
    <row r="333" spans="1:2" x14ac:dyDescent="0.2">
      <c r="A333" s="3">
        <v>41178</v>
      </c>
      <c r="B333" s="4">
        <v>152801641.50608999</v>
      </c>
    </row>
    <row r="334" spans="1:2" x14ac:dyDescent="0.2">
      <c r="A334" s="3">
        <v>41179</v>
      </c>
      <c r="B334" s="4">
        <v>144355331.71007499</v>
      </c>
    </row>
    <row r="335" spans="1:2" x14ac:dyDescent="0.2">
      <c r="A335" s="3">
        <v>41180</v>
      </c>
      <c r="B335" s="4">
        <v>147316447.43821201</v>
      </c>
    </row>
    <row r="336" spans="1:2" x14ac:dyDescent="0.2">
      <c r="A336" s="3">
        <v>41183</v>
      </c>
      <c r="B336" s="4">
        <v>144555216.35273901</v>
      </c>
    </row>
    <row r="337" spans="1:2" x14ac:dyDescent="0.2">
      <c r="A337" s="3">
        <v>41184</v>
      </c>
      <c r="B337" s="4">
        <v>143803855.737721</v>
      </c>
    </row>
    <row r="338" spans="1:2" x14ac:dyDescent="0.2">
      <c r="A338" s="3">
        <v>41185</v>
      </c>
      <c r="B338" s="4">
        <v>144733641.08822599</v>
      </c>
    </row>
    <row r="339" spans="1:2" x14ac:dyDescent="0.2">
      <c r="A339" s="3">
        <v>41186</v>
      </c>
      <c r="B339" s="4">
        <v>146352113.25417</v>
      </c>
    </row>
    <row r="340" spans="1:2" x14ac:dyDescent="0.2">
      <c r="A340" s="3">
        <v>41187</v>
      </c>
      <c r="B340" s="4">
        <v>146352278.34989899</v>
      </c>
    </row>
    <row r="341" spans="1:2" x14ac:dyDescent="0.2">
      <c r="A341" s="3">
        <v>41191</v>
      </c>
      <c r="B341" s="4">
        <v>148370699.26774299</v>
      </c>
    </row>
    <row r="342" spans="1:2" x14ac:dyDescent="0.2">
      <c r="A342" s="3">
        <v>41192</v>
      </c>
      <c r="B342" s="4">
        <v>146709021.20787701</v>
      </c>
    </row>
    <row r="343" spans="1:2" x14ac:dyDescent="0.2">
      <c r="A343" s="3">
        <v>41193</v>
      </c>
      <c r="B343" s="4">
        <v>141840811.24033901</v>
      </c>
    </row>
    <row r="344" spans="1:2" x14ac:dyDescent="0.2">
      <c r="A344" s="3">
        <v>41194</v>
      </c>
      <c r="B344" s="4">
        <v>141149606.349814</v>
      </c>
    </row>
    <row r="345" spans="1:2" x14ac:dyDescent="0.2">
      <c r="A345" s="3">
        <v>41197</v>
      </c>
      <c r="B345" s="4">
        <v>141966285.49755201</v>
      </c>
    </row>
    <row r="346" spans="1:2" x14ac:dyDescent="0.2">
      <c r="A346" s="3">
        <v>41198</v>
      </c>
      <c r="B346" s="4">
        <v>146503143.01394299</v>
      </c>
    </row>
    <row r="347" spans="1:2" x14ac:dyDescent="0.2">
      <c r="A347" s="3">
        <v>41199</v>
      </c>
      <c r="B347" s="4">
        <v>148311496.69989699</v>
      </c>
    </row>
    <row r="348" spans="1:2" x14ac:dyDescent="0.2">
      <c r="A348" s="3">
        <v>41200</v>
      </c>
      <c r="B348" s="4">
        <v>149415248.530844</v>
      </c>
    </row>
    <row r="349" spans="1:2" x14ac:dyDescent="0.2">
      <c r="A349" s="3">
        <v>41201</v>
      </c>
      <c r="B349" s="4">
        <v>146926720.697391</v>
      </c>
    </row>
    <row r="350" spans="1:2" x14ac:dyDescent="0.2">
      <c r="A350" s="3">
        <v>41204</v>
      </c>
      <c r="B350" s="4">
        <v>147592969.055415</v>
      </c>
    </row>
    <row r="351" spans="1:2" x14ac:dyDescent="0.2">
      <c r="A351" s="3">
        <v>41205</v>
      </c>
      <c r="B351" s="4">
        <v>147196027.82021499</v>
      </c>
    </row>
    <row r="352" spans="1:2" x14ac:dyDescent="0.2">
      <c r="A352" s="3">
        <v>41206</v>
      </c>
      <c r="B352" s="4">
        <v>148363893.982014</v>
      </c>
    </row>
    <row r="353" spans="1:2" x14ac:dyDescent="0.2">
      <c r="A353" s="3">
        <v>41207</v>
      </c>
      <c r="B353" s="4">
        <v>148790999.09091899</v>
      </c>
    </row>
    <row r="354" spans="1:2" x14ac:dyDescent="0.2">
      <c r="A354" s="3">
        <v>41208</v>
      </c>
      <c r="B354" s="4">
        <v>145870286.80722699</v>
      </c>
    </row>
    <row r="355" spans="1:2" x14ac:dyDescent="0.2">
      <c r="A355" s="3">
        <v>41211</v>
      </c>
      <c r="B355" s="4">
        <v>145366535.612167</v>
      </c>
    </row>
    <row r="356" spans="1:2" x14ac:dyDescent="0.2">
      <c r="A356" s="3">
        <v>41213</v>
      </c>
      <c r="B356" s="4">
        <v>145074200.37054801</v>
      </c>
    </row>
    <row r="357" spans="1:2" x14ac:dyDescent="0.2">
      <c r="A357" s="3">
        <v>41214</v>
      </c>
      <c r="B357" s="4">
        <v>147049266.59317699</v>
      </c>
    </row>
    <row r="358" spans="1:2" x14ac:dyDescent="0.2">
      <c r="A358" s="3">
        <v>41215</v>
      </c>
      <c r="B358" s="4">
        <v>146285082.59665701</v>
      </c>
    </row>
    <row r="359" spans="1:2" x14ac:dyDescent="0.2">
      <c r="A359" s="3">
        <v>41218</v>
      </c>
      <c r="B359" s="4">
        <v>145718567.03098601</v>
      </c>
    </row>
    <row r="360" spans="1:2" x14ac:dyDescent="0.2">
      <c r="A360" s="3">
        <v>41219</v>
      </c>
      <c r="B360" s="4">
        <v>147058521.03820699</v>
      </c>
    </row>
    <row r="361" spans="1:2" x14ac:dyDescent="0.2">
      <c r="A361" s="3">
        <v>41220</v>
      </c>
      <c r="B361" s="4">
        <v>145170999.11620599</v>
      </c>
    </row>
    <row r="362" spans="1:2" x14ac:dyDescent="0.2">
      <c r="A362" s="3">
        <v>41221</v>
      </c>
      <c r="B362" s="4">
        <v>142784676.142443</v>
      </c>
    </row>
    <row r="363" spans="1:2" x14ac:dyDescent="0.2">
      <c r="A363" s="3">
        <v>41222</v>
      </c>
      <c r="B363" s="4">
        <v>142824845.30554199</v>
      </c>
    </row>
    <row r="364" spans="1:2" x14ac:dyDescent="0.2">
      <c r="A364" s="3">
        <v>41226</v>
      </c>
      <c r="B364" s="4">
        <v>159503830.78797701</v>
      </c>
    </row>
    <row r="365" spans="1:2" x14ac:dyDescent="0.2">
      <c r="A365" s="3">
        <v>41227</v>
      </c>
      <c r="B365" s="4">
        <v>159705428.988684</v>
      </c>
    </row>
    <row r="366" spans="1:2" x14ac:dyDescent="0.2">
      <c r="A366" s="3">
        <v>41228</v>
      </c>
      <c r="B366" s="4">
        <v>167349119.94204801</v>
      </c>
    </row>
    <row r="367" spans="1:2" x14ac:dyDescent="0.2">
      <c r="A367" s="3">
        <v>41229</v>
      </c>
      <c r="B367" s="4">
        <v>166354155.51571301</v>
      </c>
    </row>
    <row r="368" spans="1:2" x14ac:dyDescent="0.2">
      <c r="A368" s="3">
        <v>41232</v>
      </c>
      <c r="B368" s="4">
        <v>166090910.962872</v>
      </c>
    </row>
    <row r="369" spans="1:2" x14ac:dyDescent="0.2">
      <c r="A369" s="3">
        <v>41233</v>
      </c>
      <c r="B369" s="4">
        <v>156768860.27537701</v>
      </c>
    </row>
    <row r="370" spans="1:2" x14ac:dyDescent="0.2">
      <c r="A370" s="3">
        <v>41234</v>
      </c>
      <c r="B370" s="4">
        <v>157270551.66658601</v>
      </c>
    </row>
    <row r="371" spans="1:2" x14ac:dyDescent="0.2">
      <c r="A371" s="3">
        <v>41236</v>
      </c>
      <c r="B371" s="4">
        <v>157458112.52920201</v>
      </c>
    </row>
    <row r="372" spans="1:2" x14ac:dyDescent="0.2">
      <c r="A372" s="3">
        <v>41239</v>
      </c>
      <c r="B372" s="4">
        <v>156971026.639144</v>
      </c>
    </row>
    <row r="373" spans="1:2" x14ac:dyDescent="0.2">
      <c r="A373" s="3">
        <v>41240</v>
      </c>
      <c r="B373" s="4">
        <v>154296278.32615101</v>
      </c>
    </row>
    <row r="374" spans="1:2" x14ac:dyDescent="0.2">
      <c r="A374" s="3">
        <v>41241</v>
      </c>
      <c r="B374" s="4">
        <v>154977482.16077599</v>
      </c>
    </row>
    <row r="375" spans="1:2" x14ac:dyDescent="0.2">
      <c r="A375" s="3">
        <v>41242</v>
      </c>
      <c r="B375" s="4">
        <v>155144130.792979</v>
      </c>
    </row>
    <row r="376" spans="1:2" x14ac:dyDescent="0.2">
      <c r="A376" s="3">
        <v>41243</v>
      </c>
      <c r="B376" s="4">
        <v>155080911.69022501</v>
      </c>
    </row>
    <row r="377" spans="1:2" x14ac:dyDescent="0.2">
      <c r="A377" s="3">
        <v>41246</v>
      </c>
      <c r="B377" s="4">
        <v>159017574.52535099</v>
      </c>
    </row>
    <row r="378" spans="1:2" x14ac:dyDescent="0.2">
      <c r="A378" s="3">
        <v>41247</v>
      </c>
      <c r="B378" s="4">
        <v>165379546.64506599</v>
      </c>
    </row>
    <row r="379" spans="1:2" x14ac:dyDescent="0.2">
      <c r="A379" s="3">
        <v>41248</v>
      </c>
      <c r="B379" s="4">
        <v>165194022.724978</v>
      </c>
    </row>
    <row r="380" spans="1:2" x14ac:dyDescent="0.2">
      <c r="A380" s="3">
        <v>41249</v>
      </c>
      <c r="B380" s="4">
        <v>165936918.90183699</v>
      </c>
    </row>
    <row r="381" spans="1:2" x14ac:dyDescent="0.2">
      <c r="A381" s="3">
        <v>41250</v>
      </c>
      <c r="B381" s="4">
        <v>166980951.06991699</v>
      </c>
    </row>
    <row r="382" spans="1:2" x14ac:dyDescent="0.2">
      <c r="A382" s="3">
        <v>41253</v>
      </c>
      <c r="B382" s="4">
        <v>173265687.09171501</v>
      </c>
    </row>
    <row r="383" spans="1:2" x14ac:dyDescent="0.2">
      <c r="A383" s="3">
        <v>41254</v>
      </c>
      <c r="B383" s="4">
        <v>175037157.94011399</v>
      </c>
    </row>
    <row r="384" spans="1:2" x14ac:dyDescent="0.2">
      <c r="A384" s="3">
        <v>41255</v>
      </c>
      <c r="B384" s="4">
        <v>177733451.77782699</v>
      </c>
    </row>
    <row r="385" spans="1:2" x14ac:dyDescent="0.2">
      <c r="A385" s="3">
        <v>41256</v>
      </c>
      <c r="B385" s="4">
        <v>177824188.75255099</v>
      </c>
    </row>
    <row r="386" spans="1:2" x14ac:dyDescent="0.2">
      <c r="A386" s="3">
        <v>41257</v>
      </c>
      <c r="B386" s="4">
        <v>176973579.184383</v>
      </c>
    </row>
    <row r="387" spans="1:2" x14ac:dyDescent="0.2">
      <c r="A387" s="3">
        <v>41260</v>
      </c>
      <c r="B387" s="4">
        <v>187832670.10638201</v>
      </c>
    </row>
    <row r="388" spans="1:2" x14ac:dyDescent="0.2">
      <c r="A388" s="3">
        <v>41261</v>
      </c>
      <c r="B388" s="4">
        <v>188360694.7949</v>
      </c>
    </row>
    <row r="389" spans="1:2" x14ac:dyDescent="0.2">
      <c r="A389" s="3">
        <v>41262</v>
      </c>
      <c r="B389" s="4">
        <v>186641514.12448901</v>
      </c>
    </row>
    <row r="390" spans="1:2" x14ac:dyDescent="0.2">
      <c r="A390" s="3">
        <v>41263</v>
      </c>
      <c r="B390" s="4">
        <v>186280065.237488</v>
      </c>
    </row>
    <row r="391" spans="1:2" x14ac:dyDescent="0.2">
      <c r="A391" s="3">
        <v>41264</v>
      </c>
      <c r="B391" s="4">
        <v>185757173.06927899</v>
      </c>
    </row>
    <row r="392" spans="1:2" x14ac:dyDescent="0.2">
      <c r="A392" s="3">
        <v>41267</v>
      </c>
      <c r="B392" s="4">
        <v>185897746.567494</v>
      </c>
    </row>
    <row r="393" spans="1:2" x14ac:dyDescent="0.2">
      <c r="A393" s="3">
        <v>41269</v>
      </c>
      <c r="B393" s="4">
        <v>183117033.79561201</v>
      </c>
    </row>
    <row r="394" spans="1:2" x14ac:dyDescent="0.2">
      <c r="A394" s="3">
        <v>41270</v>
      </c>
      <c r="B394" s="4">
        <v>183131022.832708</v>
      </c>
    </row>
    <row r="395" spans="1:2" x14ac:dyDescent="0.2">
      <c r="A395" s="3">
        <v>41271</v>
      </c>
      <c r="B395" s="4">
        <v>183607462.406423</v>
      </c>
    </row>
    <row r="396" spans="1:2" x14ac:dyDescent="0.2">
      <c r="A396" s="3">
        <v>41274</v>
      </c>
      <c r="B396" s="4">
        <v>183686524.78032801</v>
      </c>
    </row>
    <row r="397" spans="1:2" x14ac:dyDescent="0.2">
      <c r="A397" s="3">
        <v>41276</v>
      </c>
      <c r="B397" s="4">
        <v>186752656.912577</v>
      </c>
    </row>
    <row r="398" spans="1:2" x14ac:dyDescent="0.2">
      <c r="A398" s="3">
        <v>41277</v>
      </c>
      <c r="B398" s="4">
        <v>192649084.05489901</v>
      </c>
    </row>
    <row r="399" spans="1:2" x14ac:dyDescent="0.2">
      <c r="A399" s="3">
        <v>41278</v>
      </c>
      <c r="B399" s="4">
        <v>193238991.124093</v>
      </c>
    </row>
    <row r="400" spans="1:2" x14ac:dyDescent="0.2">
      <c r="A400" s="3">
        <v>41281</v>
      </c>
      <c r="B400" s="4">
        <v>192487092.873959</v>
      </c>
    </row>
    <row r="401" spans="1:2" x14ac:dyDescent="0.2">
      <c r="A401" s="3">
        <v>41282</v>
      </c>
      <c r="B401" s="4">
        <v>202621106.096937</v>
      </c>
    </row>
    <row r="402" spans="1:2" x14ac:dyDescent="0.2">
      <c r="A402" s="3">
        <v>41283</v>
      </c>
      <c r="B402" s="4">
        <v>203807433.519811</v>
      </c>
    </row>
    <row r="403" spans="1:2" x14ac:dyDescent="0.2">
      <c r="A403" s="3">
        <v>41284</v>
      </c>
      <c r="B403" s="4">
        <v>203059047.58684599</v>
      </c>
    </row>
    <row r="404" spans="1:2" x14ac:dyDescent="0.2">
      <c r="A404" s="3">
        <v>41285</v>
      </c>
      <c r="B404" s="4">
        <v>210518815.192826</v>
      </c>
    </row>
    <row r="405" spans="1:2" x14ac:dyDescent="0.2">
      <c r="A405" s="3">
        <v>41288</v>
      </c>
      <c r="B405" s="4">
        <v>210755453.61860499</v>
      </c>
    </row>
    <row r="406" spans="1:2" x14ac:dyDescent="0.2">
      <c r="A406" s="3">
        <v>41289</v>
      </c>
      <c r="B406" s="4">
        <v>215310474.14746401</v>
      </c>
    </row>
    <row r="407" spans="1:2" x14ac:dyDescent="0.2">
      <c r="A407" s="3">
        <v>41290</v>
      </c>
      <c r="B407" s="4">
        <v>215562436.23130101</v>
      </c>
    </row>
    <row r="408" spans="1:2" x14ac:dyDescent="0.2">
      <c r="A408" s="3">
        <v>41291</v>
      </c>
      <c r="B408" s="4">
        <v>227024598.87645099</v>
      </c>
    </row>
    <row r="409" spans="1:2" x14ac:dyDescent="0.2">
      <c r="A409" s="3">
        <v>41292</v>
      </c>
      <c r="B409" s="4">
        <v>225654041.53132701</v>
      </c>
    </row>
    <row r="410" spans="1:2" x14ac:dyDescent="0.2">
      <c r="A410" s="3">
        <v>41296</v>
      </c>
      <c r="B410" s="4">
        <v>219244887.33117899</v>
      </c>
    </row>
    <row r="411" spans="1:2" x14ac:dyDescent="0.2">
      <c r="A411" s="3">
        <v>41297</v>
      </c>
      <c r="B411" s="4">
        <v>222844473.96615401</v>
      </c>
    </row>
    <row r="412" spans="1:2" x14ac:dyDescent="0.2">
      <c r="A412" s="3">
        <v>41298</v>
      </c>
      <c r="B412" s="4">
        <v>228005442.11406201</v>
      </c>
    </row>
    <row r="413" spans="1:2" x14ac:dyDescent="0.2">
      <c r="A413" s="3">
        <v>41299</v>
      </c>
      <c r="B413" s="4">
        <v>231171548.249084</v>
      </c>
    </row>
    <row r="414" spans="1:2" x14ac:dyDescent="0.2">
      <c r="A414" s="3">
        <v>41302</v>
      </c>
      <c r="B414" s="4">
        <v>228075485.13341501</v>
      </c>
    </row>
    <row r="415" spans="1:2" x14ac:dyDescent="0.2">
      <c r="A415" s="3">
        <v>41303</v>
      </c>
      <c r="B415" s="4">
        <v>228863143.342884</v>
      </c>
    </row>
    <row r="416" spans="1:2" x14ac:dyDescent="0.2">
      <c r="A416" s="3">
        <v>41304</v>
      </c>
      <c r="B416" s="4">
        <v>223926835.236339</v>
      </c>
    </row>
    <row r="417" spans="1:2" x14ac:dyDescent="0.2">
      <c r="A417" s="3">
        <v>41305</v>
      </c>
      <c r="B417" s="4">
        <v>224435614.53264499</v>
      </c>
    </row>
    <row r="418" spans="1:2" x14ac:dyDescent="0.2">
      <c r="A418" s="3">
        <v>41306</v>
      </c>
      <c r="B418" s="4">
        <v>223958764.67546201</v>
      </c>
    </row>
    <row r="419" spans="1:2" x14ac:dyDescent="0.2">
      <c r="A419" s="3">
        <v>41309</v>
      </c>
      <c r="B419" s="4">
        <v>223689943.210558</v>
      </c>
    </row>
    <row r="420" spans="1:2" x14ac:dyDescent="0.2">
      <c r="A420" s="3">
        <v>41310</v>
      </c>
      <c r="B420" s="4">
        <v>225230494.64026701</v>
      </c>
    </row>
    <row r="421" spans="1:2" x14ac:dyDescent="0.2">
      <c r="A421" s="3">
        <v>41311</v>
      </c>
      <c r="B421" s="4">
        <v>226373930.64376301</v>
      </c>
    </row>
    <row r="422" spans="1:2" x14ac:dyDescent="0.2">
      <c r="A422" s="3">
        <v>41312</v>
      </c>
      <c r="B422" s="4">
        <v>226401943.85587999</v>
      </c>
    </row>
    <row r="423" spans="1:2" x14ac:dyDescent="0.2">
      <c r="A423" s="3">
        <v>41313</v>
      </c>
      <c r="B423" s="4">
        <v>227903863.70640001</v>
      </c>
    </row>
    <row r="424" spans="1:2" x14ac:dyDescent="0.2">
      <c r="A424" s="3">
        <v>41316</v>
      </c>
      <c r="B424" s="4">
        <v>225621410.09988099</v>
      </c>
    </row>
    <row r="425" spans="1:2" x14ac:dyDescent="0.2">
      <c r="A425" s="3">
        <v>41317</v>
      </c>
      <c r="B425" s="4">
        <v>226653930.80716601</v>
      </c>
    </row>
    <row r="426" spans="1:2" x14ac:dyDescent="0.2">
      <c r="A426" s="3">
        <v>41318</v>
      </c>
      <c r="B426" s="4">
        <v>231262826.11074999</v>
      </c>
    </row>
    <row r="427" spans="1:2" x14ac:dyDescent="0.2">
      <c r="A427" s="3">
        <v>41319</v>
      </c>
      <c r="B427" s="4">
        <v>230494259.871521</v>
      </c>
    </row>
    <row r="428" spans="1:2" x14ac:dyDescent="0.2">
      <c r="A428" s="3">
        <v>41320</v>
      </c>
      <c r="B428" s="4">
        <v>242889070.76242101</v>
      </c>
    </row>
    <row r="429" spans="1:2" x14ac:dyDescent="0.2">
      <c r="A429" s="3">
        <v>41324</v>
      </c>
      <c r="B429" s="4">
        <v>241720963.669552</v>
      </c>
    </row>
    <row r="430" spans="1:2" x14ac:dyDescent="0.2">
      <c r="A430" s="3">
        <v>41325</v>
      </c>
      <c r="B430" s="4">
        <v>241915083.171345</v>
      </c>
    </row>
    <row r="431" spans="1:2" x14ac:dyDescent="0.2">
      <c r="A431" s="3">
        <v>41326</v>
      </c>
      <c r="B431" s="4">
        <v>242063955.269366</v>
      </c>
    </row>
    <row r="432" spans="1:2" x14ac:dyDescent="0.2">
      <c r="A432" s="3">
        <v>41327</v>
      </c>
      <c r="B432" s="4">
        <v>242673890.34687799</v>
      </c>
    </row>
    <row r="433" spans="1:2" x14ac:dyDescent="0.2">
      <c r="A433" s="3">
        <v>41330</v>
      </c>
      <c r="B433" s="4">
        <v>238087225.97804999</v>
      </c>
    </row>
    <row r="434" spans="1:2" x14ac:dyDescent="0.2">
      <c r="A434" s="3">
        <v>41331</v>
      </c>
      <c r="B434" s="4">
        <v>237670914.779358</v>
      </c>
    </row>
    <row r="435" spans="1:2" x14ac:dyDescent="0.2">
      <c r="A435" s="3">
        <v>41332</v>
      </c>
      <c r="B435" s="4">
        <v>232987979.421581</v>
      </c>
    </row>
    <row r="436" spans="1:2" x14ac:dyDescent="0.2">
      <c r="A436" s="3">
        <v>41333</v>
      </c>
      <c r="B436" s="4">
        <v>226233312.49943</v>
      </c>
    </row>
    <row r="437" spans="1:2" x14ac:dyDescent="0.2">
      <c r="A437" s="3">
        <v>41334</v>
      </c>
      <c r="B437" s="4">
        <v>226189722.58062699</v>
      </c>
    </row>
    <row r="438" spans="1:2" x14ac:dyDescent="0.2">
      <c r="A438" s="3">
        <v>41337</v>
      </c>
      <c r="B438" s="4">
        <v>226424946.00582901</v>
      </c>
    </row>
    <row r="439" spans="1:2" x14ac:dyDescent="0.2">
      <c r="A439" s="3">
        <v>41338</v>
      </c>
      <c r="B439" s="4">
        <v>227440306.255602</v>
      </c>
    </row>
    <row r="440" spans="1:2" x14ac:dyDescent="0.2">
      <c r="A440" s="3">
        <v>41339</v>
      </c>
      <c r="B440" s="4">
        <v>229184883.01162201</v>
      </c>
    </row>
    <row r="441" spans="1:2" x14ac:dyDescent="0.2">
      <c r="A441" s="3">
        <v>41340</v>
      </c>
      <c r="B441" s="4">
        <v>229762669.671022</v>
      </c>
    </row>
    <row r="442" spans="1:2" x14ac:dyDescent="0.2">
      <c r="A442" s="3">
        <v>41341</v>
      </c>
      <c r="B442" s="4">
        <v>232171976.46115801</v>
      </c>
    </row>
    <row r="443" spans="1:2" x14ac:dyDescent="0.2">
      <c r="A443" s="3">
        <v>41344</v>
      </c>
      <c r="B443" s="4">
        <v>231041862.45893401</v>
      </c>
    </row>
    <row r="444" spans="1:2" x14ac:dyDescent="0.2">
      <c r="A444" s="3">
        <v>41345</v>
      </c>
      <c r="B444" s="4">
        <v>230654299.06941801</v>
      </c>
    </row>
    <row r="445" spans="1:2" x14ac:dyDescent="0.2">
      <c r="A445" s="3">
        <v>41346</v>
      </c>
      <c r="B445" s="4">
        <v>230617999.42903399</v>
      </c>
    </row>
    <row r="446" spans="1:2" x14ac:dyDescent="0.2">
      <c r="A446" s="3">
        <v>41347</v>
      </c>
      <c r="B446" s="4">
        <v>229739851.135095</v>
      </c>
    </row>
    <row r="447" spans="1:2" x14ac:dyDescent="0.2">
      <c r="A447" s="3">
        <v>41348</v>
      </c>
      <c r="B447" s="4">
        <v>229433705.67712399</v>
      </c>
    </row>
    <row r="448" spans="1:2" x14ac:dyDescent="0.2">
      <c r="A448" s="3">
        <v>41351</v>
      </c>
      <c r="B448" s="4">
        <v>228294213.28505301</v>
      </c>
    </row>
    <row r="449" spans="1:2" x14ac:dyDescent="0.2">
      <c r="A449" s="3">
        <v>41352</v>
      </c>
      <c r="B449" s="4">
        <v>226725982.387256</v>
      </c>
    </row>
    <row r="450" spans="1:2" x14ac:dyDescent="0.2">
      <c r="A450" s="3">
        <v>41353</v>
      </c>
      <c r="B450" s="4">
        <v>241203148.267827</v>
      </c>
    </row>
    <row r="451" spans="1:2" x14ac:dyDescent="0.2">
      <c r="A451" s="3">
        <v>41354</v>
      </c>
      <c r="B451" s="4">
        <v>259910553.72793701</v>
      </c>
    </row>
    <row r="452" spans="1:2" x14ac:dyDescent="0.2">
      <c r="A452" s="3">
        <v>41355</v>
      </c>
      <c r="B452" s="4">
        <v>261891099.040849</v>
      </c>
    </row>
    <row r="453" spans="1:2" x14ac:dyDescent="0.2">
      <c r="A453" s="3">
        <v>41358</v>
      </c>
      <c r="B453" s="4">
        <v>258740256.39123601</v>
      </c>
    </row>
    <row r="454" spans="1:2" x14ac:dyDescent="0.2">
      <c r="A454" s="3">
        <v>41359</v>
      </c>
      <c r="B454" s="4">
        <v>258880590.58186001</v>
      </c>
    </row>
    <row r="455" spans="1:2" x14ac:dyDescent="0.2">
      <c r="A455" s="3">
        <v>41360</v>
      </c>
      <c r="B455" s="4">
        <v>258820072.03140599</v>
      </c>
    </row>
    <row r="456" spans="1:2" x14ac:dyDescent="0.2">
      <c r="A456" s="3">
        <v>41361</v>
      </c>
      <c r="B456" s="4">
        <v>258611836.144604</v>
      </c>
    </row>
    <row r="457" spans="1:2" x14ac:dyDescent="0.2">
      <c r="A457" s="3">
        <v>41365</v>
      </c>
      <c r="B457" s="4">
        <v>258559056.59079099</v>
      </c>
    </row>
    <row r="458" spans="1:2" x14ac:dyDescent="0.2">
      <c r="A458" s="3">
        <v>41366</v>
      </c>
      <c r="B458" s="4">
        <v>257993074.52075699</v>
      </c>
    </row>
    <row r="459" spans="1:2" x14ac:dyDescent="0.2">
      <c r="A459" s="3">
        <v>41367</v>
      </c>
      <c r="B459" s="4">
        <v>256685014.83978</v>
      </c>
    </row>
    <row r="460" spans="1:2" x14ac:dyDescent="0.2">
      <c r="A460" s="3">
        <v>41368</v>
      </c>
      <c r="B460" s="4">
        <v>252361735.416794</v>
      </c>
    </row>
    <row r="461" spans="1:2" x14ac:dyDescent="0.2">
      <c r="A461" s="3">
        <v>41369</v>
      </c>
      <c r="B461" s="4">
        <v>249351815.45295501</v>
      </c>
    </row>
    <row r="462" spans="1:2" x14ac:dyDescent="0.2">
      <c r="A462" s="3">
        <v>41372</v>
      </c>
      <c r="B462" s="4">
        <v>250371434.89568099</v>
      </c>
    </row>
    <row r="463" spans="1:2" x14ac:dyDescent="0.2">
      <c r="A463" s="3">
        <v>41373</v>
      </c>
      <c r="B463" s="4">
        <v>249787877.97580701</v>
      </c>
    </row>
    <row r="464" spans="1:2" x14ac:dyDescent="0.2">
      <c r="A464" s="3">
        <v>41374</v>
      </c>
      <c r="B464" s="4">
        <v>250668097.58368</v>
      </c>
    </row>
    <row r="465" spans="1:2" x14ac:dyDescent="0.2">
      <c r="A465" s="3">
        <v>41375</v>
      </c>
      <c r="B465" s="4">
        <v>247844511.73623201</v>
      </c>
    </row>
    <row r="466" spans="1:2" x14ac:dyDescent="0.2">
      <c r="A466" s="3">
        <v>41376</v>
      </c>
      <c r="B466" s="4">
        <v>247457787.70083699</v>
      </c>
    </row>
    <row r="467" spans="1:2" x14ac:dyDescent="0.2">
      <c r="A467" s="3">
        <v>41379</v>
      </c>
      <c r="B467" s="4">
        <v>245904796.174667</v>
      </c>
    </row>
    <row r="468" spans="1:2" x14ac:dyDescent="0.2">
      <c r="A468" s="3">
        <v>41380</v>
      </c>
      <c r="B468" s="4">
        <v>245420883.53177899</v>
      </c>
    </row>
    <row r="469" spans="1:2" x14ac:dyDescent="0.2">
      <c r="A469" s="3">
        <v>41381</v>
      </c>
      <c r="B469" s="4">
        <v>233955552.54902601</v>
      </c>
    </row>
    <row r="470" spans="1:2" x14ac:dyDescent="0.2">
      <c r="A470" s="3">
        <v>41382</v>
      </c>
      <c r="B470" s="4">
        <v>233884536.27329001</v>
      </c>
    </row>
    <row r="471" spans="1:2" x14ac:dyDescent="0.2">
      <c r="A471" s="3">
        <v>41383</v>
      </c>
      <c r="B471" s="4">
        <v>232954138.73639101</v>
      </c>
    </row>
    <row r="472" spans="1:2" x14ac:dyDescent="0.2">
      <c r="A472" s="3">
        <v>41386</v>
      </c>
      <c r="B472" s="4">
        <v>232873119.945052</v>
      </c>
    </row>
    <row r="473" spans="1:2" x14ac:dyDescent="0.2">
      <c r="A473" s="3">
        <v>41387</v>
      </c>
      <c r="B473" s="4">
        <v>232548470.244578</v>
      </c>
    </row>
    <row r="474" spans="1:2" x14ac:dyDescent="0.2">
      <c r="A474" s="3">
        <v>41388</v>
      </c>
      <c r="B474" s="4">
        <v>232465221.35945201</v>
      </c>
    </row>
    <row r="475" spans="1:2" x14ac:dyDescent="0.2">
      <c r="A475" s="3">
        <v>41389</v>
      </c>
      <c r="B475" s="4">
        <v>226274309.22044301</v>
      </c>
    </row>
    <row r="476" spans="1:2" x14ac:dyDescent="0.2">
      <c r="A476" s="3">
        <v>41390</v>
      </c>
      <c r="B476" s="4">
        <v>225387344.273646</v>
      </c>
    </row>
    <row r="477" spans="1:2" x14ac:dyDescent="0.2">
      <c r="A477" s="3">
        <v>41393</v>
      </c>
      <c r="B477" s="4">
        <v>225370469.813124</v>
      </c>
    </row>
    <row r="478" spans="1:2" x14ac:dyDescent="0.2">
      <c r="A478" s="3">
        <v>41394</v>
      </c>
      <c r="B478" s="4">
        <v>224032345.48899201</v>
      </c>
    </row>
    <row r="479" spans="1:2" x14ac:dyDescent="0.2">
      <c r="A479" s="3">
        <v>41395</v>
      </c>
      <c r="B479" s="4">
        <v>223230149.070104</v>
      </c>
    </row>
    <row r="480" spans="1:2" x14ac:dyDescent="0.2">
      <c r="A480" s="3">
        <v>41396</v>
      </c>
      <c r="B480" s="4">
        <v>225631854.512288</v>
      </c>
    </row>
    <row r="481" spans="1:2" x14ac:dyDescent="0.2">
      <c r="A481" s="3">
        <v>41397</v>
      </c>
      <c r="B481" s="4">
        <v>228451763.71996999</v>
      </c>
    </row>
    <row r="482" spans="1:2" x14ac:dyDescent="0.2">
      <c r="A482" s="3">
        <v>41400</v>
      </c>
      <c r="B482" s="4">
        <v>227207611.57085499</v>
      </c>
    </row>
    <row r="483" spans="1:2" x14ac:dyDescent="0.2">
      <c r="A483" s="3">
        <v>41401</v>
      </c>
      <c r="B483" s="4">
        <v>226980556.64566699</v>
      </c>
    </row>
    <row r="484" spans="1:2" x14ac:dyDescent="0.2">
      <c r="A484" s="3">
        <v>41402</v>
      </c>
      <c r="B484" s="4">
        <v>229142864.49825999</v>
      </c>
    </row>
    <row r="485" spans="1:2" x14ac:dyDescent="0.2">
      <c r="A485" s="3">
        <v>41403</v>
      </c>
      <c r="B485" s="4">
        <v>232054595.72747901</v>
      </c>
    </row>
    <row r="486" spans="1:2" x14ac:dyDescent="0.2">
      <c r="A486" s="3">
        <v>41404</v>
      </c>
      <c r="B486" s="4">
        <v>232579341.057531</v>
      </c>
    </row>
    <row r="487" spans="1:2" x14ac:dyDescent="0.2">
      <c r="A487" s="3">
        <v>41407</v>
      </c>
      <c r="B487" s="4">
        <v>230827476.753483</v>
      </c>
    </row>
    <row r="488" spans="1:2" x14ac:dyDescent="0.2">
      <c r="A488" s="3">
        <v>41408</v>
      </c>
      <c r="B488" s="4">
        <v>233093698.08771801</v>
      </c>
    </row>
    <row r="489" spans="1:2" x14ac:dyDescent="0.2">
      <c r="A489" s="3">
        <v>41409</v>
      </c>
      <c r="B489" s="4">
        <v>240297357.50993699</v>
      </c>
    </row>
    <row r="490" spans="1:2" x14ac:dyDescent="0.2">
      <c r="A490" s="3">
        <v>41410</v>
      </c>
      <c r="B490" s="4">
        <v>244591834.92895499</v>
      </c>
    </row>
    <row r="491" spans="1:2" x14ac:dyDescent="0.2">
      <c r="A491" s="3">
        <v>41411</v>
      </c>
      <c r="B491" s="4">
        <v>245070568.58357501</v>
      </c>
    </row>
    <row r="492" spans="1:2" x14ac:dyDescent="0.2">
      <c r="A492" s="3">
        <v>41414</v>
      </c>
      <c r="B492" s="4">
        <v>244564450.176043</v>
      </c>
    </row>
    <row r="493" spans="1:2" x14ac:dyDescent="0.2">
      <c r="A493" s="3">
        <v>41415</v>
      </c>
      <c r="B493" s="4">
        <v>243090195.441717</v>
      </c>
    </row>
    <row r="494" spans="1:2" x14ac:dyDescent="0.2">
      <c r="A494" s="3">
        <v>41416</v>
      </c>
      <c r="B494" s="4">
        <v>245656192.70491499</v>
      </c>
    </row>
    <row r="495" spans="1:2" x14ac:dyDescent="0.2">
      <c r="A495" s="3">
        <v>41417</v>
      </c>
      <c r="B495" s="4">
        <v>247218516.31214699</v>
      </c>
    </row>
    <row r="496" spans="1:2" x14ac:dyDescent="0.2">
      <c r="A496" s="3">
        <v>41418</v>
      </c>
      <c r="B496" s="4">
        <v>247331527.503501</v>
      </c>
    </row>
    <row r="497" spans="1:2" x14ac:dyDescent="0.2">
      <c r="A497" s="3">
        <v>41422</v>
      </c>
      <c r="B497" s="4">
        <v>245882432.681122</v>
      </c>
    </row>
    <row r="498" spans="1:2" x14ac:dyDescent="0.2">
      <c r="A498" s="3">
        <v>41423</v>
      </c>
      <c r="B498" s="4">
        <v>245617656.71412501</v>
      </c>
    </row>
    <row r="499" spans="1:2" x14ac:dyDescent="0.2">
      <c r="A499" s="3">
        <v>41424</v>
      </c>
      <c r="B499" s="4">
        <v>248133095.68386599</v>
      </c>
    </row>
    <row r="500" spans="1:2" x14ac:dyDescent="0.2">
      <c r="A500" s="3">
        <v>41425</v>
      </c>
      <c r="B500" s="4">
        <v>251217898.864885</v>
      </c>
    </row>
    <row r="501" spans="1:2" x14ac:dyDescent="0.2">
      <c r="A501" s="3">
        <v>41428</v>
      </c>
      <c r="B501" s="4">
        <v>249992287.18285701</v>
      </c>
    </row>
    <row r="502" spans="1:2" x14ac:dyDescent="0.2">
      <c r="A502" s="3">
        <v>41429</v>
      </c>
      <c r="B502" s="4">
        <v>250420119.926496</v>
      </c>
    </row>
    <row r="503" spans="1:2" x14ac:dyDescent="0.2">
      <c r="A503" s="3">
        <v>41430</v>
      </c>
      <c r="B503" s="4">
        <v>249723491.36884201</v>
      </c>
    </row>
    <row r="504" spans="1:2" x14ac:dyDescent="0.2">
      <c r="A504" s="3">
        <v>41431</v>
      </c>
      <c r="B504" s="4">
        <v>248436913.31112</v>
      </c>
    </row>
    <row r="505" spans="1:2" x14ac:dyDescent="0.2">
      <c r="A505" s="3">
        <v>41432</v>
      </c>
      <c r="B505" s="4">
        <v>251125869.95699701</v>
      </c>
    </row>
    <row r="506" spans="1:2" x14ac:dyDescent="0.2">
      <c r="A506" s="3">
        <v>41435</v>
      </c>
      <c r="B506" s="4">
        <v>251397031.88642699</v>
      </c>
    </row>
    <row r="507" spans="1:2" x14ac:dyDescent="0.2">
      <c r="A507" s="3">
        <v>41436</v>
      </c>
      <c r="B507" s="4">
        <v>250181078.986821</v>
      </c>
    </row>
    <row r="508" spans="1:2" x14ac:dyDescent="0.2">
      <c r="A508" s="3">
        <v>41437</v>
      </c>
      <c r="B508" s="4">
        <v>250970463.91898599</v>
      </c>
    </row>
    <row r="509" spans="1:2" x14ac:dyDescent="0.2">
      <c r="A509" s="3">
        <v>41438</v>
      </c>
      <c r="B509" s="4">
        <v>250849215.643769</v>
      </c>
    </row>
    <row r="510" spans="1:2" x14ac:dyDescent="0.2">
      <c r="A510" s="3">
        <v>41439</v>
      </c>
      <c r="B510" s="4">
        <v>262253521.81451499</v>
      </c>
    </row>
    <row r="511" spans="1:2" x14ac:dyDescent="0.2">
      <c r="A511" s="3">
        <v>41442</v>
      </c>
      <c r="B511" s="4">
        <v>263391976.27873799</v>
      </c>
    </row>
    <row r="512" spans="1:2" x14ac:dyDescent="0.2">
      <c r="A512" s="3">
        <v>41443</v>
      </c>
      <c r="B512" s="4">
        <v>264114153.54069501</v>
      </c>
    </row>
    <row r="513" spans="1:2" x14ac:dyDescent="0.2">
      <c r="A513" s="3">
        <v>41444</v>
      </c>
      <c r="B513" s="4">
        <v>267755246.57460001</v>
      </c>
    </row>
    <row r="514" spans="1:2" x14ac:dyDescent="0.2">
      <c r="A514" s="3">
        <v>41445</v>
      </c>
      <c r="B514" s="4">
        <v>272972851.69490498</v>
      </c>
    </row>
    <row r="515" spans="1:2" x14ac:dyDescent="0.2">
      <c r="A515" s="3">
        <v>41446</v>
      </c>
      <c r="B515" s="4">
        <v>277783763.16250902</v>
      </c>
    </row>
    <row r="516" spans="1:2" x14ac:dyDescent="0.2">
      <c r="A516" s="3">
        <v>41449</v>
      </c>
      <c r="B516" s="4">
        <v>279320868.22633499</v>
      </c>
    </row>
    <row r="517" spans="1:2" x14ac:dyDescent="0.2">
      <c r="A517" s="3">
        <v>41450</v>
      </c>
      <c r="B517" s="4">
        <v>270997517.01587301</v>
      </c>
    </row>
    <row r="518" spans="1:2" x14ac:dyDescent="0.2">
      <c r="A518" s="3">
        <v>41451</v>
      </c>
      <c r="B518" s="4">
        <v>269437437.42731601</v>
      </c>
    </row>
    <row r="519" spans="1:2" x14ac:dyDescent="0.2">
      <c r="A519" s="3">
        <v>41452</v>
      </c>
      <c r="B519" s="4">
        <v>266110478.38997999</v>
      </c>
    </row>
    <row r="520" spans="1:2" x14ac:dyDescent="0.2">
      <c r="A520" s="3">
        <v>41453</v>
      </c>
      <c r="B520" s="4">
        <v>291289055.71758401</v>
      </c>
    </row>
    <row r="521" spans="1:2" x14ac:dyDescent="0.2">
      <c r="A521" s="3">
        <v>41456</v>
      </c>
      <c r="B521" s="4">
        <v>266471022.40197799</v>
      </c>
    </row>
    <row r="522" spans="1:2" x14ac:dyDescent="0.2">
      <c r="A522" s="3">
        <v>41457</v>
      </c>
      <c r="B522" s="4">
        <v>267169499.171992</v>
      </c>
    </row>
    <row r="523" spans="1:2" x14ac:dyDescent="0.2">
      <c r="A523" s="3">
        <v>41458</v>
      </c>
      <c r="B523" s="4">
        <v>269043378.11245698</v>
      </c>
    </row>
    <row r="524" spans="1:2" x14ac:dyDescent="0.2">
      <c r="A524" s="3">
        <v>41460</v>
      </c>
      <c r="B524" s="4">
        <v>277036939.763771</v>
      </c>
    </row>
    <row r="525" spans="1:2" x14ac:dyDescent="0.2">
      <c r="A525" s="3">
        <v>41463</v>
      </c>
      <c r="B525" s="4">
        <v>274814147.98331302</v>
      </c>
    </row>
    <row r="526" spans="1:2" x14ac:dyDescent="0.2">
      <c r="A526" s="3">
        <v>41464</v>
      </c>
      <c r="B526" s="4">
        <v>274834227.71584398</v>
      </c>
    </row>
    <row r="527" spans="1:2" x14ac:dyDescent="0.2">
      <c r="A527" s="3">
        <v>41465</v>
      </c>
      <c r="B527" s="4">
        <v>278461568.03781199</v>
      </c>
    </row>
    <row r="528" spans="1:2" x14ac:dyDescent="0.2">
      <c r="A528" s="3">
        <v>41466</v>
      </c>
      <c r="B528" s="4">
        <v>283412437.24422598</v>
      </c>
    </row>
    <row r="529" spans="1:2" x14ac:dyDescent="0.2">
      <c r="A529" s="3">
        <v>41467</v>
      </c>
      <c r="B529" s="4">
        <v>257811445.71945</v>
      </c>
    </row>
    <row r="530" spans="1:2" x14ac:dyDescent="0.2">
      <c r="A530" s="3">
        <v>41470</v>
      </c>
      <c r="B530" s="4">
        <v>251560256.027751</v>
      </c>
    </row>
    <row r="531" spans="1:2" x14ac:dyDescent="0.2">
      <c r="A531" s="3">
        <v>41471</v>
      </c>
      <c r="B531" s="4">
        <v>269623734.60130501</v>
      </c>
    </row>
    <row r="532" spans="1:2" x14ac:dyDescent="0.2">
      <c r="A532" s="3">
        <v>41472</v>
      </c>
      <c r="B532" s="4">
        <v>267003104.87551701</v>
      </c>
    </row>
    <row r="533" spans="1:2" x14ac:dyDescent="0.2">
      <c r="A533" s="3">
        <v>41473</v>
      </c>
      <c r="B533" s="4">
        <v>250970302.39581999</v>
      </c>
    </row>
    <row r="534" spans="1:2" x14ac:dyDescent="0.2">
      <c r="A534" s="3">
        <v>41474</v>
      </c>
      <c r="B534" s="4">
        <v>248403069.895145</v>
      </c>
    </row>
    <row r="535" spans="1:2" x14ac:dyDescent="0.2">
      <c r="A535" s="3">
        <v>41477</v>
      </c>
      <c r="B535" s="4">
        <v>248194624.837484</v>
      </c>
    </row>
    <row r="536" spans="1:2" x14ac:dyDescent="0.2">
      <c r="A536" s="3">
        <v>41478</v>
      </c>
      <c r="B536" s="4">
        <v>250389636.33410999</v>
      </c>
    </row>
    <row r="537" spans="1:2" x14ac:dyDescent="0.2">
      <c r="A537" s="3">
        <v>41479</v>
      </c>
      <c r="B537" s="4">
        <v>252320667.84389901</v>
      </c>
    </row>
    <row r="538" spans="1:2" x14ac:dyDescent="0.2">
      <c r="A538" s="3">
        <v>41480</v>
      </c>
      <c r="B538" s="4">
        <v>252043558.72919899</v>
      </c>
    </row>
    <row r="539" spans="1:2" x14ac:dyDescent="0.2">
      <c r="A539" s="3">
        <v>41481</v>
      </c>
      <c r="B539" s="4">
        <v>247069877.27821699</v>
      </c>
    </row>
    <row r="540" spans="1:2" x14ac:dyDescent="0.2">
      <c r="A540" s="3">
        <v>41484</v>
      </c>
      <c r="B540" s="4">
        <v>247220077.90059</v>
      </c>
    </row>
    <row r="541" spans="1:2" x14ac:dyDescent="0.2">
      <c r="A541" s="3">
        <v>41485</v>
      </c>
      <c r="B541" s="4">
        <v>249587086.976639</v>
      </c>
    </row>
    <row r="542" spans="1:2" x14ac:dyDescent="0.2">
      <c r="A542" s="3">
        <v>41486</v>
      </c>
      <c r="B542" s="4">
        <v>251460854.43631199</v>
      </c>
    </row>
    <row r="543" spans="1:2" x14ac:dyDescent="0.2">
      <c r="A543" s="3">
        <v>41487</v>
      </c>
      <c r="B543" s="4">
        <v>255761835.19521701</v>
      </c>
    </row>
    <row r="544" spans="1:2" x14ac:dyDescent="0.2">
      <c r="A544" s="3">
        <v>41488</v>
      </c>
      <c r="B544" s="4">
        <v>253679187.95187101</v>
      </c>
    </row>
    <row r="545" spans="1:2" x14ac:dyDescent="0.2">
      <c r="A545" s="3">
        <v>41491</v>
      </c>
      <c r="B545" s="4">
        <v>254050321.95251599</v>
      </c>
    </row>
    <row r="546" spans="1:2" x14ac:dyDescent="0.2">
      <c r="A546" s="3">
        <v>41492</v>
      </c>
      <c r="B546" s="4">
        <v>254856954.638147</v>
      </c>
    </row>
    <row r="547" spans="1:2" x14ac:dyDescent="0.2">
      <c r="A547" s="3">
        <v>41493</v>
      </c>
      <c r="B547" s="4">
        <v>253550224.54599199</v>
      </c>
    </row>
    <row r="548" spans="1:2" x14ac:dyDescent="0.2">
      <c r="A548" s="3">
        <v>41494</v>
      </c>
      <c r="B548" s="4">
        <v>262656891.31554699</v>
      </c>
    </row>
    <row r="549" spans="1:2" x14ac:dyDescent="0.2">
      <c r="A549" s="3">
        <v>41495</v>
      </c>
      <c r="B549" s="4">
        <v>261653368.17488399</v>
      </c>
    </row>
    <row r="550" spans="1:2" x14ac:dyDescent="0.2">
      <c r="A550" s="3">
        <v>41498</v>
      </c>
      <c r="B550" s="4">
        <v>267488108.46226299</v>
      </c>
    </row>
    <row r="551" spans="1:2" x14ac:dyDescent="0.2">
      <c r="A551" s="3">
        <v>41499</v>
      </c>
      <c r="B551" s="4">
        <v>280303147.524333</v>
      </c>
    </row>
    <row r="552" spans="1:2" x14ac:dyDescent="0.2">
      <c r="A552" s="3">
        <v>41500</v>
      </c>
      <c r="B552" s="4">
        <v>279220351.46748602</v>
      </c>
    </row>
    <row r="553" spans="1:2" x14ac:dyDescent="0.2">
      <c r="A553" s="3">
        <v>41501</v>
      </c>
      <c r="B553" s="4">
        <v>278859372.97438502</v>
      </c>
    </row>
    <row r="554" spans="1:2" x14ac:dyDescent="0.2">
      <c r="A554" s="3">
        <v>41502</v>
      </c>
      <c r="B554" s="4">
        <v>280275355.21178001</v>
      </c>
    </row>
    <row r="555" spans="1:2" x14ac:dyDescent="0.2">
      <c r="A555" s="3">
        <v>41505</v>
      </c>
      <c r="B555" s="4">
        <v>280625806.04419398</v>
      </c>
    </row>
    <row r="556" spans="1:2" x14ac:dyDescent="0.2">
      <c r="A556" s="3">
        <v>41506</v>
      </c>
      <c r="B556" s="4">
        <v>278653080.40446198</v>
      </c>
    </row>
    <row r="557" spans="1:2" x14ac:dyDescent="0.2">
      <c r="A557" s="3">
        <v>41507</v>
      </c>
      <c r="B557" s="4">
        <v>287243831.27059698</v>
      </c>
    </row>
    <row r="558" spans="1:2" x14ac:dyDescent="0.2">
      <c r="A558" s="3">
        <v>41508</v>
      </c>
      <c r="B558" s="4">
        <v>287101708.16426998</v>
      </c>
    </row>
    <row r="559" spans="1:2" x14ac:dyDescent="0.2">
      <c r="A559" s="3">
        <v>41509</v>
      </c>
      <c r="B559" s="4">
        <v>294935119.03667098</v>
      </c>
    </row>
    <row r="560" spans="1:2" x14ac:dyDescent="0.2">
      <c r="A560" s="3">
        <v>41512</v>
      </c>
      <c r="B560" s="4">
        <v>286486740.97507298</v>
      </c>
    </row>
    <row r="561" spans="1:2" x14ac:dyDescent="0.2">
      <c r="A561" s="3">
        <v>41513</v>
      </c>
      <c r="B561" s="4">
        <v>284952812.03542399</v>
      </c>
    </row>
    <row r="562" spans="1:2" x14ac:dyDescent="0.2">
      <c r="A562" s="3">
        <v>41514</v>
      </c>
      <c r="B562" s="4">
        <v>285698260.00753403</v>
      </c>
    </row>
    <row r="563" spans="1:2" x14ac:dyDescent="0.2">
      <c r="A563" s="3">
        <v>41515</v>
      </c>
      <c r="B563" s="4">
        <v>285222570.08581197</v>
      </c>
    </row>
    <row r="564" spans="1:2" x14ac:dyDescent="0.2">
      <c r="A564" s="3">
        <v>41516</v>
      </c>
      <c r="B564" s="4">
        <v>298555159.07659799</v>
      </c>
    </row>
    <row r="565" spans="1:2" x14ac:dyDescent="0.2">
      <c r="A565" s="3">
        <v>41520</v>
      </c>
      <c r="B565" s="4">
        <v>294745089.73440999</v>
      </c>
    </row>
    <row r="566" spans="1:2" x14ac:dyDescent="0.2">
      <c r="A566" s="3">
        <v>41521</v>
      </c>
      <c r="B566" s="4">
        <v>295990929.386356</v>
      </c>
    </row>
    <row r="567" spans="1:2" x14ac:dyDescent="0.2">
      <c r="A567" s="3">
        <v>41522</v>
      </c>
      <c r="B567" s="4">
        <v>297738988.53196901</v>
      </c>
    </row>
    <row r="568" spans="1:2" x14ac:dyDescent="0.2">
      <c r="A568" s="3">
        <v>41523</v>
      </c>
      <c r="B568" s="4">
        <v>300224965.97203797</v>
      </c>
    </row>
    <row r="569" spans="1:2" x14ac:dyDescent="0.2">
      <c r="A569" s="3">
        <v>41526</v>
      </c>
      <c r="B569" s="4">
        <v>301527148.41054797</v>
      </c>
    </row>
    <row r="570" spans="1:2" x14ac:dyDescent="0.2">
      <c r="A570" s="3">
        <v>41527</v>
      </c>
      <c r="B570" s="4">
        <v>301256586.47373098</v>
      </c>
    </row>
    <row r="571" spans="1:2" x14ac:dyDescent="0.2">
      <c r="A571" s="3">
        <v>41528</v>
      </c>
      <c r="B571" s="4">
        <v>300936771.17246902</v>
      </c>
    </row>
    <row r="572" spans="1:2" x14ac:dyDescent="0.2">
      <c r="A572" s="3">
        <v>41529</v>
      </c>
      <c r="B572" s="4">
        <v>346595869.44639403</v>
      </c>
    </row>
    <row r="573" spans="1:2" x14ac:dyDescent="0.2">
      <c r="A573" s="3">
        <v>41530</v>
      </c>
      <c r="B573" s="4">
        <v>346650983.935978</v>
      </c>
    </row>
    <row r="574" spans="1:2" x14ac:dyDescent="0.2">
      <c r="A574" s="3">
        <v>41533</v>
      </c>
      <c r="B574" s="4">
        <v>344706223.19938302</v>
      </c>
    </row>
    <row r="575" spans="1:2" x14ac:dyDescent="0.2">
      <c r="A575" s="3">
        <v>41534</v>
      </c>
      <c r="B575" s="4">
        <v>344747623.11213303</v>
      </c>
    </row>
    <row r="576" spans="1:2" x14ac:dyDescent="0.2">
      <c r="A576" s="3">
        <v>41535</v>
      </c>
      <c r="B576" s="4">
        <v>340398160.16506797</v>
      </c>
    </row>
    <row r="577" spans="1:2" x14ac:dyDescent="0.2">
      <c r="A577" s="3">
        <v>41536</v>
      </c>
      <c r="B577" s="4">
        <v>337722944.51469499</v>
      </c>
    </row>
    <row r="578" spans="1:2" x14ac:dyDescent="0.2">
      <c r="A578" s="3">
        <v>41537</v>
      </c>
      <c r="B578" s="4">
        <v>339957347.82707</v>
      </c>
    </row>
    <row r="579" spans="1:2" x14ac:dyDescent="0.2">
      <c r="A579" s="3">
        <v>41540</v>
      </c>
      <c r="B579" s="4">
        <v>339084886.58111501</v>
      </c>
    </row>
    <row r="580" spans="1:2" x14ac:dyDescent="0.2">
      <c r="A580" s="3">
        <v>41541</v>
      </c>
      <c r="B580" s="4">
        <v>337496294.94016099</v>
      </c>
    </row>
    <row r="581" spans="1:2" x14ac:dyDescent="0.2">
      <c r="A581" s="3">
        <v>41542</v>
      </c>
      <c r="B581" s="4">
        <v>333142874.11035502</v>
      </c>
    </row>
    <row r="582" spans="1:2" x14ac:dyDescent="0.2">
      <c r="A582" s="3">
        <v>41543</v>
      </c>
      <c r="B582" s="4">
        <v>334912618.153952</v>
      </c>
    </row>
    <row r="583" spans="1:2" x14ac:dyDescent="0.2">
      <c r="A583" s="3">
        <v>41544</v>
      </c>
      <c r="B583" s="4">
        <v>321671331.37373</v>
      </c>
    </row>
    <row r="584" spans="1:2" x14ac:dyDescent="0.2">
      <c r="A584" s="3">
        <v>41547</v>
      </c>
      <c r="B584" s="4">
        <v>323313447.19679201</v>
      </c>
    </row>
    <row r="585" spans="1:2" x14ac:dyDescent="0.2">
      <c r="A585" s="3">
        <v>41548</v>
      </c>
      <c r="B585" s="4">
        <v>323250201.06650299</v>
      </c>
    </row>
    <row r="586" spans="1:2" x14ac:dyDescent="0.2">
      <c r="A586" s="3">
        <v>41549</v>
      </c>
      <c r="B586" s="4">
        <v>323487114.94239497</v>
      </c>
    </row>
    <row r="587" spans="1:2" x14ac:dyDescent="0.2">
      <c r="A587" s="3">
        <v>41550</v>
      </c>
      <c r="B587" s="4">
        <v>322505992.00911897</v>
      </c>
    </row>
    <row r="588" spans="1:2" x14ac:dyDescent="0.2">
      <c r="A588" s="3">
        <v>41551</v>
      </c>
      <c r="B588" s="4">
        <v>324462236.035896</v>
      </c>
    </row>
    <row r="589" spans="1:2" x14ac:dyDescent="0.2">
      <c r="A589" s="3">
        <v>41554</v>
      </c>
      <c r="B589" s="4">
        <v>327616578.926732</v>
      </c>
    </row>
    <row r="590" spans="1:2" x14ac:dyDescent="0.2">
      <c r="A590" s="3">
        <v>41555</v>
      </c>
      <c r="B590" s="4">
        <v>327882420.09955198</v>
      </c>
    </row>
    <row r="591" spans="1:2" x14ac:dyDescent="0.2">
      <c r="A591" s="3">
        <v>41556</v>
      </c>
      <c r="B591" s="4">
        <v>314187871.66361701</v>
      </c>
    </row>
    <row r="592" spans="1:2" x14ac:dyDescent="0.2">
      <c r="A592" s="3">
        <v>41557</v>
      </c>
      <c r="B592" s="4">
        <v>314753561.08081502</v>
      </c>
    </row>
    <row r="593" spans="1:2" x14ac:dyDescent="0.2">
      <c r="A593" s="3">
        <v>41558</v>
      </c>
      <c r="B593" s="4">
        <v>315109041.81302601</v>
      </c>
    </row>
    <row r="594" spans="1:2" x14ac:dyDescent="0.2">
      <c r="A594" s="3">
        <v>41562</v>
      </c>
      <c r="B594" s="4">
        <v>314599980.80537301</v>
      </c>
    </row>
    <row r="595" spans="1:2" x14ac:dyDescent="0.2">
      <c r="A595" s="3">
        <v>41563</v>
      </c>
      <c r="B595" s="4">
        <v>313194186.35465002</v>
      </c>
    </row>
    <row r="596" spans="1:2" x14ac:dyDescent="0.2">
      <c r="A596" s="3">
        <v>41564</v>
      </c>
      <c r="B596" s="4">
        <v>291976475.98638499</v>
      </c>
    </row>
    <row r="597" spans="1:2" x14ac:dyDescent="0.2">
      <c r="A597" s="3">
        <v>41565</v>
      </c>
      <c r="B597" s="4">
        <v>291712640.77182299</v>
      </c>
    </row>
    <row r="598" spans="1:2" x14ac:dyDescent="0.2">
      <c r="A598" s="3">
        <v>41568</v>
      </c>
      <c r="B598" s="4">
        <v>291050870.45726001</v>
      </c>
    </row>
    <row r="599" spans="1:2" x14ac:dyDescent="0.2">
      <c r="A599" s="3">
        <v>41569</v>
      </c>
      <c r="B599" s="4">
        <v>279399721.615215</v>
      </c>
    </row>
    <row r="600" spans="1:2" x14ac:dyDescent="0.2">
      <c r="A600" s="3">
        <v>41570</v>
      </c>
      <c r="B600" s="4">
        <v>273629235.66517198</v>
      </c>
    </row>
    <row r="601" spans="1:2" x14ac:dyDescent="0.2">
      <c r="A601" s="3">
        <v>41571</v>
      </c>
      <c r="B601" s="4">
        <v>274080896.90258503</v>
      </c>
    </row>
    <row r="602" spans="1:2" x14ac:dyDescent="0.2">
      <c r="A602" s="3">
        <v>41572</v>
      </c>
      <c r="B602" s="4">
        <v>273045544.96896398</v>
      </c>
    </row>
    <row r="603" spans="1:2" x14ac:dyDescent="0.2">
      <c r="A603" s="3">
        <v>41575</v>
      </c>
      <c r="B603" s="4">
        <v>269280018.153193</v>
      </c>
    </row>
    <row r="604" spans="1:2" x14ac:dyDescent="0.2">
      <c r="A604" s="3">
        <v>41576</v>
      </c>
      <c r="B604" s="4">
        <v>269007845.24293798</v>
      </c>
    </row>
    <row r="605" spans="1:2" x14ac:dyDescent="0.2">
      <c r="A605" s="3">
        <v>41577</v>
      </c>
      <c r="B605" s="4">
        <v>269195892.69238502</v>
      </c>
    </row>
    <row r="606" spans="1:2" x14ac:dyDescent="0.2">
      <c r="A606" s="3">
        <v>41578</v>
      </c>
      <c r="B606" s="4">
        <v>270141866.91650301</v>
      </c>
    </row>
    <row r="607" spans="1:2" x14ac:dyDescent="0.2">
      <c r="A607" s="3">
        <v>41579</v>
      </c>
      <c r="B607" s="4">
        <v>270544789.24039298</v>
      </c>
    </row>
    <row r="608" spans="1:2" x14ac:dyDescent="0.2">
      <c r="A608" s="3">
        <v>41582</v>
      </c>
      <c r="B608" s="4">
        <v>270564099.30994302</v>
      </c>
    </row>
    <row r="609" spans="1:2" x14ac:dyDescent="0.2">
      <c r="A609" s="3">
        <v>41583</v>
      </c>
      <c r="B609" s="4">
        <v>273595137.04954302</v>
      </c>
    </row>
    <row r="610" spans="1:2" x14ac:dyDescent="0.2">
      <c r="A610" s="3">
        <v>41584</v>
      </c>
      <c r="B610" s="4">
        <v>276312643.69297701</v>
      </c>
    </row>
    <row r="611" spans="1:2" x14ac:dyDescent="0.2">
      <c r="A611" s="3">
        <v>41585</v>
      </c>
      <c r="B611" s="4">
        <v>277465402.27286297</v>
      </c>
    </row>
    <row r="612" spans="1:2" x14ac:dyDescent="0.2">
      <c r="A612" s="3">
        <v>41586</v>
      </c>
      <c r="B612" s="4">
        <v>279168612.81380397</v>
      </c>
    </row>
    <row r="613" spans="1:2" x14ac:dyDescent="0.2">
      <c r="A613" s="3">
        <v>41591</v>
      </c>
      <c r="B613" s="4">
        <v>278678688.598885</v>
      </c>
    </row>
    <row r="614" spans="1:2" x14ac:dyDescent="0.2">
      <c r="A614" s="3">
        <v>41592</v>
      </c>
      <c r="B614" s="4">
        <v>277185857.55612999</v>
      </c>
    </row>
    <row r="615" spans="1:2" x14ac:dyDescent="0.2">
      <c r="A615" s="3">
        <v>41593</v>
      </c>
      <c r="B615" s="9">
        <v>289276551.528355</v>
      </c>
    </row>
    <row r="616" spans="1:2" x14ac:dyDescent="0.2">
      <c r="A616" s="3">
        <v>41596</v>
      </c>
      <c r="B616" s="9">
        <v>288629530.22028297</v>
      </c>
    </row>
    <row r="617" spans="1:2" x14ac:dyDescent="0.2">
      <c r="A617" s="3">
        <v>41597</v>
      </c>
      <c r="B617" s="9">
        <v>289532822.66855901</v>
      </c>
    </row>
    <row r="618" spans="1:2" x14ac:dyDescent="0.2">
      <c r="A618" s="3">
        <v>41598</v>
      </c>
      <c r="B618" s="9">
        <v>292447362.33868998</v>
      </c>
    </row>
    <row r="619" spans="1:2" x14ac:dyDescent="0.2">
      <c r="A619" s="3">
        <v>41599</v>
      </c>
      <c r="B619" s="9">
        <v>289373412.64527798</v>
      </c>
    </row>
    <row r="620" spans="1:2" x14ac:dyDescent="0.2">
      <c r="A620" s="3">
        <v>41600</v>
      </c>
      <c r="B620" s="9">
        <v>268357207.36389899</v>
      </c>
    </row>
    <row r="621" spans="1:2" x14ac:dyDescent="0.2">
      <c r="A621" s="3">
        <v>41603</v>
      </c>
      <c r="B621" s="9">
        <v>265282728.34947199</v>
      </c>
    </row>
    <row r="622" spans="1:2" x14ac:dyDescent="0.2">
      <c r="A622" s="3">
        <v>41604</v>
      </c>
      <c r="B622" s="9">
        <v>270135569.28613299</v>
      </c>
    </row>
    <row r="623" spans="1:2" x14ac:dyDescent="0.2">
      <c r="A623" s="3">
        <v>41605</v>
      </c>
      <c r="B623" s="9">
        <v>271215925.34631997</v>
      </c>
    </row>
    <row r="624" spans="1:2" x14ac:dyDescent="0.2">
      <c r="A624" s="3">
        <v>41607</v>
      </c>
      <c r="B624" s="9">
        <v>273236080.36891598</v>
      </c>
    </row>
    <row r="625" spans="1:2" x14ac:dyDescent="0.2">
      <c r="A625" s="3">
        <v>41610</v>
      </c>
      <c r="B625" s="9">
        <v>272701629.83408803</v>
      </c>
    </row>
    <row r="626" spans="1:2" x14ac:dyDescent="0.2">
      <c r="A626" s="3">
        <v>41611</v>
      </c>
      <c r="B626" s="9">
        <v>273327817.60760599</v>
      </c>
    </row>
    <row r="627" spans="1:2" x14ac:dyDescent="0.2">
      <c r="A627" s="3">
        <v>41612</v>
      </c>
      <c r="B627" s="9">
        <v>274528166.12149799</v>
      </c>
    </row>
    <row r="628" spans="1:2" x14ac:dyDescent="0.2">
      <c r="A628" s="3">
        <v>41613</v>
      </c>
      <c r="B628" s="9">
        <v>276638521.87386799</v>
      </c>
    </row>
    <row r="629" spans="1:2" x14ac:dyDescent="0.2">
      <c r="A629" s="3">
        <v>41614</v>
      </c>
      <c r="B629" s="9">
        <v>266350397.61313099</v>
      </c>
    </row>
    <row r="630" spans="1:2" x14ac:dyDescent="0.2">
      <c r="A630" s="3">
        <v>41617</v>
      </c>
      <c r="B630" s="9">
        <v>266158467.965437</v>
      </c>
    </row>
    <row r="631" spans="1:2" x14ac:dyDescent="0.2">
      <c r="A631" s="3">
        <v>41618</v>
      </c>
      <c r="B631" s="9">
        <v>266391187.62388501</v>
      </c>
    </row>
    <row r="632" spans="1:2" x14ac:dyDescent="0.2">
      <c r="A632" s="3">
        <v>41619</v>
      </c>
      <c r="B632" s="9">
        <v>266675973.051559</v>
      </c>
    </row>
    <row r="633" spans="1:2" x14ac:dyDescent="0.2">
      <c r="A633" s="3">
        <v>41620</v>
      </c>
      <c r="B633" s="9">
        <v>279960538.24166399</v>
      </c>
    </row>
    <row r="634" spans="1:2" x14ac:dyDescent="0.2">
      <c r="A634" s="3">
        <v>41621</v>
      </c>
      <c r="B634" s="9">
        <v>290698321.93075502</v>
      </c>
    </row>
    <row r="635" spans="1:2" x14ac:dyDescent="0.2">
      <c r="A635" s="3">
        <v>41624</v>
      </c>
      <c r="B635" s="9">
        <v>290617325.22067302</v>
      </c>
    </row>
    <row r="636" spans="1:2" x14ac:dyDescent="0.2">
      <c r="A636" s="3">
        <v>41625</v>
      </c>
      <c r="B636" s="9">
        <v>289552256.17501599</v>
      </c>
    </row>
    <row r="637" spans="1:2" x14ac:dyDescent="0.2">
      <c r="A637" s="3">
        <v>41626</v>
      </c>
      <c r="B637" s="9">
        <v>288948156.56593102</v>
      </c>
    </row>
    <row r="638" spans="1:2" x14ac:dyDescent="0.2">
      <c r="A638" s="3">
        <v>41627</v>
      </c>
      <c r="B638" s="9">
        <v>288109086.90173399</v>
      </c>
    </row>
    <row r="639" spans="1:2" x14ac:dyDescent="0.2">
      <c r="A639" s="3">
        <v>41631</v>
      </c>
      <c r="B639" s="9">
        <v>285820140.05602098</v>
      </c>
    </row>
    <row r="640" spans="1:2" x14ac:dyDescent="0.2">
      <c r="A640" s="3">
        <v>41632</v>
      </c>
      <c r="B640" s="9">
        <v>285669345.51211399</v>
      </c>
    </row>
    <row r="641" spans="1:2" x14ac:dyDescent="0.2">
      <c r="A641" s="3">
        <v>41634</v>
      </c>
      <c r="B641" s="9">
        <v>282508035.93448299</v>
      </c>
    </row>
    <row r="642" spans="1:2" x14ac:dyDescent="0.2">
      <c r="A642" s="3">
        <v>41635</v>
      </c>
      <c r="B642" s="9">
        <v>282868447.49934602</v>
      </c>
    </row>
    <row r="643" spans="1:2" x14ac:dyDescent="0.2">
      <c r="A643" s="3">
        <v>41638</v>
      </c>
      <c r="B643" s="9">
        <v>282654675.87156701</v>
      </c>
    </row>
    <row r="644" spans="1:2" x14ac:dyDescent="0.2">
      <c r="A644" s="3">
        <v>41639</v>
      </c>
      <c r="B644" s="9">
        <v>283991143.646303</v>
      </c>
    </row>
    <row r="645" spans="1:2" x14ac:dyDescent="0.2">
      <c r="A645" s="3">
        <v>41641</v>
      </c>
      <c r="B645" s="9">
        <v>283209542.429061</v>
      </c>
    </row>
    <row r="646" spans="1:2" x14ac:dyDescent="0.2">
      <c r="A646" s="3">
        <v>41642</v>
      </c>
      <c r="B646" s="9">
        <v>283172991.75915903</v>
      </c>
    </row>
    <row r="647" spans="1:2" x14ac:dyDescent="0.2">
      <c r="A647" s="3">
        <v>41645</v>
      </c>
      <c r="B647" s="9">
        <v>282933052.81712699</v>
      </c>
    </row>
    <row r="648" spans="1:2" x14ac:dyDescent="0.2">
      <c r="A648" s="3">
        <v>41646</v>
      </c>
      <c r="B648" s="9">
        <v>284126872.84266502</v>
      </c>
    </row>
    <row r="649" spans="1:2" x14ac:dyDescent="0.2">
      <c r="A649" s="3">
        <v>41647</v>
      </c>
      <c r="B649" s="9">
        <v>284077643.65805399</v>
      </c>
    </row>
    <row r="650" spans="1:2" x14ac:dyDescent="0.2">
      <c r="A650" s="3">
        <v>41648</v>
      </c>
      <c r="B650" s="9">
        <v>304848299.61102301</v>
      </c>
    </row>
    <row r="651" spans="1:2" x14ac:dyDescent="0.2">
      <c r="A651" s="3">
        <v>41649</v>
      </c>
      <c r="B651" s="9">
        <v>305478131.759592</v>
      </c>
    </row>
    <row r="652" spans="1:2" x14ac:dyDescent="0.2">
      <c r="A652" s="3">
        <v>41652</v>
      </c>
      <c r="B652" s="9">
        <v>305817448.59025401</v>
      </c>
    </row>
    <row r="653" spans="1:2" x14ac:dyDescent="0.2">
      <c r="A653" s="3">
        <v>41653</v>
      </c>
      <c r="B653" s="9">
        <v>305710019.49035001</v>
      </c>
    </row>
    <row r="654" spans="1:2" x14ac:dyDescent="0.2">
      <c r="A654" s="3">
        <v>41654</v>
      </c>
      <c r="B654" s="9">
        <v>304221552.37348598</v>
      </c>
    </row>
    <row r="655" spans="1:2" x14ac:dyDescent="0.2">
      <c r="A655" s="3">
        <v>41655</v>
      </c>
      <c r="B655" s="9">
        <v>304016772.182437</v>
      </c>
    </row>
    <row r="656" spans="1:2" x14ac:dyDescent="0.2">
      <c r="A656" s="3">
        <v>41656</v>
      </c>
      <c r="B656" s="9">
        <v>303969305.25155801</v>
      </c>
    </row>
    <row r="657" spans="1:2" x14ac:dyDescent="0.2">
      <c r="A657" s="3">
        <v>41660</v>
      </c>
      <c r="B657" s="9">
        <v>302938072.22708601</v>
      </c>
    </row>
    <row r="658" spans="1:2" x14ac:dyDescent="0.2">
      <c r="A658" s="3">
        <v>41661</v>
      </c>
      <c r="B658" s="9">
        <v>303651988.90117002</v>
      </c>
    </row>
    <row r="659" spans="1:2" x14ac:dyDescent="0.2">
      <c r="A659" s="3">
        <v>41662</v>
      </c>
      <c r="B659" s="9">
        <v>305430852.44209498</v>
      </c>
    </row>
    <row r="660" spans="1:2" x14ac:dyDescent="0.2">
      <c r="A660" s="3">
        <v>41663</v>
      </c>
      <c r="B660" s="9">
        <v>304991543.39844501</v>
      </c>
    </row>
    <row r="661" spans="1:2" x14ac:dyDescent="0.2">
      <c r="A661" s="3">
        <v>41666</v>
      </c>
      <c r="B661" s="9">
        <v>305406061.16693097</v>
      </c>
    </row>
    <row r="662" spans="1:2" x14ac:dyDescent="0.2">
      <c r="A662" s="3">
        <v>41667</v>
      </c>
      <c r="B662" s="9">
        <v>302441187.42293203</v>
      </c>
    </row>
    <row r="663" spans="1:2" x14ac:dyDescent="0.2">
      <c r="A663" s="3">
        <v>41668</v>
      </c>
      <c r="B663" s="9">
        <v>302647100.531802</v>
      </c>
    </row>
    <row r="664" spans="1:2" x14ac:dyDescent="0.2">
      <c r="A664" s="3">
        <v>41669</v>
      </c>
      <c r="B664" s="9">
        <v>320884530.17616999</v>
      </c>
    </row>
    <row r="665" spans="1:2" x14ac:dyDescent="0.2">
      <c r="A665" s="3">
        <v>41670</v>
      </c>
      <c r="B665" s="9">
        <v>320213099.78025001</v>
      </c>
    </row>
    <row r="666" spans="1:2" x14ac:dyDescent="0.2">
      <c r="A666" s="3">
        <v>41673</v>
      </c>
      <c r="B666" s="9">
        <v>320097380.28089303</v>
      </c>
    </row>
    <row r="667" spans="1:2" x14ac:dyDescent="0.2">
      <c r="A667" s="3">
        <v>41674</v>
      </c>
      <c r="B667" s="9">
        <v>319811309.78986001</v>
      </c>
    </row>
    <row r="668" spans="1:2" x14ac:dyDescent="0.2">
      <c r="A668" s="3">
        <v>41675</v>
      </c>
      <c r="B668" s="9">
        <v>320225767.03198999</v>
      </c>
    </row>
    <row r="669" spans="1:2" x14ac:dyDescent="0.2">
      <c r="A669" s="3">
        <v>41676</v>
      </c>
      <c r="B669" s="9">
        <v>320567861.56134099</v>
      </c>
    </row>
    <row r="670" spans="1:2" x14ac:dyDescent="0.2">
      <c r="A670" s="3">
        <v>41677</v>
      </c>
      <c r="B670" s="9">
        <v>334322204.46483302</v>
      </c>
    </row>
    <row r="671" spans="1:2" x14ac:dyDescent="0.2">
      <c r="A671" s="3">
        <v>41680</v>
      </c>
      <c r="B671" s="9">
        <v>334705701.364416</v>
      </c>
    </row>
    <row r="672" spans="1:2" x14ac:dyDescent="0.2">
      <c r="A672" s="3">
        <v>41681</v>
      </c>
      <c r="B672" s="9">
        <v>332885953.46748197</v>
      </c>
    </row>
    <row r="673" spans="1:2" x14ac:dyDescent="0.2">
      <c r="A673" s="3">
        <v>41682</v>
      </c>
      <c r="B673" s="9">
        <v>334100659.75279403</v>
      </c>
    </row>
    <row r="674" spans="1:2" x14ac:dyDescent="0.2">
      <c r="A674" s="3">
        <v>41683</v>
      </c>
      <c r="B674" s="9">
        <v>333935429.80220902</v>
      </c>
    </row>
    <row r="675" spans="1:2" x14ac:dyDescent="0.2">
      <c r="A675" s="3">
        <v>41684</v>
      </c>
      <c r="B675" s="9">
        <v>334334618.75252199</v>
      </c>
    </row>
    <row r="676" spans="1:2" x14ac:dyDescent="0.2">
      <c r="A676" s="3">
        <v>41688</v>
      </c>
      <c r="B676" s="9">
        <v>334903083.85122502</v>
      </c>
    </row>
    <row r="677" spans="1:2" x14ac:dyDescent="0.2">
      <c r="A677" s="3">
        <v>41689</v>
      </c>
      <c r="B677" s="9">
        <v>333826519.82004899</v>
      </c>
    </row>
    <row r="678" spans="1:2" x14ac:dyDescent="0.2">
      <c r="A678" s="3">
        <v>41690</v>
      </c>
      <c r="B678" s="9">
        <v>359568766.41343999</v>
      </c>
    </row>
    <row r="679" spans="1:2" x14ac:dyDescent="0.2">
      <c r="A679" s="3">
        <v>41691</v>
      </c>
      <c r="B679" s="9">
        <v>360222810.21056002</v>
      </c>
    </row>
    <row r="680" spans="1:2" x14ac:dyDescent="0.2">
      <c r="A680" s="3">
        <v>41694</v>
      </c>
      <c r="B680" s="9">
        <v>352700992.67024302</v>
      </c>
    </row>
    <row r="681" spans="1:2" x14ac:dyDescent="0.2">
      <c r="A681" s="3">
        <v>41695</v>
      </c>
      <c r="B681" s="9">
        <v>382372511.27110302</v>
      </c>
    </row>
    <row r="682" spans="1:2" x14ac:dyDescent="0.2">
      <c r="A682" s="3">
        <v>41696</v>
      </c>
      <c r="B682" s="9">
        <v>383207435.66624802</v>
      </c>
    </row>
    <row r="683" spans="1:2" x14ac:dyDescent="0.2">
      <c r="A683" s="3">
        <v>41697</v>
      </c>
      <c r="B683" s="9">
        <v>364050583.483127</v>
      </c>
    </row>
    <row r="684" spans="1:2" x14ac:dyDescent="0.2">
      <c r="A684" s="3">
        <v>41698</v>
      </c>
      <c r="B684" s="9">
        <v>363925319.23373997</v>
      </c>
    </row>
    <row r="685" spans="1:2" x14ac:dyDescent="0.2">
      <c r="A685" s="3">
        <v>41701</v>
      </c>
      <c r="B685" s="9">
        <v>364882977.55833298</v>
      </c>
    </row>
    <row r="686" spans="1:2" x14ac:dyDescent="0.2">
      <c r="A686" s="3">
        <v>41702</v>
      </c>
      <c r="B686" s="9">
        <v>364124181.06759202</v>
      </c>
    </row>
    <row r="687" spans="1:2" x14ac:dyDescent="0.2">
      <c r="A687" s="3">
        <v>41703</v>
      </c>
      <c r="B687" s="9">
        <v>364536914.41107202</v>
      </c>
    </row>
    <row r="688" spans="1:2" x14ac:dyDescent="0.2">
      <c r="A688" s="3">
        <v>41704</v>
      </c>
      <c r="B688" s="9">
        <v>364195142.185381</v>
      </c>
    </row>
    <row r="689" spans="1:2" x14ac:dyDescent="0.2">
      <c r="A689" s="3">
        <v>41705</v>
      </c>
      <c r="B689" s="9">
        <v>382304852.14856899</v>
      </c>
    </row>
    <row r="690" spans="1:2" x14ac:dyDescent="0.2">
      <c r="A690" s="3">
        <v>41708</v>
      </c>
      <c r="B690" s="9">
        <v>382617020.49629098</v>
      </c>
    </row>
    <row r="691" spans="1:2" x14ac:dyDescent="0.2">
      <c r="A691" s="3">
        <v>41709</v>
      </c>
      <c r="B691" s="9">
        <v>381703077.70675403</v>
      </c>
    </row>
    <row r="692" spans="1:2" x14ac:dyDescent="0.2">
      <c r="A692" s="3">
        <v>41710</v>
      </c>
      <c r="B692" s="9">
        <v>381180658.68347299</v>
      </c>
    </row>
    <row r="693" spans="1:2" x14ac:dyDescent="0.2">
      <c r="A693" s="3">
        <v>41711</v>
      </c>
      <c r="B693" s="9">
        <v>382136318.25066203</v>
      </c>
    </row>
    <row r="694" spans="1:2" x14ac:dyDescent="0.2">
      <c r="A694" s="3">
        <v>41712</v>
      </c>
      <c r="B694" s="9">
        <v>387767551.32362199</v>
      </c>
    </row>
    <row r="695" spans="1:2" x14ac:dyDescent="0.2">
      <c r="A695" s="3">
        <v>41715</v>
      </c>
      <c r="B695" s="9">
        <v>389724839.40874898</v>
      </c>
    </row>
    <row r="696" spans="1:2" x14ac:dyDescent="0.2">
      <c r="A696" s="3">
        <v>41716</v>
      </c>
      <c r="B696" s="9">
        <v>390200523.33486998</v>
      </c>
    </row>
    <row r="697" spans="1:2" x14ac:dyDescent="0.2">
      <c r="A697" s="3">
        <v>41717</v>
      </c>
      <c r="B697" s="9">
        <v>387783180.58858502</v>
      </c>
    </row>
    <row r="698" spans="1:2" x14ac:dyDescent="0.2">
      <c r="A698" s="3">
        <v>41718</v>
      </c>
      <c r="B698" s="4">
        <v>387202203.87367499</v>
      </c>
    </row>
    <row r="699" spans="1:2" x14ac:dyDescent="0.2">
      <c r="A699" s="3">
        <v>41719</v>
      </c>
      <c r="B699" s="4">
        <v>388007606.11317599</v>
      </c>
    </row>
    <row r="700" spans="1:2" x14ac:dyDescent="0.2">
      <c r="A700" s="3">
        <v>41722</v>
      </c>
      <c r="B700" s="4">
        <v>388461912.64111203</v>
      </c>
    </row>
    <row r="701" spans="1:2" x14ac:dyDescent="0.2">
      <c r="A701" s="3">
        <v>41723</v>
      </c>
      <c r="B701" s="4">
        <v>388772226.952968</v>
      </c>
    </row>
    <row r="702" spans="1:2" x14ac:dyDescent="0.2">
      <c r="A702" s="3">
        <v>41724</v>
      </c>
      <c r="B702" s="4">
        <v>386701527.03565699</v>
      </c>
    </row>
    <row r="703" spans="1:2" x14ac:dyDescent="0.2">
      <c r="A703" s="3">
        <v>41725</v>
      </c>
      <c r="B703" s="4">
        <v>387031713.678352</v>
      </c>
    </row>
    <row r="704" spans="1:2" x14ac:dyDescent="0.2">
      <c r="A704" s="3">
        <v>41726</v>
      </c>
      <c r="B704" s="4">
        <v>386159352.56680501</v>
      </c>
    </row>
    <row r="705" spans="1:2" x14ac:dyDescent="0.2">
      <c r="A705" s="3">
        <v>41729</v>
      </c>
      <c r="B705" s="4">
        <v>385849654.68856901</v>
      </c>
    </row>
    <row r="706" spans="1:2" x14ac:dyDescent="0.2">
      <c r="A706" s="3">
        <v>41730</v>
      </c>
      <c r="B706" s="4">
        <v>385467032.96083999</v>
      </c>
    </row>
    <row r="707" spans="1:2" x14ac:dyDescent="0.2">
      <c r="A707" s="3">
        <v>41731</v>
      </c>
      <c r="B707" s="4">
        <v>380947050.35757899</v>
      </c>
    </row>
    <row r="708" spans="1:2" x14ac:dyDescent="0.2">
      <c r="A708" s="3">
        <v>41732</v>
      </c>
      <c r="B708" s="4">
        <v>381313948.56256402</v>
      </c>
    </row>
    <row r="709" spans="1:2" x14ac:dyDescent="0.2">
      <c r="A709" s="3">
        <v>41733</v>
      </c>
      <c r="B709" s="4">
        <v>382843544.84324002</v>
      </c>
    </row>
    <row r="710" spans="1:2" x14ac:dyDescent="0.2">
      <c r="A710" s="3">
        <v>41736</v>
      </c>
      <c r="B710" s="4">
        <v>383690651.76979202</v>
      </c>
    </row>
    <row r="711" spans="1:2" x14ac:dyDescent="0.2">
      <c r="A711" s="3">
        <v>41737</v>
      </c>
      <c r="B711" s="4">
        <v>383986532.77846497</v>
      </c>
    </row>
    <row r="712" spans="1:2" x14ac:dyDescent="0.2">
      <c r="A712" s="3">
        <v>41738</v>
      </c>
      <c r="B712" s="4">
        <v>382992000.39412302</v>
      </c>
    </row>
    <row r="713" spans="1:2" x14ac:dyDescent="0.2">
      <c r="A713" s="3">
        <v>41739</v>
      </c>
      <c r="B713" s="4">
        <v>394999984.688016</v>
      </c>
    </row>
    <row r="714" spans="1:2" x14ac:dyDescent="0.2">
      <c r="A714" s="3">
        <v>41740</v>
      </c>
      <c r="B714" s="4">
        <v>390696541.15803301</v>
      </c>
    </row>
    <row r="715" spans="1:2" x14ac:dyDescent="0.2">
      <c r="A715" s="3">
        <v>41743</v>
      </c>
      <c r="B715" s="4">
        <v>389403890.927571</v>
      </c>
    </row>
    <row r="716" spans="1:2" x14ac:dyDescent="0.2">
      <c r="A716" s="3">
        <v>41744</v>
      </c>
      <c r="B716" s="4">
        <v>389130706.84621102</v>
      </c>
    </row>
    <row r="717" spans="1:2" x14ac:dyDescent="0.2">
      <c r="A717" s="3">
        <v>41745</v>
      </c>
      <c r="B717" s="4">
        <v>388870699.57047802</v>
      </c>
    </row>
    <row r="718" spans="1:2" x14ac:dyDescent="0.2">
      <c r="A718" s="3">
        <v>41746</v>
      </c>
      <c r="B718" s="4">
        <v>387276301.19351399</v>
      </c>
    </row>
    <row r="719" spans="1:2" x14ac:dyDescent="0.2">
      <c r="A719" s="3">
        <v>41750</v>
      </c>
      <c r="B719" s="4">
        <v>387048440.72014701</v>
      </c>
    </row>
    <row r="720" spans="1:2" x14ac:dyDescent="0.2">
      <c r="A720" s="3">
        <v>41751</v>
      </c>
      <c r="B720" s="4">
        <v>387012344.47966999</v>
      </c>
    </row>
    <row r="721" spans="1:2" x14ac:dyDescent="0.2">
      <c r="A721" s="3">
        <v>41752</v>
      </c>
      <c r="B721" s="4">
        <v>388347277.29161799</v>
      </c>
    </row>
    <row r="722" spans="1:2" x14ac:dyDescent="0.2">
      <c r="A722" s="3">
        <v>41753</v>
      </c>
      <c r="B722" s="4">
        <v>388238476.333875</v>
      </c>
    </row>
    <row r="723" spans="1:2" x14ac:dyDescent="0.2">
      <c r="A723" s="3">
        <v>41754</v>
      </c>
      <c r="B723" s="4">
        <v>386292501.09288198</v>
      </c>
    </row>
    <row r="724" spans="1:2" x14ac:dyDescent="0.2">
      <c r="A724" s="3">
        <v>41757</v>
      </c>
      <c r="B724" s="4">
        <v>385966062.14070398</v>
      </c>
    </row>
    <row r="725" spans="1:2" x14ac:dyDescent="0.2">
      <c r="A725" s="3">
        <v>41758</v>
      </c>
      <c r="B725" s="4">
        <v>385814445.42405897</v>
      </c>
    </row>
    <row r="726" spans="1:2" x14ac:dyDescent="0.2">
      <c r="A726" s="3">
        <v>41759</v>
      </c>
      <c r="B726" s="4">
        <v>390749399.05083299</v>
      </c>
    </row>
    <row r="727" spans="1:2" x14ac:dyDescent="0.2">
      <c r="A727" s="3">
        <v>41760</v>
      </c>
      <c r="B727" s="4">
        <v>391601916.53671199</v>
      </c>
    </row>
    <row r="728" spans="1:2" x14ac:dyDescent="0.2">
      <c r="A728" s="3">
        <v>41761</v>
      </c>
      <c r="B728" s="4">
        <v>392105876.42922199</v>
      </c>
    </row>
    <row r="729" spans="1:2" x14ac:dyDescent="0.2">
      <c r="A729" s="3">
        <v>41764</v>
      </c>
      <c r="B729" s="4">
        <v>391631149.44276297</v>
      </c>
    </row>
    <row r="730" spans="1:2" x14ac:dyDescent="0.2">
      <c r="A730" s="3">
        <v>41765</v>
      </c>
      <c r="B730" s="4">
        <v>392340515.26257002</v>
      </c>
    </row>
    <row r="731" spans="1:2" x14ac:dyDescent="0.2">
      <c r="A731" s="3">
        <v>41766</v>
      </c>
      <c r="B731" s="4">
        <v>385806596.34237099</v>
      </c>
    </row>
    <row r="732" spans="1:2" x14ac:dyDescent="0.2">
      <c r="A732" s="3">
        <v>41767</v>
      </c>
      <c r="B732" s="4">
        <v>386182778.45027798</v>
      </c>
    </row>
    <row r="733" spans="1:2" x14ac:dyDescent="0.2">
      <c r="A733" s="3">
        <v>41768</v>
      </c>
      <c r="B733" s="4">
        <v>384303079.54627699</v>
      </c>
    </row>
    <row r="734" spans="1:2" x14ac:dyDescent="0.2">
      <c r="A734" s="3">
        <v>41771</v>
      </c>
      <c r="B734" s="4">
        <v>384142095.51058501</v>
      </c>
    </row>
    <row r="735" spans="1:2" x14ac:dyDescent="0.2">
      <c r="A735" s="3">
        <v>41772</v>
      </c>
      <c r="B735" s="4">
        <v>375552394.46252799</v>
      </c>
    </row>
    <row r="736" spans="1:2" x14ac:dyDescent="0.2">
      <c r="A736" s="3">
        <v>41773</v>
      </c>
      <c r="B736" s="4">
        <v>370313685.77273202</v>
      </c>
    </row>
    <row r="737" spans="1:2" x14ac:dyDescent="0.2">
      <c r="A737" s="3">
        <v>41774</v>
      </c>
      <c r="B737" s="4">
        <v>368093875.09665197</v>
      </c>
    </row>
    <row r="738" spans="1:2" x14ac:dyDescent="0.2">
      <c r="A738" s="3">
        <v>41775</v>
      </c>
      <c r="B738" s="4">
        <v>352013254.78588003</v>
      </c>
    </row>
    <row r="739" spans="1:2" x14ac:dyDescent="0.2">
      <c r="A739" s="3">
        <v>41778</v>
      </c>
      <c r="B739" s="4">
        <v>352233520.74731898</v>
      </c>
    </row>
    <row r="740" spans="1:2" x14ac:dyDescent="0.2">
      <c r="A740" s="3">
        <v>41779</v>
      </c>
      <c r="B740" s="4">
        <v>352527866.58322698</v>
      </c>
    </row>
    <row r="741" spans="1:2" x14ac:dyDescent="0.2">
      <c r="A741" s="3">
        <v>41780</v>
      </c>
      <c r="B741" s="4">
        <v>345685904.90649402</v>
      </c>
    </row>
    <row r="742" spans="1:2" x14ac:dyDescent="0.2">
      <c r="A742" s="3">
        <v>41781</v>
      </c>
      <c r="B742" s="4">
        <v>345596912.73373801</v>
      </c>
    </row>
    <row r="743" spans="1:2" x14ac:dyDescent="0.2">
      <c r="A743" s="3">
        <v>41782</v>
      </c>
      <c r="B743" s="4">
        <v>346547308.05652601</v>
      </c>
    </row>
    <row r="744" spans="1:2" x14ac:dyDescent="0.2">
      <c r="A744" s="3">
        <v>41786</v>
      </c>
      <c r="B744" s="4">
        <v>344602786.75254297</v>
      </c>
    </row>
    <row r="745" spans="1:2" x14ac:dyDescent="0.2">
      <c r="A745" s="3">
        <v>41787</v>
      </c>
      <c r="B745" s="4">
        <v>344991805.12785399</v>
      </c>
    </row>
    <row r="746" spans="1:2" x14ac:dyDescent="0.2">
      <c r="A746" s="3">
        <v>41788</v>
      </c>
      <c r="B746" s="4">
        <v>344899674.36844403</v>
      </c>
    </row>
    <row r="747" spans="1:2" x14ac:dyDescent="0.2">
      <c r="A747" s="3">
        <v>41789</v>
      </c>
      <c r="B747" s="4">
        <v>344361491.44033301</v>
      </c>
    </row>
    <row r="748" spans="1:2" x14ac:dyDescent="0.2">
      <c r="A748" s="3">
        <v>41792</v>
      </c>
      <c r="B748" s="4">
        <v>343438789.98416799</v>
      </c>
    </row>
    <row r="749" spans="1:2" x14ac:dyDescent="0.2">
      <c r="A749" s="3">
        <v>41793</v>
      </c>
      <c r="B749" s="4">
        <v>342789475.638255</v>
      </c>
    </row>
    <row r="750" spans="1:2" x14ac:dyDescent="0.2">
      <c r="A750" s="3">
        <v>41794</v>
      </c>
      <c r="B750" s="4">
        <v>342667789.30007899</v>
      </c>
    </row>
    <row r="751" spans="1:2" x14ac:dyDescent="0.2">
      <c r="A751" s="3">
        <v>41795</v>
      </c>
      <c r="B751" s="4">
        <v>343262984.451805</v>
      </c>
    </row>
    <row r="752" spans="1:2" x14ac:dyDescent="0.2">
      <c r="A752" s="3">
        <v>41796</v>
      </c>
      <c r="B752" s="4">
        <v>341739651.03386599</v>
      </c>
    </row>
    <row r="753" spans="1:2" x14ac:dyDescent="0.2">
      <c r="A753" s="3">
        <v>41799</v>
      </c>
      <c r="B753" s="4">
        <v>341363361.67321002</v>
      </c>
    </row>
    <row r="754" spans="1:2" x14ac:dyDescent="0.2">
      <c r="A754" s="3">
        <v>41800</v>
      </c>
      <c r="B754" s="4">
        <v>339570169.673554</v>
      </c>
    </row>
    <row r="755" spans="1:2" x14ac:dyDescent="0.2">
      <c r="A755" s="3">
        <v>41801</v>
      </c>
      <c r="B755" s="4">
        <v>339371294.57022899</v>
      </c>
    </row>
    <row r="756" spans="1:2" x14ac:dyDescent="0.2">
      <c r="A756" s="3">
        <v>41802</v>
      </c>
      <c r="B756" s="4">
        <v>341278840.42043698</v>
      </c>
    </row>
    <row r="757" spans="1:2" x14ac:dyDescent="0.2">
      <c r="A757" s="3">
        <v>41803</v>
      </c>
      <c r="B757" s="4">
        <v>341164664.38544899</v>
      </c>
    </row>
    <row r="758" spans="1:2" x14ac:dyDescent="0.2">
      <c r="A758" s="3">
        <v>41806</v>
      </c>
      <c r="B758" s="4">
        <v>339718178.45117599</v>
      </c>
    </row>
    <row r="759" spans="1:2" x14ac:dyDescent="0.2">
      <c r="A759" s="3">
        <v>41807</v>
      </c>
      <c r="B759" s="4">
        <v>339677222.853571</v>
      </c>
    </row>
    <row r="760" spans="1:2" x14ac:dyDescent="0.2">
      <c r="A760" s="3">
        <v>41808</v>
      </c>
      <c r="B760" s="4">
        <v>340192421.969217</v>
      </c>
    </row>
    <row r="761" spans="1:2" x14ac:dyDescent="0.2">
      <c r="A761" s="3">
        <v>41809</v>
      </c>
      <c r="B761" s="4">
        <v>339988226.61705101</v>
      </c>
    </row>
    <row r="762" spans="1:2" x14ac:dyDescent="0.2">
      <c r="A762" s="3">
        <v>41810</v>
      </c>
      <c r="B762" s="4">
        <v>340515802.09736699</v>
      </c>
    </row>
    <row r="763" spans="1:2" x14ac:dyDescent="0.2">
      <c r="A763" s="3">
        <v>41813</v>
      </c>
      <c r="B763" s="4">
        <v>341372974.86765099</v>
      </c>
    </row>
    <row r="764" spans="1:2" x14ac:dyDescent="0.2">
      <c r="A764" s="3">
        <v>41814</v>
      </c>
      <c r="B764" s="4">
        <v>341357125.774692</v>
      </c>
    </row>
    <row r="765" spans="1:2" x14ac:dyDescent="0.2">
      <c r="A765" s="3">
        <v>41815</v>
      </c>
      <c r="B765" s="4">
        <v>339494124.53561097</v>
      </c>
    </row>
    <row r="766" spans="1:2" x14ac:dyDescent="0.2">
      <c r="A766" s="3">
        <v>41816</v>
      </c>
      <c r="B766" s="4">
        <v>339981340.584553</v>
      </c>
    </row>
    <row r="767" spans="1:2" x14ac:dyDescent="0.2">
      <c r="A767" s="3">
        <v>41817</v>
      </c>
      <c r="B767" s="4">
        <v>339824448.88434899</v>
      </c>
    </row>
    <row r="768" spans="1:2" x14ac:dyDescent="0.2">
      <c r="A768" s="3">
        <v>41820</v>
      </c>
      <c r="B768" s="4">
        <v>342948082.96218598</v>
      </c>
    </row>
    <row r="769" spans="1:2" x14ac:dyDescent="0.2">
      <c r="A769" s="3">
        <v>41821</v>
      </c>
      <c r="B769" s="4">
        <v>332970391.81056201</v>
      </c>
    </row>
    <row r="770" spans="1:2" x14ac:dyDescent="0.2">
      <c r="A770" s="3">
        <v>41822</v>
      </c>
      <c r="B770" s="4">
        <v>332559534.29119998</v>
      </c>
    </row>
    <row r="771" spans="1:2" x14ac:dyDescent="0.2">
      <c r="A771" s="3">
        <v>41823</v>
      </c>
      <c r="B771" s="4">
        <v>332859101.86886102</v>
      </c>
    </row>
    <row r="772" spans="1:2" x14ac:dyDescent="0.2">
      <c r="A772" s="3">
        <v>41827</v>
      </c>
      <c r="B772" s="4">
        <v>333097872.72610402</v>
      </c>
    </row>
    <row r="773" spans="1:2" x14ac:dyDescent="0.2">
      <c r="A773" s="3">
        <v>41828</v>
      </c>
      <c r="B773" s="4">
        <v>333492457.70748198</v>
      </c>
    </row>
    <row r="774" spans="1:2" x14ac:dyDescent="0.2">
      <c r="A774" s="3">
        <v>41829</v>
      </c>
      <c r="B774" s="4">
        <v>332609184.46986097</v>
      </c>
    </row>
    <row r="775" spans="1:2" x14ac:dyDescent="0.2">
      <c r="A775" s="3">
        <v>41830</v>
      </c>
      <c r="B775" s="4">
        <v>328911038.33757299</v>
      </c>
    </row>
    <row r="776" spans="1:2" x14ac:dyDescent="0.2">
      <c r="A776" s="3">
        <v>41831</v>
      </c>
      <c r="B776" s="4">
        <v>328950853.05044198</v>
      </c>
    </row>
    <row r="777" spans="1:2" x14ac:dyDescent="0.2">
      <c r="A777" s="3">
        <v>41834</v>
      </c>
      <c r="B777" s="4">
        <v>316670029.33321702</v>
      </c>
    </row>
    <row r="778" spans="1:2" x14ac:dyDescent="0.2">
      <c r="A778" s="3">
        <v>41835</v>
      </c>
      <c r="B778" s="11">
        <v>315173816.953915</v>
      </c>
    </row>
    <row r="779" spans="1:2" x14ac:dyDescent="0.2">
      <c r="A779" s="3">
        <v>41836</v>
      </c>
      <c r="B779" s="11">
        <v>315112327.32598698</v>
      </c>
    </row>
    <row r="780" spans="1:2" x14ac:dyDescent="0.2">
      <c r="A780" s="3">
        <v>41837</v>
      </c>
      <c r="B780" s="11">
        <v>314889558.096237</v>
      </c>
    </row>
    <row r="781" spans="1:2" x14ac:dyDescent="0.2">
      <c r="A781" s="3">
        <v>41838</v>
      </c>
      <c r="B781" s="11">
        <v>314462592.61636698</v>
      </c>
    </row>
    <row r="782" spans="1:2" x14ac:dyDescent="0.2">
      <c r="A782" s="3">
        <v>41841</v>
      </c>
      <c r="B782" s="11">
        <v>313069119.15024602</v>
      </c>
    </row>
    <row r="783" spans="1:2" x14ac:dyDescent="0.2">
      <c r="A783" s="3">
        <v>41842</v>
      </c>
      <c r="B783" s="11">
        <v>312984619.752922</v>
      </c>
    </row>
    <row r="784" spans="1:2" x14ac:dyDescent="0.2">
      <c r="A784" s="3">
        <v>41843</v>
      </c>
      <c r="B784" s="11">
        <v>313277231.64826</v>
      </c>
    </row>
    <row r="785" spans="1:2" x14ac:dyDescent="0.2">
      <c r="A785" s="3">
        <v>41844</v>
      </c>
      <c r="B785" s="11">
        <v>312897416.87144297</v>
      </c>
    </row>
    <row r="786" spans="1:2" x14ac:dyDescent="0.2">
      <c r="A786" s="3">
        <v>41845</v>
      </c>
      <c r="B786" s="11">
        <v>313067659.902408</v>
      </c>
    </row>
    <row r="787" spans="1:2" x14ac:dyDescent="0.2">
      <c r="A787" s="3">
        <v>41848</v>
      </c>
      <c r="B787" s="11">
        <v>309657156.81885803</v>
      </c>
    </row>
    <row r="788" spans="1:2" x14ac:dyDescent="0.2">
      <c r="A788" s="3">
        <v>41849</v>
      </c>
      <c r="B788" s="11">
        <v>309483680.02788001</v>
      </c>
    </row>
    <row r="789" spans="1:2" x14ac:dyDescent="0.2">
      <c r="A789" s="3">
        <v>41850</v>
      </c>
      <c r="B789" s="11">
        <v>309912492.090518</v>
      </c>
    </row>
    <row r="790" spans="1:2" x14ac:dyDescent="0.2">
      <c r="A790" s="3">
        <v>41851</v>
      </c>
      <c r="B790" s="11">
        <v>311700041.88666701</v>
      </c>
    </row>
    <row r="791" spans="1:2" x14ac:dyDescent="0.2">
      <c r="A791" s="3">
        <v>41852</v>
      </c>
      <c r="B791" s="11">
        <v>312240443.72946501</v>
      </c>
    </row>
    <row r="792" spans="1:2" x14ac:dyDescent="0.2">
      <c r="A792" s="3">
        <v>41855</v>
      </c>
      <c r="B792" s="11">
        <v>306238135.04907101</v>
      </c>
    </row>
    <row r="793" spans="1:2" x14ac:dyDescent="0.2">
      <c r="A793" s="3">
        <v>41856</v>
      </c>
      <c r="B793" s="11">
        <v>306104786.19483697</v>
      </c>
    </row>
    <row r="794" spans="1:2" x14ac:dyDescent="0.2">
      <c r="A794" s="3">
        <v>41857</v>
      </c>
      <c r="B794" s="11">
        <v>305662054.64789099</v>
      </c>
    </row>
    <row r="795" spans="1:2" x14ac:dyDescent="0.2">
      <c r="A795" s="3">
        <v>41858</v>
      </c>
      <c r="B795" s="11">
        <v>306265367.46572202</v>
      </c>
    </row>
    <row r="796" spans="1:2" x14ac:dyDescent="0.2">
      <c r="A796" s="3">
        <v>41859</v>
      </c>
      <c r="B796" s="11">
        <v>305923195.39965999</v>
      </c>
    </row>
    <row r="797" spans="1:2" x14ac:dyDescent="0.2">
      <c r="A797" s="3">
        <v>41862</v>
      </c>
      <c r="B797" s="11">
        <v>304545472.81395602</v>
      </c>
    </row>
    <row r="798" spans="1:2" x14ac:dyDescent="0.2">
      <c r="A798" s="3">
        <v>41863</v>
      </c>
      <c r="B798" s="11">
        <v>304263742.214037</v>
      </c>
    </row>
    <row r="799" spans="1:2" x14ac:dyDescent="0.2">
      <c r="A799" s="3">
        <v>41864</v>
      </c>
      <c r="B799" s="11">
        <v>304615357.48119801</v>
      </c>
    </row>
    <row r="800" spans="1:2" x14ac:dyDescent="0.2">
      <c r="A800" s="3">
        <v>41865</v>
      </c>
      <c r="B800" s="11">
        <v>303231581.19176102</v>
      </c>
    </row>
    <row r="801" spans="1:2" x14ac:dyDescent="0.2">
      <c r="A801" s="3">
        <v>41866</v>
      </c>
      <c r="B801" s="11">
        <v>303117581.53994799</v>
      </c>
    </row>
    <row r="802" spans="1:2" x14ac:dyDescent="0.2">
      <c r="A802" s="3">
        <v>41869</v>
      </c>
      <c r="B802" s="11">
        <v>302975416.35856003</v>
      </c>
    </row>
    <row r="803" spans="1:2" x14ac:dyDescent="0.2">
      <c r="A803" s="3">
        <v>41870</v>
      </c>
      <c r="B803" s="11">
        <v>302460895.692191</v>
      </c>
    </row>
    <row r="804" spans="1:2" x14ac:dyDescent="0.2">
      <c r="A804" s="3">
        <v>41871</v>
      </c>
      <c r="B804" s="11">
        <v>309168616.56794298</v>
      </c>
    </row>
    <row r="805" spans="1:2" x14ac:dyDescent="0.2">
      <c r="A805" s="3">
        <v>41872</v>
      </c>
      <c r="B805" s="11">
        <v>309415165.21458399</v>
      </c>
    </row>
    <row r="806" spans="1:2" x14ac:dyDescent="0.2">
      <c r="A806" s="3">
        <v>41873</v>
      </c>
      <c r="B806" s="11">
        <v>309837658.96861798</v>
      </c>
    </row>
    <row r="807" spans="1:2" x14ac:dyDescent="0.2">
      <c r="A807" s="3">
        <v>41876</v>
      </c>
      <c r="B807" s="11">
        <v>309401280.971385</v>
      </c>
    </row>
    <row r="808" spans="1:2" x14ac:dyDescent="0.2">
      <c r="A808" s="3">
        <v>41877</v>
      </c>
      <c r="B808" s="11">
        <v>306995785.33746201</v>
      </c>
    </row>
    <row r="809" spans="1:2" x14ac:dyDescent="0.2">
      <c r="A809" s="3">
        <v>41878</v>
      </c>
      <c r="B809" s="11">
        <v>306600168.76307499</v>
      </c>
    </row>
    <row r="810" spans="1:2" x14ac:dyDescent="0.2">
      <c r="A810" s="3">
        <v>41879</v>
      </c>
      <c r="B810" s="11">
        <v>306514462.74032003</v>
      </c>
    </row>
    <row r="811" spans="1:2" x14ac:dyDescent="0.2">
      <c r="A811" s="3">
        <v>41880</v>
      </c>
      <c r="B811" s="11">
        <v>306366458.75870901</v>
      </c>
    </row>
    <row r="812" spans="1:2" x14ac:dyDescent="0.2">
      <c r="A812" s="3">
        <v>41884</v>
      </c>
      <c r="B812" s="11">
        <v>307461861.91983002</v>
      </c>
    </row>
    <row r="813" spans="1:2" x14ac:dyDescent="0.2">
      <c r="A813" s="3">
        <v>41885</v>
      </c>
      <c r="B813" s="11">
        <v>308558490.00987703</v>
      </c>
    </row>
    <row r="814" spans="1:2" x14ac:dyDescent="0.2">
      <c r="A814" s="3">
        <v>41886</v>
      </c>
      <c r="B814" s="11">
        <v>308944316.92410499</v>
      </c>
    </row>
    <row r="815" spans="1:2" x14ac:dyDescent="0.2">
      <c r="A815" s="3">
        <v>41887</v>
      </c>
      <c r="B815" s="11">
        <v>309377242.719778</v>
      </c>
    </row>
    <row r="816" spans="1:2" x14ac:dyDescent="0.2">
      <c r="A816" s="3">
        <v>41890</v>
      </c>
      <c r="B816" s="11">
        <v>304185017.25417101</v>
      </c>
    </row>
    <row r="817" spans="1:2" x14ac:dyDescent="0.2">
      <c r="A817" s="3">
        <v>41891</v>
      </c>
      <c r="B817" s="11">
        <v>302728842.01856399</v>
      </c>
    </row>
    <row r="818" spans="1:2" x14ac:dyDescent="0.2">
      <c r="A818" s="3">
        <v>41892</v>
      </c>
      <c r="B818" s="11">
        <v>301602265.03764403</v>
      </c>
    </row>
    <row r="819" spans="1:2" x14ac:dyDescent="0.2">
      <c r="A819" s="3">
        <v>41893</v>
      </c>
      <c r="B819" s="11">
        <v>301336614.14152598</v>
      </c>
    </row>
    <row r="820" spans="1:2" x14ac:dyDescent="0.2">
      <c r="A820" s="3">
        <v>41894</v>
      </c>
      <c r="B820" s="11">
        <v>300292172.89845598</v>
      </c>
    </row>
    <row r="821" spans="1:2" x14ac:dyDescent="0.2">
      <c r="A821" s="3">
        <v>41897</v>
      </c>
      <c r="B821" s="11">
        <v>300514158.83251297</v>
      </c>
    </row>
    <row r="822" spans="1:2" x14ac:dyDescent="0.2">
      <c r="A822" s="3">
        <v>41898</v>
      </c>
      <c r="B822" s="11">
        <v>299365599.85704303</v>
      </c>
    </row>
    <row r="823" spans="1:2" x14ac:dyDescent="0.2">
      <c r="A823" s="3">
        <v>41899</v>
      </c>
      <c r="B823" s="11">
        <v>299367293.785074</v>
      </c>
    </row>
    <row r="824" spans="1:2" x14ac:dyDescent="0.2">
      <c r="A824" s="3">
        <v>41900</v>
      </c>
      <c r="B824" s="11">
        <v>299206255.76187903</v>
      </c>
    </row>
    <row r="825" spans="1:2" x14ac:dyDescent="0.2">
      <c r="A825" s="3">
        <v>41901</v>
      </c>
      <c r="B825" s="11">
        <v>299471804.96880198</v>
      </c>
    </row>
    <row r="826" spans="1:2" x14ac:dyDescent="0.2">
      <c r="A826" s="3">
        <v>41904</v>
      </c>
      <c r="B826" s="11">
        <v>300126901.59221601</v>
      </c>
    </row>
    <row r="827" spans="1:2" x14ac:dyDescent="0.2">
      <c r="A827" s="3">
        <v>41905</v>
      </c>
      <c r="B827" s="11">
        <v>300882241.84195203</v>
      </c>
    </row>
    <row r="828" spans="1:2" x14ac:dyDescent="0.2">
      <c r="A828" s="3">
        <v>41906</v>
      </c>
      <c r="B828" s="11">
        <v>300937834.33043402</v>
      </c>
    </row>
    <row r="829" spans="1:2" x14ac:dyDescent="0.2">
      <c r="A829" s="3">
        <v>41907</v>
      </c>
      <c r="B829" s="11">
        <v>299667182.62309498</v>
      </c>
    </row>
    <row r="830" spans="1:2" x14ac:dyDescent="0.2">
      <c r="A830" s="3">
        <v>41908</v>
      </c>
      <c r="B830" s="11">
        <v>299498569.02125698</v>
      </c>
    </row>
    <row r="831" spans="1:2" x14ac:dyDescent="0.2">
      <c r="A831" s="3">
        <v>41911</v>
      </c>
      <c r="B831" s="11">
        <v>299337856.712964</v>
      </c>
    </row>
    <row r="832" spans="1:2" x14ac:dyDescent="0.2">
      <c r="A832" s="3">
        <v>41912</v>
      </c>
      <c r="B832" s="11">
        <v>298501089.35640502</v>
      </c>
    </row>
    <row r="833" spans="1:2" x14ac:dyDescent="0.2">
      <c r="A833" s="3">
        <v>41913</v>
      </c>
      <c r="B833" s="11">
        <v>299678136.32004702</v>
      </c>
    </row>
    <row r="834" spans="1:2" x14ac:dyDescent="0.2">
      <c r="A834" s="3">
        <v>41914</v>
      </c>
      <c r="B834" s="11">
        <v>299398372.779217</v>
      </c>
    </row>
    <row r="835" spans="1:2" x14ac:dyDescent="0.2">
      <c r="A835" s="3">
        <v>41915</v>
      </c>
      <c r="B835" s="11">
        <v>299622727.37837201</v>
      </c>
    </row>
    <row r="836" spans="1:2" x14ac:dyDescent="0.2">
      <c r="A836" s="3">
        <v>41918</v>
      </c>
      <c r="B836" s="11">
        <v>299977461.948439</v>
      </c>
    </row>
    <row r="837" spans="1:2" x14ac:dyDescent="0.2">
      <c r="A837" s="3">
        <v>41919</v>
      </c>
      <c r="B837" s="11">
        <v>300153983.27533799</v>
      </c>
    </row>
    <row r="838" spans="1:2" x14ac:dyDescent="0.2">
      <c r="A838" s="3">
        <v>41920</v>
      </c>
      <c r="B838" s="11">
        <v>298603356.58212203</v>
      </c>
    </row>
    <row r="839" spans="1:2" x14ac:dyDescent="0.2">
      <c r="A839" s="3">
        <v>41921</v>
      </c>
      <c r="B839" s="11">
        <v>298356267.49470103</v>
      </c>
    </row>
    <row r="840" spans="1:2" x14ac:dyDescent="0.2">
      <c r="A840" s="3">
        <v>41922</v>
      </c>
      <c r="B840" s="11">
        <v>298593068.91039002</v>
      </c>
    </row>
    <row r="841" spans="1:2" x14ac:dyDescent="0.2">
      <c r="A841" s="3">
        <v>41926</v>
      </c>
      <c r="B841" s="11">
        <v>296804002.65891099</v>
      </c>
    </row>
    <row r="842" spans="1:2" x14ac:dyDescent="0.2">
      <c r="A842" s="3">
        <v>41927</v>
      </c>
      <c r="B842" s="11">
        <v>258045595.23517099</v>
      </c>
    </row>
    <row r="843" spans="1:2" x14ac:dyDescent="0.2">
      <c r="A843" s="3">
        <v>41928</v>
      </c>
      <c r="B843" s="11">
        <v>257593958.783544</v>
      </c>
    </row>
    <row r="844" spans="1:2" x14ac:dyDescent="0.2">
      <c r="A844" s="3">
        <v>41929</v>
      </c>
      <c r="B844" s="11">
        <v>257123621.313685</v>
      </c>
    </row>
    <row r="845" spans="1:2" x14ac:dyDescent="0.2">
      <c r="A845" s="3">
        <v>41932</v>
      </c>
      <c r="B845" s="11">
        <v>257396741.95238501</v>
      </c>
    </row>
    <row r="846" spans="1:2" x14ac:dyDescent="0.2">
      <c r="A846" s="3">
        <v>41933</v>
      </c>
      <c r="B846" s="4">
        <v>256315746.720301</v>
      </c>
    </row>
    <row r="847" spans="1:2" x14ac:dyDescent="0.2">
      <c r="A847" s="3">
        <v>41934</v>
      </c>
      <c r="B847" s="4">
        <v>256127106.059995</v>
      </c>
    </row>
    <row r="848" spans="1:2" x14ac:dyDescent="0.2">
      <c r="A848" s="3">
        <v>41935</v>
      </c>
      <c r="B848" s="4">
        <v>256167489.26998699</v>
      </c>
    </row>
    <row r="849" spans="1:2" x14ac:dyDescent="0.2">
      <c r="A849" s="3">
        <v>41936</v>
      </c>
      <c r="B849" s="4">
        <v>257229065.90519199</v>
      </c>
    </row>
    <row r="850" spans="1:2" x14ac:dyDescent="0.2">
      <c r="A850" s="3">
        <v>41939</v>
      </c>
      <c r="B850" s="4">
        <v>257875577.754053</v>
      </c>
    </row>
    <row r="851" spans="1:2" x14ac:dyDescent="0.2">
      <c r="A851" s="3">
        <v>41940</v>
      </c>
      <c r="B851" s="4">
        <v>256451038.63116199</v>
      </c>
    </row>
    <row r="852" spans="1:2" x14ac:dyDescent="0.2">
      <c r="A852" s="3">
        <v>41941</v>
      </c>
      <c r="B852" s="4">
        <v>256408689.48440501</v>
      </c>
    </row>
    <row r="853" spans="1:2" x14ac:dyDescent="0.2">
      <c r="A853" s="3">
        <v>41942</v>
      </c>
      <c r="B853" s="4">
        <v>256844586.39367899</v>
      </c>
    </row>
    <row r="854" spans="1:2" x14ac:dyDescent="0.2">
      <c r="A854" s="3">
        <v>41943</v>
      </c>
      <c r="B854" s="4">
        <v>257493788.90979299</v>
      </c>
    </row>
    <row r="855" spans="1:2" x14ac:dyDescent="0.2">
      <c r="A855" s="3">
        <v>41946</v>
      </c>
      <c r="B855" s="4">
        <v>258050640.645464</v>
      </c>
    </row>
    <row r="856" spans="1:2" x14ac:dyDescent="0.2">
      <c r="A856" s="3">
        <v>41947</v>
      </c>
      <c r="B856" s="4">
        <v>258389297.515405</v>
      </c>
    </row>
    <row r="857" spans="1:2" x14ac:dyDescent="0.2">
      <c r="A857" s="3">
        <v>41948</v>
      </c>
      <c r="B857" s="4">
        <v>258209541.78743601</v>
      </c>
    </row>
    <row r="858" spans="1:2" x14ac:dyDescent="0.2">
      <c r="A858" s="3">
        <v>41949</v>
      </c>
      <c r="B858" s="4">
        <v>257691359.64729699</v>
      </c>
    </row>
    <row r="859" spans="1:2" x14ac:dyDescent="0.2">
      <c r="A859" s="3">
        <v>41950</v>
      </c>
      <c r="B859" s="4">
        <v>258702623.439567</v>
      </c>
    </row>
    <row r="860" spans="1:2" x14ac:dyDescent="0.2">
      <c r="A860" s="3">
        <v>41953</v>
      </c>
      <c r="B860" s="4">
        <v>256411208.65599501</v>
      </c>
    </row>
    <row r="861" spans="1:2" x14ac:dyDescent="0.2">
      <c r="A861" s="3">
        <v>41955</v>
      </c>
      <c r="B861" s="4">
        <v>256770609.32057801</v>
      </c>
    </row>
    <row r="862" spans="1:2" x14ac:dyDescent="0.2">
      <c r="A862" s="3">
        <v>41956</v>
      </c>
      <c r="B862" s="4">
        <v>257086719.82365701</v>
      </c>
    </row>
    <row r="863" spans="1:2" x14ac:dyDescent="0.2">
      <c r="A863" s="3">
        <v>41957</v>
      </c>
      <c r="B863" s="4">
        <v>256980576.266534</v>
      </c>
    </row>
    <row r="864" spans="1:2" x14ac:dyDescent="0.2">
      <c r="A864" s="3">
        <v>41960</v>
      </c>
      <c r="B864" s="4">
        <v>253755581.264328</v>
      </c>
    </row>
    <row r="865" spans="1:2" x14ac:dyDescent="0.2">
      <c r="A865" s="3">
        <v>41961</v>
      </c>
      <c r="B865" s="4">
        <v>254338538.43588901</v>
      </c>
    </row>
    <row r="866" spans="1:2" x14ac:dyDescent="0.2">
      <c r="A866" s="3">
        <v>41962</v>
      </c>
      <c r="B866" s="4">
        <v>253558333.79614699</v>
      </c>
    </row>
    <row r="867" spans="1:2" x14ac:dyDescent="0.2">
      <c r="A867" s="3">
        <v>41963</v>
      </c>
      <c r="B867" s="4">
        <v>253665375.09938201</v>
      </c>
    </row>
    <row r="868" spans="1:2" x14ac:dyDescent="0.2">
      <c r="A868" s="3">
        <v>41964</v>
      </c>
      <c r="B868" s="4">
        <v>254219345.96039999</v>
      </c>
    </row>
    <row r="869" spans="1:2" x14ac:dyDescent="0.2">
      <c r="A869" s="3">
        <v>41967</v>
      </c>
      <c r="B869" s="4">
        <v>253067143.99281099</v>
      </c>
    </row>
    <row r="870" spans="1:2" x14ac:dyDescent="0.2">
      <c r="A870" s="3">
        <v>41968</v>
      </c>
      <c r="B870" s="4">
        <v>253175453.36237499</v>
      </c>
    </row>
    <row r="871" spans="1:2" x14ac:dyDescent="0.2">
      <c r="A871" s="3">
        <v>41969</v>
      </c>
      <c r="B871" s="4">
        <v>253586238.59727699</v>
      </c>
    </row>
    <row r="872" spans="1:2" x14ac:dyDescent="0.2">
      <c r="A872" s="3">
        <v>41971</v>
      </c>
      <c r="B872" s="4">
        <v>252337077.42742699</v>
      </c>
    </row>
    <row r="873" spans="1:2" x14ac:dyDescent="0.2">
      <c r="A873" s="3">
        <v>41974</v>
      </c>
      <c r="B873" s="12">
        <v>251997448.91082501</v>
      </c>
    </row>
    <row r="874" spans="1:2" x14ac:dyDescent="0.2">
      <c r="A874" s="3">
        <v>41975</v>
      </c>
      <c r="B874" s="12">
        <v>251469338.39607799</v>
      </c>
    </row>
    <row r="875" spans="1:2" x14ac:dyDescent="0.2">
      <c r="A875" s="3">
        <v>41976</v>
      </c>
      <c r="B875" s="12">
        <v>251917297.31897801</v>
      </c>
    </row>
    <row r="876" spans="1:2" x14ac:dyDescent="0.2">
      <c r="A876" s="3">
        <v>41977</v>
      </c>
      <c r="B876" s="12">
        <v>252690366.97878999</v>
      </c>
    </row>
    <row r="877" spans="1:2" x14ac:dyDescent="0.2">
      <c r="A877" s="3">
        <v>41978</v>
      </c>
      <c r="B877" s="4">
        <v>252739686.39248499</v>
      </c>
    </row>
    <row r="878" spans="1:2" x14ac:dyDescent="0.2">
      <c r="A878" s="3">
        <v>41981</v>
      </c>
      <c r="B878" s="4">
        <v>252966312.927452</v>
      </c>
    </row>
    <row r="879" spans="1:2" x14ac:dyDescent="0.2">
      <c r="A879" s="3">
        <v>41982</v>
      </c>
      <c r="B879" s="4">
        <v>264394560.30444199</v>
      </c>
    </row>
    <row r="880" spans="1:2" x14ac:dyDescent="0.2">
      <c r="A880" s="3">
        <v>41983</v>
      </c>
      <c r="B880" s="4">
        <v>265069294.35992199</v>
      </c>
    </row>
    <row r="881" spans="1:2" x14ac:dyDescent="0.2">
      <c r="A881" s="3">
        <v>41984</v>
      </c>
      <c r="B881" s="4">
        <v>264120358.087051</v>
      </c>
    </row>
    <row r="882" spans="1:2" x14ac:dyDescent="0.2">
      <c r="A882" s="3">
        <v>41985</v>
      </c>
      <c r="B882" s="4">
        <v>264761827.76102701</v>
      </c>
    </row>
    <row r="883" spans="1:2" x14ac:dyDescent="0.2">
      <c r="A883" s="3">
        <v>41988</v>
      </c>
      <c r="B883" s="4">
        <v>263884891.294462</v>
      </c>
    </row>
    <row r="884" spans="1:2" x14ac:dyDescent="0.2">
      <c r="A884" s="3">
        <v>41989</v>
      </c>
      <c r="B884" s="4">
        <v>263869802.110502</v>
      </c>
    </row>
    <row r="885" spans="1:2" x14ac:dyDescent="0.2">
      <c r="A885" s="3">
        <v>41990</v>
      </c>
      <c r="B885" s="4">
        <v>263054256.14934999</v>
      </c>
    </row>
    <row r="886" spans="1:2" x14ac:dyDescent="0.2">
      <c r="A886" s="3">
        <v>41991</v>
      </c>
      <c r="B886" s="4">
        <v>262766079.10631099</v>
      </c>
    </row>
    <row r="887" spans="1:2" x14ac:dyDescent="0.2">
      <c r="A887" s="3">
        <v>41992</v>
      </c>
      <c r="B887" s="4">
        <v>262122895.638455</v>
      </c>
    </row>
    <row r="888" spans="1:2" x14ac:dyDescent="0.2">
      <c r="A888" s="3">
        <v>41995</v>
      </c>
      <c r="B888" s="4">
        <v>262613666.29365</v>
      </c>
    </row>
    <row r="889" spans="1:2" x14ac:dyDescent="0.2">
      <c r="A889" s="3">
        <v>41996</v>
      </c>
      <c r="B889" s="4">
        <v>261298139.58871999</v>
      </c>
    </row>
    <row r="890" spans="1:2" x14ac:dyDescent="0.2">
      <c r="A890" s="3">
        <v>41997</v>
      </c>
      <c r="B890" s="4">
        <v>261899443.229729</v>
      </c>
    </row>
    <row r="891" spans="1:2" x14ac:dyDescent="0.2">
      <c r="A891" s="3">
        <v>41999</v>
      </c>
      <c r="B891" s="4">
        <v>260982111.02226299</v>
      </c>
    </row>
    <row r="892" spans="1:2" x14ac:dyDescent="0.2">
      <c r="A892" s="3">
        <v>42002</v>
      </c>
      <c r="B892" s="4">
        <v>261672083.84841901</v>
      </c>
    </row>
    <row r="893" spans="1:2" x14ac:dyDescent="0.2">
      <c r="A893" s="3">
        <v>42003</v>
      </c>
      <c r="B893" s="4">
        <v>262168532.331597</v>
      </c>
    </row>
    <row r="894" spans="1:2" x14ac:dyDescent="0.2">
      <c r="A894" s="3">
        <v>42004</v>
      </c>
      <c r="B894" s="4">
        <v>262586524.15434101</v>
      </c>
    </row>
    <row r="895" spans="1:2" x14ac:dyDescent="0.2">
      <c r="A895" s="3">
        <v>42006</v>
      </c>
      <c r="B895" s="4">
        <v>263276435.99278</v>
      </c>
    </row>
    <row r="896" spans="1:2" x14ac:dyDescent="0.2">
      <c r="A896" s="3">
        <v>42009</v>
      </c>
      <c r="B896" s="4">
        <v>263323125.80473399</v>
      </c>
    </row>
    <row r="897" spans="1:2" x14ac:dyDescent="0.2">
      <c r="A897" s="3">
        <v>42010</v>
      </c>
      <c r="B897" s="4">
        <v>263314868.028357</v>
      </c>
    </row>
    <row r="898" spans="1:2" x14ac:dyDescent="0.2">
      <c r="A898" s="3">
        <v>42011</v>
      </c>
      <c r="B898" s="4">
        <v>262554777.396137</v>
      </c>
    </row>
    <row r="899" spans="1:2" x14ac:dyDescent="0.2">
      <c r="A899" s="3">
        <v>42012</v>
      </c>
      <c r="B899" s="4">
        <v>261583391.13597599</v>
      </c>
    </row>
    <row r="900" spans="1:2" x14ac:dyDescent="0.2">
      <c r="A900" s="3">
        <v>42013</v>
      </c>
      <c r="B900" s="4">
        <v>260273041.79929799</v>
      </c>
    </row>
    <row r="901" spans="1:2" x14ac:dyDescent="0.2">
      <c r="A901" s="3">
        <v>42016</v>
      </c>
      <c r="B901" s="4">
        <v>259311996.36362201</v>
      </c>
    </row>
    <row r="902" spans="1:2" x14ac:dyDescent="0.2">
      <c r="A902" s="3">
        <v>42017</v>
      </c>
      <c r="B902" s="4">
        <v>257801089.773617</v>
      </c>
    </row>
    <row r="903" spans="1:2" x14ac:dyDescent="0.2">
      <c r="A903" s="3">
        <v>42018</v>
      </c>
      <c r="B903" s="4">
        <v>257353307.18874499</v>
      </c>
    </row>
    <row r="904" spans="1:2" x14ac:dyDescent="0.2">
      <c r="A904" s="3">
        <v>42019</v>
      </c>
      <c r="B904" s="4">
        <v>256746523.433328</v>
      </c>
    </row>
    <row r="905" spans="1:2" x14ac:dyDescent="0.2">
      <c r="A905" s="3">
        <v>42020</v>
      </c>
      <c r="B905" s="4">
        <v>258119266.440341</v>
      </c>
    </row>
    <row r="906" spans="1:2" x14ac:dyDescent="0.2">
      <c r="A906" s="3">
        <v>42024</v>
      </c>
      <c r="B906" s="4">
        <v>257083023.853596</v>
      </c>
    </row>
    <row r="907" spans="1:2" x14ac:dyDescent="0.2">
      <c r="A907" s="3">
        <v>42025</v>
      </c>
      <c r="B907" s="4">
        <v>256596886.481287</v>
      </c>
    </row>
    <row r="908" spans="1:2" x14ac:dyDescent="0.2">
      <c r="A908" s="3">
        <v>42026</v>
      </c>
      <c r="B908" s="4">
        <v>256741549.57343</v>
      </c>
    </row>
    <row r="909" spans="1:2" x14ac:dyDescent="0.2">
      <c r="A909" s="3">
        <v>42027</v>
      </c>
      <c r="B909" s="4">
        <v>256796739.32252899</v>
      </c>
    </row>
    <row r="910" spans="1:2" x14ac:dyDescent="0.2">
      <c r="A910" s="3">
        <v>42030</v>
      </c>
      <c r="B910" s="4">
        <v>256595980.59289801</v>
      </c>
    </row>
    <row r="911" spans="1:2" x14ac:dyDescent="0.2">
      <c r="A911" s="3">
        <v>42031</v>
      </c>
      <c r="B911" s="4">
        <v>255150781.77182901</v>
      </c>
    </row>
    <row r="912" spans="1:2" x14ac:dyDescent="0.2">
      <c r="A912" s="3">
        <v>42032</v>
      </c>
      <c r="B912" s="4">
        <v>264688546.86002901</v>
      </c>
    </row>
    <row r="913" spans="1:2" x14ac:dyDescent="0.2">
      <c r="A913" s="3">
        <v>42033</v>
      </c>
      <c r="B913" s="4">
        <v>265062669.116723</v>
      </c>
    </row>
    <row r="914" spans="1:2" x14ac:dyDescent="0.2">
      <c r="A914" s="3">
        <v>42034</v>
      </c>
      <c r="B914" s="4">
        <v>264581550.12534299</v>
      </c>
    </row>
    <row r="915" spans="1:2" x14ac:dyDescent="0.2">
      <c r="A915" s="3">
        <v>42037</v>
      </c>
      <c r="B915" s="4">
        <v>265211302.44687</v>
      </c>
    </row>
    <row r="916" spans="1:2" x14ac:dyDescent="0.2">
      <c r="A916" s="3">
        <v>42038</v>
      </c>
      <c r="B916" s="4">
        <v>263158834.26888001</v>
      </c>
    </row>
    <row r="917" spans="1:2" x14ac:dyDescent="0.2">
      <c r="A917" s="3">
        <v>42039</v>
      </c>
      <c r="B917" s="4">
        <v>263697511.24337301</v>
      </c>
    </row>
    <row r="918" spans="1:2" x14ac:dyDescent="0.2">
      <c r="A918" s="3">
        <v>42040</v>
      </c>
      <c r="B918" s="4">
        <v>264079436.12827399</v>
      </c>
    </row>
    <row r="919" spans="1:2" x14ac:dyDescent="0.2">
      <c r="A919" s="3">
        <v>42041</v>
      </c>
      <c r="B919" s="4">
        <v>264910339.46927899</v>
      </c>
    </row>
    <row r="920" spans="1:2" x14ac:dyDescent="0.2">
      <c r="A920" s="3">
        <v>42044</v>
      </c>
      <c r="B920" s="4">
        <v>264663263.67762399</v>
      </c>
    </row>
    <row r="921" spans="1:2" x14ac:dyDescent="0.2">
      <c r="A921" s="3">
        <v>42045</v>
      </c>
      <c r="B921" s="4">
        <v>263520986.78240901</v>
      </c>
    </row>
    <row r="922" spans="1:2" x14ac:dyDescent="0.2">
      <c r="A922" s="3">
        <v>42046</v>
      </c>
      <c r="B922" s="4">
        <v>263807048.121714</v>
      </c>
    </row>
    <row r="923" spans="1:2" x14ac:dyDescent="0.2">
      <c r="A923" s="3">
        <v>42047</v>
      </c>
      <c r="B923" s="4">
        <v>257093428.38471201</v>
      </c>
    </row>
    <row r="924" spans="1:2" x14ac:dyDescent="0.2">
      <c r="A924" s="3">
        <v>42048</v>
      </c>
      <c r="B924" s="4">
        <v>256596158.482685</v>
      </c>
    </row>
    <row r="925" spans="1:2" x14ac:dyDescent="0.2">
      <c r="A925" s="3">
        <v>42052</v>
      </c>
      <c r="B925" s="4">
        <v>256794788.90559599</v>
      </c>
    </row>
    <row r="926" spans="1:2" x14ac:dyDescent="0.2">
      <c r="A926" s="3">
        <v>42053</v>
      </c>
      <c r="B926" s="4">
        <v>257309075.82357299</v>
      </c>
    </row>
    <row r="927" spans="1:2" x14ac:dyDescent="0.2">
      <c r="A927" s="3">
        <v>42054</v>
      </c>
      <c r="B927" s="4">
        <v>256571278.264732</v>
      </c>
    </row>
    <row r="928" spans="1:2" x14ac:dyDescent="0.2">
      <c r="A928" s="3">
        <v>42055</v>
      </c>
      <c r="B928" s="4">
        <v>256399079.53042799</v>
      </c>
    </row>
    <row r="929" spans="1:2" x14ac:dyDescent="0.2">
      <c r="A929" s="3">
        <v>42058</v>
      </c>
      <c r="B929" s="4">
        <v>257172911.90985</v>
      </c>
    </row>
    <row r="930" spans="1:2" x14ac:dyDescent="0.2">
      <c r="A930" s="3">
        <v>42059</v>
      </c>
      <c r="B930" s="4">
        <v>255600397.132238</v>
      </c>
    </row>
    <row r="931" spans="1:2" x14ac:dyDescent="0.2">
      <c r="A931" s="3">
        <v>42060</v>
      </c>
      <c r="B931" s="4">
        <v>255803744.579339</v>
      </c>
    </row>
    <row r="932" spans="1:2" x14ac:dyDescent="0.2">
      <c r="A932" s="3">
        <v>42061</v>
      </c>
      <c r="B932" s="4">
        <v>255771831.12015399</v>
      </c>
    </row>
    <row r="933" spans="1:2" x14ac:dyDescent="0.2">
      <c r="A933" s="3">
        <v>42062</v>
      </c>
      <c r="B933" s="4">
        <v>256608449.150785</v>
      </c>
    </row>
    <row r="934" spans="1:2" x14ac:dyDescent="0.2">
      <c r="A934" s="3">
        <v>42065</v>
      </c>
      <c r="B934" s="4">
        <v>255883658.88298801</v>
      </c>
    </row>
    <row r="935" spans="1:2" x14ac:dyDescent="0.2">
      <c r="A935" s="3">
        <v>42066</v>
      </c>
      <c r="B935" s="4">
        <v>255491165.15736499</v>
      </c>
    </row>
    <row r="936" spans="1:2" x14ac:dyDescent="0.2">
      <c r="A936" s="3">
        <v>42067</v>
      </c>
      <c r="B936" s="4">
        <v>255633733.315258</v>
      </c>
    </row>
    <row r="937" spans="1:2" x14ac:dyDescent="0.2">
      <c r="A937" s="3">
        <v>42068</v>
      </c>
      <c r="B937" s="4">
        <v>255981396.21039701</v>
      </c>
    </row>
    <row r="938" spans="1:2" x14ac:dyDescent="0.2">
      <c r="A938" s="3">
        <v>42069</v>
      </c>
      <c r="B938" s="4">
        <v>255168392.46286699</v>
      </c>
    </row>
    <row r="939" spans="1:2" x14ac:dyDescent="0.2">
      <c r="A939" s="3">
        <v>42072</v>
      </c>
      <c r="B939" s="4">
        <v>256146865.01352501</v>
      </c>
    </row>
    <row r="940" spans="1:2" x14ac:dyDescent="0.2">
      <c r="A940" s="3">
        <v>42073</v>
      </c>
      <c r="B940" s="4">
        <v>255197661.09107599</v>
      </c>
    </row>
    <row r="941" spans="1:2" x14ac:dyDescent="0.2">
      <c r="A941" s="3">
        <v>42074</v>
      </c>
      <c r="B941" s="4">
        <v>255069336.88485801</v>
      </c>
    </row>
    <row r="942" spans="1:2" x14ac:dyDescent="0.2">
      <c r="A942" s="3">
        <v>42075</v>
      </c>
      <c r="B942" s="4">
        <v>255678920.13051</v>
      </c>
    </row>
    <row r="943" spans="1:2" x14ac:dyDescent="0.2">
      <c r="A943" s="3">
        <v>42076</v>
      </c>
      <c r="B943" s="4">
        <v>255419711.003407</v>
      </c>
    </row>
    <row r="944" spans="1:2" x14ac:dyDescent="0.2">
      <c r="A944" s="3">
        <v>42079</v>
      </c>
      <c r="B944" s="4">
        <v>255287018.47782001</v>
      </c>
    </row>
    <row r="945" spans="1:2" x14ac:dyDescent="0.2">
      <c r="A945" s="3">
        <v>42080</v>
      </c>
      <c r="B945" s="4">
        <v>255777223.51344401</v>
      </c>
    </row>
    <row r="946" spans="1:2" x14ac:dyDescent="0.2">
      <c r="A946" s="3">
        <v>42081</v>
      </c>
      <c r="B946" s="4">
        <v>256075792.04596099</v>
      </c>
    </row>
    <row r="947" spans="1:2" x14ac:dyDescent="0.2">
      <c r="A947" s="3">
        <v>42082</v>
      </c>
      <c r="B947" s="4">
        <v>246820180.22827101</v>
      </c>
    </row>
    <row r="948" spans="1:2" x14ac:dyDescent="0.2">
      <c r="A948" s="3">
        <v>42083</v>
      </c>
      <c r="B948" s="4">
        <v>247210623.67736399</v>
      </c>
    </row>
    <row r="949" spans="1:2" x14ac:dyDescent="0.2">
      <c r="A949" s="3">
        <v>42086</v>
      </c>
      <c r="B949" s="4">
        <v>247493843.83945</v>
      </c>
    </row>
    <row r="950" spans="1:2" x14ac:dyDescent="0.2">
      <c r="A950" s="3">
        <v>42087</v>
      </c>
      <c r="B950" s="4">
        <v>247938268.24120799</v>
      </c>
    </row>
    <row r="951" spans="1:2" x14ac:dyDescent="0.2">
      <c r="A951" s="3">
        <v>42088</v>
      </c>
      <c r="B951" s="4">
        <v>247977840.29352701</v>
      </c>
    </row>
    <row r="952" spans="1:2" x14ac:dyDescent="0.2">
      <c r="A952" s="3">
        <v>42089</v>
      </c>
      <c r="B952" s="4">
        <v>245491037.238175</v>
      </c>
    </row>
    <row r="953" spans="1:2" x14ac:dyDescent="0.2">
      <c r="A953" s="3">
        <v>42090</v>
      </c>
      <c r="B953" s="4">
        <v>246702858.690694</v>
      </c>
    </row>
    <row r="954" spans="1:2" x14ac:dyDescent="0.2">
      <c r="A954" s="3">
        <v>42093</v>
      </c>
      <c r="B954" s="4">
        <v>246389954.647966</v>
      </c>
    </row>
    <row r="955" spans="1:2" x14ac:dyDescent="0.2">
      <c r="A955" s="3">
        <v>42094</v>
      </c>
      <c r="B955" s="4">
        <v>245965803.13492599</v>
      </c>
    </row>
    <row r="956" spans="1:2" x14ac:dyDescent="0.2">
      <c r="A956" s="3">
        <v>42095</v>
      </c>
      <c r="B956" s="4">
        <v>246860336.65340099</v>
      </c>
    </row>
    <row r="957" spans="1:2" x14ac:dyDescent="0.2">
      <c r="A957" s="3">
        <v>42096</v>
      </c>
      <c r="B957" s="4">
        <v>246919229.18715799</v>
      </c>
    </row>
    <row r="958" spans="1:2" x14ac:dyDescent="0.2">
      <c r="A958" s="3">
        <v>42097</v>
      </c>
      <c r="B958" s="4">
        <v>247389054.331312</v>
      </c>
    </row>
    <row r="959" spans="1:2" x14ac:dyDescent="0.2">
      <c r="A959" s="3">
        <v>42100</v>
      </c>
      <c r="B959" s="4">
        <v>246655652.765645</v>
      </c>
    </row>
    <row r="960" spans="1:2" x14ac:dyDescent="0.2">
      <c r="A960" s="3">
        <v>42101</v>
      </c>
      <c r="B960" s="4">
        <v>246800579.38719201</v>
      </c>
    </row>
    <row r="961" spans="1:2" x14ac:dyDescent="0.2">
      <c r="A961" s="3">
        <v>42102</v>
      </c>
      <c r="B961" s="4">
        <v>264230281.770136</v>
      </c>
    </row>
    <row r="962" spans="1:2" x14ac:dyDescent="0.2">
      <c r="A962" s="3">
        <v>42103</v>
      </c>
      <c r="B962" s="4">
        <v>261505090.235742</v>
      </c>
    </row>
    <row r="963" spans="1:2" x14ac:dyDescent="0.2">
      <c r="A963" s="3">
        <v>42104</v>
      </c>
      <c r="B963" s="4">
        <v>261323972.49397501</v>
      </c>
    </row>
    <row r="964" spans="1:2" x14ac:dyDescent="0.2">
      <c r="A964" s="3">
        <v>42107</v>
      </c>
      <c r="B964" s="4">
        <v>261962908.07292601</v>
      </c>
    </row>
    <row r="965" spans="1:2" x14ac:dyDescent="0.2">
      <c r="A965" s="3">
        <v>42108</v>
      </c>
      <c r="B965" s="4">
        <v>260944143.47666901</v>
      </c>
    </row>
    <row r="966" spans="1:2" x14ac:dyDescent="0.2">
      <c r="A966" s="3">
        <v>42109</v>
      </c>
      <c r="B966" s="4">
        <v>260776674.514166</v>
      </c>
    </row>
    <row r="967" spans="1:2" x14ac:dyDescent="0.2">
      <c r="A967" s="3">
        <v>42110</v>
      </c>
      <c r="B967" s="4">
        <v>261325500.73632801</v>
      </c>
    </row>
    <row r="968" spans="1:2" x14ac:dyDescent="0.2">
      <c r="A968" s="3">
        <v>42111</v>
      </c>
      <c r="B968" s="4">
        <v>261885416.050888</v>
      </c>
    </row>
    <row r="969" spans="1:2" x14ac:dyDescent="0.2">
      <c r="A969" s="3">
        <v>42114</v>
      </c>
      <c r="B969" s="4">
        <v>261965531.29991099</v>
      </c>
    </row>
    <row r="970" spans="1:2" x14ac:dyDescent="0.2">
      <c r="A970" s="3">
        <v>42115</v>
      </c>
      <c r="B970" s="4">
        <v>262435906.046161</v>
      </c>
    </row>
    <row r="971" spans="1:2" x14ac:dyDescent="0.2">
      <c r="A971" s="3">
        <v>42116</v>
      </c>
      <c r="B971" s="4">
        <v>262718401.919523</v>
      </c>
    </row>
    <row r="972" spans="1:2" x14ac:dyDescent="0.2">
      <c r="A972" s="3">
        <v>42117</v>
      </c>
      <c r="B972" s="4">
        <v>263314647.58239201</v>
      </c>
    </row>
    <row r="973" spans="1:2" x14ac:dyDescent="0.2">
      <c r="A973" s="3">
        <v>42118</v>
      </c>
      <c r="B973" s="4">
        <v>263337267.88468501</v>
      </c>
    </row>
    <row r="974" spans="1:2" x14ac:dyDescent="0.2">
      <c r="A974" s="3">
        <v>42121</v>
      </c>
      <c r="B974" s="4">
        <v>264638169.01115301</v>
      </c>
    </row>
    <row r="975" spans="1:2" x14ac:dyDescent="0.2">
      <c r="A975" s="3">
        <v>42122</v>
      </c>
      <c r="B975" s="4">
        <v>264774028.83844599</v>
      </c>
    </row>
    <row r="976" spans="1:2" x14ac:dyDescent="0.2">
      <c r="A976" s="3">
        <v>42123</v>
      </c>
      <c r="B976" s="4">
        <v>264660703.64671499</v>
      </c>
    </row>
    <row r="977" spans="1:2" x14ac:dyDescent="0.2">
      <c r="A977" s="3">
        <v>42124</v>
      </c>
      <c r="B977" s="4">
        <v>264216632.932632</v>
      </c>
    </row>
    <row r="978" spans="1:2" x14ac:dyDescent="0.2">
      <c r="A978" s="3">
        <v>42125</v>
      </c>
      <c r="B978" s="4">
        <v>260903843.63172501</v>
      </c>
    </row>
    <row r="979" spans="1:2" x14ac:dyDescent="0.2">
      <c r="A979" s="3">
        <v>42128</v>
      </c>
      <c r="B979" s="4">
        <v>266254492.30250701</v>
      </c>
    </row>
    <row r="980" spans="1:2" x14ac:dyDescent="0.2">
      <c r="A980" s="3">
        <v>42129</v>
      </c>
      <c r="B980" s="4">
        <v>277193588.66688597</v>
      </c>
    </row>
    <row r="981" spans="1:2" x14ac:dyDescent="0.2">
      <c r="A981" s="3">
        <v>42130</v>
      </c>
      <c r="B981" s="4">
        <v>276314200.450975</v>
      </c>
    </row>
    <row r="982" spans="1:2" x14ac:dyDescent="0.2">
      <c r="A982" s="3">
        <v>42131</v>
      </c>
      <c r="B982" s="4">
        <v>292382963.152605</v>
      </c>
    </row>
    <row r="983" spans="1:2" x14ac:dyDescent="0.2">
      <c r="A983" s="3">
        <v>42132</v>
      </c>
      <c r="B983" s="4">
        <v>292339462.95383602</v>
      </c>
    </row>
    <row r="984" spans="1:2" x14ac:dyDescent="0.2">
      <c r="A984" s="3">
        <v>42135</v>
      </c>
      <c r="B984" s="4">
        <v>289270686.34280503</v>
      </c>
    </row>
    <row r="985" spans="1:2" x14ac:dyDescent="0.2">
      <c r="A985" s="3">
        <v>42136</v>
      </c>
      <c r="B985" s="4">
        <v>289810116.054461</v>
      </c>
    </row>
    <row r="986" spans="1:2" x14ac:dyDescent="0.2">
      <c r="A986" s="3">
        <v>42137</v>
      </c>
      <c r="B986" s="4">
        <v>293158154.24853998</v>
      </c>
    </row>
    <row r="987" spans="1:2" x14ac:dyDescent="0.2">
      <c r="A987" s="3">
        <v>42138</v>
      </c>
      <c r="B987" s="4">
        <v>292471459.56093001</v>
      </c>
    </row>
    <row r="988" spans="1:2" x14ac:dyDescent="0.2">
      <c r="A988" s="3">
        <v>42139</v>
      </c>
      <c r="B988" s="4">
        <v>294077048.91185999</v>
      </c>
    </row>
    <row r="989" spans="1:2" x14ac:dyDescent="0.2">
      <c r="A989" s="3">
        <v>42142</v>
      </c>
      <c r="B989" s="4">
        <v>292672015.19789797</v>
      </c>
    </row>
    <row r="990" spans="1:2" x14ac:dyDescent="0.2">
      <c r="A990" s="3">
        <v>42143</v>
      </c>
      <c r="B990" s="4">
        <v>292108531.24665803</v>
      </c>
    </row>
    <row r="991" spans="1:2" x14ac:dyDescent="0.2">
      <c r="A991" s="3">
        <v>42144</v>
      </c>
      <c r="B991" s="4">
        <v>278037719.65856701</v>
      </c>
    </row>
    <row r="992" spans="1:2" x14ac:dyDescent="0.2">
      <c r="A992" s="3">
        <v>42145</v>
      </c>
      <c r="B992" s="4">
        <v>278115273.95486599</v>
      </c>
    </row>
    <row r="993" spans="1:2" x14ac:dyDescent="0.2">
      <c r="A993" s="3">
        <v>42146</v>
      </c>
      <c r="B993" s="4">
        <v>277650858.62779599</v>
      </c>
    </row>
    <row r="994" spans="1:2" x14ac:dyDescent="0.2">
      <c r="A994" s="3">
        <v>42150</v>
      </c>
      <c r="B994" s="4">
        <v>276871214.62445402</v>
      </c>
    </row>
    <row r="995" spans="1:2" x14ac:dyDescent="0.2">
      <c r="A995" s="3">
        <v>42151</v>
      </c>
      <c r="B995" s="4">
        <v>276886767.59646499</v>
      </c>
    </row>
    <row r="996" spans="1:2" x14ac:dyDescent="0.2">
      <c r="A996" s="3">
        <v>42152</v>
      </c>
      <c r="B996" s="4">
        <v>276991075.44370598</v>
      </c>
    </row>
    <row r="997" spans="1:2" x14ac:dyDescent="0.2">
      <c r="A997" s="3">
        <v>42153</v>
      </c>
      <c r="B997" s="4">
        <v>279590294.800331</v>
      </c>
    </row>
    <row r="998" spans="1:2" x14ac:dyDescent="0.2">
      <c r="A998" s="3">
        <v>42156</v>
      </c>
      <c r="B998" s="4">
        <v>278627937.714688</v>
      </c>
    </row>
    <row r="999" spans="1:2" x14ac:dyDescent="0.2">
      <c r="A999" s="3">
        <v>42157</v>
      </c>
      <c r="B999" s="4">
        <v>282418276.075324</v>
      </c>
    </row>
    <row r="1000" spans="1:2" x14ac:dyDescent="0.2">
      <c r="A1000" s="3">
        <v>42158</v>
      </c>
      <c r="B1000" s="4">
        <v>281398746.35696203</v>
      </c>
    </row>
    <row r="1001" spans="1:2" x14ac:dyDescent="0.2">
      <c r="A1001" s="3">
        <v>42159</v>
      </c>
      <c r="B1001" s="4">
        <v>282209448.90758401</v>
      </c>
    </row>
    <row r="1002" spans="1:2" x14ac:dyDescent="0.2">
      <c r="A1002" s="3">
        <v>42160</v>
      </c>
      <c r="B1002" s="4">
        <v>281194207.199615</v>
      </c>
    </row>
    <row r="1003" spans="1:2" x14ac:dyDescent="0.2">
      <c r="A1003" s="3">
        <v>42163</v>
      </c>
      <c r="B1003" s="4">
        <v>281812700.25684297</v>
      </c>
    </row>
    <row r="1004" spans="1:2" x14ac:dyDescent="0.2">
      <c r="A1004" s="3">
        <v>42164</v>
      </c>
      <c r="B1004" s="4">
        <v>257792357.722947</v>
      </c>
    </row>
    <row r="1005" spans="1:2" x14ac:dyDescent="0.2">
      <c r="A1005" s="3">
        <v>42165</v>
      </c>
      <c r="B1005" s="4">
        <v>257091294.05220801</v>
      </c>
    </row>
    <row r="1006" spans="1:2" x14ac:dyDescent="0.2">
      <c r="A1006" s="3">
        <v>42166</v>
      </c>
      <c r="B1006" s="4">
        <v>257271657.221259</v>
      </c>
    </row>
    <row r="1007" spans="1:2" x14ac:dyDescent="0.2">
      <c r="A1007" s="3">
        <v>42167</v>
      </c>
      <c r="B1007" s="4">
        <v>257389211.67996901</v>
      </c>
    </row>
    <row r="1008" spans="1:2" x14ac:dyDescent="0.2">
      <c r="A1008" s="3">
        <v>42170</v>
      </c>
      <c r="B1008" s="4">
        <v>257850648.952306</v>
      </c>
    </row>
    <row r="1009" spans="1:2" x14ac:dyDescent="0.2">
      <c r="A1009" s="3">
        <v>42171</v>
      </c>
      <c r="B1009" s="4">
        <v>245229721.50984299</v>
      </c>
    </row>
    <row r="1010" spans="1:2" x14ac:dyDescent="0.2">
      <c r="A1010" s="3">
        <v>42172</v>
      </c>
      <c r="B1010" s="4">
        <v>245937995.80096</v>
      </c>
    </row>
    <row r="1011" spans="1:2" x14ac:dyDescent="0.2">
      <c r="A1011" s="3">
        <v>42173</v>
      </c>
      <c r="B1011" s="4">
        <v>245647104.62523001</v>
      </c>
    </row>
    <row r="1012" spans="1:2" x14ac:dyDescent="0.2">
      <c r="A1012" s="3">
        <v>42174</v>
      </c>
      <c r="B1012" s="4">
        <v>246078285.40755701</v>
      </c>
    </row>
    <row r="1013" spans="1:2" x14ac:dyDescent="0.2">
      <c r="A1013" s="3">
        <v>42177</v>
      </c>
      <c r="B1013" s="4">
        <v>245509645.8608</v>
      </c>
    </row>
    <row r="1014" spans="1:2" x14ac:dyDescent="0.2">
      <c r="A1014" s="3">
        <v>42178</v>
      </c>
      <c r="B1014" s="4">
        <v>244521685.165831</v>
      </c>
    </row>
    <row r="1015" spans="1:2" x14ac:dyDescent="0.2">
      <c r="A1015" s="3">
        <v>42179</v>
      </c>
      <c r="B1015" s="4">
        <v>245030194.69355601</v>
      </c>
    </row>
    <row r="1016" spans="1:2" x14ac:dyDescent="0.2">
      <c r="A1016" s="3">
        <v>42180</v>
      </c>
      <c r="B1016" s="4">
        <v>243161289.319803</v>
      </c>
    </row>
    <row r="1017" spans="1:2" x14ac:dyDescent="0.2">
      <c r="A1017" s="3">
        <v>42181</v>
      </c>
      <c r="B1017" s="4">
        <v>241039454.7211</v>
      </c>
    </row>
    <row r="1018" spans="1:2" x14ac:dyDescent="0.2">
      <c r="A1018" s="3">
        <v>42184</v>
      </c>
      <c r="B1018" s="4">
        <v>242259099.584245</v>
      </c>
    </row>
    <row r="1019" spans="1:2" x14ac:dyDescent="0.2">
      <c r="A1019" s="3">
        <v>42185</v>
      </c>
      <c r="B1019" s="4">
        <v>241191307.34227401</v>
      </c>
    </row>
    <row r="1020" spans="1:2" x14ac:dyDescent="0.2">
      <c r="A1020" s="3">
        <v>42186</v>
      </c>
      <c r="B1020" s="4">
        <v>240505560.617309</v>
      </c>
    </row>
    <row r="1021" spans="1:2" x14ac:dyDescent="0.2">
      <c r="A1021" s="3">
        <v>42187</v>
      </c>
      <c r="B1021" s="4">
        <v>241091145.226942</v>
      </c>
    </row>
    <row r="1022" spans="1:2" x14ac:dyDescent="0.2">
      <c r="A1022" s="3">
        <v>42191</v>
      </c>
      <c r="B1022" s="4">
        <v>242304658.89238399</v>
      </c>
    </row>
    <row r="1023" spans="1:2" x14ac:dyDescent="0.2">
      <c r="A1023" s="3">
        <v>42192</v>
      </c>
      <c r="B1023" s="4">
        <v>242929351.31786501</v>
      </c>
    </row>
    <row r="1024" spans="1:2" x14ac:dyDescent="0.2">
      <c r="A1024" s="3">
        <v>42193</v>
      </c>
      <c r="B1024" s="4">
        <v>243233160.14063501</v>
      </c>
    </row>
    <row r="1025" spans="1:2" x14ac:dyDescent="0.2">
      <c r="A1025" s="3">
        <v>42194</v>
      </c>
      <c r="B1025" s="4">
        <v>241177080.34178099</v>
      </c>
    </row>
    <row r="1026" spans="1:2" x14ac:dyDescent="0.2">
      <c r="A1026" s="3">
        <v>42195</v>
      </c>
      <c r="B1026" s="4">
        <v>239628579.92039001</v>
      </c>
    </row>
    <row r="1027" spans="1:2" x14ac:dyDescent="0.2">
      <c r="A1027" s="3">
        <v>42198</v>
      </c>
      <c r="B1027" s="4">
        <v>239706516.98214999</v>
      </c>
    </row>
    <row r="1028" spans="1:2" x14ac:dyDescent="0.2">
      <c r="A1028" s="3">
        <v>42199</v>
      </c>
      <c r="B1028" s="4">
        <v>240180666.80390301</v>
      </c>
    </row>
    <row r="1029" spans="1:2" x14ac:dyDescent="0.2">
      <c r="A1029" s="3">
        <v>42200</v>
      </c>
      <c r="B1029" s="4">
        <v>240771463.65083799</v>
      </c>
    </row>
    <row r="1030" spans="1:2" x14ac:dyDescent="0.2">
      <c r="A1030" s="3">
        <v>42201</v>
      </c>
      <c r="B1030" s="4">
        <v>240619980.02030501</v>
      </c>
    </row>
    <row r="1031" spans="1:2" x14ac:dyDescent="0.2">
      <c r="A1031" s="3">
        <v>42202</v>
      </c>
      <c r="B1031" s="4">
        <v>253979249.15223399</v>
      </c>
    </row>
    <row r="1032" spans="1:2" x14ac:dyDescent="0.2">
      <c r="A1032" s="3">
        <v>42205</v>
      </c>
      <c r="B1032" s="4">
        <v>253716580.999955</v>
      </c>
    </row>
    <row r="1033" spans="1:2" x14ac:dyDescent="0.2">
      <c r="A1033" s="3">
        <v>42206</v>
      </c>
      <c r="B1033" s="4">
        <v>263663657.72337201</v>
      </c>
    </row>
    <row r="1034" spans="1:2" x14ac:dyDescent="0.2">
      <c r="A1034" s="3">
        <v>42207</v>
      </c>
      <c r="B1034" s="4">
        <v>263822586.65860301</v>
      </c>
    </row>
    <row r="1035" spans="1:2" x14ac:dyDescent="0.2">
      <c r="A1035" s="3">
        <v>42208</v>
      </c>
      <c r="B1035" s="4">
        <v>264463211.375514</v>
      </c>
    </row>
    <row r="1036" spans="1:2" x14ac:dyDescent="0.2">
      <c r="A1036" s="3">
        <v>42209</v>
      </c>
      <c r="B1036" s="4">
        <v>257626743.417119</v>
      </c>
    </row>
    <row r="1037" spans="1:2" x14ac:dyDescent="0.2">
      <c r="A1037" s="3">
        <v>42212</v>
      </c>
      <c r="B1037" s="4">
        <v>256898226.45141199</v>
      </c>
    </row>
    <row r="1038" spans="1:2" x14ac:dyDescent="0.2">
      <c r="A1038" s="3">
        <v>42213</v>
      </c>
      <c r="B1038" s="4">
        <v>254272519.69706699</v>
      </c>
    </row>
    <row r="1039" spans="1:2" x14ac:dyDescent="0.2">
      <c r="A1039" s="3">
        <v>42214</v>
      </c>
      <c r="B1039" s="4">
        <v>253628728.76188999</v>
      </c>
    </row>
    <row r="1040" spans="1:2" x14ac:dyDescent="0.2">
      <c r="A1040" s="3">
        <v>42215</v>
      </c>
      <c r="B1040" s="4">
        <v>284179916.00306398</v>
      </c>
    </row>
    <row r="1041" spans="1:2" x14ac:dyDescent="0.2">
      <c r="A1041" s="3">
        <v>42216</v>
      </c>
      <c r="B1041" s="4">
        <v>284669983.76802403</v>
      </c>
    </row>
    <row r="1042" spans="1:2" x14ac:dyDescent="0.2">
      <c r="A1042" s="3">
        <v>42219</v>
      </c>
      <c r="B1042" s="4">
        <v>285296035.81100702</v>
      </c>
    </row>
    <row r="1043" spans="1:2" x14ac:dyDescent="0.2">
      <c r="A1043" s="3">
        <v>42220</v>
      </c>
      <c r="B1043" s="4">
        <v>275931994.08684999</v>
      </c>
    </row>
    <row r="1044" spans="1:2" x14ac:dyDescent="0.2">
      <c r="A1044" s="3">
        <v>42221</v>
      </c>
      <c r="B1044" s="4">
        <v>275607773.85127401</v>
      </c>
    </row>
    <row r="1045" spans="1:2" x14ac:dyDescent="0.2">
      <c r="A1045" s="3">
        <v>42222</v>
      </c>
      <c r="B1045" s="4">
        <v>263826262.534996</v>
      </c>
    </row>
    <row r="1046" spans="1:2" x14ac:dyDescent="0.2">
      <c r="A1046" s="3">
        <v>42223</v>
      </c>
      <c r="B1046" s="4">
        <v>254907501.25923899</v>
      </c>
    </row>
    <row r="1047" spans="1:2" x14ac:dyDescent="0.2">
      <c r="A1047" s="3">
        <v>42226</v>
      </c>
      <c r="B1047" s="4">
        <v>255099286.86037099</v>
      </c>
    </row>
    <row r="1048" spans="1:2" x14ac:dyDescent="0.2">
      <c r="A1048" s="3">
        <v>42227</v>
      </c>
      <c r="B1048" s="4">
        <v>253879598.302394</v>
      </c>
    </row>
    <row r="1049" spans="1:2" x14ac:dyDescent="0.2">
      <c r="A1049" s="3">
        <v>42228</v>
      </c>
      <c r="B1049" s="4">
        <v>254060002.85780001</v>
      </c>
    </row>
    <row r="1050" spans="1:2" x14ac:dyDescent="0.2">
      <c r="A1050" s="3">
        <v>42229</v>
      </c>
      <c r="B1050" s="4">
        <v>253739611.85017601</v>
      </c>
    </row>
    <row r="1051" spans="1:2" x14ac:dyDescent="0.2">
      <c r="A1051" s="3">
        <v>42230</v>
      </c>
      <c r="B1051" s="4">
        <v>254052085.055626</v>
      </c>
    </row>
    <row r="1052" spans="1:2" x14ac:dyDescent="0.2">
      <c r="A1052" s="3">
        <v>42233</v>
      </c>
      <c r="B1052" s="4">
        <v>254379845.391186</v>
      </c>
    </row>
    <row r="1053" spans="1:2" x14ac:dyDescent="0.2">
      <c r="A1053" s="3">
        <v>42234</v>
      </c>
      <c r="B1053" s="4">
        <v>254274156.06536099</v>
      </c>
    </row>
    <row r="1054" spans="1:2" x14ac:dyDescent="0.2">
      <c r="A1054" s="3">
        <v>42235</v>
      </c>
      <c r="B1054" s="4">
        <v>253828961.30618599</v>
      </c>
    </row>
    <row r="1055" spans="1:2" x14ac:dyDescent="0.2">
      <c r="A1055" s="3">
        <v>42236</v>
      </c>
      <c r="B1055" s="4">
        <v>253622468.398471</v>
      </c>
    </row>
    <row r="1056" spans="1:2" x14ac:dyDescent="0.2">
      <c r="A1056" s="3">
        <v>42237</v>
      </c>
      <c r="B1056" s="4">
        <v>253500989.04374501</v>
      </c>
    </row>
    <row r="1057" spans="1:2" x14ac:dyDescent="0.2">
      <c r="A1057" s="3">
        <v>42240</v>
      </c>
      <c r="B1057" s="4">
        <v>253576148.84206501</v>
      </c>
    </row>
    <row r="1058" spans="1:2" x14ac:dyDescent="0.2">
      <c r="A1058" s="3">
        <v>42241</v>
      </c>
      <c r="B1058" s="4">
        <v>247123068.66777799</v>
      </c>
    </row>
    <row r="1059" spans="1:2" x14ac:dyDescent="0.2">
      <c r="A1059" s="3">
        <v>42242</v>
      </c>
      <c r="B1059" s="4">
        <v>245214111.815505</v>
      </c>
    </row>
    <row r="1060" spans="1:2" x14ac:dyDescent="0.2">
      <c r="A1060" s="3">
        <v>42243</v>
      </c>
      <c r="B1060" s="4">
        <v>244915280.273864</v>
      </c>
    </row>
    <row r="1061" spans="1:2" x14ac:dyDescent="0.2">
      <c r="A1061" s="3">
        <v>42244</v>
      </c>
      <c r="B1061" s="4">
        <v>244647805.84771499</v>
      </c>
    </row>
    <row r="1062" spans="1:2" x14ac:dyDescent="0.2">
      <c r="A1062" s="3">
        <v>42247</v>
      </c>
      <c r="B1062" s="4">
        <v>245112484.652695</v>
      </c>
    </row>
    <row r="1063" spans="1:2" x14ac:dyDescent="0.2">
      <c r="A1063" s="3">
        <v>42248</v>
      </c>
      <c r="B1063" s="4">
        <v>245781375.97130799</v>
      </c>
    </row>
    <row r="1064" spans="1:2" x14ac:dyDescent="0.2">
      <c r="A1064" s="3">
        <v>42249</v>
      </c>
      <c r="B1064" s="14">
        <v>245641922.972101</v>
      </c>
    </row>
    <row r="1065" spans="1:2" x14ac:dyDescent="0.2">
      <c r="A1065" s="3">
        <v>42250</v>
      </c>
      <c r="B1065" s="14">
        <v>245118531.31468001</v>
      </c>
    </row>
    <row r="1066" spans="1:2" x14ac:dyDescent="0.2">
      <c r="A1066" s="3">
        <v>42251</v>
      </c>
      <c r="B1066" s="14">
        <v>245752355.401539</v>
      </c>
    </row>
    <row r="1067" spans="1:2" x14ac:dyDescent="0.2">
      <c r="A1067" s="3">
        <v>42255</v>
      </c>
      <c r="B1067" s="14">
        <v>245734227.729983</v>
      </c>
    </row>
    <row r="1068" spans="1:2" x14ac:dyDescent="0.2">
      <c r="A1068" s="3">
        <v>42256</v>
      </c>
      <c r="B1068" s="14">
        <v>245092668.64665699</v>
      </c>
    </row>
    <row r="1069" spans="1:2" x14ac:dyDescent="0.2">
      <c r="A1069" s="3">
        <v>42257</v>
      </c>
      <c r="B1069" s="14">
        <v>245188289.74485099</v>
      </c>
    </row>
    <row r="1070" spans="1:2" x14ac:dyDescent="0.2">
      <c r="A1070" s="3">
        <v>42258</v>
      </c>
      <c r="B1070" s="14">
        <v>245550758.82806501</v>
      </c>
    </row>
    <row r="1071" spans="1:2" x14ac:dyDescent="0.2">
      <c r="A1071" s="3">
        <v>42261</v>
      </c>
      <c r="B1071" s="14">
        <v>245187886.265549</v>
      </c>
    </row>
    <row r="1072" spans="1:2" x14ac:dyDescent="0.2">
      <c r="A1072" s="3">
        <v>42262</v>
      </c>
      <c r="B1072" s="14">
        <v>244876329.926624</v>
      </c>
    </row>
    <row r="1073" spans="1:2" x14ac:dyDescent="0.2">
      <c r="A1073" s="3">
        <v>42263</v>
      </c>
      <c r="B1073" s="14">
        <v>244541015.49725601</v>
      </c>
    </row>
    <row r="1074" spans="1:2" x14ac:dyDescent="0.2">
      <c r="A1074" s="3">
        <v>42264</v>
      </c>
      <c r="B1074" s="14">
        <v>245112485.78121999</v>
      </c>
    </row>
    <row r="1075" spans="1:2" x14ac:dyDescent="0.2">
      <c r="A1075" s="3">
        <v>42265</v>
      </c>
      <c r="B1075" s="14">
        <v>245665595.73402801</v>
      </c>
    </row>
    <row r="1076" spans="1:2" x14ac:dyDescent="0.2">
      <c r="A1076" s="3">
        <v>42268</v>
      </c>
      <c r="B1076" s="14">
        <v>245541840.32182199</v>
      </c>
    </row>
    <row r="1077" spans="1:2" x14ac:dyDescent="0.2">
      <c r="A1077" s="3">
        <v>42269</v>
      </c>
      <c r="B1077" s="14">
        <v>246389284.46109501</v>
      </c>
    </row>
    <row r="1078" spans="1:2" x14ac:dyDescent="0.2">
      <c r="A1078" s="3">
        <v>42270</v>
      </c>
      <c r="B1078" s="14">
        <v>248228357.91009599</v>
      </c>
    </row>
    <row r="1079" spans="1:2" x14ac:dyDescent="0.2">
      <c r="A1079" s="3">
        <v>42271</v>
      </c>
      <c r="B1079" s="14">
        <v>248744901.18428901</v>
      </c>
    </row>
    <row r="1080" spans="1:2" x14ac:dyDescent="0.2">
      <c r="A1080" s="3">
        <v>42272</v>
      </c>
      <c r="B1080" s="14">
        <v>246759376.65334401</v>
      </c>
    </row>
    <row r="1081" spans="1:2" x14ac:dyDescent="0.2">
      <c r="A1081" s="3">
        <v>42275</v>
      </c>
      <c r="B1081" s="14">
        <v>249456882.93278101</v>
      </c>
    </row>
    <row r="1082" spans="1:2" x14ac:dyDescent="0.2">
      <c r="A1082" s="3">
        <v>42276</v>
      </c>
      <c r="B1082" s="14">
        <v>249071747.10243499</v>
      </c>
    </row>
    <row r="1083" spans="1:2" x14ac:dyDescent="0.2">
      <c r="A1083" s="3">
        <v>42277</v>
      </c>
      <c r="B1083" s="14">
        <v>247240100.086371</v>
      </c>
    </row>
    <row r="1084" spans="1:2" x14ac:dyDescent="0.2">
      <c r="A1084" s="3">
        <v>42278</v>
      </c>
      <c r="B1084" s="14">
        <v>245948093.497244</v>
      </c>
    </row>
    <row r="1085" spans="1:2" x14ac:dyDescent="0.2">
      <c r="A1085" s="3">
        <v>42279</v>
      </c>
      <c r="B1085" s="15">
        <v>245746563.195097</v>
      </c>
    </row>
    <row r="1086" spans="1:2" x14ac:dyDescent="0.2">
      <c r="A1086" s="3">
        <v>42282</v>
      </c>
      <c r="B1086" s="15">
        <v>245289763.411053</v>
      </c>
    </row>
    <row r="1087" spans="1:2" x14ac:dyDescent="0.2">
      <c r="A1087" s="3">
        <v>42283</v>
      </c>
      <c r="B1087" s="15">
        <v>233697246.08934799</v>
      </c>
    </row>
    <row r="1088" spans="1:2" x14ac:dyDescent="0.2">
      <c r="A1088" s="3">
        <v>42284</v>
      </c>
      <c r="B1088" s="15">
        <v>233538831.61737299</v>
      </c>
    </row>
    <row r="1089" spans="1:2" x14ac:dyDescent="0.2">
      <c r="A1089" s="3">
        <v>42285</v>
      </c>
      <c r="B1089" s="15">
        <v>228475868.13560101</v>
      </c>
    </row>
    <row r="1090" spans="1:2" x14ac:dyDescent="0.2">
      <c r="A1090" s="3">
        <v>42286</v>
      </c>
      <c r="B1090" s="15">
        <v>228641319.20604801</v>
      </c>
    </row>
    <row r="1091" spans="1:2" x14ac:dyDescent="0.2">
      <c r="A1091" s="3">
        <v>42290</v>
      </c>
      <c r="B1091" s="15">
        <v>228890479.41841701</v>
      </c>
    </row>
    <row r="1092" spans="1:2" x14ac:dyDescent="0.2">
      <c r="A1092" s="3">
        <v>42291</v>
      </c>
      <c r="B1092" s="15">
        <v>229621901.83068401</v>
      </c>
    </row>
    <row r="1093" spans="1:2" x14ac:dyDescent="0.2">
      <c r="A1093" s="3">
        <v>42292</v>
      </c>
      <c r="B1093" s="15">
        <v>228931680.81541601</v>
      </c>
    </row>
    <row r="1094" spans="1:2" x14ac:dyDescent="0.2">
      <c r="A1094" s="3">
        <v>42293</v>
      </c>
      <c r="B1094" s="15">
        <v>228929081.941255</v>
      </c>
    </row>
    <row r="1095" spans="1:2" x14ac:dyDescent="0.2">
      <c r="A1095" s="3">
        <v>42296</v>
      </c>
      <c r="B1095" s="15">
        <v>228864233.640201</v>
      </c>
    </row>
    <row r="1096" spans="1:2" x14ac:dyDescent="0.2">
      <c r="A1096" s="3">
        <v>42297</v>
      </c>
      <c r="B1096" s="15">
        <v>228220200.732014</v>
      </c>
    </row>
    <row r="1097" spans="1:2" x14ac:dyDescent="0.2">
      <c r="A1097" s="3">
        <v>42298</v>
      </c>
      <c r="B1097" s="15">
        <v>228514167.816688</v>
      </c>
    </row>
    <row r="1098" spans="1:2" x14ac:dyDescent="0.2">
      <c r="A1098" s="3">
        <v>42299</v>
      </c>
      <c r="B1098" s="15">
        <v>227595426.77680701</v>
      </c>
    </row>
    <row r="1099" spans="1:2" x14ac:dyDescent="0.2">
      <c r="A1099" s="3">
        <v>42300</v>
      </c>
      <c r="B1099" s="15">
        <v>227965391.27350101</v>
      </c>
    </row>
    <row r="1100" spans="1:2" x14ac:dyDescent="0.2">
      <c r="A1100" s="3">
        <v>42303</v>
      </c>
      <c r="B1100" s="15">
        <v>228340541.90620399</v>
      </c>
    </row>
    <row r="1101" spans="1:2" x14ac:dyDescent="0.2">
      <c r="A1101" s="3">
        <v>42304</v>
      </c>
      <c r="B1101" s="15">
        <v>226834533.03441399</v>
      </c>
    </row>
    <row r="1102" spans="1:2" x14ac:dyDescent="0.2">
      <c r="A1102" s="3">
        <v>42305</v>
      </c>
      <c r="B1102" s="15">
        <v>226498267.729761</v>
      </c>
    </row>
    <row r="1103" spans="1:2" x14ac:dyDescent="0.2">
      <c r="A1103" s="3">
        <v>42306</v>
      </c>
      <c r="B1103" s="15">
        <v>226217188.208314</v>
      </c>
    </row>
    <row r="1104" spans="1:2" x14ac:dyDescent="0.2">
      <c r="A1104" s="3">
        <v>42307</v>
      </c>
      <c r="B1104" s="15">
        <v>225808452.66436601</v>
      </c>
    </row>
    <row r="1105" spans="1:2" x14ac:dyDescent="0.2">
      <c r="A1105" s="3">
        <v>42310</v>
      </c>
      <c r="B1105" s="15">
        <v>225509047.8671</v>
      </c>
    </row>
    <row r="1106" spans="1:2" x14ac:dyDescent="0.2">
      <c r="A1106" s="3">
        <v>42311</v>
      </c>
      <c r="B1106" s="15">
        <v>225894928.64371499</v>
      </c>
    </row>
    <row r="1107" spans="1:2" x14ac:dyDescent="0.2">
      <c r="A1107" s="3">
        <v>42312</v>
      </c>
      <c r="B1107" s="15">
        <v>210105966.145179</v>
      </c>
    </row>
    <row r="1108" spans="1:2" x14ac:dyDescent="0.2">
      <c r="A1108" s="3">
        <v>42313</v>
      </c>
      <c r="B1108" s="15">
        <v>210095464.94084701</v>
      </c>
    </row>
    <row r="1109" spans="1:2" x14ac:dyDescent="0.2">
      <c r="A1109" s="3">
        <v>42314</v>
      </c>
      <c r="B1109" s="15">
        <v>209080745.47890601</v>
      </c>
    </row>
    <row r="1110" spans="1:2" x14ac:dyDescent="0.2">
      <c r="A1110" s="3">
        <v>42317</v>
      </c>
      <c r="B1110" s="15">
        <v>208704130.76302299</v>
      </c>
    </row>
    <row r="1111" spans="1:2" x14ac:dyDescent="0.2">
      <c r="A1111" s="3">
        <v>42318</v>
      </c>
      <c r="B1111" s="15">
        <v>208996613.69283399</v>
      </c>
    </row>
    <row r="1112" spans="1:2" x14ac:dyDescent="0.2">
      <c r="A1112" s="3">
        <v>42320</v>
      </c>
      <c r="B1112" s="15">
        <v>208696776.762272</v>
      </c>
    </row>
    <row r="1113" spans="1:2" x14ac:dyDescent="0.2">
      <c r="A1113" s="3">
        <v>42321</v>
      </c>
      <c r="B1113" s="15">
        <v>209277528.749127</v>
      </c>
    </row>
    <row r="1114" spans="1:2" x14ac:dyDescent="0.2">
      <c r="A1114" s="3">
        <v>42324</v>
      </c>
      <c r="B1114" s="15">
        <v>209240040.67243901</v>
      </c>
    </row>
    <row r="1115" spans="1:2" x14ac:dyDescent="0.2">
      <c r="A1115" s="3">
        <v>42325</v>
      </c>
      <c r="B1115" s="4">
        <v>209566039.99738899</v>
      </c>
    </row>
    <row r="1116" spans="1:2" x14ac:dyDescent="0.2">
      <c r="A1116" s="3">
        <v>42326</v>
      </c>
      <c r="B1116" s="4">
        <v>209678038.128492</v>
      </c>
    </row>
    <row r="1117" spans="1:2" x14ac:dyDescent="0.2">
      <c r="A1117" s="3">
        <v>42327</v>
      </c>
      <c r="B1117" s="4">
        <v>209769872.57283801</v>
      </c>
    </row>
    <row r="1118" spans="1:2" x14ac:dyDescent="0.2">
      <c r="A1118" s="3">
        <v>42328</v>
      </c>
      <c r="B1118" s="4">
        <v>209871612.22430199</v>
      </c>
    </row>
    <row r="1119" spans="1:2" x14ac:dyDescent="0.2">
      <c r="A1119" s="3">
        <v>42331</v>
      </c>
      <c r="B1119" s="4">
        <v>209552783.783986</v>
      </c>
    </row>
    <row r="1120" spans="1:2" x14ac:dyDescent="0.2">
      <c r="A1120" s="3">
        <v>42332</v>
      </c>
      <c r="B1120" s="4">
        <v>207774312.07562399</v>
      </c>
    </row>
    <row r="1121" spans="1:2" x14ac:dyDescent="0.2">
      <c r="A1121" s="3">
        <v>42333</v>
      </c>
      <c r="B1121" s="4">
        <v>207997225.46427801</v>
      </c>
    </row>
    <row r="1122" spans="1:2" x14ac:dyDescent="0.2">
      <c r="A1122" s="3">
        <v>42335</v>
      </c>
      <c r="B1122" s="4">
        <v>207969553.840628</v>
      </c>
    </row>
    <row r="1123" spans="1:2" x14ac:dyDescent="0.2">
      <c r="A1123" s="3">
        <v>42338</v>
      </c>
      <c r="B1123" s="4">
        <v>207908482.58836401</v>
      </c>
    </row>
    <row r="1124" spans="1:2" x14ac:dyDescent="0.2">
      <c r="A1124" s="3">
        <v>42339</v>
      </c>
      <c r="B1124" s="4">
        <v>207820702.08083001</v>
      </c>
    </row>
    <row r="1125" spans="1:2" x14ac:dyDescent="0.2">
      <c r="A1125" s="3">
        <v>42340</v>
      </c>
      <c r="B1125" s="4">
        <v>207202691.57267201</v>
      </c>
    </row>
    <row r="1126" spans="1:2" x14ac:dyDescent="0.2">
      <c r="A1126" s="3">
        <v>42341</v>
      </c>
      <c r="B1126" s="4">
        <v>207817754.22878399</v>
      </c>
    </row>
    <row r="1127" spans="1:2" x14ac:dyDescent="0.2">
      <c r="A1127" s="3">
        <v>42342</v>
      </c>
      <c r="B1127" s="4">
        <v>207440056.34661701</v>
      </c>
    </row>
    <row r="1128" spans="1:2" x14ac:dyDescent="0.2">
      <c r="A1128" s="3">
        <v>42345</v>
      </c>
      <c r="B1128" s="4">
        <v>207153486.90464699</v>
      </c>
    </row>
    <row r="1129" spans="1:2" x14ac:dyDescent="0.2">
      <c r="A1129" s="3">
        <v>42346</v>
      </c>
      <c r="B1129" s="4">
        <v>206529480.00792801</v>
      </c>
    </row>
    <row r="1130" spans="1:2" x14ac:dyDescent="0.2">
      <c r="A1130" s="3">
        <v>42347</v>
      </c>
      <c r="B1130" s="4">
        <v>205841220.882112</v>
      </c>
    </row>
    <row r="1131" spans="1:2" x14ac:dyDescent="0.2">
      <c r="A1131" s="3">
        <v>42348</v>
      </c>
      <c r="B1131" s="4">
        <v>205575108.470557</v>
      </c>
    </row>
    <row r="1132" spans="1:2" x14ac:dyDescent="0.2">
      <c r="A1132" s="3">
        <v>42349</v>
      </c>
      <c r="B1132" s="4">
        <v>188296556.78789899</v>
      </c>
    </row>
    <row r="1133" spans="1:2" x14ac:dyDescent="0.2">
      <c r="A1133" s="3">
        <v>42352</v>
      </c>
      <c r="B1133" s="4">
        <v>188855923.21732101</v>
      </c>
    </row>
    <row r="1134" spans="1:2" x14ac:dyDescent="0.2">
      <c r="A1134" s="3">
        <v>42353</v>
      </c>
      <c r="B1134" s="4">
        <v>188578093.20776501</v>
      </c>
    </row>
    <row r="1135" spans="1:2" x14ac:dyDescent="0.2">
      <c r="A1135" s="3">
        <v>42354</v>
      </c>
      <c r="B1135" s="4">
        <v>187920651.304102</v>
      </c>
    </row>
    <row r="1136" spans="1:2" x14ac:dyDescent="0.2">
      <c r="A1136" s="3">
        <v>42355</v>
      </c>
      <c r="B1136" s="4">
        <v>187754547.46449101</v>
      </c>
    </row>
    <row r="1137" spans="1:2" x14ac:dyDescent="0.2">
      <c r="A1137" s="3">
        <v>42356</v>
      </c>
      <c r="B1137" s="4">
        <v>187553629.93755099</v>
      </c>
    </row>
    <row r="1138" spans="1:2" x14ac:dyDescent="0.2">
      <c r="A1138" s="3">
        <v>42359</v>
      </c>
      <c r="B1138" s="4">
        <v>186843777.48525301</v>
      </c>
    </row>
    <row r="1139" spans="1:2" x14ac:dyDescent="0.2">
      <c r="A1139" s="3">
        <v>42360</v>
      </c>
      <c r="B1139" s="4">
        <v>186795425.99863201</v>
      </c>
    </row>
    <row r="1140" spans="1:2" x14ac:dyDescent="0.2">
      <c r="A1140" s="3">
        <v>42361</v>
      </c>
      <c r="B1140" s="4">
        <v>186405911.89646399</v>
      </c>
    </row>
    <row r="1141" spans="1:2" x14ac:dyDescent="0.2">
      <c r="A1141" s="3">
        <v>42362</v>
      </c>
      <c r="B1141" s="4">
        <v>186724122.05461001</v>
      </c>
    </row>
    <row r="1142" spans="1:2" x14ac:dyDescent="0.2">
      <c r="A1142" s="3">
        <v>42366</v>
      </c>
      <c r="B1142" s="4">
        <v>185159962.27575499</v>
      </c>
    </row>
    <row r="1143" spans="1:2" x14ac:dyDescent="0.2">
      <c r="A1143" s="3">
        <v>42367</v>
      </c>
      <c r="B1143" s="4">
        <v>184386014.80047399</v>
      </c>
    </row>
    <row r="1144" spans="1:2" x14ac:dyDescent="0.2">
      <c r="A1144" s="3">
        <v>42368</v>
      </c>
      <c r="B1144" s="4">
        <v>184644088.837926</v>
      </c>
    </row>
    <row r="1145" spans="1:2" x14ac:dyDescent="0.2">
      <c r="A1145" s="3">
        <v>42369</v>
      </c>
      <c r="B1145" s="4">
        <v>184422809.70974699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% of NAV </vt:lpstr>
      <vt:lpstr>Net IO Raw Data</vt:lpstr>
      <vt:lpstr>CMO MV Raw</vt:lpstr>
      <vt:lpstr>Sheet3</vt:lpstr>
      <vt:lpstr>'% of NAV '!Print_Area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Johnson</dc:creator>
  <cp:lastModifiedBy>Sharad Chaudhary</cp:lastModifiedBy>
  <cp:lastPrinted>2014-12-05T16:37:30Z</cp:lastPrinted>
  <dcterms:created xsi:type="dcterms:W3CDTF">2013-09-09T22:20:11Z</dcterms:created>
  <dcterms:modified xsi:type="dcterms:W3CDTF">2016-01-04T20:30:29Z</dcterms:modified>
</cp:coreProperties>
</file>