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85" windowWidth="19815" windowHeight="16035" activeTab="1"/>
  </bookViews>
  <sheets>
    <sheet name="Gross NAV" sheetId="1" r:id="rId1"/>
    <sheet name="Sheet1" sheetId="2" r:id="rId2"/>
  </sheets>
  <calcPr calcId="145621"/>
</workbook>
</file>

<file path=xl/calcChain.xml><?xml version="1.0" encoding="utf-8"?>
<calcChain xmlns="http://schemas.openxmlformats.org/spreadsheetml/2006/main">
  <c r="B74" i="1" l="1"/>
  <c r="I72" i="1"/>
  <c r="G88" i="1"/>
  <c r="G87" i="1"/>
  <c r="M74" i="1"/>
  <c r="L74" i="1"/>
  <c r="E74" i="1"/>
  <c r="C88" i="1" s="1"/>
  <c r="D88" i="1" s="1"/>
  <c r="F74" i="1"/>
  <c r="G74" i="1" s="1"/>
  <c r="I74" i="1" s="1"/>
  <c r="R73" i="1"/>
  <c r="S73" i="1" s="1"/>
  <c r="I73" i="1"/>
  <c r="P73" i="1" s="1"/>
  <c r="Q73" i="1" s="1"/>
  <c r="E73" i="1"/>
  <c r="P72" i="1"/>
  <c r="Q72" i="1" s="1"/>
  <c r="E72" i="1"/>
  <c r="P71" i="1"/>
  <c r="Q71" i="1" s="1"/>
  <c r="I71" i="1"/>
  <c r="M71" i="1" s="1"/>
  <c r="E71" i="1"/>
  <c r="B71" i="1"/>
  <c r="F71" i="1" s="1"/>
  <c r="M70" i="1"/>
  <c r="I70" i="1"/>
  <c r="R70" i="1" s="1"/>
  <c r="S70" i="1" s="1"/>
  <c r="E70" i="1"/>
  <c r="B70" i="1"/>
  <c r="F70" i="1" s="1"/>
  <c r="S69" i="1"/>
  <c r="R69" i="1"/>
  <c r="Q69" i="1"/>
  <c r="P69" i="1"/>
  <c r="M69" i="1"/>
  <c r="L69" i="1"/>
  <c r="K69" i="1"/>
  <c r="N69" i="1" s="1"/>
  <c r="J69" i="1"/>
  <c r="E69" i="1"/>
  <c r="R68" i="1"/>
  <c r="S68" i="1" s="1"/>
  <c r="P68" i="1"/>
  <c r="Q68" i="1" s="1"/>
  <c r="O68" i="1"/>
  <c r="M68" i="1"/>
  <c r="L68" i="1"/>
  <c r="J68" i="1"/>
  <c r="K68" i="1" s="1"/>
  <c r="E68" i="1"/>
  <c r="R67" i="1"/>
  <c r="S67" i="1" s="1"/>
  <c r="P67" i="1"/>
  <c r="Q67" i="1" s="1"/>
  <c r="M67" i="1"/>
  <c r="L67" i="1"/>
  <c r="J67" i="1"/>
  <c r="K67" i="1" s="1"/>
  <c r="E67" i="1"/>
  <c r="S66" i="1"/>
  <c r="R66" i="1"/>
  <c r="P66" i="1"/>
  <c r="Q66" i="1" s="1"/>
  <c r="M66" i="1"/>
  <c r="L66" i="1"/>
  <c r="K66" i="1"/>
  <c r="N66" i="1" s="1"/>
  <c r="J66" i="1"/>
  <c r="E66" i="1"/>
  <c r="S65" i="1"/>
  <c r="R65" i="1"/>
  <c r="P65" i="1"/>
  <c r="Q65" i="1" s="1"/>
  <c r="O65" i="1"/>
  <c r="N65" i="1"/>
  <c r="M65" i="1"/>
  <c r="L65" i="1"/>
  <c r="K65" i="1"/>
  <c r="J65" i="1"/>
  <c r="E65" i="1"/>
  <c r="R64" i="1"/>
  <c r="S64" i="1" s="1"/>
  <c r="Q64" i="1"/>
  <c r="P64" i="1"/>
  <c r="M64" i="1"/>
  <c r="L64" i="1"/>
  <c r="K64" i="1"/>
  <c r="J64" i="1"/>
  <c r="E64" i="1"/>
  <c r="C87" i="1" s="1"/>
  <c r="D87" i="1" s="1"/>
  <c r="E87" i="1" s="1"/>
  <c r="S63" i="1"/>
  <c r="R63" i="1"/>
  <c r="Q63" i="1"/>
  <c r="P63" i="1"/>
  <c r="N63" i="1"/>
  <c r="M63" i="1"/>
  <c r="L63" i="1"/>
  <c r="K63" i="1"/>
  <c r="J63" i="1"/>
  <c r="E63" i="1"/>
  <c r="R62" i="1"/>
  <c r="S62" i="1" s="1"/>
  <c r="Q62" i="1"/>
  <c r="P62" i="1"/>
  <c r="M62" i="1"/>
  <c r="L62" i="1"/>
  <c r="J62" i="1"/>
  <c r="K62" i="1" s="1"/>
  <c r="E62" i="1"/>
  <c r="P61" i="1"/>
  <c r="Q61" i="1" s="1"/>
  <c r="M61" i="1"/>
  <c r="L61" i="1"/>
  <c r="J61" i="1"/>
  <c r="K61" i="1" s="1"/>
  <c r="E61" i="1"/>
  <c r="Q60" i="1"/>
  <c r="P60" i="1"/>
  <c r="M60" i="1"/>
  <c r="L60" i="1"/>
  <c r="J60" i="1"/>
  <c r="K60" i="1" s="1"/>
  <c r="E60" i="1"/>
  <c r="Q59" i="1"/>
  <c r="P59" i="1"/>
  <c r="M59" i="1"/>
  <c r="L59" i="1"/>
  <c r="K59" i="1"/>
  <c r="J59" i="1"/>
  <c r="E59" i="1"/>
  <c r="P58" i="1"/>
  <c r="Q58" i="1" s="1"/>
  <c r="M58" i="1"/>
  <c r="L58" i="1"/>
  <c r="K58" i="1"/>
  <c r="J58" i="1"/>
  <c r="E58" i="1"/>
  <c r="Q57" i="1"/>
  <c r="P57" i="1"/>
  <c r="N57" i="1"/>
  <c r="M57" i="1"/>
  <c r="L57" i="1"/>
  <c r="K57" i="1"/>
  <c r="J57" i="1"/>
  <c r="E57" i="1"/>
  <c r="P56" i="1"/>
  <c r="Q56" i="1" s="1"/>
  <c r="N56" i="1"/>
  <c r="M56" i="1"/>
  <c r="L56" i="1"/>
  <c r="J56" i="1"/>
  <c r="K56" i="1" s="1"/>
  <c r="O58" i="1" s="1"/>
  <c r="E56" i="1"/>
  <c r="P55" i="1"/>
  <c r="Q55" i="1" s="1"/>
  <c r="N55" i="1"/>
  <c r="M55" i="1"/>
  <c r="L55" i="1"/>
  <c r="K55" i="1"/>
  <c r="O57" i="1" s="1"/>
  <c r="J55" i="1"/>
  <c r="E55" i="1"/>
  <c r="Q54" i="1"/>
  <c r="P54" i="1"/>
  <c r="M54" i="1"/>
  <c r="L54" i="1"/>
  <c r="J54" i="1"/>
  <c r="K54" i="1" s="1"/>
  <c r="N54" i="1" s="1"/>
  <c r="E54" i="1"/>
  <c r="P53" i="1"/>
  <c r="Q53" i="1" s="1"/>
  <c r="M53" i="1"/>
  <c r="L53" i="1"/>
  <c r="J53" i="1"/>
  <c r="K53" i="1" s="1"/>
  <c r="N53" i="1" s="1"/>
  <c r="E53" i="1"/>
  <c r="Q52" i="1"/>
  <c r="P52" i="1"/>
  <c r="M52" i="1"/>
  <c r="L52" i="1"/>
  <c r="J52" i="1"/>
  <c r="K52" i="1" s="1"/>
  <c r="E52" i="1"/>
  <c r="Q51" i="1"/>
  <c r="P51" i="1"/>
  <c r="M51" i="1"/>
  <c r="L51" i="1"/>
  <c r="K51" i="1"/>
  <c r="J51" i="1"/>
  <c r="E51" i="1"/>
  <c r="P50" i="1"/>
  <c r="Q50" i="1" s="1"/>
  <c r="M50" i="1"/>
  <c r="L50" i="1"/>
  <c r="K50" i="1"/>
  <c r="J50" i="1"/>
  <c r="E50" i="1"/>
  <c r="Q49" i="1"/>
  <c r="P49" i="1"/>
  <c r="N49" i="1"/>
  <c r="M49" i="1"/>
  <c r="L49" i="1"/>
  <c r="K49" i="1"/>
  <c r="J49" i="1"/>
  <c r="E49" i="1"/>
  <c r="P48" i="1"/>
  <c r="Q48" i="1" s="1"/>
  <c r="N48" i="1"/>
  <c r="M48" i="1"/>
  <c r="L48" i="1"/>
  <c r="J48" i="1"/>
  <c r="K48" i="1" s="1"/>
  <c r="O50" i="1" s="1"/>
  <c r="E48" i="1"/>
  <c r="P47" i="1"/>
  <c r="Q47" i="1" s="1"/>
  <c r="N47" i="1"/>
  <c r="M47" i="1"/>
  <c r="L47" i="1"/>
  <c r="K47" i="1"/>
  <c r="O49" i="1" s="1"/>
  <c r="J47" i="1"/>
  <c r="E47" i="1"/>
  <c r="Q46" i="1"/>
  <c r="P46" i="1"/>
  <c r="M46" i="1"/>
  <c r="L46" i="1"/>
  <c r="J46" i="1"/>
  <c r="K46" i="1" s="1"/>
  <c r="N46" i="1" s="1"/>
  <c r="E46" i="1"/>
  <c r="P45" i="1"/>
  <c r="Q45" i="1" s="1"/>
  <c r="M45" i="1"/>
  <c r="L45" i="1"/>
  <c r="J45" i="1"/>
  <c r="K45" i="1" s="1"/>
  <c r="N45" i="1" s="1"/>
  <c r="E45" i="1"/>
  <c r="Q44" i="1"/>
  <c r="P44" i="1"/>
  <c r="M44" i="1"/>
  <c r="L44" i="1"/>
  <c r="J44" i="1"/>
  <c r="K44" i="1" s="1"/>
  <c r="E44" i="1"/>
  <c r="Q43" i="1"/>
  <c r="P43" i="1"/>
  <c r="M43" i="1"/>
  <c r="L43" i="1"/>
  <c r="K43" i="1"/>
  <c r="J43" i="1"/>
  <c r="E43" i="1"/>
  <c r="P42" i="1"/>
  <c r="Q42" i="1" s="1"/>
  <c r="M42" i="1"/>
  <c r="L42" i="1"/>
  <c r="K42" i="1"/>
  <c r="J42" i="1"/>
  <c r="E42" i="1"/>
  <c r="Q41" i="1"/>
  <c r="P41" i="1"/>
  <c r="N41" i="1"/>
  <c r="M41" i="1"/>
  <c r="L41" i="1"/>
  <c r="K41" i="1"/>
  <c r="J41" i="1"/>
  <c r="E41" i="1"/>
  <c r="P40" i="1"/>
  <c r="Q40" i="1" s="1"/>
  <c r="N40" i="1"/>
  <c r="M40" i="1"/>
  <c r="L40" i="1"/>
  <c r="J40" i="1"/>
  <c r="K40" i="1" s="1"/>
  <c r="O42" i="1" s="1"/>
  <c r="E40" i="1"/>
  <c r="P39" i="1"/>
  <c r="Q39" i="1" s="1"/>
  <c r="N39" i="1"/>
  <c r="M39" i="1"/>
  <c r="L39" i="1"/>
  <c r="K39" i="1"/>
  <c r="O41" i="1" s="1"/>
  <c r="J39" i="1"/>
  <c r="E39" i="1"/>
  <c r="Q38" i="1"/>
  <c r="P38" i="1"/>
  <c r="M38" i="1"/>
  <c r="L38" i="1"/>
  <c r="J38" i="1"/>
  <c r="K38" i="1" s="1"/>
  <c r="N38" i="1" s="1"/>
  <c r="E38" i="1"/>
  <c r="P37" i="1"/>
  <c r="Q37" i="1" s="1"/>
  <c r="M37" i="1"/>
  <c r="L37" i="1"/>
  <c r="J37" i="1"/>
  <c r="K37" i="1" s="1"/>
  <c r="N37" i="1" s="1"/>
  <c r="E37" i="1"/>
  <c r="Q36" i="1"/>
  <c r="P36" i="1"/>
  <c r="M36" i="1"/>
  <c r="L36" i="1"/>
  <c r="J36" i="1"/>
  <c r="K36" i="1" s="1"/>
  <c r="E36" i="1"/>
  <c r="Q35" i="1"/>
  <c r="P35" i="1"/>
  <c r="M35" i="1"/>
  <c r="L35" i="1"/>
  <c r="K35" i="1"/>
  <c r="J35" i="1"/>
  <c r="E35" i="1"/>
  <c r="P34" i="1"/>
  <c r="Q34" i="1" s="1"/>
  <c r="M34" i="1"/>
  <c r="L34" i="1"/>
  <c r="K34" i="1"/>
  <c r="J34" i="1"/>
  <c r="E34" i="1"/>
  <c r="Q33" i="1"/>
  <c r="P33" i="1"/>
  <c r="N33" i="1"/>
  <c r="M33" i="1"/>
  <c r="L33" i="1"/>
  <c r="K33" i="1"/>
  <c r="J33" i="1"/>
  <c r="E33" i="1"/>
  <c r="P32" i="1"/>
  <c r="Q32" i="1" s="1"/>
  <c r="N32" i="1"/>
  <c r="M32" i="1"/>
  <c r="L32" i="1"/>
  <c r="J32" i="1"/>
  <c r="K32" i="1" s="1"/>
  <c r="O34" i="1" s="1"/>
  <c r="E32" i="1"/>
  <c r="P31" i="1"/>
  <c r="Q31" i="1" s="1"/>
  <c r="N31" i="1"/>
  <c r="M31" i="1"/>
  <c r="L31" i="1"/>
  <c r="K31" i="1"/>
  <c r="O33" i="1" s="1"/>
  <c r="J31" i="1"/>
  <c r="E31" i="1"/>
  <c r="Q30" i="1"/>
  <c r="P30" i="1"/>
  <c r="M30" i="1"/>
  <c r="L30" i="1"/>
  <c r="J30" i="1"/>
  <c r="K30" i="1" s="1"/>
  <c r="N30" i="1" s="1"/>
  <c r="E30" i="1"/>
  <c r="P29" i="1"/>
  <c r="Q29" i="1" s="1"/>
  <c r="M29" i="1"/>
  <c r="L29" i="1"/>
  <c r="J29" i="1"/>
  <c r="K29" i="1" s="1"/>
  <c r="N29" i="1" s="1"/>
  <c r="E29" i="1"/>
  <c r="Q28" i="1"/>
  <c r="P28" i="1"/>
  <c r="M28" i="1"/>
  <c r="L28" i="1"/>
  <c r="J28" i="1"/>
  <c r="K28" i="1" s="1"/>
  <c r="E28" i="1"/>
  <c r="Q27" i="1"/>
  <c r="P27" i="1"/>
  <c r="M27" i="1"/>
  <c r="L27" i="1"/>
  <c r="K27" i="1"/>
  <c r="J27" i="1"/>
  <c r="E27" i="1"/>
  <c r="P26" i="1"/>
  <c r="Q26" i="1" s="1"/>
  <c r="M26" i="1"/>
  <c r="L26" i="1"/>
  <c r="K26" i="1"/>
  <c r="J26" i="1"/>
  <c r="E26" i="1"/>
  <c r="Q25" i="1"/>
  <c r="P25" i="1"/>
  <c r="N25" i="1"/>
  <c r="M25" i="1"/>
  <c r="L25" i="1"/>
  <c r="K25" i="1"/>
  <c r="J25" i="1"/>
  <c r="E25" i="1"/>
  <c r="P24" i="1"/>
  <c r="Q24" i="1" s="1"/>
  <c r="N24" i="1"/>
  <c r="M24" i="1"/>
  <c r="L24" i="1"/>
  <c r="J24" i="1"/>
  <c r="K24" i="1" s="1"/>
  <c r="O26" i="1" s="1"/>
  <c r="E24" i="1"/>
  <c r="P23" i="1"/>
  <c r="Q23" i="1" s="1"/>
  <c r="N23" i="1"/>
  <c r="M23" i="1"/>
  <c r="L23" i="1"/>
  <c r="K23" i="1"/>
  <c r="O25" i="1" s="1"/>
  <c r="J23" i="1"/>
  <c r="E23" i="1"/>
  <c r="Q22" i="1"/>
  <c r="P22" i="1"/>
  <c r="M22" i="1"/>
  <c r="L22" i="1"/>
  <c r="J22" i="1"/>
  <c r="K22" i="1" s="1"/>
  <c r="N22" i="1" s="1"/>
  <c r="E22" i="1"/>
  <c r="P21" i="1"/>
  <c r="Q21" i="1" s="1"/>
  <c r="M21" i="1"/>
  <c r="L21" i="1"/>
  <c r="J21" i="1"/>
  <c r="K21" i="1" s="1"/>
  <c r="N21" i="1" s="1"/>
  <c r="E21" i="1"/>
  <c r="Q20" i="1"/>
  <c r="P20" i="1"/>
  <c r="M20" i="1"/>
  <c r="L20" i="1"/>
  <c r="J20" i="1"/>
  <c r="K20" i="1" s="1"/>
  <c r="E20" i="1"/>
  <c r="Q19" i="1"/>
  <c r="P19" i="1"/>
  <c r="M19" i="1"/>
  <c r="L19" i="1"/>
  <c r="K19" i="1"/>
  <c r="J19" i="1"/>
  <c r="E19" i="1"/>
  <c r="P18" i="1"/>
  <c r="Q18" i="1" s="1"/>
  <c r="M18" i="1"/>
  <c r="L18" i="1"/>
  <c r="K18" i="1"/>
  <c r="J18" i="1"/>
  <c r="E18" i="1"/>
  <c r="Q17" i="1"/>
  <c r="P17" i="1"/>
  <c r="N17" i="1"/>
  <c r="M17" i="1"/>
  <c r="L17" i="1"/>
  <c r="K17" i="1"/>
  <c r="J17" i="1"/>
  <c r="E17" i="1"/>
  <c r="P16" i="1"/>
  <c r="Q16" i="1" s="1"/>
  <c r="N16" i="1"/>
  <c r="M16" i="1"/>
  <c r="L16" i="1"/>
  <c r="J16" i="1"/>
  <c r="K16" i="1" s="1"/>
  <c r="O18" i="1" s="1"/>
  <c r="E16" i="1"/>
  <c r="P15" i="1"/>
  <c r="Q15" i="1" s="1"/>
  <c r="N15" i="1"/>
  <c r="M15" i="1"/>
  <c r="L15" i="1"/>
  <c r="K15" i="1"/>
  <c r="O17" i="1" s="1"/>
  <c r="J15" i="1"/>
  <c r="E15" i="1"/>
  <c r="Q14" i="1"/>
  <c r="P14" i="1"/>
  <c r="M14" i="1"/>
  <c r="L14" i="1"/>
  <c r="J14" i="1"/>
  <c r="K14" i="1" s="1"/>
  <c r="N14" i="1" s="1"/>
  <c r="E14" i="1"/>
  <c r="P13" i="1"/>
  <c r="O13" i="1"/>
  <c r="M13" i="1"/>
  <c r="L13" i="1"/>
  <c r="J13" i="1"/>
  <c r="K13" i="1" s="1"/>
  <c r="N13" i="1" s="1"/>
  <c r="E13" i="1"/>
  <c r="P12" i="1"/>
  <c r="M12" i="1"/>
  <c r="L12" i="1"/>
  <c r="J12" i="1"/>
  <c r="K12" i="1" s="1"/>
  <c r="N12" i="1" s="1"/>
  <c r="E12" i="1"/>
  <c r="P11" i="1"/>
  <c r="M11" i="1"/>
  <c r="L11" i="1"/>
  <c r="J11" i="1"/>
  <c r="K11" i="1" s="1"/>
  <c r="N11" i="1" s="1"/>
  <c r="E11" i="1"/>
  <c r="P10" i="1"/>
  <c r="M10" i="1"/>
  <c r="L10" i="1"/>
  <c r="J10" i="1"/>
  <c r="K10" i="1" s="1"/>
  <c r="N10" i="1" s="1"/>
  <c r="E10" i="1"/>
  <c r="P9" i="1"/>
  <c r="O9" i="1"/>
  <c r="M9" i="1"/>
  <c r="L9" i="1"/>
  <c r="J9" i="1"/>
  <c r="K9" i="1" s="1"/>
  <c r="N9" i="1" s="1"/>
  <c r="E9" i="1"/>
  <c r="P8" i="1"/>
  <c r="M8" i="1"/>
  <c r="L8" i="1"/>
  <c r="J8" i="1"/>
  <c r="K8" i="1" s="1"/>
  <c r="N8" i="1" s="1"/>
  <c r="E8" i="1"/>
  <c r="P7" i="1"/>
  <c r="M7" i="1"/>
  <c r="L7" i="1"/>
  <c r="J7" i="1"/>
  <c r="K7" i="1" s="1"/>
  <c r="N7" i="1" s="1"/>
  <c r="E7" i="1"/>
  <c r="P6" i="1"/>
  <c r="M6" i="1"/>
  <c r="L6" i="1"/>
  <c r="J6" i="1"/>
  <c r="K6" i="1" s="1"/>
  <c r="N6" i="1" s="1"/>
  <c r="E6" i="1"/>
  <c r="P5" i="1"/>
  <c r="O5" i="1"/>
  <c r="M5" i="1"/>
  <c r="L5" i="1"/>
  <c r="J5" i="1"/>
  <c r="K5" i="1" s="1"/>
  <c r="N5" i="1" s="1"/>
  <c r="E5" i="1"/>
  <c r="P4" i="1"/>
  <c r="M4" i="1"/>
  <c r="L4" i="1"/>
  <c r="J4" i="1"/>
  <c r="K4" i="1" s="1"/>
  <c r="N4" i="1" s="1"/>
  <c r="E4" i="1"/>
  <c r="P3" i="1"/>
  <c r="M3" i="1"/>
  <c r="L3" i="1"/>
  <c r="J3" i="1"/>
  <c r="K3" i="1" s="1"/>
  <c r="N3" i="1" s="1"/>
  <c r="E3" i="1"/>
  <c r="P2" i="1"/>
  <c r="L2" i="1"/>
  <c r="K2" i="1"/>
  <c r="N2" i="1" s="1"/>
  <c r="J2" i="1"/>
  <c r="E2" i="1"/>
  <c r="N36" i="1" l="1"/>
  <c r="O38" i="1"/>
  <c r="N60" i="1"/>
  <c r="O62" i="1"/>
  <c r="N20" i="1"/>
  <c r="O22" i="1"/>
  <c r="N44" i="1"/>
  <c r="O46" i="1"/>
  <c r="N28" i="1"/>
  <c r="O30" i="1"/>
  <c r="N52" i="1"/>
  <c r="O54" i="1"/>
  <c r="O3" i="1"/>
  <c r="O7" i="1"/>
  <c r="N61" i="1"/>
  <c r="O63" i="1"/>
  <c r="N62" i="1"/>
  <c r="O64" i="1"/>
  <c r="E88" i="1"/>
  <c r="O11" i="1"/>
  <c r="O2" i="1"/>
  <c r="O6" i="1"/>
  <c r="O10" i="1"/>
  <c r="O14" i="1"/>
  <c r="O16" i="1"/>
  <c r="O24" i="1"/>
  <c r="O32" i="1"/>
  <c r="O40" i="1"/>
  <c r="O48" i="1"/>
  <c r="O56" i="1"/>
  <c r="N64" i="1"/>
  <c r="O66" i="1"/>
  <c r="B73" i="1"/>
  <c r="O15" i="1"/>
  <c r="O23" i="1"/>
  <c r="O31" i="1"/>
  <c r="O39" i="1"/>
  <c r="O47" i="1"/>
  <c r="O55" i="1"/>
  <c r="O67" i="1"/>
  <c r="O70" i="1"/>
  <c r="O21" i="1"/>
  <c r="N19" i="1"/>
  <c r="O29" i="1"/>
  <c r="N27" i="1"/>
  <c r="O37" i="1"/>
  <c r="N35" i="1"/>
  <c r="O45" i="1"/>
  <c r="N43" i="1"/>
  <c r="O53" i="1"/>
  <c r="N51" i="1"/>
  <c r="O61" i="1"/>
  <c r="N59" i="1"/>
  <c r="N67" i="1"/>
  <c r="O69" i="1"/>
  <c r="O4" i="1"/>
  <c r="O8" i="1"/>
  <c r="O12" i="1"/>
  <c r="O20" i="1"/>
  <c r="O19" i="1"/>
  <c r="N18" i="1"/>
  <c r="O28" i="1"/>
  <c r="O27" i="1"/>
  <c r="N26" i="1"/>
  <c r="O35" i="1"/>
  <c r="O36" i="1"/>
  <c r="N34" i="1"/>
  <c r="O44" i="1"/>
  <c r="O43" i="1"/>
  <c r="N42" i="1"/>
  <c r="O52" i="1"/>
  <c r="O51" i="1"/>
  <c r="N50" i="1"/>
  <c r="O60" i="1"/>
  <c r="O59" i="1"/>
  <c r="N58" i="1"/>
  <c r="N68" i="1"/>
  <c r="L70" i="1"/>
  <c r="R72" i="1"/>
  <c r="S72" i="1" s="1"/>
  <c r="R74" i="1"/>
  <c r="S74" i="1" s="1"/>
  <c r="J74" i="1"/>
  <c r="K74" i="1" s="1"/>
  <c r="N74" i="1" s="1"/>
  <c r="P74" i="1"/>
  <c r="Q74" i="1" s="1"/>
  <c r="P70" i="1"/>
  <c r="Q70" i="1" s="1"/>
  <c r="J71" i="1"/>
  <c r="K71" i="1" s="1"/>
  <c r="R71" i="1"/>
  <c r="S71" i="1" s="1"/>
  <c r="J70" i="1"/>
  <c r="K70" i="1" s="1"/>
  <c r="L71" i="1"/>
  <c r="B72" i="1"/>
  <c r="F72" i="1" s="1"/>
  <c r="J72" i="1" s="1"/>
  <c r="K72" i="1" s="1"/>
  <c r="N72" i="1" l="1"/>
  <c r="O72" i="1"/>
  <c r="N70" i="1"/>
  <c r="L72" i="1"/>
  <c r="M72" i="1"/>
  <c r="N71" i="1"/>
  <c r="O71" i="1"/>
  <c r="F73" i="1"/>
  <c r="J73" i="1" s="1"/>
  <c r="K73" i="1" s="1"/>
  <c r="N73" i="1" s="1"/>
  <c r="M73" i="1"/>
  <c r="L73" i="1"/>
  <c r="O74" i="1" l="1"/>
  <c r="O73" i="1"/>
</calcChain>
</file>

<file path=xl/sharedStrings.xml><?xml version="1.0" encoding="utf-8"?>
<sst xmlns="http://schemas.openxmlformats.org/spreadsheetml/2006/main" count="29" uniqueCount="22">
  <si>
    <t>Period</t>
  </si>
  <si>
    <t>Previous Month Balance</t>
  </si>
  <si>
    <t>Subscription</t>
  </si>
  <si>
    <t>Redemption</t>
  </si>
  <si>
    <t>Net Subscriptions</t>
  </si>
  <si>
    <t>Effective 
 Beg Balance</t>
  </si>
  <si>
    <t>Gross Ending 
 Balance</t>
  </si>
  <si>
    <t>Management 
 Fees</t>
  </si>
  <si>
    <t>Ending Balance
 (Includes Perf Allocation)</t>
  </si>
  <si>
    <t>Monthly Return $</t>
  </si>
  <si>
    <t>Monthly Return %</t>
  </si>
  <si>
    <t>Month-to-Month Change in Balance ($)</t>
  </si>
  <si>
    <t>Month-to-Month Change in Balance (%)</t>
  </si>
  <si>
    <t>1 Month Rolling Return</t>
  </si>
  <si>
    <t>3 Month Rolling Return</t>
  </si>
  <si>
    <t>12 Month Rolling Balance Change ($)</t>
  </si>
  <si>
    <t>12 Month Rolling Balance Change (%)</t>
  </si>
  <si>
    <t>Floor</t>
  </si>
  <si>
    <t>OTPP Trigger Tracking (30% 12 month rolling)</t>
  </si>
  <si>
    <t>Net Sub FIMF</t>
  </si>
  <si>
    <t>Firm Net Sub</t>
  </si>
  <si>
    <t>Ending Balance
(Includes Perf Allocation)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</si>
</sst>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mmmyyyy"/>
    <numFmt numFmtId="165" formatCode="#,##0;\(#,##0\)"/>
    <numFmt numFmtId="166" formatCode="&quot;$&quot;#,##0"/>
    <numFmt numFmtId="167" formatCode="0.00000"/>
    <numFmt numFmtId="168" formatCode="#,##0.00;\(#,##0.00\)"/>
    <numFmt numFmtId="169" formatCode="&quot;$&quot;#,##0.00"/>
  </numFmts>
  <fonts count="8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8"/>
      <name val="Arial"/>
    </font>
    <font>
      <sz val="10"/>
      <color rgb="FF000000"/>
      <name val="Arial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 wrapText="1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2" fillId="0" borderId="0" xfId="0" applyNumberFormat="1" applyFont="1" applyAlignment="1"/>
    <xf numFmtId="3" fontId="2" fillId="0" borderId="0" xfId="0" applyNumberFormat="1" applyFont="1" applyAlignment="1">
      <alignment horizontal="right"/>
    </xf>
    <xf numFmtId="166" fontId="2" fillId="0" borderId="0" xfId="0" applyNumberFormat="1" applyFont="1" applyAlignment="1"/>
    <xf numFmtId="10" fontId="3" fillId="0" borderId="0" xfId="0" applyNumberFormat="1" applyFont="1"/>
    <xf numFmtId="4" fontId="3" fillId="0" borderId="0" xfId="0" applyNumberFormat="1" applyFont="1"/>
    <xf numFmtId="167" fontId="3" fillId="0" borderId="0" xfId="0" applyNumberFormat="1" applyFont="1"/>
    <xf numFmtId="10" fontId="3" fillId="2" borderId="0" xfId="0" applyNumberFormat="1" applyFont="1" applyFill="1"/>
    <xf numFmtId="3" fontId="3" fillId="0" borderId="0" xfId="0" applyNumberFormat="1" applyFont="1"/>
    <xf numFmtId="168" fontId="3" fillId="0" borderId="0" xfId="0" applyNumberFormat="1" applyFont="1"/>
    <xf numFmtId="10" fontId="3" fillId="3" borderId="0" xfId="0" applyNumberFormat="1" applyFont="1" applyFill="1"/>
    <xf numFmtId="165" fontId="2" fillId="0" borderId="0" xfId="0" applyNumberFormat="1" applyFont="1" applyAlignment="1"/>
    <xf numFmtId="3" fontId="2" fillId="3" borderId="0" xfId="0" applyNumberFormat="1" applyFont="1" applyFill="1"/>
    <xf numFmtId="10" fontId="2" fillId="0" borderId="0" xfId="0" applyNumberFormat="1" applyFont="1"/>
    <xf numFmtId="3" fontId="2" fillId="0" borderId="0" xfId="0" applyNumberFormat="1" applyFont="1"/>
    <xf numFmtId="3" fontId="2" fillId="0" borderId="0" xfId="0" applyNumberFormat="1" applyFont="1" applyAlignment="1"/>
    <xf numFmtId="3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165" fontId="5" fillId="0" borderId="0" xfId="0" applyNumberFormat="1" applyFont="1" applyAlignment="1">
      <alignment horizontal="left"/>
    </xf>
    <xf numFmtId="169" fontId="5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/>
    <xf numFmtId="14" fontId="3" fillId="0" borderId="1" xfId="0" applyNumberFormat="1" applyFont="1" applyBorder="1" applyAlignment="1"/>
    <xf numFmtId="0" fontId="2" fillId="0" borderId="0" xfId="0" applyFont="1" applyAlignment="1">
      <alignment horizontal="right"/>
    </xf>
    <xf numFmtId="165" fontId="3" fillId="0" borderId="1" xfId="0" applyNumberFormat="1" applyFont="1" applyBorder="1"/>
    <xf numFmtId="165" fontId="2" fillId="0" borderId="1" xfId="0" applyNumberFormat="1" applyFont="1" applyBorder="1" applyAlignment="1"/>
    <xf numFmtId="3" fontId="2" fillId="0" borderId="1" xfId="0" applyNumberFormat="1" applyFont="1" applyBorder="1"/>
    <xf numFmtId="0" fontId="1" fillId="0" borderId="0" xfId="0" applyFont="1" applyAlignment="1"/>
    <xf numFmtId="169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1" fillId="0" borderId="0" xfId="0" applyFont="1" applyAlignment="1"/>
    <xf numFmtId="169" fontId="2" fillId="0" borderId="0" xfId="0" applyNumberFormat="1" applyFont="1" applyAlignment="1"/>
    <xf numFmtId="165" fontId="1" fillId="0" borderId="0" xfId="0" applyNumberFormat="1" applyFont="1" applyAlignment="1"/>
    <xf numFmtId="0" fontId="1" fillId="0" borderId="0" xfId="0" applyFont="1" applyAlignment="1"/>
    <xf numFmtId="169" fontId="1" fillId="0" borderId="0" xfId="0" applyNumberFormat="1" applyFont="1" applyAlignment="1"/>
    <xf numFmtId="165" fontId="1" fillId="0" borderId="0" xfId="0" applyNumberFormat="1" applyFont="1" applyAlignment="1"/>
    <xf numFmtId="169" fontId="1" fillId="0" borderId="0" xfId="0" applyNumberFormat="1" applyFont="1" applyAlignment="1"/>
    <xf numFmtId="0" fontId="3" fillId="0" borderId="2" xfId="0" applyFont="1" applyBorder="1" applyAlignment="1"/>
    <xf numFmtId="0" fontId="3" fillId="0" borderId="3" xfId="0" applyFont="1" applyBorder="1"/>
    <xf numFmtId="0" fontId="2" fillId="0" borderId="2" xfId="0" applyFont="1" applyBorder="1"/>
    <xf numFmtId="0" fontId="7" fillId="0" borderId="0" xfId="0" applyFont="1" applyAlignment="1"/>
    <xf numFmtId="43" fontId="0" fillId="0" borderId="0" xfId="1" applyFont="1" applyAlignment="1"/>
    <xf numFmtId="0" fontId="7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14"/>
  <sheetViews>
    <sheetView workbookViewId="0">
      <pane ySplit="1" topLeftCell="A29" activePane="bottomLeft" state="frozen"/>
      <selection pane="bottomLeft" sqref="A1:A1048576"/>
    </sheetView>
  </sheetViews>
  <sheetFormatPr defaultColWidth="14.42578125" defaultRowHeight="15.75" customHeight="1" x14ac:dyDescent="0.2"/>
  <cols>
    <col min="2" max="2" width="19" customWidth="1"/>
    <col min="3" max="3" width="14.28515625" customWidth="1"/>
    <col min="4" max="4" width="11.7109375" customWidth="1"/>
    <col min="5" max="5" width="17.28515625" customWidth="1"/>
    <col min="6" max="6" width="12.5703125" customWidth="1"/>
    <col min="7" max="7" width="13.28515625" customWidth="1"/>
    <col min="8" max="8" width="12.28515625" customWidth="1"/>
    <col min="9" max="9" width="25.7109375" customWidth="1"/>
    <col min="10" max="10" width="13.85546875" customWidth="1"/>
    <col min="11" max="15" width="15.140625" customWidth="1"/>
    <col min="16" max="16" width="16.140625" customWidth="1"/>
    <col min="17" max="17" width="17.7109375" customWidth="1"/>
  </cols>
  <sheetData>
    <row r="1" spans="1:30" ht="15.7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2" t="s">
        <v>15</v>
      </c>
      <c r="Q1" s="2" t="s">
        <v>16</v>
      </c>
      <c r="R1" s="1" t="s">
        <v>17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5.75" customHeight="1" x14ac:dyDescent="0.2">
      <c r="A2" s="6">
        <v>40179</v>
      </c>
      <c r="B2" s="7">
        <v>0</v>
      </c>
      <c r="C2" s="8">
        <v>19500000</v>
      </c>
      <c r="D2" s="9">
        <v>0</v>
      </c>
      <c r="E2" s="10">
        <f t="shared" ref="E2:E71" si="0">C2-D2</f>
        <v>19500000</v>
      </c>
      <c r="F2" s="11">
        <v>19500000</v>
      </c>
      <c r="G2" s="11">
        <v>19884459</v>
      </c>
      <c r="H2" s="11">
        <v>11875</v>
      </c>
      <c r="I2" s="11">
        <v>19872584</v>
      </c>
      <c r="J2" s="12">
        <f t="shared" ref="J2:J74" si="1">I2-F2</f>
        <v>372584</v>
      </c>
      <c r="K2" s="13">
        <f t="shared" ref="K2:K74" si="2">J2/F2</f>
        <v>1.9106871794871794E-2</v>
      </c>
      <c r="L2" s="14">
        <f>F2</f>
        <v>19500000</v>
      </c>
      <c r="M2" s="15"/>
      <c r="N2" s="13">
        <f t="shared" ref="N2:N74" si="3">K2</f>
        <v>1.9106871794871794E-2</v>
      </c>
      <c r="O2" s="16">
        <f>K2</f>
        <v>1.9106871794871794E-2</v>
      </c>
      <c r="P2" s="17">
        <f>I2-B2</f>
        <v>19872584</v>
      </c>
      <c r="W2" s="5"/>
      <c r="X2" s="5"/>
      <c r="Y2" s="5"/>
      <c r="Z2" s="5"/>
      <c r="AA2" s="5"/>
      <c r="AB2" s="5"/>
      <c r="AC2" s="5"/>
      <c r="AD2" s="5"/>
    </row>
    <row r="3" spans="1:30" ht="15.75" customHeight="1" x14ac:dyDescent="0.2">
      <c r="A3" s="6">
        <v>40211</v>
      </c>
      <c r="B3" s="11">
        <v>19872584</v>
      </c>
      <c r="C3" s="9">
        <v>0</v>
      </c>
      <c r="D3" s="9">
        <v>0</v>
      </c>
      <c r="E3" s="10">
        <f t="shared" si="0"/>
        <v>0</v>
      </c>
      <c r="F3" s="11">
        <v>19872584</v>
      </c>
      <c r="G3" s="11">
        <v>20551222</v>
      </c>
      <c r="H3" s="11">
        <v>11875</v>
      </c>
      <c r="I3" s="11">
        <v>20539347</v>
      </c>
      <c r="J3" s="12">
        <f t="shared" si="1"/>
        <v>666763</v>
      </c>
      <c r="K3" s="13">
        <f t="shared" si="2"/>
        <v>3.3551902460193399E-2</v>
      </c>
      <c r="L3" s="18">
        <f t="shared" ref="L3:L74" si="4">I3-B3</f>
        <v>666763</v>
      </c>
      <c r="M3" s="13">
        <f t="shared" ref="M3:M74" si="5">(I3/B3)-1</f>
        <v>3.355190246019335E-2</v>
      </c>
      <c r="N3" s="13">
        <f t="shared" si="3"/>
        <v>3.3551902460193399E-2</v>
      </c>
      <c r="O3" s="16">
        <f>(1+K2)*(1+K3)-1</f>
        <v>5.3299846153846087E-2</v>
      </c>
      <c r="P3" s="17">
        <f>I3-B2</f>
        <v>20539347</v>
      </c>
      <c r="W3" s="5"/>
      <c r="X3" s="5"/>
      <c r="Y3" s="5"/>
      <c r="Z3" s="5"/>
      <c r="AA3" s="5"/>
      <c r="AB3" s="5"/>
      <c r="AC3" s="5"/>
      <c r="AD3" s="5"/>
    </row>
    <row r="4" spans="1:30" ht="15.75" customHeight="1" x14ac:dyDescent="0.2">
      <c r="A4" s="6">
        <v>40243</v>
      </c>
      <c r="B4" s="11">
        <v>20539347</v>
      </c>
      <c r="C4" s="8">
        <v>5000000</v>
      </c>
      <c r="D4" s="9">
        <v>0</v>
      </c>
      <c r="E4" s="10">
        <f t="shared" si="0"/>
        <v>5000000</v>
      </c>
      <c r="F4" s="11">
        <v>25539347</v>
      </c>
      <c r="G4" s="11">
        <v>26031199</v>
      </c>
      <c r="H4" s="11">
        <v>11875</v>
      </c>
      <c r="I4" s="11">
        <v>26019324</v>
      </c>
      <c r="J4" s="12">
        <f t="shared" si="1"/>
        <v>479977</v>
      </c>
      <c r="K4" s="13">
        <f t="shared" si="2"/>
        <v>1.879362851368126E-2</v>
      </c>
      <c r="L4" s="18">
        <f t="shared" si="4"/>
        <v>5479977</v>
      </c>
      <c r="M4" s="13">
        <f t="shared" si="5"/>
        <v>0.26680385700674902</v>
      </c>
      <c r="N4" s="13">
        <f t="shared" si="3"/>
        <v>1.879362851368126E-2</v>
      </c>
      <c r="O4" s="19">
        <f t="shared" ref="O4:O74" si="6">(1+K2)*(1+K3)*(1+K4)-1</f>
        <v>7.309517217597894E-2</v>
      </c>
      <c r="P4" s="17">
        <f>I4-B2</f>
        <v>26019324</v>
      </c>
      <c r="W4" s="5"/>
      <c r="X4" s="5"/>
      <c r="Y4" s="5"/>
      <c r="Z4" s="5"/>
      <c r="AA4" s="5"/>
      <c r="AB4" s="5"/>
      <c r="AC4" s="5"/>
      <c r="AD4" s="5"/>
    </row>
    <row r="5" spans="1:30" ht="15.75" customHeight="1" x14ac:dyDescent="0.2">
      <c r="A5" s="6">
        <v>40275</v>
      </c>
      <c r="B5" s="11">
        <v>26019324</v>
      </c>
      <c r="C5" s="20">
        <v>0</v>
      </c>
      <c r="D5" s="9">
        <v>0</v>
      </c>
      <c r="E5" s="10">
        <f t="shared" si="0"/>
        <v>0</v>
      </c>
      <c r="F5" s="11">
        <v>26019324</v>
      </c>
      <c r="G5" s="11">
        <v>26597821</v>
      </c>
      <c r="H5" s="11">
        <v>6024</v>
      </c>
      <c r="I5" s="11">
        <v>26591797</v>
      </c>
      <c r="J5" s="12">
        <f t="shared" si="1"/>
        <v>572473</v>
      </c>
      <c r="K5" s="13">
        <f t="shared" si="2"/>
        <v>2.2001839863326194E-2</v>
      </c>
      <c r="L5" s="18">
        <f t="shared" si="4"/>
        <v>572473</v>
      </c>
      <c r="M5" s="13">
        <f t="shared" si="5"/>
        <v>2.2001839863326156E-2</v>
      </c>
      <c r="N5" s="13">
        <f t="shared" si="3"/>
        <v>2.2001839863326194E-2</v>
      </c>
      <c r="O5" s="13">
        <f t="shared" si="6"/>
        <v>7.614350434195738E-2</v>
      </c>
      <c r="P5" s="17">
        <f>I5-B2</f>
        <v>26591797</v>
      </c>
      <c r="W5" s="5"/>
      <c r="X5" s="5"/>
      <c r="Y5" s="5"/>
      <c r="Z5" s="5"/>
      <c r="AA5" s="5"/>
      <c r="AB5" s="5"/>
      <c r="AC5" s="5"/>
      <c r="AD5" s="5"/>
    </row>
    <row r="6" spans="1:30" ht="15.75" customHeight="1" x14ac:dyDescent="0.2">
      <c r="A6" s="6">
        <v>40307</v>
      </c>
      <c r="B6" s="11">
        <v>26591797</v>
      </c>
      <c r="C6" s="8">
        <v>250000</v>
      </c>
      <c r="D6" s="9">
        <v>0</v>
      </c>
      <c r="E6" s="10">
        <f t="shared" si="0"/>
        <v>250000</v>
      </c>
      <c r="F6" s="11">
        <v>26841797</v>
      </c>
      <c r="G6" s="11">
        <v>27377826</v>
      </c>
      <c r="H6" s="11">
        <v>6337</v>
      </c>
      <c r="I6" s="11">
        <v>27371489</v>
      </c>
      <c r="J6" s="12">
        <f t="shared" si="1"/>
        <v>529692</v>
      </c>
      <c r="K6" s="13">
        <f t="shared" si="2"/>
        <v>1.9733850159138006E-2</v>
      </c>
      <c r="L6" s="18">
        <f t="shared" si="4"/>
        <v>779692</v>
      </c>
      <c r="M6" s="13">
        <f t="shared" si="5"/>
        <v>2.9320771364191645E-2</v>
      </c>
      <c r="N6" s="13">
        <f t="shared" si="3"/>
        <v>1.9733850159138006E-2</v>
      </c>
      <c r="O6" s="13">
        <f t="shared" si="6"/>
        <v>6.1756024437908064E-2</v>
      </c>
      <c r="P6" s="17">
        <f>I6-B2</f>
        <v>27371489</v>
      </c>
      <c r="W6" s="5"/>
      <c r="X6" s="5"/>
      <c r="Y6" s="5"/>
      <c r="Z6" s="5"/>
      <c r="AA6" s="5"/>
      <c r="AB6" s="5"/>
      <c r="AC6" s="5"/>
      <c r="AD6" s="5"/>
    </row>
    <row r="7" spans="1:30" ht="15.75" customHeight="1" x14ac:dyDescent="0.2">
      <c r="A7" s="6">
        <v>40339</v>
      </c>
      <c r="B7" s="11">
        <v>27371489</v>
      </c>
      <c r="C7" s="9">
        <v>0</v>
      </c>
      <c r="D7" s="9">
        <v>0</v>
      </c>
      <c r="E7" s="10">
        <f t="shared" si="0"/>
        <v>0</v>
      </c>
      <c r="F7" s="11">
        <v>27371489</v>
      </c>
      <c r="G7" s="11">
        <v>28200234</v>
      </c>
      <c r="H7" s="11">
        <v>6337</v>
      </c>
      <c r="I7" s="11">
        <v>28193897</v>
      </c>
      <c r="J7" s="12">
        <f t="shared" si="1"/>
        <v>822408</v>
      </c>
      <c r="K7" s="13">
        <f t="shared" si="2"/>
        <v>3.0046154960733047E-2</v>
      </c>
      <c r="L7" s="18">
        <f t="shared" si="4"/>
        <v>822408</v>
      </c>
      <c r="M7" s="13">
        <f t="shared" si="5"/>
        <v>3.0046154960733151E-2</v>
      </c>
      <c r="N7" s="13">
        <f t="shared" si="3"/>
        <v>3.0046154960733047E-2</v>
      </c>
      <c r="O7" s="13">
        <f t="shared" si="6"/>
        <v>7.3483068474033741E-2</v>
      </c>
      <c r="P7" s="17">
        <f>I7-B2</f>
        <v>28193897</v>
      </c>
      <c r="W7" s="5"/>
      <c r="X7" s="5"/>
      <c r="Y7" s="5"/>
      <c r="Z7" s="5"/>
      <c r="AA7" s="5"/>
      <c r="AB7" s="5"/>
      <c r="AC7" s="5"/>
      <c r="AD7" s="5"/>
    </row>
    <row r="8" spans="1:30" ht="15.75" customHeight="1" x14ac:dyDescent="0.2">
      <c r="A8" s="6">
        <v>40371</v>
      </c>
      <c r="B8" s="11">
        <v>28193897</v>
      </c>
      <c r="C8" s="8">
        <v>2500000</v>
      </c>
      <c r="D8" s="9">
        <v>0</v>
      </c>
      <c r="E8" s="10">
        <f t="shared" si="0"/>
        <v>2500000</v>
      </c>
      <c r="F8" s="11">
        <v>30693897</v>
      </c>
      <c r="G8" s="11">
        <v>31296610</v>
      </c>
      <c r="H8" s="11">
        <v>9901</v>
      </c>
      <c r="I8" s="11">
        <v>31286709</v>
      </c>
      <c r="J8" s="12">
        <f t="shared" si="1"/>
        <v>592812</v>
      </c>
      <c r="K8" s="13">
        <f t="shared" si="2"/>
        <v>1.9313676591799341E-2</v>
      </c>
      <c r="L8" s="18">
        <f t="shared" si="4"/>
        <v>3092812</v>
      </c>
      <c r="M8" s="13">
        <f t="shared" si="5"/>
        <v>0.10969792505094267</v>
      </c>
      <c r="N8" s="13">
        <f t="shared" si="3"/>
        <v>1.9313676591799341E-2</v>
      </c>
      <c r="O8" s="13">
        <f t="shared" si="6"/>
        <v>7.0659494538331646E-2</v>
      </c>
      <c r="P8" s="17">
        <f>I8-B2</f>
        <v>31286709</v>
      </c>
      <c r="W8" s="5"/>
      <c r="X8" s="5"/>
      <c r="Y8" s="5"/>
      <c r="Z8" s="5"/>
      <c r="AA8" s="5"/>
      <c r="AB8" s="5"/>
      <c r="AC8" s="5"/>
      <c r="AD8" s="5"/>
    </row>
    <row r="9" spans="1:30" ht="15.75" customHeight="1" x14ac:dyDescent="0.2">
      <c r="A9" s="6">
        <v>40403</v>
      </c>
      <c r="B9" s="11">
        <v>31286709</v>
      </c>
      <c r="C9" s="8">
        <v>250000</v>
      </c>
      <c r="D9" s="9">
        <v>0</v>
      </c>
      <c r="E9" s="10">
        <f t="shared" si="0"/>
        <v>250000</v>
      </c>
      <c r="F9" s="11">
        <v>31536709</v>
      </c>
      <c r="G9" s="11">
        <v>31976870</v>
      </c>
      <c r="H9" s="11">
        <v>10213</v>
      </c>
      <c r="I9" s="11">
        <v>31966657</v>
      </c>
      <c r="J9" s="12">
        <f t="shared" si="1"/>
        <v>429948</v>
      </c>
      <c r="K9" s="13">
        <f t="shared" si="2"/>
        <v>1.3633255137687322E-2</v>
      </c>
      <c r="L9" s="18">
        <f t="shared" si="4"/>
        <v>679948</v>
      </c>
      <c r="M9" s="13">
        <f t="shared" si="5"/>
        <v>2.1732806732724708E-2</v>
      </c>
      <c r="N9" s="13">
        <f t="shared" si="3"/>
        <v>1.3633255137687322E-2</v>
      </c>
      <c r="O9" s="13">
        <f t="shared" si="6"/>
        <v>6.4254234988469827E-2</v>
      </c>
      <c r="P9" s="17">
        <f>I9-B2</f>
        <v>31966657</v>
      </c>
      <c r="W9" s="5"/>
      <c r="X9" s="5"/>
      <c r="Y9" s="5"/>
      <c r="Z9" s="5"/>
      <c r="AA9" s="5"/>
      <c r="AB9" s="5"/>
      <c r="AC9" s="5"/>
      <c r="AD9" s="5"/>
    </row>
    <row r="10" spans="1:30" ht="15.75" customHeight="1" x14ac:dyDescent="0.2">
      <c r="A10" s="6">
        <v>40435</v>
      </c>
      <c r="B10" s="11">
        <v>31966657</v>
      </c>
      <c r="C10" s="8">
        <v>10550000</v>
      </c>
      <c r="D10" s="8">
        <v>11607209</v>
      </c>
      <c r="E10" s="10">
        <f t="shared" si="0"/>
        <v>-1057209</v>
      </c>
      <c r="F10" s="11">
        <v>30909448</v>
      </c>
      <c r="G10" s="11">
        <v>31603026</v>
      </c>
      <c r="H10" s="11">
        <v>23401</v>
      </c>
      <c r="I10" s="11">
        <v>31579625</v>
      </c>
      <c r="J10" s="12">
        <f t="shared" si="1"/>
        <v>670177</v>
      </c>
      <c r="K10" s="13">
        <f t="shared" si="2"/>
        <v>2.168194656857023E-2</v>
      </c>
      <c r="L10" s="18">
        <f t="shared" si="4"/>
        <v>-387032</v>
      </c>
      <c r="M10" s="13">
        <f t="shared" si="5"/>
        <v>-1.2107365496492162E-2</v>
      </c>
      <c r="N10" s="13">
        <f t="shared" si="3"/>
        <v>2.168194656857023E-2</v>
      </c>
      <c r="O10" s="13">
        <f t="shared" si="6"/>
        <v>5.5612249228108368E-2</v>
      </c>
      <c r="P10" s="17">
        <f>I10-B2</f>
        <v>31579625</v>
      </c>
      <c r="W10" s="5"/>
      <c r="X10" s="5"/>
      <c r="Y10" s="5"/>
      <c r="Z10" s="5"/>
      <c r="AA10" s="5"/>
      <c r="AB10" s="5"/>
      <c r="AC10" s="5"/>
      <c r="AD10" s="5"/>
    </row>
    <row r="11" spans="1:30" ht="15.75" customHeight="1" x14ac:dyDescent="0.2">
      <c r="A11" s="6">
        <v>40467</v>
      </c>
      <c r="B11" s="11">
        <v>31579625</v>
      </c>
      <c r="C11" s="8">
        <v>3100000</v>
      </c>
      <c r="D11" s="9">
        <v>0</v>
      </c>
      <c r="E11" s="10">
        <f t="shared" si="0"/>
        <v>3100000</v>
      </c>
      <c r="F11" s="11">
        <v>34679625</v>
      </c>
      <c r="G11" s="11">
        <v>35635844</v>
      </c>
      <c r="H11" s="11">
        <v>28093</v>
      </c>
      <c r="I11" s="11">
        <v>35607751</v>
      </c>
      <c r="J11" s="12">
        <f t="shared" si="1"/>
        <v>928126</v>
      </c>
      <c r="K11" s="13">
        <f t="shared" si="2"/>
        <v>2.6762861478461776E-2</v>
      </c>
      <c r="L11" s="18">
        <f t="shared" si="4"/>
        <v>4028126</v>
      </c>
      <c r="M11" s="13">
        <f t="shared" si="5"/>
        <v>0.127554586224504</v>
      </c>
      <c r="N11" s="13">
        <f t="shared" si="3"/>
        <v>2.6762861478461776E-2</v>
      </c>
      <c r="O11" s="13">
        <f t="shared" si="6"/>
        <v>6.3326705527192217E-2</v>
      </c>
      <c r="P11" s="17">
        <f>I11-B2</f>
        <v>35607751</v>
      </c>
      <c r="W11" s="5"/>
      <c r="X11" s="5"/>
      <c r="Y11" s="5"/>
      <c r="Z11" s="5"/>
      <c r="AA11" s="5"/>
      <c r="AB11" s="5"/>
      <c r="AC11" s="5"/>
      <c r="AD11" s="5"/>
    </row>
    <row r="12" spans="1:30" ht="15.75" customHeight="1" x14ac:dyDescent="0.2">
      <c r="A12" s="6">
        <v>40499</v>
      </c>
      <c r="B12" s="11">
        <v>35607751</v>
      </c>
      <c r="C12" s="8">
        <v>1500000</v>
      </c>
      <c r="D12" s="9">
        <v>0</v>
      </c>
      <c r="E12" s="10">
        <f t="shared" si="0"/>
        <v>1500000</v>
      </c>
      <c r="F12" s="11">
        <v>37107751</v>
      </c>
      <c r="G12" s="11">
        <v>38240645</v>
      </c>
      <c r="H12" s="11">
        <v>29968</v>
      </c>
      <c r="I12" s="11">
        <v>38210677</v>
      </c>
      <c r="J12" s="12">
        <f t="shared" si="1"/>
        <v>1102926</v>
      </c>
      <c r="K12" s="13">
        <f t="shared" si="2"/>
        <v>2.9722253984080037E-2</v>
      </c>
      <c r="L12" s="18">
        <f t="shared" si="4"/>
        <v>2602926</v>
      </c>
      <c r="M12" s="13">
        <f t="shared" si="5"/>
        <v>7.3099983203095409E-2</v>
      </c>
      <c r="N12" s="13">
        <f t="shared" si="3"/>
        <v>2.9722253984080037E-2</v>
      </c>
      <c r="O12" s="13">
        <f t="shared" si="6"/>
        <v>8.0204468812732355E-2</v>
      </c>
      <c r="P12" s="17">
        <f>I12-B2</f>
        <v>38210677</v>
      </c>
      <c r="W12" s="5"/>
      <c r="X12" s="5"/>
      <c r="Y12" s="5"/>
      <c r="Z12" s="5"/>
      <c r="AA12" s="5"/>
      <c r="AB12" s="5"/>
      <c r="AC12" s="5"/>
      <c r="AD12" s="5"/>
    </row>
    <row r="13" spans="1:30" ht="15.75" customHeight="1" x14ac:dyDescent="0.2">
      <c r="A13" s="6">
        <v>40531</v>
      </c>
      <c r="B13" s="11">
        <v>38210677</v>
      </c>
      <c r="C13" s="9">
        <v>0</v>
      </c>
      <c r="D13" s="9">
        <v>0</v>
      </c>
      <c r="E13" s="10">
        <f t="shared" si="0"/>
        <v>0</v>
      </c>
      <c r="F13" s="11">
        <v>38210677</v>
      </c>
      <c r="G13" s="11">
        <v>38937248</v>
      </c>
      <c r="H13" s="11">
        <v>29968</v>
      </c>
      <c r="I13" s="11">
        <v>38907280</v>
      </c>
      <c r="J13" s="12">
        <f t="shared" si="1"/>
        <v>696603</v>
      </c>
      <c r="K13" s="13">
        <f t="shared" si="2"/>
        <v>1.8230585132003811E-2</v>
      </c>
      <c r="L13" s="18">
        <f t="shared" si="4"/>
        <v>696603</v>
      </c>
      <c r="M13" s="13">
        <f t="shared" si="5"/>
        <v>1.8230585132003707E-2</v>
      </c>
      <c r="N13" s="13">
        <f t="shared" si="3"/>
        <v>1.8230585132003811E-2</v>
      </c>
      <c r="O13" s="13">
        <f t="shared" si="6"/>
        <v>7.6555411432606579E-2</v>
      </c>
      <c r="P13" s="17">
        <f>I13-B2</f>
        <v>38907280</v>
      </c>
      <c r="W13" s="5"/>
      <c r="X13" s="5"/>
      <c r="Y13" s="5"/>
      <c r="Z13" s="5"/>
      <c r="AA13" s="5"/>
      <c r="AB13" s="5"/>
      <c r="AC13" s="5"/>
      <c r="AD13" s="5"/>
    </row>
    <row r="14" spans="1:30" ht="15.75" customHeight="1" x14ac:dyDescent="0.2">
      <c r="A14" s="6">
        <v>40544</v>
      </c>
      <c r="B14" s="11">
        <v>38907280</v>
      </c>
      <c r="C14" s="8">
        <v>8100000</v>
      </c>
      <c r="D14" s="9">
        <v>0</v>
      </c>
      <c r="E14" s="10">
        <f t="shared" si="0"/>
        <v>8100000</v>
      </c>
      <c r="F14" s="11">
        <v>47007280</v>
      </c>
      <c r="G14" s="11">
        <v>48301639.009999998</v>
      </c>
      <c r="H14" s="11">
        <v>41980</v>
      </c>
      <c r="I14" s="11">
        <v>48259659</v>
      </c>
      <c r="J14" s="12">
        <f t="shared" si="1"/>
        <v>1252379</v>
      </c>
      <c r="K14" s="13">
        <f t="shared" si="2"/>
        <v>2.6642234989984529E-2</v>
      </c>
      <c r="L14" s="18">
        <f t="shared" si="4"/>
        <v>9352379</v>
      </c>
      <c r="M14" s="13">
        <f t="shared" si="5"/>
        <v>0.24037606843757775</v>
      </c>
      <c r="N14" s="13">
        <f t="shared" si="3"/>
        <v>2.6642234989984529E-2</v>
      </c>
      <c r="O14" s="13">
        <f t="shared" si="6"/>
        <v>7.6428935199579273E-2</v>
      </c>
      <c r="P14" s="21">
        <f t="shared" ref="P14:P74" si="7">I14-I2</f>
        <v>28387075</v>
      </c>
      <c r="Q14" s="22">
        <f t="shared" ref="Q14:Q74" si="8">P14/I2</f>
        <v>1.4284541456712423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5.75" customHeight="1" x14ac:dyDescent="0.2">
      <c r="A15" s="6">
        <v>40576</v>
      </c>
      <c r="B15" s="11">
        <v>48259659</v>
      </c>
      <c r="C15" s="8">
        <v>2750000</v>
      </c>
      <c r="D15" s="9">
        <v>0</v>
      </c>
      <c r="E15" s="10">
        <f t="shared" si="0"/>
        <v>2750000</v>
      </c>
      <c r="F15" s="11">
        <v>51009659</v>
      </c>
      <c r="G15" s="11">
        <v>52429245.219999999</v>
      </c>
      <c r="H15" s="11">
        <v>45418</v>
      </c>
      <c r="I15" s="11">
        <v>52383827</v>
      </c>
      <c r="J15" s="12">
        <f t="shared" si="1"/>
        <v>1374168</v>
      </c>
      <c r="K15" s="13">
        <f t="shared" si="2"/>
        <v>2.6939368483133753E-2</v>
      </c>
      <c r="L15" s="18">
        <f t="shared" si="4"/>
        <v>4124168</v>
      </c>
      <c r="M15" s="13">
        <f t="shared" si="5"/>
        <v>8.5457876940241206E-2</v>
      </c>
      <c r="N15" s="13">
        <f t="shared" si="3"/>
        <v>2.6939368483133753E-2</v>
      </c>
      <c r="O15" s="13">
        <f t="shared" si="6"/>
        <v>7.3519822120809097E-2</v>
      </c>
      <c r="P15" s="23">
        <f t="shared" si="7"/>
        <v>31844480</v>
      </c>
      <c r="Q15" s="22">
        <f t="shared" si="8"/>
        <v>1.5504134576430302</v>
      </c>
      <c r="W15" s="5"/>
      <c r="X15" s="5"/>
      <c r="Y15" s="5"/>
      <c r="Z15" s="5"/>
      <c r="AA15" s="5"/>
      <c r="AB15" s="5"/>
      <c r="AC15" s="5"/>
      <c r="AD15" s="5"/>
    </row>
    <row r="16" spans="1:30" ht="15.75" customHeight="1" x14ac:dyDescent="0.2">
      <c r="A16" s="6">
        <v>40608</v>
      </c>
      <c r="B16" s="11">
        <v>52383827</v>
      </c>
      <c r="C16" s="8">
        <v>1300000</v>
      </c>
      <c r="D16" s="9">
        <v>0</v>
      </c>
      <c r="E16" s="10">
        <f t="shared" si="0"/>
        <v>1300000</v>
      </c>
      <c r="F16" s="11">
        <v>53683827</v>
      </c>
      <c r="G16" s="11">
        <v>55548649.270000003</v>
      </c>
      <c r="H16" s="11">
        <v>47043</v>
      </c>
      <c r="I16" s="11">
        <v>55501606</v>
      </c>
      <c r="J16" s="12">
        <f t="shared" si="1"/>
        <v>1817779</v>
      </c>
      <c r="K16" s="13">
        <f t="shared" si="2"/>
        <v>3.3860831121447436E-2</v>
      </c>
      <c r="L16" s="18">
        <f t="shared" si="4"/>
        <v>3117779</v>
      </c>
      <c r="M16" s="13">
        <f t="shared" si="5"/>
        <v>5.9517969162504958E-2</v>
      </c>
      <c r="N16" s="13">
        <f t="shared" si="3"/>
        <v>3.3860831121447436E-2</v>
      </c>
      <c r="O16" s="13">
        <f t="shared" si="6"/>
        <v>8.9998779971124376E-2</v>
      </c>
      <c r="P16" s="23">
        <f t="shared" si="7"/>
        <v>29482282</v>
      </c>
      <c r="Q16" s="22">
        <f t="shared" si="8"/>
        <v>1.1330917744058224</v>
      </c>
      <c r="W16" s="5"/>
      <c r="X16" s="5"/>
      <c r="Y16" s="5"/>
      <c r="Z16" s="5"/>
      <c r="AA16" s="5"/>
      <c r="AB16" s="5"/>
      <c r="AC16" s="5"/>
      <c r="AD16" s="5"/>
    </row>
    <row r="17" spans="1:30" ht="15.75" customHeight="1" x14ac:dyDescent="0.2">
      <c r="A17" s="6">
        <v>40640</v>
      </c>
      <c r="B17" s="11">
        <v>55501606</v>
      </c>
      <c r="C17" s="8">
        <v>1100000</v>
      </c>
      <c r="D17" s="8">
        <v>1100000</v>
      </c>
      <c r="E17" s="10">
        <f t="shared" si="0"/>
        <v>0</v>
      </c>
      <c r="F17" s="11">
        <v>55501606</v>
      </c>
      <c r="G17" s="11">
        <v>57519778.950000003</v>
      </c>
      <c r="H17" s="11">
        <v>52291</v>
      </c>
      <c r="I17" s="11">
        <v>57467488</v>
      </c>
      <c r="J17" s="12">
        <f t="shared" si="1"/>
        <v>1965882</v>
      </c>
      <c r="K17" s="13">
        <f t="shared" si="2"/>
        <v>3.5420272343110216E-2</v>
      </c>
      <c r="L17" s="18">
        <f t="shared" si="4"/>
        <v>1965882</v>
      </c>
      <c r="M17" s="13">
        <f t="shared" si="5"/>
        <v>3.5420272343110293E-2</v>
      </c>
      <c r="N17" s="13">
        <f t="shared" si="3"/>
        <v>3.5420272343110216E-2</v>
      </c>
      <c r="O17" s="13">
        <f t="shared" si="6"/>
        <v>9.9318530980141873E-2</v>
      </c>
      <c r="P17" s="23">
        <f t="shared" si="7"/>
        <v>30875691</v>
      </c>
      <c r="Q17" s="22">
        <f t="shared" si="8"/>
        <v>1.1610983266757038</v>
      </c>
      <c r="W17" s="5"/>
      <c r="X17" s="5"/>
      <c r="Y17" s="5"/>
      <c r="Z17" s="5"/>
      <c r="AA17" s="5"/>
      <c r="AB17" s="5"/>
      <c r="AC17" s="5"/>
      <c r="AD17" s="5"/>
    </row>
    <row r="18" spans="1:30" ht="15.75" customHeight="1" x14ac:dyDescent="0.2">
      <c r="A18" s="6">
        <v>40672</v>
      </c>
      <c r="B18" s="11">
        <v>57467488</v>
      </c>
      <c r="C18" s="8">
        <v>11650000</v>
      </c>
      <c r="D18" s="8">
        <v>1000000</v>
      </c>
      <c r="E18" s="10">
        <f t="shared" si="0"/>
        <v>10650000</v>
      </c>
      <c r="F18" s="11">
        <v>68117488</v>
      </c>
      <c r="G18" s="11">
        <v>70679186.049999997</v>
      </c>
      <c r="H18" s="11">
        <v>66603</v>
      </c>
      <c r="I18" s="11">
        <v>70612583</v>
      </c>
      <c r="J18" s="12">
        <f t="shared" si="1"/>
        <v>2495095</v>
      </c>
      <c r="K18" s="13">
        <f t="shared" si="2"/>
        <v>3.6629286740579747E-2</v>
      </c>
      <c r="L18" s="18">
        <f t="shared" si="4"/>
        <v>13145095</v>
      </c>
      <c r="M18" s="13">
        <f t="shared" si="5"/>
        <v>0.22873968321009608</v>
      </c>
      <c r="N18" s="13">
        <f t="shared" si="3"/>
        <v>3.6629286740579747E-2</v>
      </c>
      <c r="O18" s="13">
        <f t="shared" si="6"/>
        <v>0.1096913991659505</v>
      </c>
      <c r="P18" s="23">
        <f t="shared" si="7"/>
        <v>43241094</v>
      </c>
      <c r="Q18" s="22">
        <f t="shared" si="8"/>
        <v>1.5797859590320424</v>
      </c>
      <c r="W18" s="5"/>
      <c r="X18" s="5"/>
      <c r="Y18" s="5"/>
      <c r="Z18" s="5"/>
      <c r="AA18" s="5"/>
      <c r="AB18" s="5"/>
      <c r="AC18" s="5"/>
      <c r="AD18" s="5"/>
    </row>
    <row r="19" spans="1:30" ht="15.75" customHeight="1" x14ac:dyDescent="0.2">
      <c r="A19" s="6">
        <v>40704</v>
      </c>
      <c r="B19" s="11">
        <v>70612583</v>
      </c>
      <c r="C19" s="8">
        <v>1250000</v>
      </c>
      <c r="D19" s="20">
        <v>0</v>
      </c>
      <c r="E19" s="10">
        <f t="shared" si="0"/>
        <v>1250000</v>
      </c>
      <c r="F19" s="11">
        <v>71862583</v>
      </c>
      <c r="G19" s="11">
        <v>74083601.769999996</v>
      </c>
      <c r="H19" s="11">
        <v>68166</v>
      </c>
      <c r="I19" s="11">
        <v>74015436</v>
      </c>
      <c r="J19" s="12">
        <f t="shared" si="1"/>
        <v>2152853</v>
      </c>
      <c r="K19" s="13">
        <f t="shared" si="2"/>
        <v>2.9957912868230744E-2</v>
      </c>
      <c r="L19" s="18">
        <f t="shared" si="4"/>
        <v>3402853</v>
      </c>
      <c r="M19" s="13">
        <f t="shared" si="5"/>
        <v>4.8190462031391768E-2</v>
      </c>
      <c r="N19" s="13">
        <f t="shared" si="3"/>
        <v>2.9957912868230744E-2</v>
      </c>
      <c r="O19" s="13">
        <f t="shared" si="6"/>
        <v>0.10550221365193457</v>
      </c>
      <c r="P19" s="23">
        <f t="shared" si="7"/>
        <v>45821539</v>
      </c>
      <c r="Q19" s="22">
        <f t="shared" si="8"/>
        <v>1.6252289990276974</v>
      </c>
      <c r="W19" s="5"/>
      <c r="X19" s="5"/>
      <c r="Y19" s="5"/>
      <c r="Z19" s="5"/>
      <c r="AA19" s="5"/>
      <c r="AB19" s="5"/>
      <c r="AC19" s="5"/>
      <c r="AD19" s="5"/>
    </row>
    <row r="20" spans="1:30" ht="15.75" customHeight="1" x14ac:dyDescent="0.2">
      <c r="A20" s="6">
        <v>40736</v>
      </c>
      <c r="B20" s="11">
        <v>74015436</v>
      </c>
      <c r="C20" s="8">
        <v>9800000</v>
      </c>
      <c r="D20" s="20">
        <v>0</v>
      </c>
      <c r="E20" s="10">
        <f t="shared" si="0"/>
        <v>9800000</v>
      </c>
      <c r="F20" s="11">
        <v>83815436</v>
      </c>
      <c r="G20" s="11">
        <v>85582587.670000002</v>
      </c>
      <c r="H20" s="11">
        <v>86898</v>
      </c>
      <c r="I20" s="11">
        <v>85495690</v>
      </c>
      <c r="J20" s="12">
        <f t="shared" si="1"/>
        <v>1680254</v>
      </c>
      <c r="K20" s="13">
        <f t="shared" si="2"/>
        <v>2.0047071043095211E-2</v>
      </c>
      <c r="L20" s="18">
        <f t="shared" si="4"/>
        <v>11480254</v>
      </c>
      <c r="M20" s="13">
        <f t="shared" si="5"/>
        <v>0.15510621324989571</v>
      </c>
      <c r="N20" s="13">
        <f t="shared" si="3"/>
        <v>2.0047071043095211E-2</v>
      </c>
      <c r="O20" s="13">
        <f t="shared" si="6"/>
        <v>8.9088484346032226E-2</v>
      </c>
      <c r="P20" s="23">
        <f t="shared" si="7"/>
        <v>54208981</v>
      </c>
      <c r="Q20" s="22">
        <f t="shared" si="8"/>
        <v>1.7326520664094136</v>
      </c>
      <c r="W20" s="5"/>
      <c r="X20" s="5"/>
      <c r="Y20" s="5"/>
      <c r="Z20" s="5"/>
      <c r="AA20" s="5"/>
      <c r="AB20" s="5"/>
      <c r="AC20" s="5"/>
      <c r="AD20" s="5"/>
    </row>
    <row r="21" spans="1:30" ht="15.75" customHeight="1" x14ac:dyDescent="0.2">
      <c r="A21" s="6">
        <v>40768</v>
      </c>
      <c r="B21" s="11">
        <v>85495690</v>
      </c>
      <c r="C21" s="8">
        <v>7475000</v>
      </c>
      <c r="D21" s="20">
        <v>0</v>
      </c>
      <c r="E21" s="10">
        <f t="shared" si="0"/>
        <v>7475000</v>
      </c>
      <c r="F21" s="11">
        <v>92970690</v>
      </c>
      <c r="G21" s="11">
        <v>93984687.959999993</v>
      </c>
      <c r="H21" s="11">
        <v>96241</v>
      </c>
      <c r="I21" s="11">
        <v>93888446</v>
      </c>
      <c r="J21" s="12">
        <f t="shared" si="1"/>
        <v>917756</v>
      </c>
      <c r="K21" s="13">
        <f t="shared" si="2"/>
        <v>9.8714551865754681E-3</v>
      </c>
      <c r="L21" s="18">
        <f t="shared" si="4"/>
        <v>8392756</v>
      </c>
      <c r="M21" s="13">
        <f t="shared" si="5"/>
        <v>9.8165837365602915E-2</v>
      </c>
      <c r="N21" s="13">
        <f t="shared" si="3"/>
        <v>9.8714551865754681E-3</v>
      </c>
      <c r="O21" s="13">
        <f t="shared" si="6"/>
        <v>6.0976557947381549E-2</v>
      </c>
      <c r="P21" s="23">
        <f t="shared" si="7"/>
        <v>61921789</v>
      </c>
      <c r="Q21" s="22">
        <f t="shared" si="8"/>
        <v>1.9370742771131808</v>
      </c>
      <c r="W21" s="5"/>
      <c r="X21" s="5"/>
      <c r="Y21" s="5"/>
      <c r="Z21" s="5"/>
      <c r="AA21" s="5"/>
      <c r="AB21" s="5"/>
      <c r="AC21" s="5"/>
      <c r="AD21" s="5"/>
    </row>
    <row r="22" spans="1:30" ht="15.75" customHeight="1" x14ac:dyDescent="0.2">
      <c r="A22" s="6">
        <v>40800</v>
      </c>
      <c r="B22" s="11">
        <v>93888446</v>
      </c>
      <c r="C22" s="8">
        <v>10490000</v>
      </c>
      <c r="D22" s="20">
        <v>0</v>
      </c>
      <c r="E22" s="10">
        <f t="shared" si="0"/>
        <v>10490000</v>
      </c>
      <c r="F22" s="11">
        <v>104378446</v>
      </c>
      <c r="G22" s="11">
        <v>102993091.08</v>
      </c>
      <c r="H22" s="11">
        <v>109354</v>
      </c>
      <c r="I22" s="11">
        <v>102883737</v>
      </c>
      <c r="J22" s="12">
        <f t="shared" si="1"/>
        <v>-1494709</v>
      </c>
      <c r="K22" s="13">
        <f t="shared" si="2"/>
        <v>-1.4320092483461576E-2</v>
      </c>
      <c r="L22" s="18">
        <f t="shared" si="4"/>
        <v>8995291</v>
      </c>
      <c r="M22" s="13">
        <f t="shared" si="5"/>
        <v>9.5808285079082012E-2</v>
      </c>
      <c r="N22" s="13">
        <f t="shared" si="3"/>
        <v>-1.4320092483461576E-2</v>
      </c>
      <c r="O22" s="13">
        <f t="shared" si="6"/>
        <v>1.5365057590061015E-2</v>
      </c>
      <c r="P22" s="23">
        <f t="shared" si="7"/>
        <v>71304112</v>
      </c>
      <c r="Q22" s="22">
        <f t="shared" si="8"/>
        <v>2.2579150955719074</v>
      </c>
      <c r="W22" s="5"/>
      <c r="X22" s="5"/>
      <c r="Y22" s="5"/>
      <c r="Z22" s="5"/>
      <c r="AA22" s="5"/>
      <c r="AB22" s="5"/>
      <c r="AC22" s="5"/>
      <c r="AD22" s="5"/>
    </row>
    <row r="23" spans="1:30" ht="15.75" customHeight="1" x14ac:dyDescent="0.2">
      <c r="A23" s="6">
        <v>40832</v>
      </c>
      <c r="B23" s="11">
        <v>102883737</v>
      </c>
      <c r="C23" s="8">
        <v>800000</v>
      </c>
      <c r="D23" s="8">
        <v>500000</v>
      </c>
      <c r="E23" s="10">
        <f t="shared" si="0"/>
        <v>300000</v>
      </c>
      <c r="F23" s="11">
        <v>103183737</v>
      </c>
      <c r="G23" s="11">
        <v>104103552.84999999</v>
      </c>
      <c r="H23" s="11">
        <v>111402</v>
      </c>
      <c r="I23" s="11">
        <v>103992151</v>
      </c>
      <c r="J23" s="12">
        <f t="shared" si="1"/>
        <v>808414</v>
      </c>
      <c r="K23" s="13">
        <f t="shared" si="2"/>
        <v>7.8347036413306103E-3</v>
      </c>
      <c r="L23" s="18">
        <f t="shared" si="4"/>
        <v>1108414</v>
      </c>
      <c r="M23" s="13">
        <f t="shared" si="5"/>
        <v>1.077346169881066E-2</v>
      </c>
      <c r="N23" s="13">
        <f t="shared" si="3"/>
        <v>7.8347036413306103E-3</v>
      </c>
      <c r="O23" s="13">
        <f t="shared" si="6"/>
        <v>3.2087449235060905E-3</v>
      </c>
      <c r="P23" s="23">
        <f t="shared" si="7"/>
        <v>68384400</v>
      </c>
      <c r="Q23" s="22">
        <f t="shared" si="8"/>
        <v>1.9204919737840225</v>
      </c>
      <c r="W23" s="5"/>
      <c r="X23" s="5"/>
      <c r="Y23" s="5"/>
      <c r="Z23" s="5"/>
      <c r="AA23" s="5"/>
      <c r="AB23" s="5"/>
      <c r="AC23" s="5"/>
      <c r="AD23" s="5"/>
    </row>
    <row r="24" spans="1:30" ht="15.75" customHeight="1" x14ac:dyDescent="0.2">
      <c r="A24" s="6">
        <v>40864</v>
      </c>
      <c r="B24" s="11">
        <v>103992151</v>
      </c>
      <c r="C24" s="8">
        <v>1200000</v>
      </c>
      <c r="D24" s="20">
        <v>0</v>
      </c>
      <c r="E24" s="10">
        <f t="shared" si="0"/>
        <v>1200000</v>
      </c>
      <c r="F24" s="11">
        <v>105192151</v>
      </c>
      <c r="G24" s="11">
        <v>104310217.84</v>
      </c>
      <c r="H24" s="11">
        <v>112902</v>
      </c>
      <c r="I24" s="11">
        <v>104197316</v>
      </c>
      <c r="J24" s="12">
        <f t="shared" si="1"/>
        <v>-994835</v>
      </c>
      <c r="K24" s="13">
        <f t="shared" si="2"/>
        <v>-9.4573120764495054E-3</v>
      </c>
      <c r="L24" s="18">
        <f t="shared" si="4"/>
        <v>205165</v>
      </c>
      <c r="M24" s="13">
        <f t="shared" si="5"/>
        <v>1.9728892808457132E-3</v>
      </c>
      <c r="N24" s="13">
        <f t="shared" si="3"/>
        <v>-9.4573120764495054E-3</v>
      </c>
      <c r="O24" s="13">
        <f t="shared" si="6"/>
        <v>-1.599249920243595E-2</v>
      </c>
      <c r="P24" s="23">
        <f t="shared" si="7"/>
        <v>65986639</v>
      </c>
      <c r="Q24" s="22">
        <f t="shared" si="8"/>
        <v>1.7269162490892271</v>
      </c>
      <c r="W24" s="5"/>
      <c r="X24" s="5"/>
      <c r="Y24" s="5"/>
      <c r="Z24" s="5"/>
      <c r="AA24" s="5"/>
      <c r="AB24" s="5"/>
      <c r="AC24" s="5"/>
      <c r="AD24" s="5"/>
    </row>
    <row r="25" spans="1:30" ht="15.75" customHeight="1" x14ac:dyDescent="0.2">
      <c r="A25" s="6">
        <v>40896</v>
      </c>
      <c r="B25" s="11">
        <v>104197316</v>
      </c>
      <c r="C25" s="20">
        <v>0</v>
      </c>
      <c r="D25" s="20">
        <v>0</v>
      </c>
      <c r="E25" s="10">
        <f t="shared" si="0"/>
        <v>0</v>
      </c>
      <c r="F25" s="11">
        <v>104197316</v>
      </c>
      <c r="G25" s="11">
        <v>106126574.18000001</v>
      </c>
      <c r="H25" s="11">
        <v>112902</v>
      </c>
      <c r="I25" s="11">
        <v>106013672</v>
      </c>
      <c r="J25" s="12">
        <f t="shared" si="1"/>
        <v>1816356</v>
      </c>
      <c r="K25" s="13">
        <f t="shared" si="2"/>
        <v>1.7431888552676349E-2</v>
      </c>
      <c r="L25" s="18">
        <f t="shared" si="4"/>
        <v>1816356</v>
      </c>
      <c r="M25" s="13">
        <f t="shared" si="5"/>
        <v>1.74318885526763E-2</v>
      </c>
      <c r="N25" s="13">
        <f t="shared" si="3"/>
        <v>1.7431888552676349E-2</v>
      </c>
      <c r="O25" s="13">
        <f t="shared" si="6"/>
        <v>1.5705608130869297E-2</v>
      </c>
      <c r="P25" s="23">
        <f t="shared" si="7"/>
        <v>67106392</v>
      </c>
      <c r="Q25" s="22">
        <f t="shared" si="8"/>
        <v>1.7247772653344053</v>
      </c>
      <c r="W25" s="5"/>
      <c r="X25" s="5"/>
      <c r="Y25" s="5"/>
      <c r="Z25" s="5"/>
      <c r="AA25" s="5"/>
      <c r="AB25" s="5"/>
      <c r="AC25" s="5"/>
      <c r="AD25" s="5"/>
    </row>
    <row r="26" spans="1:30" ht="15.75" customHeight="1" x14ac:dyDescent="0.2">
      <c r="A26" s="6">
        <v>40909</v>
      </c>
      <c r="B26" s="11">
        <v>106013672</v>
      </c>
      <c r="C26" s="8">
        <v>6000000</v>
      </c>
      <c r="D26" s="8">
        <v>3000000</v>
      </c>
      <c r="E26" s="10">
        <f t="shared" si="0"/>
        <v>3000000</v>
      </c>
      <c r="F26" s="11">
        <v>109013672</v>
      </c>
      <c r="G26" s="11">
        <v>110605746.06999999</v>
      </c>
      <c r="H26" s="11">
        <v>123086.73</v>
      </c>
      <c r="I26" s="11">
        <v>110482659</v>
      </c>
      <c r="J26" s="12">
        <f t="shared" si="1"/>
        <v>1468987</v>
      </c>
      <c r="K26" s="13">
        <f t="shared" si="2"/>
        <v>1.3475254736855392E-2</v>
      </c>
      <c r="L26" s="18">
        <f t="shared" si="4"/>
        <v>4468987</v>
      </c>
      <c r="M26" s="13">
        <f t="shared" si="5"/>
        <v>4.2154817540892342E-2</v>
      </c>
      <c r="N26" s="13">
        <f t="shared" si="3"/>
        <v>1.3475254736855392E-2</v>
      </c>
      <c r="O26" s="13">
        <f t="shared" si="6"/>
        <v>2.1390210337931315E-2</v>
      </c>
      <c r="P26" s="23">
        <f t="shared" si="7"/>
        <v>62223000</v>
      </c>
      <c r="Q26" s="22">
        <f t="shared" si="8"/>
        <v>1.2893377468746723</v>
      </c>
      <c r="W26" s="5"/>
      <c r="X26" s="5"/>
      <c r="Y26" s="5"/>
      <c r="Z26" s="5"/>
      <c r="AA26" s="5"/>
      <c r="AB26" s="5"/>
      <c r="AC26" s="5"/>
      <c r="AD26" s="5"/>
    </row>
    <row r="27" spans="1:30" ht="15.75" customHeight="1" x14ac:dyDescent="0.2">
      <c r="A27" s="6">
        <v>40941</v>
      </c>
      <c r="B27" s="11">
        <v>110482659</v>
      </c>
      <c r="C27" s="8">
        <v>38050000</v>
      </c>
      <c r="D27" s="8">
        <v>1217350</v>
      </c>
      <c r="E27" s="10">
        <f t="shared" si="0"/>
        <v>36832650</v>
      </c>
      <c r="F27" s="11">
        <v>147315310</v>
      </c>
      <c r="G27" s="11">
        <v>148816873.78999999</v>
      </c>
      <c r="H27" s="11">
        <v>184336.73</v>
      </c>
      <c r="I27" s="11">
        <v>148632537</v>
      </c>
      <c r="J27" s="12">
        <f t="shared" si="1"/>
        <v>1317227</v>
      </c>
      <c r="K27" s="13">
        <f t="shared" si="2"/>
        <v>8.9415485736003952E-3</v>
      </c>
      <c r="L27" s="18">
        <f t="shared" si="4"/>
        <v>38149878</v>
      </c>
      <c r="M27" s="13">
        <f t="shared" si="5"/>
        <v>0.34530195367582528</v>
      </c>
      <c r="N27" s="13">
        <f t="shared" si="3"/>
        <v>8.9415485736003952E-3</v>
      </c>
      <c r="O27" s="13">
        <f t="shared" si="6"/>
        <v>4.0362049086977603E-2</v>
      </c>
      <c r="P27" s="23">
        <f t="shared" si="7"/>
        <v>96248710</v>
      </c>
      <c r="Q27" s="22">
        <f t="shared" si="8"/>
        <v>1.8373745392828973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5.75" customHeight="1" x14ac:dyDescent="0.2">
      <c r="A28" s="6">
        <v>40973</v>
      </c>
      <c r="B28" s="11">
        <v>148632537</v>
      </c>
      <c r="C28" s="8">
        <v>21562000</v>
      </c>
      <c r="D28" s="9">
        <v>0</v>
      </c>
      <c r="E28" s="10">
        <f t="shared" si="0"/>
        <v>21562000</v>
      </c>
      <c r="F28" s="11">
        <v>170194537</v>
      </c>
      <c r="G28" s="11">
        <v>171751606.75999999</v>
      </c>
      <c r="H28" s="11">
        <v>218731.73</v>
      </c>
      <c r="I28" s="11">
        <v>171532875</v>
      </c>
      <c r="J28" s="12">
        <f t="shared" si="1"/>
        <v>1338338</v>
      </c>
      <c r="K28" s="13">
        <f t="shared" si="2"/>
        <v>7.8635779008582405E-3</v>
      </c>
      <c r="L28" s="18">
        <f t="shared" si="4"/>
        <v>22900338</v>
      </c>
      <c r="M28" s="13">
        <f t="shared" si="5"/>
        <v>0.1540735189092548</v>
      </c>
      <c r="N28" s="13">
        <f t="shared" si="3"/>
        <v>7.8635779008582405E-3</v>
      </c>
      <c r="O28" s="13">
        <f t="shared" si="6"/>
        <v>3.057809461491301E-2</v>
      </c>
      <c r="P28" s="23">
        <f t="shared" si="7"/>
        <v>116031269</v>
      </c>
      <c r="Q28" s="22">
        <f t="shared" si="8"/>
        <v>2.0905930001376896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5.75" customHeight="1" x14ac:dyDescent="0.2">
      <c r="A29" s="6">
        <v>41005</v>
      </c>
      <c r="B29" s="11">
        <v>171549562.53999999</v>
      </c>
      <c r="C29" s="8">
        <v>26500000</v>
      </c>
      <c r="D29" s="8">
        <v>1050000</v>
      </c>
      <c r="E29" s="10">
        <f t="shared" si="0"/>
        <v>25450000</v>
      </c>
      <c r="F29" s="11">
        <v>196999563</v>
      </c>
      <c r="G29" s="11">
        <v>202384914.65000001</v>
      </c>
      <c r="H29" s="11">
        <v>252592.85</v>
      </c>
      <c r="I29" s="11">
        <v>202132322</v>
      </c>
      <c r="J29" s="12">
        <f t="shared" si="1"/>
        <v>5132759</v>
      </c>
      <c r="K29" s="13">
        <f t="shared" si="2"/>
        <v>2.6054672009602375E-2</v>
      </c>
      <c r="L29" s="18">
        <f t="shared" si="4"/>
        <v>30582759.460000008</v>
      </c>
      <c r="M29" s="13">
        <f t="shared" si="5"/>
        <v>0.17827360797185987</v>
      </c>
      <c r="N29" s="13">
        <f t="shared" si="3"/>
        <v>2.6054672009602375E-2</v>
      </c>
      <c r="O29" s="13">
        <f t="shared" si="6"/>
        <v>4.3369795076982909E-2</v>
      </c>
      <c r="P29" s="23">
        <f t="shared" si="7"/>
        <v>144664834</v>
      </c>
      <c r="Q29" s="22">
        <f t="shared" si="8"/>
        <v>2.5173335225649676</v>
      </c>
      <c r="W29" s="5"/>
      <c r="X29" s="5"/>
      <c r="Y29" s="5"/>
      <c r="Z29" s="5"/>
      <c r="AA29" s="5"/>
      <c r="AB29" s="5"/>
      <c r="AC29" s="5"/>
      <c r="AD29" s="5"/>
    </row>
    <row r="30" spans="1:30" ht="15.75" customHeight="1" x14ac:dyDescent="0.2">
      <c r="A30" s="6">
        <v>41037</v>
      </c>
      <c r="B30" s="11">
        <v>202133363</v>
      </c>
      <c r="C30" s="8">
        <v>32575000</v>
      </c>
      <c r="D30" s="20">
        <v>0</v>
      </c>
      <c r="E30" s="10">
        <f t="shared" si="0"/>
        <v>32575000</v>
      </c>
      <c r="F30" s="11">
        <v>234708363</v>
      </c>
      <c r="G30" s="11">
        <v>242139324.59</v>
      </c>
      <c r="H30" s="11">
        <v>299051.18</v>
      </c>
      <c r="I30" s="11">
        <v>241840273</v>
      </c>
      <c r="J30" s="12">
        <f t="shared" si="1"/>
        <v>7131910</v>
      </c>
      <c r="K30" s="13">
        <f t="shared" si="2"/>
        <v>3.0386262802233426E-2</v>
      </c>
      <c r="L30" s="18">
        <f t="shared" si="4"/>
        <v>39706910</v>
      </c>
      <c r="M30" s="13">
        <f t="shared" si="5"/>
        <v>0.19643916971786601</v>
      </c>
      <c r="N30" s="13">
        <f t="shared" si="3"/>
        <v>3.0386262802233426E-2</v>
      </c>
      <c r="O30" s="13">
        <f t="shared" si="6"/>
        <v>6.5546270138244322E-2</v>
      </c>
      <c r="P30" s="23">
        <f t="shared" si="7"/>
        <v>171227690</v>
      </c>
      <c r="Q30" s="22">
        <f t="shared" si="8"/>
        <v>2.4248892014047976</v>
      </c>
      <c r="W30" s="5"/>
      <c r="X30" s="5"/>
      <c r="Y30" s="5"/>
      <c r="Z30" s="5"/>
      <c r="AA30" s="5"/>
      <c r="AB30" s="5"/>
      <c r="AC30" s="5"/>
      <c r="AD30" s="5"/>
    </row>
    <row r="31" spans="1:30" ht="15.75" customHeight="1" x14ac:dyDescent="0.2">
      <c r="A31" s="6">
        <v>41069</v>
      </c>
      <c r="B31" s="11">
        <v>241840273</v>
      </c>
      <c r="C31" s="8">
        <v>3000000</v>
      </c>
      <c r="D31" s="20">
        <v>0</v>
      </c>
      <c r="E31" s="10">
        <f t="shared" si="0"/>
        <v>3000000</v>
      </c>
      <c r="F31" s="11">
        <v>244840273</v>
      </c>
      <c r="G31" s="11">
        <v>247732929.05000001</v>
      </c>
      <c r="H31" s="11">
        <v>302801.18</v>
      </c>
      <c r="I31" s="11">
        <v>247430128</v>
      </c>
      <c r="J31" s="12">
        <f t="shared" si="1"/>
        <v>2589855</v>
      </c>
      <c r="K31" s="13">
        <f t="shared" si="2"/>
        <v>1.0577732855248042E-2</v>
      </c>
      <c r="L31" s="18">
        <f t="shared" si="4"/>
        <v>5589855</v>
      </c>
      <c r="M31" s="13">
        <f t="shared" si="5"/>
        <v>2.3113830176663797E-2</v>
      </c>
      <c r="N31" s="13">
        <f t="shared" si="3"/>
        <v>1.0577732855248042E-2</v>
      </c>
      <c r="O31" s="13">
        <f t="shared" si="6"/>
        <v>6.8415763343119274E-2</v>
      </c>
      <c r="P31" s="23">
        <f t="shared" si="7"/>
        <v>173414692</v>
      </c>
      <c r="Q31" s="22">
        <f t="shared" si="8"/>
        <v>2.3429530564408214</v>
      </c>
      <c r="W31" s="5"/>
      <c r="X31" s="5"/>
      <c r="Y31" s="5"/>
      <c r="Z31" s="5"/>
      <c r="AA31" s="5"/>
      <c r="AB31" s="5"/>
      <c r="AC31" s="5"/>
      <c r="AD31" s="5"/>
    </row>
    <row r="32" spans="1:30" ht="15.75" customHeight="1" x14ac:dyDescent="0.2">
      <c r="A32" s="6">
        <v>41101</v>
      </c>
      <c r="B32" s="11">
        <v>247430128</v>
      </c>
      <c r="C32" s="8">
        <v>15453000</v>
      </c>
      <c r="D32" s="8">
        <v>579964</v>
      </c>
      <c r="E32" s="10">
        <f t="shared" si="0"/>
        <v>14873036</v>
      </c>
      <c r="F32" s="11">
        <v>262303164</v>
      </c>
      <c r="G32" s="11">
        <v>272196390.60000002</v>
      </c>
      <c r="H32" s="11">
        <v>343647.2</v>
      </c>
      <c r="I32" s="11">
        <v>271852743</v>
      </c>
      <c r="J32" s="12">
        <f t="shared" si="1"/>
        <v>9549579</v>
      </c>
      <c r="K32" s="13">
        <f t="shared" si="2"/>
        <v>3.6406648148552261E-2</v>
      </c>
      <c r="L32" s="18">
        <f t="shared" si="4"/>
        <v>24422615</v>
      </c>
      <c r="M32" s="13">
        <f t="shared" si="5"/>
        <v>9.8705097869083991E-2</v>
      </c>
      <c r="N32" s="13">
        <f t="shared" si="3"/>
        <v>3.6406648148552261E-2</v>
      </c>
      <c r="O32" s="13">
        <f t="shared" si="6"/>
        <v>7.9195125096761299E-2</v>
      </c>
      <c r="P32" s="23">
        <f t="shared" si="7"/>
        <v>186357053</v>
      </c>
      <c r="Q32" s="22">
        <f t="shared" si="8"/>
        <v>2.179724533482331</v>
      </c>
      <c r="W32" s="5"/>
      <c r="X32" s="5"/>
      <c r="Y32" s="5"/>
      <c r="Z32" s="5"/>
      <c r="AA32" s="5"/>
      <c r="AB32" s="5"/>
      <c r="AC32" s="5"/>
      <c r="AD32" s="5"/>
    </row>
    <row r="33" spans="1:30" ht="15.75" customHeight="1" x14ac:dyDescent="0.2">
      <c r="A33" s="6">
        <v>41133</v>
      </c>
      <c r="B33" s="11">
        <v>271852743</v>
      </c>
      <c r="C33" s="8">
        <v>94925000</v>
      </c>
      <c r="D33" s="20">
        <v>0</v>
      </c>
      <c r="E33" s="10">
        <f t="shared" si="0"/>
        <v>94925000</v>
      </c>
      <c r="F33" s="11">
        <v>366777743</v>
      </c>
      <c r="G33" s="11">
        <v>372101832.68000001</v>
      </c>
      <c r="H33" s="11">
        <v>483855.53</v>
      </c>
      <c r="I33" s="11">
        <v>371617977</v>
      </c>
      <c r="J33" s="12">
        <f t="shared" si="1"/>
        <v>4840234</v>
      </c>
      <c r="K33" s="13">
        <f t="shared" si="2"/>
        <v>1.319664045154452E-2</v>
      </c>
      <c r="L33" s="18">
        <f t="shared" si="4"/>
        <v>99765234</v>
      </c>
      <c r="M33" s="13">
        <f t="shared" si="5"/>
        <v>0.36698262779713797</v>
      </c>
      <c r="N33" s="13">
        <f t="shared" si="3"/>
        <v>1.319664045154452E-2</v>
      </c>
      <c r="O33" s="13">
        <f t="shared" si="6"/>
        <v>6.1191239260136587E-2</v>
      </c>
      <c r="P33" s="23">
        <f t="shared" si="7"/>
        <v>277729531</v>
      </c>
      <c r="Q33" s="22">
        <f t="shared" si="8"/>
        <v>2.9580799643866724</v>
      </c>
      <c r="W33" s="5"/>
      <c r="X33" s="5"/>
      <c r="Y33" s="5"/>
      <c r="Z33" s="5"/>
      <c r="AA33" s="5"/>
      <c r="AB33" s="5"/>
      <c r="AC33" s="5"/>
      <c r="AD33" s="5"/>
    </row>
    <row r="34" spans="1:30" ht="15.75" customHeight="1" x14ac:dyDescent="0.2">
      <c r="A34" s="6">
        <v>41165</v>
      </c>
      <c r="B34" s="11">
        <v>371617977</v>
      </c>
      <c r="C34" s="8">
        <v>13300000</v>
      </c>
      <c r="D34" s="20">
        <v>0</v>
      </c>
      <c r="E34" s="10">
        <f t="shared" si="0"/>
        <v>13300000</v>
      </c>
      <c r="F34" s="11">
        <v>384917977</v>
      </c>
      <c r="G34" s="11">
        <v>384902339.94999999</v>
      </c>
      <c r="H34" s="11">
        <v>502897.2</v>
      </c>
      <c r="I34" s="11">
        <v>384399443</v>
      </c>
      <c r="J34" s="12">
        <f t="shared" si="1"/>
        <v>-518534</v>
      </c>
      <c r="K34" s="13">
        <f t="shared" si="2"/>
        <v>-1.3471285598074315E-3</v>
      </c>
      <c r="L34" s="18">
        <f t="shared" si="4"/>
        <v>12781466</v>
      </c>
      <c r="M34" s="13">
        <f t="shared" si="5"/>
        <v>3.4394100369369296E-2</v>
      </c>
      <c r="N34" s="13">
        <f t="shared" si="3"/>
        <v>-1.3471285598074315E-3</v>
      </c>
      <c r="O34" s="13">
        <f t="shared" si="6"/>
        <v>4.8669136257436962E-2</v>
      </c>
      <c r="P34" s="23">
        <f t="shared" si="7"/>
        <v>281515706</v>
      </c>
      <c r="Q34" s="22">
        <f t="shared" si="8"/>
        <v>2.7362507837365979</v>
      </c>
      <c r="W34" s="5"/>
      <c r="X34" s="5"/>
      <c r="Y34" s="5"/>
      <c r="Z34" s="5"/>
      <c r="AA34" s="5"/>
      <c r="AB34" s="5"/>
      <c r="AC34" s="5"/>
      <c r="AD34" s="5"/>
    </row>
    <row r="35" spans="1:30" ht="15.75" customHeight="1" x14ac:dyDescent="0.2">
      <c r="A35" s="6">
        <v>41197</v>
      </c>
      <c r="B35" s="11">
        <v>384399443</v>
      </c>
      <c r="C35" s="8">
        <v>13025000</v>
      </c>
      <c r="D35" s="8">
        <v>3564127</v>
      </c>
      <c r="E35" s="10">
        <f t="shared" si="0"/>
        <v>9460873</v>
      </c>
      <c r="F35" s="11">
        <v>393860315</v>
      </c>
      <c r="G35" s="11">
        <v>394653030.43000001</v>
      </c>
      <c r="H35" s="11">
        <v>534547.37</v>
      </c>
      <c r="I35" s="11">
        <v>394118483</v>
      </c>
      <c r="J35" s="12">
        <f t="shared" si="1"/>
        <v>258168</v>
      </c>
      <c r="K35" s="13">
        <f t="shared" si="2"/>
        <v>6.5548111898503913E-4</v>
      </c>
      <c r="L35" s="18">
        <f t="shared" si="4"/>
        <v>9719040</v>
      </c>
      <c r="M35" s="13">
        <f t="shared" si="5"/>
        <v>2.5283699487566702E-2</v>
      </c>
      <c r="N35" s="13">
        <f t="shared" si="3"/>
        <v>6.5548111898503913E-4</v>
      </c>
      <c r="O35" s="13">
        <f t="shared" si="6"/>
        <v>1.2494970917928061E-2</v>
      </c>
      <c r="P35" s="23">
        <f t="shared" si="7"/>
        <v>290126332</v>
      </c>
      <c r="Q35" s="22">
        <f t="shared" si="8"/>
        <v>2.7898868252085678</v>
      </c>
      <c r="W35" s="5"/>
      <c r="X35" s="5"/>
      <c r="Y35" s="5"/>
      <c r="Z35" s="5"/>
      <c r="AA35" s="5"/>
      <c r="AB35" s="5"/>
      <c r="AC35" s="5"/>
      <c r="AD35" s="5"/>
    </row>
    <row r="36" spans="1:30" ht="15.75" customHeight="1" x14ac:dyDescent="0.2">
      <c r="A36" s="6">
        <v>41229</v>
      </c>
      <c r="B36" s="11">
        <v>394118483</v>
      </c>
      <c r="C36" s="8">
        <v>3500000</v>
      </c>
      <c r="D36" s="20">
        <v>0</v>
      </c>
      <c r="E36" s="10">
        <f t="shared" si="0"/>
        <v>3500000</v>
      </c>
      <c r="F36" s="11">
        <v>397618483</v>
      </c>
      <c r="G36" s="11">
        <v>395462385.12</v>
      </c>
      <c r="H36" s="11">
        <v>538922.37</v>
      </c>
      <c r="I36" s="11">
        <v>394923463</v>
      </c>
      <c r="J36" s="12">
        <f t="shared" si="1"/>
        <v>-2695020</v>
      </c>
      <c r="K36" s="13">
        <f t="shared" si="2"/>
        <v>-6.7779042354024575E-3</v>
      </c>
      <c r="L36" s="18">
        <f t="shared" si="4"/>
        <v>804980</v>
      </c>
      <c r="M36" s="13">
        <f t="shared" si="5"/>
        <v>2.0424822349678351E-3</v>
      </c>
      <c r="N36" s="13">
        <f t="shared" si="3"/>
        <v>-6.7779042354024575E-3</v>
      </c>
      <c r="O36" s="13">
        <f t="shared" si="6"/>
        <v>-7.4657407884353155E-3</v>
      </c>
      <c r="P36" s="23">
        <f t="shared" si="7"/>
        <v>290726147</v>
      </c>
      <c r="Q36" s="22">
        <f t="shared" si="8"/>
        <v>2.7901500553046876</v>
      </c>
      <c r="W36" s="5"/>
      <c r="X36" s="5"/>
      <c r="Y36" s="5"/>
      <c r="Z36" s="5"/>
      <c r="AA36" s="5"/>
      <c r="AB36" s="5"/>
      <c r="AC36" s="5"/>
      <c r="AD36" s="5"/>
    </row>
    <row r="37" spans="1:30" ht="15.75" customHeight="1" x14ac:dyDescent="0.2">
      <c r="A37" s="6">
        <v>41261</v>
      </c>
      <c r="B37" s="11">
        <v>394923463</v>
      </c>
      <c r="C37" s="8">
        <v>2100000</v>
      </c>
      <c r="D37" s="20">
        <v>0</v>
      </c>
      <c r="E37" s="10">
        <f t="shared" si="0"/>
        <v>2100000</v>
      </c>
      <c r="F37" s="11">
        <v>397023463</v>
      </c>
      <c r="G37" s="11">
        <v>399884721.66000003</v>
      </c>
      <c r="H37" s="11">
        <v>541964.03</v>
      </c>
      <c r="I37" s="11">
        <v>399342758</v>
      </c>
      <c r="J37" s="12">
        <f t="shared" si="1"/>
        <v>2319295</v>
      </c>
      <c r="K37" s="13">
        <f t="shared" si="2"/>
        <v>5.8417076473890918E-3</v>
      </c>
      <c r="L37" s="18">
        <f t="shared" si="4"/>
        <v>4419295</v>
      </c>
      <c r="M37" s="13">
        <f t="shared" si="5"/>
        <v>1.1190256882762206E-2</v>
      </c>
      <c r="N37" s="13">
        <f t="shared" si="3"/>
        <v>5.8417076473890918E-3</v>
      </c>
      <c r="O37" s="13">
        <f t="shared" si="6"/>
        <v>-3.2094961669082434E-4</v>
      </c>
      <c r="P37" s="23">
        <f t="shared" si="7"/>
        <v>293329086</v>
      </c>
      <c r="Q37" s="22">
        <f t="shared" si="8"/>
        <v>2.7668986505815969</v>
      </c>
      <c r="W37" s="5"/>
      <c r="X37" s="5"/>
      <c r="Y37" s="5"/>
      <c r="Z37" s="5"/>
      <c r="AA37" s="5"/>
      <c r="AB37" s="5"/>
      <c r="AC37" s="5"/>
      <c r="AD37" s="5"/>
    </row>
    <row r="38" spans="1:30" ht="15.75" customHeight="1" x14ac:dyDescent="0.2">
      <c r="A38" s="6">
        <v>41275</v>
      </c>
      <c r="B38" s="11">
        <v>399342758</v>
      </c>
      <c r="C38" s="8">
        <v>125000</v>
      </c>
      <c r="D38" s="8">
        <v>12136176</v>
      </c>
      <c r="E38" s="10">
        <f t="shared" si="0"/>
        <v>-12011176</v>
      </c>
      <c r="F38" s="11">
        <v>387331582</v>
      </c>
      <c r="G38" s="11">
        <v>387061188.63999999</v>
      </c>
      <c r="H38" s="11">
        <v>520546.5</v>
      </c>
      <c r="I38" s="11">
        <v>386540642</v>
      </c>
      <c r="J38" s="12">
        <f t="shared" si="1"/>
        <v>-790940</v>
      </c>
      <c r="K38" s="13">
        <f t="shared" si="2"/>
        <v>-2.0420230024000472E-3</v>
      </c>
      <c r="L38" s="18">
        <f t="shared" si="4"/>
        <v>-12802116</v>
      </c>
      <c r="M38" s="13">
        <f t="shared" si="5"/>
        <v>-3.2057964601927225E-2</v>
      </c>
      <c r="N38" s="13">
        <f t="shared" si="3"/>
        <v>-2.0420230024000472E-3</v>
      </c>
      <c r="O38" s="13">
        <f t="shared" si="6"/>
        <v>-3.0158215374999076E-3</v>
      </c>
      <c r="P38" s="23">
        <f t="shared" si="7"/>
        <v>276057983</v>
      </c>
      <c r="Q38" s="22">
        <f t="shared" si="8"/>
        <v>2.4986544087430045</v>
      </c>
      <c r="W38" s="5"/>
      <c r="X38" s="5"/>
      <c r="Y38" s="5"/>
      <c r="Z38" s="5"/>
      <c r="AA38" s="5"/>
      <c r="AB38" s="5"/>
      <c r="AC38" s="5"/>
      <c r="AD38" s="5"/>
    </row>
    <row r="39" spans="1:30" ht="15.75" customHeight="1" x14ac:dyDescent="0.2">
      <c r="A39" s="6">
        <v>41307</v>
      </c>
      <c r="B39" s="11">
        <v>386540642</v>
      </c>
      <c r="C39" s="8">
        <v>10500000</v>
      </c>
      <c r="D39" s="8">
        <v>2500000</v>
      </c>
      <c r="E39" s="10">
        <f t="shared" si="0"/>
        <v>8000000</v>
      </c>
      <c r="F39" s="11">
        <v>394540642</v>
      </c>
      <c r="G39" s="11">
        <v>398593494.35000002</v>
      </c>
      <c r="H39" s="11">
        <v>536368.57999999996</v>
      </c>
      <c r="I39" s="11">
        <v>398057126</v>
      </c>
      <c r="J39" s="12">
        <f t="shared" si="1"/>
        <v>3516484</v>
      </c>
      <c r="K39" s="13">
        <f t="shared" si="2"/>
        <v>8.91285618174667E-3</v>
      </c>
      <c r="L39" s="18">
        <f t="shared" si="4"/>
        <v>11516484</v>
      </c>
      <c r="M39" s="13">
        <f t="shared" si="5"/>
        <v>2.9793720888992681E-2</v>
      </c>
      <c r="N39" s="13">
        <f t="shared" si="3"/>
        <v>8.91285618174667E-3</v>
      </c>
      <c r="O39" s="13">
        <f t="shared" si="6"/>
        <v>1.2734371647540543E-2</v>
      </c>
      <c r="P39" s="23">
        <f t="shared" si="7"/>
        <v>249424589</v>
      </c>
      <c r="Q39" s="22">
        <f t="shared" si="8"/>
        <v>1.6781291232349751</v>
      </c>
      <c r="W39" s="5"/>
      <c r="X39" s="5"/>
      <c r="Y39" s="5"/>
      <c r="Z39" s="5"/>
      <c r="AA39" s="5"/>
      <c r="AB39" s="5"/>
      <c r="AC39" s="5"/>
      <c r="AD39" s="5"/>
    </row>
    <row r="40" spans="1:30" ht="15.75" customHeight="1" x14ac:dyDescent="0.2">
      <c r="A40" s="6">
        <v>41339</v>
      </c>
      <c r="B40" s="11">
        <v>398057126</v>
      </c>
      <c r="C40" s="20">
        <v>0</v>
      </c>
      <c r="D40" s="20">
        <v>0</v>
      </c>
      <c r="E40" s="10">
        <f t="shared" si="0"/>
        <v>0</v>
      </c>
      <c r="F40" s="11">
        <v>398057126</v>
      </c>
      <c r="G40" s="11">
        <v>400871801.85000002</v>
      </c>
      <c r="H40" s="11">
        <v>536368.57999999996</v>
      </c>
      <c r="I40" s="11">
        <v>400335433</v>
      </c>
      <c r="J40" s="12">
        <f t="shared" si="1"/>
        <v>2278307</v>
      </c>
      <c r="K40" s="13">
        <f t="shared" si="2"/>
        <v>5.7235679282877606E-3</v>
      </c>
      <c r="L40" s="18">
        <f t="shared" si="4"/>
        <v>2278307</v>
      </c>
      <c r="M40" s="13">
        <f t="shared" si="5"/>
        <v>5.7235679282876539E-3</v>
      </c>
      <c r="N40" s="13">
        <f t="shared" si="3"/>
        <v>5.7235679282877606E-3</v>
      </c>
      <c r="O40" s="13">
        <f t="shared" si="6"/>
        <v>1.2615422360310768E-2</v>
      </c>
      <c r="P40" s="23">
        <f t="shared" si="7"/>
        <v>228802558</v>
      </c>
      <c r="Q40" s="22">
        <f t="shared" si="8"/>
        <v>1.33387001179803</v>
      </c>
      <c r="W40" s="5"/>
      <c r="X40" s="5"/>
      <c r="Y40" s="5"/>
      <c r="Z40" s="5"/>
      <c r="AA40" s="5"/>
      <c r="AB40" s="5"/>
      <c r="AC40" s="5"/>
      <c r="AD40" s="5"/>
    </row>
    <row r="41" spans="1:30" ht="15.75" customHeight="1" x14ac:dyDescent="0.2">
      <c r="A41" s="6">
        <v>41371</v>
      </c>
      <c r="B41" s="11">
        <v>400335433</v>
      </c>
      <c r="C41" s="8">
        <v>2000000</v>
      </c>
      <c r="D41" s="8">
        <v>19913206</v>
      </c>
      <c r="E41" s="10">
        <f t="shared" si="0"/>
        <v>-17913206</v>
      </c>
      <c r="F41" s="11">
        <v>382422228</v>
      </c>
      <c r="G41" s="11">
        <v>377307186.02999997</v>
      </c>
      <c r="H41" s="11">
        <v>519178.13</v>
      </c>
      <c r="I41" s="11">
        <v>376788008</v>
      </c>
      <c r="J41" s="12">
        <f t="shared" si="1"/>
        <v>-5634220</v>
      </c>
      <c r="K41" s="13">
        <f t="shared" si="2"/>
        <v>-1.47329825189973E-2</v>
      </c>
      <c r="L41" s="18">
        <f t="shared" si="4"/>
        <v>-23547425</v>
      </c>
      <c r="M41" s="13">
        <f t="shared" si="5"/>
        <v>-5.881923771658748E-2</v>
      </c>
      <c r="N41" s="13">
        <f t="shared" si="3"/>
        <v>-1.47329825189973E-2</v>
      </c>
      <c r="O41" s="13">
        <f t="shared" si="6"/>
        <v>-2.6193483033942755E-4</v>
      </c>
      <c r="P41" s="23">
        <f t="shared" si="7"/>
        <v>174655686</v>
      </c>
      <c r="Q41" s="22">
        <f t="shared" si="8"/>
        <v>0.86406609428847303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5.75" customHeight="1" x14ac:dyDescent="0.2">
      <c r="A42" s="6">
        <v>41403</v>
      </c>
      <c r="B42" s="11">
        <v>376788008</v>
      </c>
      <c r="C42" s="8">
        <v>10000000</v>
      </c>
      <c r="D42" s="20">
        <v>0</v>
      </c>
      <c r="E42" s="10">
        <f t="shared" si="0"/>
        <v>10000000</v>
      </c>
      <c r="F42" s="11">
        <v>386788008</v>
      </c>
      <c r="G42" s="11">
        <v>381109937.51999998</v>
      </c>
      <c r="H42" s="11">
        <v>533761.46</v>
      </c>
      <c r="I42" s="11">
        <v>380576176</v>
      </c>
      <c r="J42" s="12">
        <f t="shared" si="1"/>
        <v>-6211832</v>
      </c>
      <c r="K42" s="13">
        <f t="shared" si="2"/>
        <v>-1.6060042895642203E-2</v>
      </c>
      <c r="L42" s="18">
        <f t="shared" si="4"/>
        <v>3788168</v>
      </c>
      <c r="M42" s="13">
        <f t="shared" si="5"/>
        <v>1.0053844388805411E-2</v>
      </c>
      <c r="N42" s="13">
        <f t="shared" si="3"/>
        <v>-1.6060042895642203E-2</v>
      </c>
      <c r="O42" s="13">
        <f t="shared" si="6"/>
        <v>-2.500773686104385E-2</v>
      </c>
      <c r="P42" s="23">
        <f t="shared" si="7"/>
        <v>138735903</v>
      </c>
      <c r="Q42" s="22">
        <f t="shared" si="8"/>
        <v>0.57366749251064564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5.75" customHeight="1" x14ac:dyDescent="0.2">
      <c r="A43" s="6">
        <v>41435</v>
      </c>
      <c r="B43" s="11">
        <v>380576176</v>
      </c>
      <c r="C43" s="8">
        <v>500000</v>
      </c>
      <c r="D43" s="20">
        <v>0</v>
      </c>
      <c r="E43" s="10">
        <f t="shared" si="0"/>
        <v>500000</v>
      </c>
      <c r="F43" s="11">
        <v>381076176</v>
      </c>
      <c r="G43" s="11">
        <v>384584335.70999998</v>
      </c>
      <c r="H43" s="11">
        <v>534386.46</v>
      </c>
      <c r="I43" s="11">
        <v>384049949</v>
      </c>
      <c r="J43" s="12">
        <f t="shared" si="1"/>
        <v>2973773</v>
      </c>
      <c r="K43" s="13">
        <f t="shared" si="2"/>
        <v>7.8036182456076705E-3</v>
      </c>
      <c r="L43" s="18">
        <f t="shared" si="4"/>
        <v>3473773</v>
      </c>
      <c r="M43" s="13">
        <f t="shared" si="5"/>
        <v>9.1276680440448565E-3</v>
      </c>
      <c r="N43" s="13">
        <f t="shared" si="3"/>
        <v>7.8036182456076705E-3</v>
      </c>
      <c r="O43" s="13">
        <f t="shared" si="6"/>
        <v>-2.2991245420454054E-2</v>
      </c>
      <c r="P43" s="23">
        <f t="shared" si="7"/>
        <v>136619821</v>
      </c>
      <c r="Q43" s="22">
        <f t="shared" si="8"/>
        <v>0.55215515630335854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5.75" customHeight="1" x14ac:dyDescent="0.2">
      <c r="A44" s="6">
        <v>41467</v>
      </c>
      <c r="B44" s="11">
        <v>384049949</v>
      </c>
      <c r="C44" s="8">
        <v>17000000</v>
      </c>
      <c r="D44" s="8">
        <v>57018006</v>
      </c>
      <c r="E44" s="10">
        <f t="shared" si="0"/>
        <v>-40018006</v>
      </c>
      <c r="F44" s="11">
        <v>344031944</v>
      </c>
      <c r="G44" s="11">
        <v>351818188.60000002</v>
      </c>
      <c r="H44" s="11">
        <v>460120.73</v>
      </c>
      <c r="I44" s="11">
        <v>351358068</v>
      </c>
      <c r="J44" s="12">
        <f t="shared" si="1"/>
        <v>7326124</v>
      </c>
      <c r="K44" s="13">
        <f t="shared" si="2"/>
        <v>2.1294894639202457E-2</v>
      </c>
      <c r="L44" s="18">
        <f t="shared" si="4"/>
        <v>-32691881</v>
      </c>
      <c r="M44" s="13">
        <f t="shared" si="5"/>
        <v>-8.5124034217747058E-2</v>
      </c>
      <c r="N44" s="13">
        <f t="shared" si="3"/>
        <v>2.1294894639202457E-2</v>
      </c>
      <c r="O44" s="13">
        <f t="shared" si="6"/>
        <v>1.2734655038967535E-2</v>
      </c>
      <c r="P44" s="23">
        <f t="shared" si="7"/>
        <v>79505325</v>
      </c>
      <c r="Q44" s="22">
        <f t="shared" si="8"/>
        <v>0.29245732127852764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2.75" x14ac:dyDescent="0.2">
      <c r="A45" s="6">
        <v>41499</v>
      </c>
      <c r="B45" s="11">
        <v>351358068</v>
      </c>
      <c r="C45" s="8">
        <v>35750000</v>
      </c>
      <c r="D45" s="20">
        <v>0</v>
      </c>
      <c r="E45" s="10">
        <f t="shared" si="0"/>
        <v>35750000</v>
      </c>
      <c r="F45" s="11">
        <v>387108068</v>
      </c>
      <c r="G45" s="11">
        <v>392148071.26999998</v>
      </c>
      <c r="H45" s="11">
        <v>513506.15</v>
      </c>
      <c r="I45" s="11">
        <v>391634565</v>
      </c>
      <c r="J45" s="12">
        <f t="shared" si="1"/>
        <v>4526497</v>
      </c>
      <c r="K45" s="13">
        <f t="shared" si="2"/>
        <v>1.1693109429070333E-2</v>
      </c>
      <c r="L45" s="18">
        <f t="shared" si="4"/>
        <v>40276497</v>
      </c>
      <c r="M45" s="13">
        <f t="shared" si="5"/>
        <v>0.11463091549103122</v>
      </c>
      <c r="N45" s="13">
        <f t="shared" si="3"/>
        <v>1.1693109429070333E-2</v>
      </c>
      <c r="O45" s="13">
        <f t="shared" si="6"/>
        <v>4.1299994766126114E-2</v>
      </c>
      <c r="P45" s="23">
        <f t="shared" si="7"/>
        <v>20016588</v>
      </c>
      <c r="Q45" s="22">
        <f t="shared" si="8"/>
        <v>5.3863346874631957E-2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2.75" x14ac:dyDescent="0.2">
      <c r="A46" s="6">
        <v>41531</v>
      </c>
      <c r="B46" s="11">
        <v>391634565</v>
      </c>
      <c r="C46" s="8">
        <v>4500000</v>
      </c>
      <c r="D46" s="20">
        <v>0</v>
      </c>
      <c r="E46" s="10">
        <f t="shared" si="0"/>
        <v>4500000</v>
      </c>
      <c r="F46" s="11">
        <v>396134565</v>
      </c>
      <c r="G46" s="11">
        <v>400256009.95999998</v>
      </c>
      <c r="H46" s="11">
        <v>520172.81</v>
      </c>
      <c r="I46" s="11">
        <v>399735837</v>
      </c>
      <c r="J46" s="12">
        <f t="shared" si="1"/>
        <v>3601272</v>
      </c>
      <c r="K46" s="13">
        <f t="shared" si="2"/>
        <v>9.0910319830333416E-3</v>
      </c>
      <c r="L46" s="18">
        <f t="shared" si="4"/>
        <v>8101272</v>
      </c>
      <c r="M46" s="13">
        <f t="shared" si="5"/>
        <v>2.0685794166303895E-2</v>
      </c>
      <c r="N46" s="13">
        <f t="shared" si="3"/>
        <v>9.0910319830333416E-3</v>
      </c>
      <c r="O46" s="13">
        <f t="shared" si="6"/>
        <v>4.2630198283728937E-2</v>
      </c>
      <c r="P46" s="23">
        <f t="shared" si="7"/>
        <v>15336394</v>
      </c>
      <c r="Q46" s="22">
        <f t="shared" si="8"/>
        <v>3.9897024512597953E-2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2.75" x14ac:dyDescent="0.2">
      <c r="A47" s="6">
        <v>41563</v>
      </c>
      <c r="B47" s="11">
        <v>399735837</v>
      </c>
      <c r="C47" s="8">
        <v>11800000</v>
      </c>
      <c r="D47" s="8">
        <v>14638088</v>
      </c>
      <c r="E47" s="10">
        <f t="shared" si="0"/>
        <v>-2838088</v>
      </c>
      <c r="F47" s="11">
        <v>396897749</v>
      </c>
      <c r="G47" s="11">
        <v>404256697.63</v>
      </c>
      <c r="H47" s="11">
        <v>536253.06000000006</v>
      </c>
      <c r="I47" s="11">
        <v>403720445</v>
      </c>
      <c r="J47" s="12">
        <f t="shared" si="1"/>
        <v>6822696</v>
      </c>
      <c r="K47" s="13">
        <f t="shared" si="2"/>
        <v>1.7190059699733896E-2</v>
      </c>
      <c r="L47" s="18">
        <f t="shared" si="4"/>
        <v>3984608</v>
      </c>
      <c r="M47" s="13">
        <f t="shared" si="5"/>
        <v>9.968103009988516E-3</v>
      </c>
      <c r="N47" s="13">
        <f t="shared" si="3"/>
        <v>1.7190059699733896E-2</v>
      </c>
      <c r="O47" s="13">
        <f t="shared" si="6"/>
        <v>3.8439611520469041E-2</v>
      </c>
      <c r="P47" s="23">
        <f t="shared" si="7"/>
        <v>9601962</v>
      </c>
      <c r="Q47" s="22">
        <f t="shared" si="8"/>
        <v>2.4363135488877845E-2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12.75" x14ac:dyDescent="0.2">
      <c r="A48" s="6">
        <v>41595</v>
      </c>
      <c r="B48" s="11">
        <v>403720445</v>
      </c>
      <c r="C48" s="8">
        <v>10000000</v>
      </c>
      <c r="D48" s="20">
        <v>0</v>
      </c>
      <c r="E48" s="10">
        <f t="shared" si="0"/>
        <v>10000000</v>
      </c>
      <c r="F48" s="11">
        <v>413720445</v>
      </c>
      <c r="G48" s="11">
        <v>415409093.81999999</v>
      </c>
      <c r="H48" s="11">
        <v>551253.06000000006</v>
      </c>
      <c r="I48" s="11">
        <v>414857841</v>
      </c>
      <c r="J48" s="12">
        <f t="shared" si="1"/>
        <v>1137396</v>
      </c>
      <c r="K48" s="13">
        <f t="shared" si="2"/>
        <v>2.7491897336618209E-3</v>
      </c>
      <c r="L48" s="18">
        <f t="shared" si="4"/>
        <v>11137396</v>
      </c>
      <c r="M48" s="13">
        <f t="shared" si="5"/>
        <v>2.7586901129072139E-2</v>
      </c>
      <c r="N48" s="13">
        <f t="shared" si="3"/>
        <v>2.7491897336618209E-3</v>
      </c>
      <c r="O48" s="13">
        <f t="shared" si="6"/>
        <v>2.9259238137070431E-2</v>
      </c>
      <c r="P48" s="23">
        <f t="shared" si="7"/>
        <v>19934378</v>
      </c>
      <c r="Q48" s="22">
        <f t="shared" si="8"/>
        <v>5.0476560315181884E-2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2.75" x14ac:dyDescent="0.2">
      <c r="A49" s="6">
        <v>41627</v>
      </c>
      <c r="B49" s="11">
        <v>414857841</v>
      </c>
      <c r="C49" s="8">
        <v>300000</v>
      </c>
      <c r="D49" s="20">
        <v>0</v>
      </c>
      <c r="E49" s="10">
        <f t="shared" si="0"/>
        <v>300000</v>
      </c>
      <c r="F49" s="11">
        <v>415157841</v>
      </c>
      <c r="G49" s="11">
        <v>420467026.70999998</v>
      </c>
      <c r="H49" s="11">
        <v>551690.56000000006</v>
      </c>
      <c r="I49" s="11">
        <v>419915336</v>
      </c>
      <c r="J49" s="12">
        <f t="shared" si="1"/>
        <v>4757495</v>
      </c>
      <c r="K49" s="13">
        <f t="shared" si="2"/>
        <v>1.1459484875777644E-2</v>
      </c>
      <c r="L49" s="18">
        <f t="shared" si="4"/>
        <v>5057495</v>
      </c>
      <c r="M49" s="13">
        <f t="shared" si="5"/>
        <v>1.2190910958339574E-2</v>
      </c>
      <c r="N49" s="13">
        <f t="shared" si="3"/>
        <v>1.1459484875777644E-2</v>
      </c>
      <c r="O49" s="13">
        <f t="shared" si="6"/>
        <v>3.167502813290346E-2</v>
      </c>
      <c r="P49" s="23">
        <f t="shared" si="7"/>
        <v>20572578</v>
      </c>
      <c r="Q49" s="22">
        <f t="shared" si="8"/>
        <v>5.1516091347273162E-2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2.75" x14ac:dyDescent="0.2">
      <c r="A50" s="6">
        <v>41640</v>
      </c>
      <c r="B50" s="11">
        <v>419915336.16000003</v>
      </c>
      <c r="C50" s="8">
        <v>5200000</v>
      </c>
      <c r="D50" s="8">
        <v>35218335.770000003</v>
      </c>
      <c r="E50" s="10">
        <f t="shared" si="0"/>
        <v>-30018335.770000003</v>
      </c>
      <c r="F50" s="11">
        <v>389897000.38999999</v>
      </c>
      <c r="G50" s="11">
        <v>396771139.17000002</v>
      </c>
      <c r="H50" s="11">
        <v>520129.03</v>
      </c>
      <c r="I50" s="11">
        <v>396251010.13999999</v>
      </c>
      <c r="J50" s="12">
        <f t="shared" si="1"/>
        <v>6354009.75</v>
      </c>
      <c r="K50" s="13">
        <f t="shared" si="2"/>
        <v>1.629663665953909E-2</v>
      </c>
      <c r="L50" s="18">
        <f t="shared" si="4"/>
        <v>-23664326.020000041</v>
      </c>
      <c r="M50" s="13">
        <f t="shared" si="5"/>
        <v>-5.6354993452735536E-2</v>
      </c>
      <c r="N50" s="13">
        <f t="shared" si="3"/>
        <v>1.629663665953909E-2</v>
      </c>
      <c r="O50" s="13">
        <f t="shared" si="6"/>
        <v>3.0768882588776414E-2</v>
      </c>
      <c r="P50" s="23">
        <f t="shared" si="7"/>
        <v>9710368.1399999857</v>
      </c>
      <c r="Q50" s="22">
        <f t="shared" si="8"/>
        <v>2.5121208703326948E-2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2.75" x14ac:dyDescent="0.2">
      <c r="A51" s="6">
        <v>41672</v>
      </c>
      <c r="B51" s="11">
        <v>396251010.13999999</v>
      </c>
      <c r="C51" s="8">
        <v>4000000</v>
      </c>
      <c r="D51" s="8">
        <v>2900000</v>
      </c>
      <c r="E51" s="10">
        <f t="shared" si="0"/>
        <v>1100000</v>
      </c>
      <c r="F51" s="11">
        <v>397351010.13999999</v>
      </c>
      <c r="G51" s="11">
        <v>404550331.94</v>
      </c>
      <c r="H51" s="11">
        <v>525962.36</v>
      </c>
      <c r="I51" s="11">
        <v>404024369.57999998</v>
      </c>
      <c r="J51" s="12">
        <f t="shared" si="1"/>
        <v>6673359.4399999976</v>
      </c>
      <c r="K51" s="13">
        <f t="shared" si="2"/>
        <v>1.6794620548841063E-2</v>
      </c>
      <c r="L51" s="18">
        <f t="shared" si="4"/>
        <v>7773359.4399999976</v>
      </c>
      <c r="M51" s="13">
        <f t="shared" si="5"/>
        <v>1.9617260880303133E-2</v>
      </c>
      <c r="N51" s="13">
        <f t="shared" si="3"/>
        <v>1.6794620548841063E-2</v>
      </c>
      <c r="O51" s="13">
        <f t="shared" si="6"/>
        <v>4.5206783087789137E-2</v>
      </c>
      <c r="P51" s="23">
        <f t="shared" si="7"/>
        <v>5967243.5799999833</v>
      </c>
      <c r="Q51" s="22">
        <f t="shared" si="8"/>
        <v>1.4990922634556687E-2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2.75" x14ac:dyDescent="0.2">
      <c r="A52" s="6">
        <v>41704</v>
      </c>
      <c r="B52" s="11">
        <v>404024369.57999998</v>
      </c>
      <c r="C52" s="8">
        <v>2000000</v>
      </c>
      <c r="D52" s="20">
        <v>0</v>
      </c>
      <c r="E52" s="10">
        <f t="shared" si="0"/>
        <v>2000000</v>
      </c>
      <c r="F52" s="11">
        <v>406024369.57999998</v>
      </c>
      <c r="G52" s="11">
        <v>410338111.26999998</v>
      </c>
      <c r="H52" s="11">
        <v>528879.03</v>
      </c>
      <c r="I52" s="11">
        <v>409809232.24000001</v>
      </c>
      <c r="J52" s="12">
        <f t="shared" si="1"/>
        <v>3784862.6600000262</v>
      </c>
      <c r="K52" s="13">
        <f t="shared" si="2"/>
        <v>9.3217622969654912E-3</v>
      </c>
      <c r="L52" s="18">
        <f t="shared" si="4"/>
        <v>5784862.6600000262</v>
      </c>
      <c r="M52" s="13">
        <f t="shared" si="5"/>
        <v>1.4318103301574681E-2</v>
      </c>
      <c r="N52" s="13">
        <f t="shared" si="3"/>
        <v>9.3217622969654912E-3</v>
      </c>
      <c r="O52" s="13">
        <f t="shared" si="6"/>
        <v>4.2997735495527989E-2</v>
      </c>
      <c r="P52" s="23">
        <f t="shared" si="7"/>
        <v>9473799.2400000095</v>
      </c>
      <c r="Q52" s="22">
        <f t="shared" si="8"/>
        <v>2.366465333584402E-2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2.75" x14ac:dyDescent="0.2">
      <c r="A53" s="6">
        <v>41736</v>
      </c>
      <c r="B53" s="11">
        <v>409809232.24000001</v>
      </c>
      <c r="C53" s="20">
        <v>0</v>
      </c>
      <c r="D53" s="8">
        <v>17465745.129999999</v>
      </c>
      <c r="E53" s="10">
        <f t="shared" si="0"/>
        <v>-17465745.129999999</v>
      </c>
      <c r="F53" s="11">
        <v>392343487.11000001</v>
      </c>
      <c r="G53" s="11">
        <v>396559844.05000001</v>
      </c>
      <c r="H53" s="11">
        <v>531522.24</v>
      </c>
      <c r="I53" s="11">
        <v>396028321.81</v>
      </c>
      <c r="J53" s="12">
        <f t="shared" si="1"/>
        <v>3684834.6999999881</v>
      </c>
      <c r="K53" s="13">
        <f t="shared" si="2"/>
        <v>9.3918589732238465E-3</v>
      </c>
      <c r="L53" s="18">
        <f t="shared" si="4"/>
        <v>-13780910.430000007</v>
      </c>
      <c r="M53" s="13">
        <f t="shared" si="5"/>
        <v>-3.3627623161816333E-2</v>
      </c>
      <c r="N53" s="13">
        <f t="shared" si="3"/>
        <v>9.3918589732238465E-3</v>
      </c>
      <c r="O53" s="13">
        <f t="shared" si="6"/>
        <v>3.5911549011040433E-2</v>
      </c>
      <c r="P53" s="23">
        <f t="shared" si="7"/>
        <v>19240313.810000002</v>
      </c>
      <c r="Q53" s="22">
        <f t="shared" si="8"/>
        <v>5.1064029113155857E-2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2.75" x14ac:dyDescent="0.2">
      <c r="A54" s="6">
        <v>41768</v>
      </c>
      <c r="B54" s="11">
        <v>396028321.81</v>
      </c>
      <c r="C54" s="8">
        <v>10000000</v>
      </c>
      <c r="D54" s="20">
        <v>0</v>
      </c>
      <c r="E54" s="10">
        <f t="shared" si="0"/>
        <v>10000000</v>
      </c>
      <c r="F54" s="11">
        <v>406028321.81</v>
      </c>
      <c r="G54" s="11">
        <v>412541981.13</v>
      </c>
      <c r="H54" s="11">
        <v>546105.57999999996</v>
      </c>
      <c r="I54" s="11">
        <v>411995875.55000001</v>
      </c>
      <c r="J54" s="12">
        <f t="shared" si="1"/>
        <v>5967553.7400000095</v>
      </c>
      <c r="K54" s="13">
        <f t="shared" si="2"/>
        <v>1.4697382964315756E-2</v>
      </c>
      <c r="L54" s="18">
        <f t="shared" si="4"/>
        <v>15967553.74000001</v>
      </c>
      <c r="M54" s="13">
        <f t="shared" si="5"/>
        <v>4.0319221784498094E-2</v>
      </c>
      <c r="N54" s="13">
        <f t="shared" si="3"/>
        <v>1.4697382964315756E-2</v>
      </c>
      <c r="O54" s="13">
        <f t="shared" si="6"/>
        <v>3.3774880906269233E-2</v>
      </c>
      <c r="P54" s="23">
        <f t="shared" si="7"/>
        <v>31419699.550000012</v>
      </c>
      <c r="Q54" s="22">
        <f t="shared" si="8"/>
        <v>8.2558240718672862E-2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2.75" x14ac:dyDescent="0.2">
      <c r="A55" s="6">
        <v>41800</v>
      </c>
      <c r="B55" s="11">
        <v>411995875.55000001</v>
      </c>
      <c r="C55" s="8">
        <v>100000</v>
      </c>
      <c r="D55" s="20">
        <v>0</v>
      </c>
      <c r="E55" s="10">
        <f t="shared" si="0"/>
        <v>100000</v>
      </c>
      <c r="F55" s="11">
        <v>412095875.55000001</v>
      </c>
      <c r="G55" s="11">
        <v>417480373.52999997</v>
      </c>
      <c r="H55" s="11">
        <v>546105.57999999996</v>
      </c>
      <c r="I55" s="11">
        <v>416934267.94999999</v>
      </c>
      <c r="J55" s="12">
        <f t="shared" si="1"/>
        <v>4838392.3999999762</v>
      </c>
      <c r="K55" s="13">
        <f t="shared" si="2"/>
        <v>1.1740938667591516E-2</v>
      </c>
      <c r="L55" s="18">
        <f t="shared" si="4"/>
        <v>4938392.3999999762</v>
      </c>
      <c r="M55" s="13">
        <f t="shared" si="5"/>
        <v>1.198650931494738E-2</v>
      </c>
      <c r="N55" s="13">
        <f t="shared" si="3"/>
        <v>1.1740938667591516E-2</v>
      </c>
      <c r="O55" s="13">
        <f t="shared" si="6"/>
        <v>3.6252667334596866E-2</v>
      </c>
      <c r="P55" s="23">
        <f t="shared" si="7"/>
        <v>32884318.949999988</v>
      </c>
      <c r="Q55" s="22">
        <f t="shared" si="8"/>
        <v>8.5625109534905805E-2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2.75" x14ac:dyDescent="0.2">
      <c r="A56" s="6">
        <v>41832</v>
      </c>
      <c r="B56" s="11">
        <v>416934267.94999999</v>
      </c>
      <c r="C56" s="8">
        <v>14000000</v>
      </c>
      <c r="D56" s="8">
        <v>10052934.279999999</v>
      </c>
      <c r="E56" s="10">
        <f t="shared" si="0"/>
        <v>3947065.7200000007</v>
      </c>
      <c r="F56" s="11">
        <v>420881333.67000002</v>
      </c>
      <c r="G56" s="11">
        <v>421495227.31999999</v>
      </c>
      <c r="H56" s="11">
        <v>571752.91</v>
      </c>
      <c r="I56" s="11">
        <v>420923474.42000002</v>
      </c>
      <c r="J56" s="12">
        <f t="shared" si="1"/>
        <v>42140.75</v>
      </c>
      <c r="K56" s="13">
        <f t="shared" si="2"/>
        <v>1.0012501536369216E-4</v>
      </c>
      <c r="L56" s="18">
        <f t="shared" si="4"/>
        <v>3989206.4700000286</v>
      </c>
      <c r="M56" s="13">
        <f t="shared" si="5"/>
        <v>9.5679505779515672E-3</v>
      </c>
      <c r="N56" s="13">
        <f t="shared" si="3"/>
        <v>1.0012501536369216E-4</v>
      </c>
      <c r="O56" s="13">
        <f t="shared" si="6"/>
        <v>2.6713672134268451E-2</v>
      </c>
      <c r="P56" s="23">
        <f t="shared" si="7"/>
        <v>69565406.420000017</v>
      </c>
      <c r="Q56" s="22">
        <f t="shared" si="8"/>
        <v>0.19799006414163234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2.75" x14ac:dyDescent="0.2">
      <c r="A57" s="6">
        <v>41864</v>
      </c>
      <c r="B57" s="11">
        <v>420923474.42000002</v>
      </c>
      <c r="C57" s="8">
        <v>9000000</v>
      </c>
      <c r="D57" s="20">
        <v>0</v>
      </c>
      <c r="E57" s="10">
        <f t="shared" si="0"/>
        <v>9000000</v>
      </c>
      <c r="F57" s="11">
        <v>429923474.42000002</v>
      </c>
      <c r="G57" s="11">
        <v>432129568.44999999</v>
      </c>
      <c r="H57" s="11">
        <v>584877.91</v>
      </c>
      <c r="I57" s="11">
        <v>431544690.54000002</v>
      </c>
      <c r="J57" s="12">
        <f t="shared" si="1"/>
        <v>1621216.1200000048</v>
      </c>
      <c r="K57" s="13">
        <f t="shared" si="2"/>
        <v>3.7709411475778348E-3</v>
      </c>
      <c r="L57" s="18">
        <f t="shared" si="4"/>
        <v>10621216.120000005</v>
      </c>
      <c r="M57" s="13">
        <f t="shared" si="5"/>
        <v>2.5233128503073354E-2</v>
      </c>
      <c r="N57" s="13">
        <f t="shared" si="3"/>
        <v>3.7709411475778348E-3</v>
      </c>
      <c r="O57" s="13">
        <f t="shared" si="6"/>
        <v>1.5657836779444434E-2</v>
      </c>
      <c r="P57" s="23">
        <f t="shared" si="7"/>
        <v>39910125.540000021</v>
      </c>
      <c r="Q57" s="22">
        <f t="shared" si="8"/>
        <v>0.10190654530199607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2.75" x14ac:dyDescent="0.2">
      <c r="A58" s="6">
        <v>41896</v>
      </c>
      <c r="B58" s="11">
        <v>431544690.54000002</v>
      </c>
      <c r="C58" s="9">
        <v>0</v>
      </c>
      <c r="D58" s="20">
        <v>0</v>
      </c>
      <c r="E58" s="10">
        <f t="shared" si="0"/>
        <v>0</v>
      </c>
      <c r="F58" s="11">
        <v>431544690.54000002</v>
      </c>
      <c r="G58" s="11">
        <v>432835777.89999998</v>
      </c>
      <c r="H58" s="11">
        <v>584877.91</v>
      </c>
      <c r="I58" s="11">
        <v>432250899.99000001</v>
      </c>
      <c r="J58" s="12">
        <f t="shared" si="1"/>
        <v>706209.44999998808</v>
      </c>
      <c r="K58" s="13">
        <f t="shared" si="2"/>
        <v>1.6364688651742995E-3</v>
      </c>
      <c r="L58" s="18">
        <f t="shared" si="4"/>
        <v>706209.44999998808</v>
      </c>
      <c r="M58" s="13">
        <f t="shared" si="5"/>
        <v>1.6364688651742121E-3</v>
      </c>
      <c r="N58" s="13">
        <f t="shared" si="3"/>
        <v>1.6364688651742995E-3</v>
      </c>
      <c r="O58" s="13">
        <f t="shared" si="6"/>
        <v>5.5142480907810487E-3</v>
      </c>
      <c r="P58" s="23">
        <f t="shared" si="7"/>
        <v>32515062.99000001</v>
      </c>
      <c r="Q58" s="22">
        <f t="shared" si="8"/>
        <v>8.1341375929724333E-2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2.75" x14ac:dyDescent="0.2">
      <c r="A59" s="6">
        <v>41928</v>
      </c>
      <c r="B59" s="11">
        <v>432250899.99000001</v>
      </c>
      <c r="C59" s="20">
        <v>0</v>
      </c>
      <c r="D59" s="8">
        <v>11690325.65</v>
      </c>
      <c r="E59" s="10">
        <f t="shared" si="0"/>
        <v>-11690325.65</v>
      </c>
      <c r="F59" s="11">
        <v>420560574.33999997</v>
      </c>
      <c r="G59" s="11">
        <v>420439064.39999998</v>
      </c>
      <c r="H59" s="11">
        <v>571934.06999999995</v>
      </c>
      <c r="I59" s="11">
        <v>419867130.33999997</v>
      </c>
      <c r="J59" s="12">
        <f t="shared" si="1"/>
        <v>-693444</v>
      </c>
      <c r="K59" s="13">
        <f t="shared" si="2"/>
        <v>-1.6488564128680993E-3</v>
      </c>
      <c r="L59" s="18">
        <f t="shared" si="4"/>
        <v>-12383769.650000036</v>
      </c>
      <c r="M59" s="13">
        <f t="shared" si="5"/>
        <v>-2.8649494194891267E-2</v>
      </c>
      <c r="N59" s="13">
        <f t="shared" si="3"/>
        <v>-1.6488564128680993E-3</v>
      </c>
      <c r="O59" s="13">
        <f t="shared" si="6"/>
        <v>3.755798409849076E-3</v>
      </c>
      <c r="P59" s="23">
        <f t="shared" si="7"/>
        <v>16146685.339999974</v>
      </c>
      <c r="Q59" s="22">
        <f t="shared" si="8"/>
        <v>3.9994717978674509E-2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2.75" x14ac:dyDescent="0.2">
      <c r="A60" s="6">
        <v>41960</v>
      </c>
      <c r="B60" s="11">
        <v>419867130.33999997</v>
      </c>
      <c r="C60" s="20">
        <v>0</v>
      </c>
      <c r="D60" s="20">
        <v>0</v>
      </c>
      <c r="E60" s="10">
        <f t="shared" si="0"/>
        <v>0</v>
      </c>
      <c r="F60" s="11">
        <v>419867130.33999997</v>
      </c>
      <c r="G60" s="11">
        <v>422650830.45999998</v>
      </c>
      <c r="H60" s="11">
        <v>571934.06999999995</v>
      </c>
      <c r="I60" s="11">
        <v>422078896.38999999</v>
      </c>
      <c r="J60" s="12">
        <f t="shared" si="1"/>
        <v>2211766.0500000119</v>
      </c>
      <c r="K60" s="13">
        <f t="shared" si="2"/>
        <v>5.2677761372007569E-3</v>
      </c>
      <c r="L60" s="18">
        <f t="shared" si="4"/>
        <v>2211766.0500000119</v>
      </c>
      <c r="M60" s="13">
        <f t="shared" si="5"/>
        <v>5.2677761372008636E-3</v>
      </c>
      <c r="N60" s="13">
        <f t="shared" si="3"/>
        <v>5.2677761372007569E-3</v>
      </c>
      <c r="O60" s="13">
        <f t="shared" si="6"/>
        <v>5.2526108184443032E-3</v>
      </c>
      <c r="P60" s="23">
        <f t="shared" si="7"/>
        <v>7221055.3899999857</v>
      </c>
      <c r="Q60" s="22">
        <f t="shared" si="8"/>
        <v>1.7406095959507213E-2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2.75" x14ac:dyDescent="0.2">
      <c r="A61" s="6">
        <v>41992</v>
      </c>
      <c r="B61" s="11">
        <v>422078896.38999999</v>
      </c>
      <c r="C61" s="20">
        <v>0</v>
      </c>
      <c r="D61" s="20">
        <v>0</v>
      </c>
      <c r="E61" s="10">
        <f t="shared" si="0"/>
        <v>0</v>
      </c>
      <c r="F61" s="11">
        <v>422078896.38999999</v>
      </c>
      <c r="G61" s="11">
        <v>426361161.00999999</v>
      </c>
      <c r="H61" s="11">
        <v>571934.06999999995</v>
      </c>
      <c r="I61" s="11">
        <v>425789226.94</v>
      </c>
      <c r="J61" s="12">
        <f t="shared" si="1"/>
        <v>3710330.5500000119</v>
      </c>
      <c r="K61" s="13">
        <f t="shared" si="2"/>
        <v>8.7906090110974767E-3</v>
      </c>
      <c r="L61" s="18">
        <f t="shared" si="4"/>
        <v>3710330.5500000119</v>
      </c>
      <c r="M61" s="13">
        <f t="shared" si="5"/>
        <v>8.7906090110974056E-3</v>
      </c>
      <c r="N61" s="13">
        <f t="shared" si="3"/>
        <v>8.7906090110974767E-3</v>
      </c>
      <c r="O61" s="13">
        <f t="shared" si="6"/>
        <v>1.2432579083775375E-2</v>
      </c>
      <c r="P61" s="23">
        <f t="shared" si="7"/>
        <v>5873890.9399999976</v>
      </c>
      <c r="Q61" s="22">
        <f t="shared" si="8"/>
        <v>1.3988274388721057E-2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2.75" x14ac:dyDescent="0.2">
      <c r="A62" s="6">
        <v>42005</v>
      </c>
      <c r="B62" s="11">
        <v>425789227.19999999</v>
      </c>
      <c r="C62" s="8">
        <v>800000</v>
      </c>
      <c r="D62" s="8">
        <v>15235000</v>
      </c>
      <c r="E62" s="10">
        <f t="shared" si="0"/>
        <v>-14435000</v>
      </c>
      <c r="F62" s="11">
        <v>411354227.19999999</v>
      </c>
      <c r="G62" s="11">
        <v>412388833.93000001</v>
      </c>
      <c r="H62" s="11">
        <v>554795.46</v>
      </c>
      <c r="I62" s="11">
        <v>411834038.47000003</v>
      </c>
      <c r="J62" s="12">
        <f t="shared" si="1"/>
        <v>479811.27000004053</v>
      </c>
      <c r="K62" s="13">
        <f t="shared" si="2"/>
        <v>1.1664187171869192E-3</v>
      </c>
      <c r="L62" s="18">
        <f t="shared" si="4"/>
        <v>-13955188.729999959</v>
      </c>
      <c r="M62" s="13">
        <f t="shared" si="5"/>
        <v>-3.277487507556176E-2</v>
      </c>
      <c r="N62" s="13">
        <f t="shared" si="3"/>
        <v>1.1664187171869192E-3</v>
      </c>
      <c r="O62" s="13">
        <f t="shared" si="6"/>
        <v>1.5287562802741128E-2</v>
      </c>
      <c r="P62" s="23">
        <f t="shared" si="7"/>
        <v>15583028.330000043</v>
      </c>
      <c r="Q62" s="22">
        <f t="shared" si="8"/>
        <v>3.9326154208400334E-2</v>
      </c>
      <c r="R62" s="23">
        <f t="shared" ref="R62:R74" si="9">(I62-$B$62)</f>
        <v>-13955188.729999959</v>
      </c>
      <c r="S62" s="22">
        <f t="shared" ref="S62:S74" si="10">R62/$B$62</f>
        <v>-3.2774875075561705E-2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2.75" x14ac:dyDescent="0.2">
      <c r="A63" s="6">
        <v>42037</v>
      </c>
      <c r="B63" s="11">
        <v>411834038.47000003</v>
      </c>
      <c r="C63" s="8">
        <v>10500000</v>
      </c>
      <c r="D63" s="20">
        <v>0</v>
      </c>
      <c r="E63" s="10">
        <f t="shared" si="0"/>
        <v>10500000</v>
      </c>
      <c r="F63" s="11">
        <v>422334038.47000003</v>
      </c>
      <c r="G63" s="11">
        <v>419815545.75999999</v>
      </c>
      <c r="H63" s="11">
        <v>570628.80000000005</v>
      </c>
      <c r="I63" s="11">
        <v>419244916.95999998</v>
      </c>
      <c r="J63" s="12">
        <f t="shared" si="1"/>
        <v>-3089121.5100000501</v>
      </c>
      <c r="K63" s="13">
        <f t="shared" si="2"/>
        <v>-7.3144033599353894E-3</v>
      </c>
      <c r="L63" s="18">
        <f t="shared" si="4"/>
        <v>7410878.4899999499</v>
      </c>
      <c r="M63" s="13">
        <f t="shared" si="5"/>
        <v>1.7994817809455554E-2</v>
      </c>
      <c r="N63" s="13">
        <f t="shared" si="3"/>
        <v>-7.3144033599353894E-3</v>
      </c>
      <c r="O63" s="13">
        <f t="shared" si="6"/>
        <v>2.579973183703288E-3</v>
      </c>
      <c r="P63" s="23">
        <f t="shared" si="7"/>
        <v>15220547.379999995</v>
      </c>
      <c r="Q63" s="22">
        <f t="shared" si="8"/>
        <v>3.7672349803608091E-2</v>
      </c>
      <c r="R63" s="23">
        <f t="shared" si="9"/>
        <v>-6544310.2400000095</v>
      </c>
      <c r="S63" s="22">
        <f t="shared" si="10"/>
        <v>-1.5369835171818573E-2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2.75" x14ac:dyDescent="0.2">
      <c r="A64" s="6">
        <v>42069</v>
      </c>
      <c r="B64" s="11">
        <v>419244916.95999998</v>
      </c>
      <c r="C64" s="20">
        <v>0</v>
      </c>
      <c r="D64" s="20">
        <v>0</v>
      </c>
      <c r="E64" s="10">
        <f t="shared" si="0"/>
        <v>0</v>
      </c>
      <c r="F64" s="11">
        <v>419244916.95999998</v>
      </c>
      <c r="G64" s="11">
        <v>423216281.08999997</v>
      </c>
      <c r="H64" s="11">
        <v>570628.80000000005</v>
      </c>
      <c r="I64" s="11">
        <v>422645652.29000002</v>
      </c>
      <c r="J64" s="12">
        <f t="shared" si="1"/>
        <v>3400735.3300000429</v>
      </c>
      <c r="K64" s="13">
        <f t="shared" si="2"/>
        <v>8.1115720010613897E-3</v>
      </c>
      <c r="L64" s="18">
        <f t="shared" si="4"/>
        <v>3400735.3300000429</v>
      </c>
      <c r="M64" s="13">
        <f t="shared" si="5"/>
        <v>8.1115720010613845E-3</v>
      </c>
      <c r="N64" s="13">
        <f t="shared" si="3"/>
        <v>8.1115720010613897E-3</v>
      </c>
      <c r="O64" s="13">
        <f t="shared" si="6"/>
        <v>1.9051166760877258E-3</v>
      </c>
      <c r="P64" s="23">
        <f t="shared" si="7"/>
        <v>12836420.050000012</v>
      </c>
      <c r="Q64" s="22">
        <f t="shared" si="8"/>
        <v>3.1322915737736511E-2</v>
      </c>
      <c r="R64" s="23">
        <f t="shared" si="9"/>
        <v>-3143574.9099999666</v>
      </c>
      <c r="S64" s="22">
        <f t="shared" si="10"/>
        <v>-7.3829366953978371E-3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2.75" x14ac:dyDescent="0.2">
      <c r="A65" s="6">
        <v>42101</v>
      </c>
      <c r="B65" s="11">
        <v>422645652.29000002</v>
      </c>
      <c r="C65" s="8">
        <v>2500000</v>
      </c>
      <c r="D65" s="8">
        <v>31330255.77</v>
      </c>
      <c r="E65" s="10">
        <f t="shared" si="0"/>
        <v>-28830255.77</v>
      </c>
      <c r="F65" s="11">
        <v>393815396.51999998</v>
      </c>
      <c r="G65" s="11">
        <v>390176195.29000002</v>
      </c>
      <c r="H65" s="11">
        <v>528092.04</v>
      </c>
      <c r="I65" s="11">
        <v>389648103.25</v>
      </c>
      <c r="J65" s="12">
        <f t="shared" si="1"/>
        <v>-4167293.2699999809</v>
      </c>
      <c r="K65" s="13">
        <f t="shared" si="2"/>
        <v>-1.05818444551046E-2</v>
      </c>
      <c r="L65" s="18">
        <f t="shared" si="4"/>
        <v>-32997549.040000021</v>
      </c>
      <c r="M65" s="13">
        <f t="shared" si="5"/>
        <v>-7.8073792694213329E-2</v>
      </c>
      <c r="N65" s="13">
        <f t="shared" si="3"/>
        <v>-1.05818444551046E-2</v>
      </c>
      <c r="O65" s="13">
        <f t="shared" si="6"/>
        <v>-9.8518148033538422E-3</v>
      </c>
      <c r="P65" s="23">
        <f t="shared" si="7"/>
        <v>-6380218.5600000024</v>
      </c>
      <c r="Q65" s="22">
        <f t="shared" si="8"/>
        <v>-1.6110510811044972E-2</v>
      </c>
      <c r="R65" s="23">
        <f t="shared" si="9"/>
        <v>-36141123.949999988</v>
      </c>
      <c r="S65" s="22">
        <f t="shared" si="10"/>
        <v>-8.4880315520580146E-2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2.75" x14ac:dyDescent="0.2">
      <c r="A66" s="6">
        <v>42133</v>
      </c>
      <c r="B66" s="11">
        <v>389648103.25</v>
      </c>
      <c r="C66" s="8">
        <v>1500000</v>
      </c>
      <c r="D66" s="20">
        <v>0</v>
      </c>
      <c r="E66" s="10">
        <f t="shared" si="0"/>
        <v>1500000</v>
      </c>
      <c r="F66" s="11">
        <v>391148103.25</v>
      </c>
      <c r="G66" s="11">
        <v>385438708.55000001</v>
      </c>
      <c r="H66" s="11">
        <v>529967.04</v>
      </c>
      <c r="I66" s="11">
        <v>384908741.50999999</v>
      </c>
      <c r="J66" s="12">
        <f t="shared" si="1"/>
        <v>-6239361.7400000095</v>
      </c>
      <c r="K66" s="13">
        <f t="shared" si="2"/>
        <v>-1.5951404821237643E-2</v>
      </c>
      <c r="L66" s="18">
        <f t="shared" si="4"/>
        <v>-4739361.7400000095</v>
      </c>
      <c r="M66" s="13">
        <f t="shared" si="5"/>
        <v>-1.2163184423251816E-2</v>
      </c>
      <c r="N66" s="13">
        <f t="shared" si="3"/>
        <v>-1.5951404821237643E-2</v>
      </c>
      <c r="O66" s="13">
        <f t="shared" si="6"/>
        <v>-1.8466739157444345E-2</v>
      </c>
      <c r="P66" s="23">
        <f t="shared" si="7"/>
        <v>-27087134.040000021</v>
      </c>
      <c r="Q66" s="22">
        <f t="shared" si="8"/>
        <v>-6.574612914228728E-2</v>
      </c>
      <c r="R66" s="23">
        <f t="shared" si="9"/>
        <v>-40880485.689999998</v>
      </c>
      <c r="S66" s="22">
        <f t="shared" si="10"/>
        <v>-9.6011085012251335E-2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2.75" x14ac:dyDescent="0.2">
      <c r="A67" s="6">
        <v>42165</v>
      </c>
      <c r="B67" s="11">
        <v>384908741.50999999</v>
      </c>
      <c r="C67" s="20">
        <v>0</v>
      </c>
      <c r="D67" s="20">
        <v>0</v>
      </c>
      <c r="E67" s="10">
        <f t="shared" si="0"/>
        <v>0</v>
      </c>
      <c r="F67" s="11">
        <v>384908741.50999999</v>
      </c>
      <c r="G67" s="11">
        <v>381989180.05000001</v>
      </c>
      <c r="H67" s="11">
        <v>529967.04</v>
      </c>
      <c r="I67" s="11">
        <v>381459213.00999999</v>
      </c>
      <c r="J67" s="12">
        <f t="shared" si="1"/>
        <v>-3449528.5</v>
      </c>
      <c r="K67" s="13">
        <f t="shared" si="2"/>
        <v>-8.9619385791745668E-3</v>
      </c>
      <c r="L67" s="18">
        <f t="shared" si="4"/>
        <v>-3449528.5</v>
      </c>
      <c r="M67" s="13">
        <f t="shared" si="5"/>
        <v>-8.9619385791745998E-3</v>
      </c>
      <c r="N67" s="13">
        <f t="shared" si="3"/>
        <v>-8.9619385791745668E-3</v>
      </c>
      <c r="O67" s="13">
        <f t="shared" si="6"/>
        <v>-3.5090115953511192E-2</v>
      </c>
      <c r="P67" s="23">
        <f t="shared" si="7"/>
        <v>-35475054.939999998</v>
      </c>
      <c r="Q67" s="22">
        <f t="shared" si="8"/>
        <v>-8.5085486291221021E-2</v>
      </c>
      <c r="R67" s="23">
        <f t="shared" si="9"/>
        <v>-44330014.189999998</v>
      </c>
      <c r="S67" s="22">
        <f t="shared" si="10"/>
        <v>-0.1041125781446262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2.75" x14ac:dyDescent="0.2">
      <c r="A68" s="6">
        <v>42197</v>
      </c>
      <c r="B68" s="11">
        <v>381459213.00999999</v>
      </c>
      <c r="C68" s="20">
        <v>0</v>
      </c>
      <c r="D68" s="8">
        <v>23828528.489999998</v>
      </c>
      <c r="E68" s="10">
        <f t="shared" si="0"/>
        <v>-23828528.489999998</v>
      </c>
      <c r="F68" s="11">
        <v>357630684.51999998</v>
      </c>
      <c r="G68" s="11">
        <v>358751611.20999998</v>
      </c>
      <c r="H68" s="11">
        <v>477115.58</v>
      </c>
      <c r="I68" s="11">
        <v>358274495.63</v>
      </c>
      <c r="J68" s="12">
        <f t="shared" si="1"/>
        <v>643811.11000001431</v>
      </c>
      <c r="K68" s="13">
        <f t="shared" si="2"/>
        <v>1.8002121682151413E-3</v>
      </c>
      <c r="L68" s="18">
        <f t="shared" si="4"/>
        <v>-23184717.379999995</v>
      </c>
      <c r="M68" s="13">
        <f t="shared" si="5"/>
        <v>-6.077902063776397E-2</v>
      </c>
      <c r="N68" s="13">
        <f t="shared" si="3"/>
        <v>1.8002121682151413E-3</v>
      </c>
      <c r="O68" s="13">
        <f t="shared" si="6"/>
        <v>-2.3014767675628822E-2</v>
      </c>
      <c r="P68" s="23">
        <f t="shared" si="7"/>
        <v>-62648978.790000021</v>
      </c>
      <c r="Q68" s="22">
        <f t="shared" si="8"/>
        <v>-0.14883698010980612</v>
      </c>
      <c r="R68" s="23">
        <f t="shared" si="9"/>
        <v>-67514731.569999993</v>
      </c>
      <c r="S68" s="22">
        <f t="shared" si="10"/>
        <v>-0.15856373824668712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2.75" x14ac:dyDescent="0.2">
      <c r="A69" s="6">
        <v>42229</v>
      </c>
      <c r="B69" s="11">
        <v>358274495.63</v>
      </c>
      <c r="C69" s="20">
        <v>0</v>
      </c>
      <c r="D69" s="20">
        <v>0</v>
      </c>
      <c r="E69" s="10">
        <f t="shared" si="0"/>
        <v>0</v>
      </c>
      <c r="F69" s="11">
        <v>358274495.63</v>
      </c>
      <c r="G69" s="11">
        <v>358104206.19999999</v>
      </c>
      <c r="H69" s="11">
        <v>477115.58</v>
      </c>
      <c r="I69" s="11">
        <v>357627090.62</v>
      </c>
      <c r="J69" s="12">
        <f t="shared" si="1"/>
        <v>-647405.00999999046</v>
      </c>
      <c r="K69" s="13">
        <f t="shared" si="2"/>
        <v>-1.8070083634102261E-3</v>
      </c>
      <c r="L69" s="18">
        <f t="shared" si="4"/>
        <v>-647405.00999999046</v>
      </c>
      <c r="M69" s="13">
        <f t="shared" si="5"/>
        <v>-1.8070083634101897E-3</v>
      </c>
      <c r="N69" s="13">
        <f t="shared" si="3"/>
        <v>-1.8070083634102261E-3</v>
      </c>
      <c r="O69" s="13">
        <f t="shared" si="6"/>
        <v>-8.9718977125572419E-3</v>
      </c>
      <c r="P69" s="23">
        <f t="shared" si="7"/>
        <v>-73917599.920000017</v>
      </c>
      <c r="Q69" s="22">
        <f t="shared" si="8"/>
        <v>-0.17128608355140584</v>
      </c>
      <c r="R69" s="23">
        <f t="shared" si="9"/>
        <v>-68162136.579999983</v>
      </c>
      <c r="S69" s="22">
        <f t="shared" si="10"/>
        <v>-0.160084220608952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2.75" x14ac:dyDescent="0.2">
      <c r="A70" s="6">
        <v>42261</v>
      </c>
      <c r="B70" s="11">
        <f t="shared" ref="B70:B74" si="11">I69</f>
        <v>357627090.62</v>
      </c>
      <c r="C70" s="20">
        <v>0</v>
      </c>
      <c r="D70" s="20">
        <v>0</v>
      </c>
      <c r="E70" s="10">
        <f t="shared" si="0"/>
        <v>0</v>
      </c>
      <c r="F70" s="11">
        <f t="shared" ref="F70:F74" si="12">B70+E70</f>
        <v>357627090.62</v>
      </c>
      <c r="G70" s="7">
        <v>357449566.74000001</v>
      </c>
      <c r="H70" s="7">
        <v>477115.58</v>
      </c>
      <c r="I70" s="11">
        <f t="shared" ref="I70:I74" si="13">G70-H70</f>
        <v>356972451.16000003</v>
      </c>
      <c r="J70" s="12">
        <f t="shared" si="1"/>
        <v>-654639.45999997854</v>
      </c>
      <c r="K70" s="13">
        <f t="shared" si="2"/>
        <v>-1.8305085860947034E-3</v>
      </c>
      <c r="L70" s="18">
        <f t="shared" si="4"/>
        <v>-654639.45999997854</v>
      </c>
      <c r="M70" s="13">
        <f t="shared" si="5"/>
        <v>-1.8305085860946813E-3</v>
      </c>
      <c r="N70" s="13">
        <f t="shared" si="3"/>
        <v>-1.8305085860947034E-3</v>
      </c>
      <c r="O70" s="13">
        <f t="shared" si="6"/>
        <v>-1.840539384598272E-3</v>
      </c>
      <c r="P70" s="23">
        <f t="shared" si="7"/>
        <v>-75278448.829999983</v>
      </c>
      <c r="Q70" s="22">
        <f t="shared" si="8"/>
        <v>-0.1741545219032315</v>
      </c>
      <c r="R70" s="23">
        <f t="shared" si="9"/>
        <v>-68816776.039999962</v>
      </c>
      <c r="S70" s="22">
        <f t="shared" si="10"/>
        <v>-0.16162169365472373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2.75" x14ac:dyDescent="0.2">
      <c r="A71" s="6">
        <v>42293</v>
      </c>
      <c r="B71" s="11">
        <f t="shared" si="11"/>
        <v>356972451.16000003</v>
      </c>
      <c r="C71" s="20">
        <v>0</v>
      </c>
      <c r="D71" s="8">
        <v>59970210.969999999</v>
      </c>
      <c r="E71" s="10">
        <f t="shared" si="0"/>
        <v>-59970210.969999999</v>
      </c>
      <c r="F71" s="11">
        <f t="shared" si="12"/>
        <v>297002240.19000006</v>
      </c>
      <c r="G71" s="7">
        <v>295450075.57999998</v>
      </c>
      <c r="H71" s="24">
        <v>388853.87</v>
      </c>
      <c r="I71" s="11">
        <f t="shared" si="13"/>
        <v>295061221.70999998</v>
      </c>
      <c r="J71" s="12">
        <f t="shared" si="1"/>
        <v>-1941018.4800000787</v>
      </c>
      <c r="K71" s="13">
        <f t="shared" si="2"/>
        <v>-6.5353664630891624E-3</v>
      </c>
      <c r="L71" s="18">
        <f t="shared" si="4"/>
        <v>-61911229.450000048</v>
      </c>
      <c r="M71" s="13">
        <f t="shared" si="5"/>
        <v>-0.17343419428814855</v>
      </c>
      <c r="N71" s="13">
        <f t="shared" si="3"/>
        <v>-6.5353664630891624E-3</v>
      </c>
      <c r="O71" s="13">
        <f t="shared" si="6"/>
        <v>-1.0145824779310364E-2</v>
      </c>
      <c r="P71" s="23">
        <f t="shared" si="7"/>
        <v>-124805908.63</v>
      </c>
      <c r="Q71" s="22">
        <f t="shared" si="8"/>
        <v>-0.29725096253411093</v>
      </c>
      <c r="R71" s="23">
        <f t="shared" si="9"/>
        <v>-130728005.49000001</v>
      </c>
      <c r="S71" s="22">
        <f t="shared" si="10"/>
        <v>-0.30702515972437927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2.75" x14ac:dyDescent="0.2">
      <c r="A72" s="6">
        <v>42325</v>
      </c>
      <c r="B72" s="11">
        <f t="shared" si="11"/>
        <v>295061221.70999998</v>
      </c>
      <c r="C72" s="20">
        <v>0</v>
      </c>
      <c r="D72" s="8">
        <v>0</v>
      </c>
      <c r="E72" s="10">
        <f>C72-D719</f>
        <v>0</v>
      </c>
      <c r="F72" s="11">
        <f t="shared" si="12"/>
        <v>295061221.70999998</v>
      </c>
      <c r="G72" s="7">
        <v>295850379.95999998</v>
      </c>
      <c r="H72" s="24">
        <v>388853.87</v>
      </c>
      <c r="I72" s="11">
        <f>G72-H72</f>
        <v>295461526.08999997</v>
      </c>
      <c r="J72" s="12">
        <f t="shared" si="1"/>
        <v>400304.37999999523</v>
      </c>
      <c r="K72" s="13">
        <f t="shared" si="2"/>
        <v>1.3566824460363456E-3</v>
      </c>
      <c r="L72" s="18">
        <f t="shared" si="4"/>
        <v>400304.37999999523</v>
      </c>
      <c r="M72" s="13">
        <f t="shared" si="5"/>
        <v>1.3566824460362614E-3</v>
      </c>
      <c r="N72" s="13">
        <f t="shared" si="3"/>
        <v>1.3566824460363456E-3</v>
      </c>
      <c r="O72" s="13">
        <f t="shared" si="6"/>
        <v>-7.0085631644961621E-3</v>
      </c>
      <c r="P72" s="23">
        <f t="shared" si="7"/>
        <v>-126617370.30000001</v>
      </c>
      <c r="Q72" s="22">
        <f t="shared" si="8"/>
        <v>-0.29998507715724748</v>
      </c>
      <c r="R72" s="23">
        <f t="shared" si="9"/>
        <v>-130327701.11000001</v>
      </c>
      <c r="S72" s="22">
        <f t="shared" si="10"/>
        <v>-0.30608501292303247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2.75" x14ac:dyDescent="0.2">
      <c r="A73" s="6">
        <v>42357</v>
      </c>
      <c r="B73" s="25">
        <f t="shared" si="11"/>
        <v>295461526.08999997</v>
      </c>
      <c r="C73" s="20">
        <v>0</v>
      </c>
      <c r="D73" s="20">
        <v>0</v>
      </c>
      <c r="E73" s="26">
        <f t="shared" ref="E73:E74" si="14">C73-D73</f>
        <v>0</v>
      </c>
      <c r="F73" s="27">
        <f t="shared" si="12"/>
        <v>295461526.08999997</v>
      </c>
      <c r="G73" s="25">
        <v>292022376</v>
      </c>
      <c r="H73" s="24">
        <v>388853.87</v>
      </c>
      <c r="I73" s="25">
        <f t="shared" si="13"/>
        <v>291633522.13</v>
      </c>
      <c r="J73" s="12">
        <f t="shared" si="1"/>
        <v>-3828003.9599999785</v>
      </c>
      <c r="K73" s="13">
        <f t="shared" si="2"/>
        <v>-1.2956014986648169E-2</v>
      </c>
      <c r="L73" s="18">
        <f t="shared" si="4"/>
        <v>-3828003.9599999785</v>
      </c>
      <c r="M73" s="13">
        <f t="shared" si="5"/>
        <v>-1.2956014986648223E-2</v>
      </c>
      <c r="N73" s="13">
        <f t="shared" si="3"/>
        <v>-1.2956014986648169E-2</v>
      </c>
      <c r="O73" s="13">
        <f t="shared" si="6"/>
        <v>-1.807635543949293E-2</v>
      </c>
      <c r="P73" s="23">
        <f t="shared" si="7"/>
        <v>-134155704.81</v>
      </c>
      <c r="Q73" s="22">
        <f t="shared" si="8"/>
        <v>-0.31507538547682545</v>
      </c>
      <c r="R73" s="23">
        <f t="shared" si="9"/>
        <v>-134155705.06999999</v>
      </c>
      <c r="S73" s="22">
        <f t="shared" si="10"/>
        <v>-0.31507538589506145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2.75" x14ac:dyDescent="0.2">
      <c r="A74" s="28">
        <v>42370</v>
      </c>
      <c r="B74" s="25">
        <f>I73</f>
        <v>291633522.13</v>
      </c>
      <c r="C74" s="20">
        <v>0</v>
      </c>
      <c r="D74" s="29">
        <v>53181578.369999997</v>
      </c>
      <c r="E74" s="10">
        <f t="shared" si="14"/>
        <v>-53181578.369999997</v>
      </c>
      <c r="F74" s="11">
        <f t="shared" si="12"/>
        <v>238451943.75999999</v>
      </c>
      <c r="G74" s="7">
        <f>F74</f>
        <v>238451943.75999999</v>
      </c>
      <c r="H74" s="24">
        <v>388853.87</v>
      </c>
      <c r="I74" s="25">
        <f t="shared" si="13"/>
        <v>238063089.88999999</v>
      </c>
      <c r="J74" s="12">
        <f t="shared" si="1"/>
        <v>-388853.87000000477</v>
      </c>
      <c r="K74" s="13">
        <f t="shared" si="2"/>
        <v>-1.6307431336830835E-3</v>
      </c>
      <c r="L74" s="18">
        <f t="shared" si="4"/>
        <v>-53570432.24000001</v>
      </c>
      <c r="M74" s="13">
        <f t="shared" si="5"/>
        <v>-0.1836909277395079</v>
      </c>
      <c r="N74" s="13">
        <f t="shared" si="3"/>
        <v>-1.6307431336830835E-3</v>
      </c>
      <c r="O74" s="13">
        <f t="shared" si="6"/>
        <v>-1.322870867660686E-2</v>
      </c>
      <c r="P74" s="23">
        <f t="shared" si="7"/>
        <v>-173770948.58000004</v>
      </c>
      <c r="Q74" s="22">
        <f t="shared" si="8"/>
        <v>-0.42194411424945477</v>
      </c>
      <c r="R74" s="23">
        <f t="shared" si="9"/>
        <v>-187726137.31</v>
      </c>
      <c r="S74" s="22">
        <f t="shared" si="10"/>
        <v>-0.44088982369162205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2.75" x14ac:dyDescent="0.2">
      <c r="E75" s="5"/>
      <c r="J75" s="5"/>
      <c r="K75" s="5"/>
      <c r="L75" s="5"/>
      <c r="M75" s="5"/>
      <c r="N75" s="5"/>
      <c r="O75" s="22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2.75" x14ac:dyDescent="0.2">
      <c r="J76" s="5"/>
      <c r="K76" s="5"/>
      <c r="L76" s="5"/>
      <c r="M76" s="5"/>
      <c r="N76" s="5"/>
      <c r="O76" s="22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2.75" x14ac:dyDescent="0.2">
      <c r="A77" s="30"/>
      <c r="B77" s="20"/>
      <c r="J77" s="5"/>
      <c r="K77" s="5"/>
      <c r="L77" s="5"/>
      <c r="M77" s="5"/>
      <c r="N77" s="5"/>
      <c r="O77" s="22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2.75" x14ac:dyDescent="0.2">
      <c r="A78" s="31"/>
      <c r="B78" s="32"/>
      <c r="J78" s="5"/>
      <c r="K78" s="5"/>
      <c r="L78" s="5"/>
      <c r="M78" s="5"/>
      <c r="N78" s="5"/>
      <c r="O78" s="22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2.75" x14ac:dyDescent="0.2">
      <c r="A79" s="31"/>
      <c r="B79" s="32"/>
      <c r="J79" s="5"/>
      <c r="K79" s="5"/>
      <c r="L79" s="5"/>
      <c r="M79" s="5"/>
      <c r="N79" s="5"/>
      <c r="O79" s="22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2.75" x14ac:dyDescent="0.2">
      <c r="A80" s="31"/>
      <c r="B80" s="32"/>
      <c r="J80" s="5"/>
      <c r="K80" s="5"/>
      <c r="L80" s="5"/>
      <c r="M80" s="5"/>
      <c r="N80" s="5"/>
      <c r="O80" s="22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2.75" x14ac:dyDescent="0.2">
      <c r="A81" s="31"/>
      <c r="B81" s="32"/>
      <c r="C81" s="33"/>
      <c r="D81" s="34"/>
      <c r="E81" s="5"/>
      <c r="F81" s="5"/>
      <c r="G81" s="5"/>
      <c r="H81" s="5"/>
      <c r="I81" s="5"/>
      <c r="J81" s="5"/>
      <c r="K81" s="5"/>
      <c r="L81" s="5"/>
      <c r="M81" s="5"/>
      <c r="N81" s="5"/>
      <c r="O81" s="22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2.75" x14ac:dyDescent="0.2">
      <c r="A82" s="35"/>
      <c r="B82" s="32"/>
      <c r="C82" s="33"/>
      <c r="D82" s="34"/>
      <c r="E82" s="5"/>
      <c r="F82" s="5"/>
      <c r="G82" s="5"/>
      <c r="H82" s="5"/>
      <c r="I82" s="5"/>
      <c r="J82" s="5"/>
      <c r="K82" s="5"/>
      <c r="L82" s="5"/>
      <c r="M82" s="5"/>
      <c r="N82" s="5"/>
      <c r="O82" s="22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2.75" x14ac:dyDescent="0.2">
      <c r="A83" s="35"/>
      <c r="B83" s="32"/>
      <c r="C83" s="33"/>
      <c r="D83" s="34"/>
      <c r="E83" s="5"/>
      <c r="F83" s="5"/>
      <c r="G83" s="5"/>
      <c r="H83" s="5"/>
      <c r="I83" s="5"/>
      <c r="J83" s="5"/>
      <c r="K83" s="5"/>
      <c r="L83" s="5"/>
      <c r="M83" s="5"/>
      <c r="N83" s="5"/>
      <c r="O83" s="22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2.75" x14ac:dyDescent="0.2">
      <c r="A84" s="35"/>
      <c r="B84" s="32"/>
      <c r="C84" s="30" t="s">
        <v>18</v>
      </c>
      <c r="D84" s="34"/>
      <c r="E84" s="5"/>
      <c r="F84" s="5"/>
      <c r="G84" s="5"/>
      <c r="H84" s="5"/>
      <c r="I84" s="5"/>
      <c r="J84" s="5"/>
      <c r="K84" s="5"/>
      <c r="L84" s="5"/>
      <c r="M84" s="5"/>
      <c r="N84" s="5"/>
      <c r="O84" s="22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2.75" x14ac:dyDescent="0.2">
      <c r="A85" s="35"/>
      <c r="B85" s="20"/>
      <c r="E85" s="5"/>
      <c r="J85" s="5"/>
      <c r="K85" s="5"/>
      <c r="L85" s="5"/>
      <c r="M85" s="5"/>
      <c r="N85" s="5"/>
      <c r="O85" s="22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2.75" x14ac:dyDescent="0.2">
      <c r="A86" s="35"/>
      <c r="B86" s="20"/>
      <c r="C86" s="36" t="s">
        <v>19</v>
      </c>
      <c r="D86" s="36" t="s">
        <v>20</v>
      </c>
      <c r="E86" s="52" t="s">
        <v>16</v>
      </c>
      <c r="F86" s="53"/>
      <c r="G86" s="37">
        <v>42004</v>
      </c>
      <c r="J86" s="5"/>
      <c r="K86" s="5"/>
      <c r="L86" s="5"/>
      <c r="M86" s="5"/>
      <c r="N86" s="5"/>
      <c r="O86" s="22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2.75" x14ac:dyDescent="0.2">
      <c r="A87" s="35"/>
      <c r="B87" s="38">
        <v>2015</v>
      </c>
      <c r="C87" s="39">
        <f>SUM(E62:E73)</f>
        <v>-115063995.22999999</v>
      </c>
      <c r="D87" s="40">
        <f>C87+3000000</f>
        <v>-112063995.22999999</v>
      </c>
      <c r="E87" s="54">
        <f t="shared" ref="E87:E88" si="15">D87/G87</f>
        <v>-0.21232717428606127</v>
      </c>
      <c r="F87" s="53"/>
      <c r="G87" s="41">
        <f>B62+102000000</f>
        <v>527789227.19999999</v>
      </c>
      <c r="H87" s="5"/>
      <c r="I87" s="5"/>
      <c r="J87" s="5"/>
      <c r="K87" s="5"/>
      <c r="L87" s="5"/>
      <c r="M87" s="5"/>
      <c r="N87" s="5"/>
      <c r="O87" s="22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2.75" x14ac:dyDescent="0.2">
      <c r="A88" s="42"/>
      <c r="B88" s="38">
        <v>2016</v>
      </c>
      <c r="C88" s="39">
        <f>E74</f>
        <v>-53181578.369999997</v>
      </c>
      <c r="D88" s="40">
        <f>C88</f>
        <v>-53181578.369999997</v>
      </c>
      <c r="E88" s="54">
        <f t="shared" si="15"/>
        <v>-0.13307586932784918</v>
      </c>
      <c r="F88" s="53"/>
      <c r="G88" s="41">
        <f>B74+105000000+3000000</f>
        <v>399633522.13</v>
      </c>
      <c r="H88" s="5"/>
      <c r="I88" s="5"/>
      <c r="J88" s="5"/>
      <c r="K88" s="5"/>
      <c r="L88" s="5"/>
      <c r="M88" s="5"/>
      <c r="N88" s="5"/>
      <c r="O88" s="22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2.75" x14ac:dyDescent="0.2">
      <c r="A89" s="34"/>
      <c r="B89" s="32"/>
      <c r="C89" s="43"/>
      <c r="D89" s="35"/>
      <c r="E89" s="5"/>
      <c r="F89" s="5"/>
      <c r="G89" s="5"/>
      <c r="H89" s="5"/>
      <c r="I89" s="5"/>
      <c r="J89" s="5"/>
      <c r="K89" s="5"/>
      <c r="L89" s="5"/>
      <c r="M89" s="5"/>
      <c r="N89" s="5"/>
      <c r="O89" s="22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2.75" x14ac:dyDescent="0.2">
      <c r="B90" s="44"/>
      <c r="C90" s="43"/>
      <c r="D90" s="45"/>
      <c r="E90" s="5"/>
      <c r="F90" s="5"/>
      <c r="G90" s="5"/>
      <c r="H90" s="5"/>
      <c r="I90" s="5"/>
      <c r="J90" s="5"/>
      <c r="K90" s="5"/>
      <c r="L90" s="5"/>
      <c r="M90" s="5"/>
      <c r="N90" s="5"/>
      <c r="O90" s="22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2.75" x14ac:dyDescent="0.2">
      <c r="B91" s="44"/>
      <c r="C91" s="43"/>
      <c r="D91" s="45"/>
      <c r="E91" s="5"/>
      <c r="F91" s="5"/>
      <c r="G91" s="5"/>
      <c r="H91" s="5"/>
      <c r="I91" s="5"/>
      <c r="J91" s="5"/>
      <c r="K91" s="5"/>
      <c r="L91" s="5"/>
      <c r="M91" s="5"/>
      <c r="N91" s="5"/>
      <c r="O91" s="22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2.75" x14ac:dyDescent="0.2">
      <c r="B92" s="44"/>
      <c r="C92" s="33"/>
      <c r="D92" s="45"/>
      <c r="E92" s="5"/>
      <c r="F92" s="5"/>
      <c r="G92" s="5"/>
      <c r="H92" s="5"/>
      <c r="I92" s="5"/>
      <c r="J92" s="5"/>
      <c r="K92" s="5"/>
      <c r="L92" s="5"/>
      <c r="M92" s="5"/>
      <c r="N92" s="5"/>
      <c r="O92" s="22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2.75" x14ac:dyDescent="0.2">
      <c r="C93" s="46"/>
      <c r="D93" s="45"/>
      <c r="E93" s="5"/>
      <c r="F93" s="5"/>
      <c r="G93" s="5"/>
      <c r="H93" s="5"/>
      <c r="I93" s="5"/>
      <c r="J93" s="5"/>
      <c r="K93" s="5"/>
      <c r="L93" s="5"/>
      <c r="M93" s="5"/>
      <c r="N93" s="5"/>
      <c r="O93" s="22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2.75" x14ac:dyDescent="0.2">
      <c r="C94" s="46"/>
      <c r="D94" s="45"/>
      <c r="E94" s="5"/>
      <c r="F94" s="5"/>
      <c r="G94" s="5"/>
      <c r="H94" s="5"/>
      <c r="I94" s="5"/>
      <c r="J94" s="5"/>
      <c r="K94" s="5"/>
      <c r="L94" s="5"/>
      <c r="M94" s="5"/>
      <c r="N94" s="5"/>
      <c r="O94" s="22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2.75" x14ac:dyDescent="0.2">
      <c r="C95" s="46"/>
      <c r="D95" s="45"/>
      <c r="E95" s="5"/>
      <c r="F95" s="5"/>
      <c r="G95" s="5"/>
      <c r="H95" s="5"/>
      <c r="I95" s="5"/>
      <c r="J95" s="5"/>
      <c r="K95" s="5"/>
      <c r="L95" s="5"/>
      <c r="M95" s="5"/>
      <c r="N95" s="5"/>
      <c r="O95" s="22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2.75" x14ac:dyDescent="0.2">
      <c r="C96" s="46"/>
      <c r="D96" s="45"/>
      <c r="E96" s="5"/>
      <c r="F96" s="5"/>
      <c r="G96" s="5"/>
      <c r="H96" s="5"/>
      <c r="I96" s="5"/>
      <c r="J96" s="5"/>
      <c r="K96" s="5"/>
      <c r="L96" s="5"/>
      <c r="M96" s="5"/>
      <c r="N96" s="5"/>
      <c r="O96" s="22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2.75" x14ac:dyDescent="0.2">
      <c r="A97" s="35"/>
      <c r="B97" s="47"/>
      <c r="C97" s="45"/>
      <c r="D97" s="34"/>
      <c r="E97" s="5"/>
      <c r="F97" s="5"/>
      <c r="G97" s="5"/>
      <c r="H97" s="5"/>
      <c r="I97" s="5"/>
      <c r="J97" s="5"/>
      <c r="K97" s="5"/>
      <c r="L97" s="5"/>
      <c r="M97" s="5"/>
      <c r="N97" s="5"/>
      <c r="O97" s="22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2.75" x14ac:dyDescent="0.2">
      <c r="A98" s="35"/>
      <c r="B98" s="20"/>
      <c r="C98" s="34"/>
      <c r="D98" s="34"/>
      <c r="E98" s="5"/>
      <c r="F98" s="5"/>
      <c r="G98" s="5"/>
      <c r="H98" s="5"/>
      <c r="I98" s="5"/>
      <c r="J98" s="5"/>
      <c r="K98" s="5"/>
      <c r="L98" s="5"/>
      <c r="M98" s="5"/>
      <c r="N98" s="5"/>
      <c r="O98" s="22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2.75" x14ac:dyDescent="0.2">
      <c r="A99" s="42"/>
      <c r="B99" s="48"/>
      <c r="C99" s="49"/>
      <c r="D99" s="34"/>
      <c r="E99" s="5"/>
      <c r="F99" s="5"/>
      <c r="G99" s="5"/>
      <c r="H99" s="5"/>
      <c r="I99" s="5"/>
      <c r="J99" s="5"/>
      <c r="K99" s="5"/>
      <c r="L99" s="5"/>
      <c r="M99" s="5"/>
      <c r="N99" s="5"/>
      <c r="O99" s="22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2.75" x14ac:dyDescent="0.2">
      <c r="A100" s="35"/>
      <c r="B100" s="50"/>
      <c r="C100" s="34"/>
      <c r="D100" s="3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22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2.75" x14ac:dyDescent="0.2">
      <c r="A101" s="34"/>
      <c r="B101" s="5"/>
      <c r="C101" s="51"/>
      <c r="D101" s="3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22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2.75" x14ac:dyDescent="0.2">
      <c r="A102" s="34"/>
      <c r="B102" s="5"/>
      <c r="C102" s="34"/>
      <c r="D102" s="3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22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2.75" x14ac:dyDescent="0.2">
      <c r="A103" s="34"/>
      <c r="B103" s="5"/>
      <c r="C103" s="34"/>
      <c r="D103" s="3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22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2.75" x14ac:dyDescent="0.2">
      <c r="A104" s="34"/>
      <c r="B104" s="5"/>
      <c r="C104" s="34"/>
      <c r="D104" s="3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22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2.75" x14ac:dyDescent="0.2">
      <c r="C105" s="34"/>
      <c r="D105" s="3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22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2.75" x14ac:dyDescent="0.2">
      <c r="C106" s="34"/>
      <c r="D106" s="3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22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2.75" x14ac:dyDescent="0.2">
      <c r="C107" s="34"/>
      <c r="D107" s="3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22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2.75" x14ac:dyDescent="0.2">
      <c r="A108" s="34"/>
      <c r="B108" s="5"/>
      <c r="C108" s="34"/>
      <c r="D108" s="3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22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2.75" x14ac:dyDescent="0.2">
      <c r="A109" s="34"/>
      <c r="B109" s="5"/>
      <c r="C109" s="34"/>
      <c r="D109" s="3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22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2.75" x14ac:dyDescent="0.2">
      <c r="A110" s="34"/>
      <c r="B110" s="5"/>
      <c r="C110" s="34"/>
      <c r="D110" s="3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22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2.75" x14ac:dyDescent="0.2">
      <c r="A111" s="34"/>
      <c r="B111" s="5"/>
      <c r="C111" s="34"/>
      <c r="D111" s="3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22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2.75" x14ac:dyDescent="0.2">
      <c r="A112" s="34"/>
      <c r="B112" s="5"/>
      <c r="C112" s="34"/>
      <c r="D112" s="3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22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2.75" x14ac:dyDescent="0.2">
      <c r="A113" s="34"/>
      <c r="B113" s="5"/>
      <c r="C113" s="34"/>
      <c r="D113" s="3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22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2.75" x14ac:dyDescent="0.2">
      <c r="A114" s="34"/>
      <c r="B114" s="5"/>
      <c r="C114" s="34"/>
      <c r="D114" s="3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22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2.75" x14ac:dyDescent="0.2">
      <c r="A115" s="34"/>
      <c r="B115" s="5"/>
      <c r="C115" s="34"/>
      <c r="D115" s="3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22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2.75" x14ac:dyDescent="0.2">
      <c r="A116" s="34"/>
      <c r="B116" s="5"/>
      <c r="C116" s="34"/>
      <c r="D116" s="3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22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2.75" x14ac:dyDescent="0.2">
      <c r="A117" s="34"/>
      <c r="B117" s="5"/>
      <c r="C117" s="34"/>
      <c r="D117" s="3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22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2.75" x14ac:dyDescent="0.2">
      <c r="A118" s="34"/>
      <c r="B118" s="5"/>
      <c r="C118" s="34"/>
      <c r="D118" s="3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22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2.75" x14ac:dyDescent="0.2">
      <c r="A119" s="34"/>
      <c r="B119" s="5"/>
      <c r="C119" s="34"/>
      <c r="D119" s="3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22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2.75" x14ac:dyDescent="0.2">
      <c r="A120" s="34"/>
      <c r="B120" s="5"/>
      <c r="C120" s="34"/>
      <c r="D120" s="3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22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2.75" x14ac:dyDescent="0.2">
      <c r="A121" s="34"/>
      <c r="B121" s="5"/>
      <c r="C121" s="34"/>
      <c r="D121" s="3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22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2.75" x14ac:dyDescent="0.2">
      <c r="A122" s="34"/>
      <c r="B122" s="5"/>
      <c r="C122" s="34"/>
      <c r="D122" s="3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22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2.75" x14ac:dyDescent="0.2">
      <c r="A123" s="34"/>
      <c r="B123" s="5"/>
      <c r="C123" s="34"/>
      <c r="D123" s="3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22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2.75" x14ac:dyDescent="0.2">
      <c r="A124" s="34"/>
      <c r="B124" s="5"/>
      <c r="C124" s="34"/>
      <c r="D124" s="3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22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2.75" x14ac:dyDescent="0.2">
      <c r="A125" s="34"/>
      <c r="B125" s="5"/>
      <c r="C125" s="34"/>
      <c r="D125" s="3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22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2.75" x14ac:dyDescent="0.2">
      <c r="A126" s="34"/>
      <c r="B126" s="5"/>
      <c r="C126" s="34"/>
      <c r="D126" s="3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22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2.75" x14ac:dyDescent="0.2">
      <c r="A127" s="34"/>
      <c r="B127" s="5"/>
      <c r="C127" s="34"/>
      <c r="D127" s="3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22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2.75" x14ac:dyDescent="0.2">
      <c r="A128" s="34"/>
      <c r="B128" s="5"/>
      <c r="C128" s="34"/>
      <c r="D128" s="3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22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2.75" x14ac:dyDescent="0.2">
      <c r="A129" s="34"/>
      <c r="B129" s="5"/>
      <c r="C129" s="34"/>
      <c r="D129" s="3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22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2.75" x14ac:dyDescent="0.2">
      <c r="A130" s="34"/>
      <c r="B130" s="5"/>
      <c r="C130" s="34"/>
      <c r="D130" s="3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22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2.75" x14ac:dyDescent="0.2">
      <c r="A131" s="34"/>
      <c r="B131" s="5"/>
      <c r="C131" s="34"/>
      <c r="D131" s="3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22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2.75" x14ac:dyDescent="0.2">
      <c r="A132" s="34"/>
      <c r="B132" s="5"/>
      <c r="C132" s="34"/>
      <c r="D132" s="3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22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2.75" x14ac:dyDescent="0.2">
      <c r="A133" s="34"/>
      <c r="B133" s="5"/>
      <c r="C133" s="34"/>
      <c r="D133" s="3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22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2.75" x14ac:dyDescent="0.2">
      <c r="A134" s="34"/>
      <c r="B134" s="5"/>
      <c r="C134" s="34"/>
      <c r="D134" s="3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22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2.75" x14ac:dyDescent="0.2">
      <c r="A135" s="34"/>
      <c r="B135" s="5"/>
      <c r="C135" s="34"/>
      <c r="D135" s="3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22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2.75" x14ac:dyDescent="0.2">
      <c r="A136" s="34"/>
      <c r="B136" s="5"/>
      <c r="C136" s="34"/>
      <c r="D136" s="3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22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2.75" x14ac:dyDescent="0.2">
      <c r="A137" s="34"/>
      <c r="B137" s="5"/>
      <c r="C137" s="34"/>
      <c r="D137" s="3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22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2.75" x14ac:dyDescent="0.2">
      <c r="A138" s="34"/>
      <c r="B138" s="5"/>
      <c r="C138" s="34"/>
      <c r="D138" s="3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22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2.75" x14ac:dyDescent="0.2">
      <c r="A139" s="34"/>
      <c r="B139" s="5"/>
      <c r="C139" s="34"/>
      <c r="D139" s="3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22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2.75" x14ac:dyDescent="0.2">
      <c r="A140" s="34"/>
      <c r="B140" s="5"/>
      <c r="C140" s="34"/>
      <c r="D140" s="3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22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2.75" x14ac:dyDescent="0.2">
      <c r="A141" s="34"/>
      <c r="B141" s="5"/>
      <c r="C141" s="34"/>
      <c r="D141" s="3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22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2.75" x14ac:dyDescent="0.2">
      <c r="A142" s="34"/>
      <c r="B142" s="5"/>
      <c r="C142" s="34"/>
      <c r="D142" s="3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22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2.75" x14ac:dyDescent="0.2">
      <c r="A143" s="34"/>
      <c r="B143" s="5"/>
      <c r="C143" s="34"/>
      <c r="D143" s="3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22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2.75" x14ac:dyDescent="0.2">
      <c r="A144" s="34"/>
      <c r="B144" s="5"/>
      <c r="C144" s="34"/>
      <c r="D144" s="3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22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2.75" x14ac:dyDescent="0.2">
      <c r="A145" s="34"/>
      <c r="B145" s="5"/>
      <c r="C145" s="34"/>
      <c r="D145" s="3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22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2.75" x14ac:dyDescent="0.2">
      <c r="A146" s="34"/>
      <c r="B146" s="5"/>
      <c r="C146" s="34"/>
      <c r="D146" s="3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22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2.75" x14ac:dyDescent="0.2">
      <c r="A147" s="34"/>
      <c r="B147" s="5"/>
      <c r="C147" s="34"/>
      <c r="D147" s="3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22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2.75" x14ac:dyDescent="0.2">
      <c r="A148" s="34"/>
      <c r="B148" s="5"/>
      <c r="C148" s="34"/>
      <c r="D148" s="3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22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2.75" x14ac:dyDescent="0.2">
      <c r="A149" s="34"/>
      <c r="B149" s="5"/>
      <c r="C149" s="34"/>
      <c r="D149" s="3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22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2.75" x14ac:dyDescent="0.2">
      <c r="A150" s="34"/>
      <c r="B150" s="5"/>
      <c r="C150" s="34"/>
      <c r="D150" s="3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22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2.75" x14ac:dyDescent="0.2">
      <c r="A151" s="34"/>
      <c r="B151" s="5"/>
      <c r="C151" s="34"/>
      <c r="D151" s="3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22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2.75" x14ac:dyDescent="0.2">
      <c r="A152" s="34"/>
      <c r="B152" s="5"/>
      <c r="C152" s="34"/>
      <c r="D152" s="3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22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2.75" x14ac:dyDescent="0.2">
      <c r="A153" s="34"/>
      <c r="B153" s="5"/>
      <c r="C153" s="34"/>
      <c r="D153" s="3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22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2.75" x14ac:dyDescent="0.2">
      <c r="A154" s="34"/>
      <c r="B154" s="5"/>
      <c r="C154" s="34"/>
      <c r="D154" s="3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22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2.75" x14ac:dyDescent="0.2">
      <c r="A155" s="34"/>
      <c r="B155" s="5"/>
      <c r="C155" s="34"/>
      <c r="D155" s="3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22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2.75" x14ac:dyDescent="0.2">
      <c r="A156" s="34"/>
      <c r="B156" s="5"/>
      <c r="C156" s="34"/>
      <c r="D156" s="3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22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2.75" x14ac:dyDescent="0.2">
      <c r="A157" s="34"/>
      <c r="B157" s="5"/>
      <c r="C157" s="34"/>
      <c r="D157" s="3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22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2.75" x14ac:dyDescent="0.2">
      <c r="A158" s="34"/>
      <c r="B158" s="5"/>
      <c r="C158" s="34"/>
      <c r="D158" s="3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22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2.75" x14ac:dyDescent="0.2">
      <c r="A159" s="34"/>
      <c r="B159" s="5"/>
      <c r="C159" s="34"/>
      <c r="D159" s="3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22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2.75" x14ac:dyDescent="0.2">
      <c r="A160" s="34"/>
      <c r="B160" s="5"/>
      <c r="C160" s="34"/>
      <c r="D160" s="3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22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2.75" x14ac:dyDescent="0.2">
      <c r="A161" s="34"/>
      <c r="B161" s="5"/>
      <c r="C161" s="34"/>
      <c r="D161" s="3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22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2.75" x14ac:dyDescent="0.2">
      <c r="A162" s="34"/>
      <c r="B162" s="5"/>
      <c r="C162" s="34"/>
      <c r="D162" s="3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22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2.75" x14ac:dyDescent="0.2">
      <c r="A163" s="34"/>
      <c r="B163" s="5"/>
      <c r="C163" s="34"/>
      <c r="D163" s="3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22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2.75" x14ac:dyDescent="0.2">
      <c r="A164" s="34"/>
      <c r="B164" s="5"/>
      <c r="C164" s="34"/>
      <c r="D164" s="3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22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2.75" x14ac:dyDescent="0.2">
      <c r="A165" s="34"/>
      <c r="B165" s="5"/>
      <c r="C165" s="34"/>
      <c r="D165" s="3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22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2.75" x14ac:dyDescent="0.2">
      <c r="A166" s="34"/>
      <c r="B166" s="5"/>
      <c r="C166" s="34"/>
      <c r="D166" s="3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22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2.75" x14ac:dyDescent="0.2">
      <c r="A167" s="34"/>
      <c r="B167" s="5"/>
      <c r="C167" s="34"/>
      <c r="D167" s="3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22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2.75" x14ac:dyDescent="0.2">
      <c r="A168" s="34"/>
      <c r="B168" s="5"/>
      <c r="C168" s="34"/>
      <c r="D168" s="3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22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2.75" x14ac:dyDescent="0.2">
      <c r="A169" s="34"/>
      <c r="B169" s="5"/>
      <c r="C169" s="34"/>
      <c r="D169" s="3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22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2.75" x14ac:dyDescent="0.2">
      <c r="A170" s="34"/>
      <c r="B170" s="5"/>
      <c r="C170" s="34"/>
      <c r="D170" s="3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22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2.75" x14ac:dyDescent="0.2">
      <c r="A171" s="34"/>
      <c r="B171" s="5"/>
      <c r="C171" s="34"/>
      <c r="D171" s="3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22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2.75" x14ac:dyDescent="0.2">
      <c r="A172" s="34"/>
      <c r="B172" s="5"/>
      <c r="C172" s="34"/>
      <c r="D172" s="3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22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2.75" x14ac:dyDescent="0.2">
      <c r="A173" s="34"/>
      <c r="B173" s="5"/>
      <c r="C173" s="34"/>
      <c r="D173" s="3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22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2.75" x14ac:dyDescent="0.2">
      <c r="A174" s="34"/>
      <c r="B174" s="5"/>
      <c r="C174" s="34"/>
      <c r="D174" s="3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22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2.75" x14ac:dyDescent="0.2">
      <c r="A175" s="34"/>
      <c r="B175" s="5"/>
      <c r="C175" s="34"/>
      <c r="D175" s="3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22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2.75" x14ac:dyDescent="0.2">
      <c r="A176" s="34"/>
      <c r="B176" s="5"/>
      <c r="C176" s="34"/>
      <c r="D176" s="3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22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2.75" x14ac:dyDescent="0.2">
      <c r="A177" s="34"/>
      <c r="B177" s="5"/>
      <c r="C177" s="34"/>
      <c r="D177" s="3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22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2.75" x14ac:dyDescent="0.2">
      <c r="A178" s="34"/>
      <c r="B178" s="5"/>
      <c r="C178" s="34"/>
      <c r="D178" s="3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22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2.75" x14ac:dyDescent="0.2">
      <c r="A179" s="34"/>
      <c r="B179" s="5"/>
      <c r="C179" s="34"/>
      <c r="D179" s="3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22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2.75" x14ac:dyDescent="0.2">
      <c r="A180" s="34"/>
      <c r="B180" s="5"/>
      <c r="C180" s="34"/>
      <c r="D180" s="3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22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2.75" x14ac:dyDescent="0.2">
      <c r="A181" s="34"/>
      <c r="B181" s="5"/>
      <c r="C181" s="34"/>
      <c r="D181" s="3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22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2.75" x14ac:dyDescent="0.2">
      <c r="A182" s="34"/>
      <c r="B182" s="5"/>
      <c r="C182" s="34"/>
      <c r="D182" s="3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22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2.75" x14ac:dyDescent="0.2">
      <c r="A183" s="34"/>
      <c r="B183" s="5"/>
      <c r="C183" s="34"/>
      <c r="D183" s="3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22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2.75" x14ac:dyDescent="0.2">
      <c r="A184" s="34"/>
      <c r="B184" s="5"/>
      <c r="C184" s="34"/>
      <c r="D184" s="3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22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2.75" x14ac:dyDescent="0.2">
      <c r="A185" s="34"/>
      <c r="B185" s="5"/>
      <c r="C185" s="34"/>
      <c r="D185" s="3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22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2.75" x14ac:dyDescent="0.2">
      <c r="A186" s="34"/>
      <c r="B186" s="5"/>
      <c r="C186" s="34"/>
      <c r="D186" s="3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22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2.75" x14ac:dyDescent="0.2">
      <c r="A187" s="34"/>
      <c r="B187" s="5"/>
      <c r="C187" s="34"/>
      <c r="D187" s="3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22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2.75" x14ac:dyDescent="0.2">
      <c r="A188" s="34"/>
      <c r="B188" s="5"/>
      <c r="C188" s="34"/>
      <c r="D188" s="3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22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2.75" x14ac:dyDescent="0.2">
      <c r="A189" s="34"/>
      <c r="B189" s="5"/>
      <c r="C189" s="34"/>
      <c r="D189" s="3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22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2.75" x14ac:dyDescent="0.2">
      <c r="A190" s="34"/>
      <c r="B190" s="5"/>
      <c r="C190" s="34"/>
      <c r="D190" s="3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22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2.75" x14ac:dyDescent="0.2">
      <c r="A191" s="34"/>
      <c r="B191" s="5"/>
      <c r="C191" s="34"/>
      <c r="D191" s="3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22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2.75" x14ac:dyDescent="0.2">
      <c r="A192" s="34"/>
      <c r="B192" s="5"/>
      <c r="C192" s="34"/>
      <c r="D192" s="3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22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2.75" x14ac:dyDescent="0.2">
      <c r="A193" s="34"/>
      <c r="B193" s="5"/>
      <c r="C193" s="34"/>
      <c r="D193" s="3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22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2.75" x14ac:dyDescent="0.2">
      <c r="A194" s="34"/>
      <c r="B194" s="5"/>
      <c r="C194" s="34"/>
      <c r="D194" s="3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22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2.75" x14ac:dyDescent="0.2">
      <c r="A195" s="34"/>
      <c r="B195" s="5"/>
      <c r="C195" s="34"/>
      <c r="D195" s="3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22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2.75" x14ac:dyDescent="0.2">
      <c r="A196" s="34"/>
      <c r="B196" s="5"/>
      <c r="C196" s="34"/>
      <c r="D196" s="3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22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2.75" x14ac:dyDescent="0.2">
      <c r="A197" s="34"/>
      <c r="B197" s="5"/>
      <c r="C197" s="34"/>
      <c r="D197" s="3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22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2.75" x14ac:dyDescent="0.2">
      <c r="A198" s="34"/>
      <c r="B198" s="5"/>
      <c r="C198" s="34"/>
      <c r="D198" s="3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22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2.75" x14ac:dyDescent="0.2">
      <c r="A199" s="34"/>
      <c r="B199" s="5"/>
      <c r="C199" s="34"/>
      <c r="D199" s="3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22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2.75" x14ac:dyDescent="0.2">
      <c r="A200" s="34"/>
      <c r="B200" s="5"/>
      <c r="C200" s="34"/>
      <c r="D200" s="3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22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2.75" x14ac:dyDescent="0.2">
      <c r="A201" s="34"/>
      <c r="B201" s="5"/>
      <c r="C201" s="34"/>
      <c r="D201" s="3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22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2.75" x14ac:dyDescent="0.2">
      <c r="A202" s="34"/>
      <c r="B202" s="5"/>
      <c r="C202" s="34"/>
      <c r="D202" s="3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22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2.75" x14ac:dyDescent="0.2">
      <c r="A203" s="34"/>
      <c r="B203" s="5"/>
      <c r="C203" s="34"/>
      <c r="D203" s="3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22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2.75" x14ac:dyDescent="0.2">
      <c r="A204" s="34"/>
      <c r="B204" s="5"/>
      <c r="C204" s="34"/>
      <c r="D204" s="3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22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2.75" x14ac:dyDescent="0.2">
      <c r="A205" s="34"/>
      <c r="B205" s="5"/>
      <c r="C205" s="34"/>
      <c r="D205" s="3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22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2.75" x14ac:dyDescent="0.2">
      <c r="A206" s="34"/>
      <c r="B206" s="5"/>
      <c r="C206" s="34"/>
      <c r="D206" s="3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22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2.75" x14ac:dyDescent="0.2">
      <c r="A207" s="34"/>
      <c r="B207" s="5"/>
      <c r="C207" s="34"/>
      <c r="D207" s="3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22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2.75" x14ac:dyDescent="0.2">
      <c r="A208" s="34"/>
      <c r="B208" s="5"/>
      <c r="C208" s="34"/>
      <c r="D208" s="3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22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2.75" x14ac:dyDescent="0.2">
      <c r="A209" s="34"/>
      <c r="B209" s="5"/>
      <c r="C209" s="34"/>
      <c r="D209" s="3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22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2.75" x14ac:dyDescent="0.2">
      <c r="A210" s="34"/>
      <c r="B210" s="5"/>
      <c r="C210" s="34"/>
      <c r="D210" s="3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22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2.75" x14ac:dyDescent="0.2">
      <c r="A211" s="34"/>
      <c r="B211" s="5"/>
      <c r="C211" s="34"/>
      <c r="D211" s="3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22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2.75" x14ac:dyDescent="0.2">
      <c r="A212" s="34"/>
      <c r="B212" s="5"/>
      <c r="C212" s="34"/>
      <c r="D212" s="3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22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2.75" x14ac:dyDescent="0.2">
      <c r="A213" s="34"/>
      <c r="B213" s="5"/>
      <c r="C213" s="34"/>
      <c r="D213" s="3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22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2.75" x14ac:dyDescent="0.2">
      <c r="A214" s="34"/>
      <c r="B214" s="5"/>
      <c r="C214" s="34"/>
      <c r="D214" s="3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22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2.75" x14ac:dyDescent="0.2">
      <c r="A215" s="34"/>
      <c r="B215" s="5"/>
      <c r="C215" s="34"/>
      <c r="D215" s="3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22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2.75" x14ac:dyDescent="0.2">
      <c r="A216" s="34"/>
      <c r="B216" s="5"/>
      <c r="C216" s="34"/>
      <c r="D216" s="3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22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2.75" x14ac:dyDescent="0.2">
      <c r="A217" s="34"/>
      <c r="B217" s="5"/>
      <c r="C217" s="34"/>
      <c r="D217" s="3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22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2.75" x14ac:dyDescent="0.2">
      <c r="A218" s="34"/>
      <c r="B218" s="5"/>
      <c r="C218" s="34"/>
      <c r="D218" s="3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22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2.75" x14ac:dyDescent="0.2">
      <c r="A219" s="34"/>
      <c r="B219" s="5"/>
      <c r="C219" s="34"/>
      <c r="D219" s="3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22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2.75" x14ac:dyDescent="0.2">
      <c r="A220" s="34"/>
      <c r="B220" s="5"/>
      <c r="C220" s="34"/>
      <c r="D220" s="3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22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2.75" x14ac:dyDescent="0.2">
      <c r="A221" s="34"/>
      <c r="B221" s="5"/>
      <c r="C221" s="34"/>
      <c r="D221" s="3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22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2.75" x14ac:dyDescent="0.2">
      <c r="A222" s="34"/>
      <c r="B222" s="5"/>
      <c r="C222" s="34"/>
      <c r="D222" s="3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22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2.75" x14ac:dyDescent="0.2">
      <c r="A223" s="34"/>
      <c r="B223" s="5"/>
      <c r="C223" s="34"/>
      <c r="D223" s="3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22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2.75" x14ac:dyDescent="0.2">
      <c r="A224" s="34"/>
      <c r="B224" s="5"/>
      <c r="C224" s="34"/>
      <c r="D224" s="3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22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2.75" x14ac:dyDescent="0.2">
      <c r="A225" s="34"/>
      <c r="B225" s="5"/>
      <c r="C225" s="34"/>
      <c r="D225" s="3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22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2.75" x14ac:dyDescent="0.2">
      <c r="A226" s="34"/>
      <c r="B226" s="5"/>
      <c r="C226" s="34"/>
      <c r="D226" s="3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22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2.75" x14ac:dyDescent="0.2">
      <c r="A227" s="34"/>
      <c r="B227" s="5"/>
      <c r="C227" s="34"/>
      <c r="D227" s="3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22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2.75" x14ac:dyDescent="0.2">
      <c r="A228" s="34"/>
      <c r="B228" s="5"/>
      <c r="C228" s="34"/>
      <c r="D228" s="3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22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2.75" x14ac:dyDescent="0.2">
      <c r="A229" s="34"/>
      <c r="B229" s="5"/>
      <c r="C229" s="34"/>
      <c r="D229" s="3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22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2.75" x14ac:dyDescent="0.2">
      <c r="A230" s="34"/>
      <c r="B230" s="5"/>
      <c r="C230" s="34"/>
      <c r="D230" s="3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22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2.75" x14ac:dyDescent="0.2">
      <c r="A231" s="34"/>
      <c r="B231" s="5"/>
      <c r="C231" s="34"/>
      <c r="D231" s="3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22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2.75" x14ac:dyDescent="0.2">
      <c r="A232" s="34"/>
      <c r="B232" s="5"/>
      <c r="C232" s="34"/>
      <c r="D232" s="3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22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2.75" x14ac:dyDescent="0.2">
      <c r="A233" s="34"/>
      <c r="B233" s="5"/>
      <c r="C233" s="34"/>
      <c r="D233" s="3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22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2.75" x14ac:dyDescent="0.2">
      <c r="A234" s="34"/>
      <c r="B234" s="5"/>
      <c r="C234" s="34"/>
      <c r="D234" s="3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22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2.75" x14ac:dyDescent="0.2">
      <c r="A235" s="34"/>
      <c r="B235" s="5"/>
      <c r="C235" s="34"/>
      <c r="D235" s="3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22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2.75" x14ac:dyDescent="0.2">
      <c r="A236" s="34"/>
      <c r="B236" s="5"/>
      <c r="C236" s="34"/>
      <c r="D236" s="3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22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2.75" x14ac:dyDescent="0.2">
      <c r="A237" s="34"/>
      <c r="B237" s="5"/>
      <c r="C237" s="34"/>
      <c r="D237" s="3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22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2.75" x14ac:dyDescent="0.2">
      <c r="A238" s="34"/>
      <c r="B238" s="5"/>
      <c r="C238" s="34"/>
      <c r="D238" s="3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22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2.75" x14ac:dyDescent="0.2">
      <c r="A239" s="34"/>
      <c r="B239" s="5"/>
      <c r="C239" s="34"/>
      <c r="D239" s="3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22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2.75" x14ac:dyDescent="0.2">
      <c r="A240" s="34"/>
      <c r="B240" s="5"/>
      <c r="C240" s="34"/>
      <c r="D240" s="3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22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2.75" x14ac:dyDescent="0.2">
      <c r="A241" s="34"/>
      <c r="B241" s="5"/>
      <c r="C241" s="34"/>
      <c r="D241" s="3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22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2.75" x14ac:dyDescent="0.2">
      <c r="A242" s="34"/>
      <c r="B242" s="5"/>
      <c r="C242" s="34"/>
      <c r="D242" s="3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22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2.75" x14ac:dyDescent="0.2">
      <c r="A243" s="34"/>
      <c r="B243" s="5"/>
      <c r="C243" s="34"/>
      <c r="D243" s="3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22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2.75" x14ac:dyDescent="0.2">
      <c r="A244" s="34"/>
      <c r="B244" s="5"/>
      <c r="C244" s="34"/>
      <c r="D244" s="3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22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2.75" x14ac:dyDescent="0.2">
      <c r="A245" s="34"/>
      <c r="B245" s="5"/>
      <c r="C245" s="34"/>
      <c r="D245" s="3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22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2.75" x14ac:dyDescent="0.2">
      <c r="A246" s="34"/>
      <c r="B246" s="5"/>
      <c r="C246" s="34"/>
      <c r="D246" s="3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22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2.75" x14ac:dyDescent="0.2">
      <c r="A247" s="34"/>
      <c r="B247" s="5"/>
      <c r="C247" s="34"/>
      <c r="D247" s="3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22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2.75" x14ac:dyDescent="0.2">
      <c r="A248" s="34"/>
      <c r="B248" s="5"/>
      <c r="C248" s="34"/>
      <c r="D248" s="3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22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2.75" x14ac:dyDescent="0.2">
      <c r="A249" s="34"/>
      <c r="B249" s="5"/>
      <c r="C249" s="34"/>
      <c r="D249" s="3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22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2.75" x14ac:dyDescent="0.2">
      <c r="A250" s="34"/>
      <c r="B250" s="5"/>
      <c r="C250" s="34"/>
      <c r="D250" s="3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22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2.75" x14ac:dyDescent="0.2">
      <c r="A251" s="34"/>
      <c r="B251" s="5"/>
      <c r="C251" s="34"/>
      <c r="D251" s="3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22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2.75" x14ac:dyDescent="0.2">
      <c r="A252" s="34"/>
      <c r="B252" s="5"/>
      <c r="C252" s="34"/>
      <c r="D252" s="3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22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2.75" x14ac:dyDescent="0.2">
      <c r="A253" s="34"/>
      <c r="B253" s="5"/>
      <c r="C253" s="34"/>
      <c r="D253" s="3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22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2.75" x14ac:dyDescent="0.2">
      <c r="A254" s="34"/>
      <c r="B254" s="5"/>
      <c r="C254" s="34"/>
      <c r="D254" s="3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22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2.75" x14ac:dyDescent="0.2">
      <c r="A255" s="34"/>
      <c r="B255" s="5"/>
      <c r="C255" s="34"/>
      <c r="D255" s="3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22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2.75" x14ac:dyDescent="0.2">
      <c r="A256" s="34"/>
      <c r="B256" s="5"/>
      <c r="C256" s="34"/>
      <c r="D256" s="3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22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2.75" x14ac:dyDescent="0.2">
      <c r="A257" s="34"/>
      <c r="B257" s="5"/>
      <c r="C257" s="34"/>
      <c r="D257" s="3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22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2.75" x14ac:dyDescent="0.2">
      <c r="A258" s="34"/>
      <c r="B258" s="5"/>
      <c r="C258" s="34"/>
      <c r="D258" s="3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22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2.75" x14ac:dyDescent="0.2">
      <c r="A259" s="34"/>
      <c r="B259" s="5"/>
      <c r="C259" s="34"/>
      <c r="D259" s="3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22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2.75" x14ac:dyDescent="0.2">
      <c r="A260" s="34"/>
      <c r="B260" s="5"/>
      <c r="C260" s="34"/>
      <c r="D260" s="3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22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2.75" x14ac:dyDescent="0.2">
      <c r="A261" s="34"/>
      <c r="B261" s="5"/>
      <c r="C261" s="34"/>
      <c r="D261" s="3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22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2.75" x14ac:dyDescent="0.2">
      <c r="A262" s="34"/>
      <c r="B262" s="5"/>
      <c r="C262" s="34"/>
      <c r="D262" s="3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22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2.75" x14ac:dyDescent="0.2">
      <c r="A263" s="34"/>
      <c r="B263" s="5"/>
      <c r="C263" s="34"/>
      <c r="D263" s="3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22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2.75" x14ac:dyDescent="0.2">
      <c r="A264" s="34"/>
      <c r="B264" s="5"/>
      <c r="C264" s="34"/>
      <c r="D264" s="3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22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2.75" x14ac:dyDescent="0.2">
      <c r="A265" s="34"/>
      <c r="B265" s="5"/>
      <c r="C265" s="34"/>
      <c r="D265" s="3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22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2.75" x14ac:dyDescent="0.2">
      <c r="A266" s="34"/>
      <c r="B266" s="5"/>
      <c r="C266" s="34"/>
      <c r="D266" s="3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22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2.75" x14ac:dyDescent="0.2">
      <c r="A267" s="34"/>
      <c r="B267" s="5"/>
      <c r="C267" s="34"/>
      <c r="D267" s="3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22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2.75" x14ac:dyDescent="0.2">
      <c r="A268" s="34"/>
      <c r="B268" s="5"/>
      <c r="C268" s="34"/>
      <c r="D268" s="3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22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2.75" x14ac:dyDescent="0.2">
      <c r="A269" s="34"/>
      <c r="B269" s="5"/>
      <c r="C269" s="34"/>
      <c r="D269" s="3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22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2.75" x14ac:dyDescent="0.2">
      <c r="A270" s="34"/>
      <c r="B270" s="5"/>
      <c r="C270" s="34"/>
      <c r="D270" s="3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22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2.75" x14ac:dyDescent="0.2">
      <c r="A271" s="34"/>
      <c r="B271" s="5"/>
      <c r="C271" s="34"/>
      <c r="D271" s="3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22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2.75" x14ac:dyDescent="0.2">
      <c r="A272" s="34"/>
      <c r="B272" s="5"/>
      <c r="C272" s="34"/>
      <c r="D272" s="3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22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2.75" x14ac:dyDescent="0.2">
      <c r="A273" s="34"/>
      <c r="B273" s="5"/>
      <c r="C273" s="34"/>
      <c r="D273" s="3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22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2.75" x14ac:dyDescent="0.2">
      <c r="A274" s="34"/>
      <c r="B274" s="5"/>
      <c r="C274" s="34"/>
      <c r="D274" s="3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22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2.75" x14ac:dyDescent="0.2">
      <c r="A275" s="34"/>
      <c r="B275" s="5"/>
      <c r="C275" s="34"/>
      <c r="D275" s="3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22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2.75" x14ac:dyDescent="0.2">
      <c r="A276" s="34"/>
      <c r="B276" s="5"/>
      <c r="C276" s="34"/>
      <c r="D276" s="3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22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2.75" x14ac:dyDescent="0.2">
      <c r="A277" s="34"/>
      <c r="B277" s="5"/>
      <c r="C277" s="34"/>
      <c r="D277" s="3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22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2.75" x14ac:dyDescent="0.2">
      <c r="A278" s="34"/>
      <c r="B278" s="5"/>
      <c r="C278" s="34"/>
      <c r="D278" s="3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22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2.75" x14ac:dyDescent="0.2">
      <c r="A279" s="34"/>
      <c r="B279" s="5"/>
      <c r="C279" s="34"/>
      <c r="D279" s="3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22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2.75" x14ac:dyDescent="0.2">
      <c r="A280" s="34"/>
      <c r="B280" s="5"/>
      <c r="C280" s="34"/>
      <c r="D280" s="3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22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2.75" x14ac:dyDescent="0.2">
      <c r="A281" s="34"/>
      <c r="B281" s="5"/>
      <c r="C281" s="34"/>
      <c r="D281" s="3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22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2.75" x14ac:dyDescent="0.2">
      <c r="A282" s="34"/>
      <c r="B282" s="5"/>
      <c r="C282" s="34"/>
      <c r="D282" s="3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22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2.75" x14ac:dyDescent="0.2">
      <c r="A283" s="34"/>
      <c r="B283" s="5"/>
      <c r="C283" s="34"/>
      <c r="D283" s="3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22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2.75" x14ac:dyDescent="0.2">
      <c r="A284" s="34"/>
      <c r="B284" s="5"/>
      <c r="C284" s="34"/>
      <c r="D284" s="3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22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2.75" x14ac:dyDescent="0.2">
      <c r="A285" s="34"/>
      <c r="B285" s="5"/>
      <c r="C285" s="34"/>
      <c r="D285" s="3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22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2.75" x14ac:dyDescent="0.2">
      <c r="A286" s="34"/>
      <c r="B286" s="5"/>
      <c r="C286" s="34"/>
      <c r="D286" s="3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22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2.75" x14ac:dyDescent="0.2">
      <c r="A287" s="34"/>
      <c r="B287" s="5"/>
      <c r="C287" s="34"/>
      <c r="D287" s="3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22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2.75" x14ac:dyDescent="0.2">
      <c r="A288" s="34"/>
      <c r="B288" s="5"/>
      <c r="C288" s="34"/>
      <c r="D288" s="3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22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2.75" x14ac:dyDescent="0.2">
      <c r="A289" s="34"/>
      <c r="B289" s="5"/>
      <c r="C289" s="34"/>
      <c r="D289" s="3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22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2.75" x14ac:dyDescent="0.2">
      <c r="A290" s="34"/>
      <c r="B290" s="5"/>
      <c r="C290" s="34"/>
      <c r="D290" s="3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22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2.75" x14ac:dyDescent="0.2">
      <c r="A291" s="34"/>
      <c r="B291" s="5"/>
      <c r="C291" s="34"/>
      <c r="D291" s="3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22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2.75" x14ac:dyDescent="0.2">
      <c r="A292" s="34"/>
      <c r="B292" s="5"/>
      <c r="C292" s="34"/>
      <c r="D292" s="3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22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2.75" x14ac:dyDescent="0.2">
      <c r="A293" s="34"/>
      <c r="B293" s="5"/>
      <c r="C293" s="34"/>
      <c r="D293" s="3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22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2.75" x14ac:dyDescent="0.2">
      <c r="A294" s="34"/>
      <c r="B294" s="5"/>
      <c r="C294" s="34"/>
      <c r="D294" s="3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22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2.75" x14ac:dyDescent="0.2">
      <c r="A295" s="34"/>
      <c r="B295" s="5"/>
      <c r="C295" s="34"/>
      <c r="D295" s="3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22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2.75" x14ac:dyDescent="0.2">
      <c r="A296" s="34"/>
      <c r="B296" s="5"/>
      <c r="C296" s="34"/>
      <c r="D296" s="3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22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2.75" x14ac:dyDescent="0.2">
      <c r="A297" s="34"/>
      <c r="B297" s="5"/>
      <c r="C297" s="34"/>
      <c r="D297" s="3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22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2.75" x14ac:dyDescent="0.2">
      <c r="A298" s="34"/>
      <c r="B298" s="5"/>
      <c r="C298" s="34"/>
      <c r="D298" s="3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22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2.75" x14ac:dyDescent="0.2">
      <c r="A299" s="34"/>
      <c r="B299" s="5"/>
      <c r="C299" s="34"/>
      <c r="D299" s="3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22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2.75" x14ac:dyDescent="0.2">
      <c r="A300" s="34"/>
      <c r="B300" s="5"/>
      <c r="C300" s="34"/>
      <c r="D300" s="3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22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2.75" x14ac:dyDescent="0.2">
      <c r="A301" s="34"/>
      <c r="B301" s="5"/>
      <c r="C301" s="34"/>
      <c r="D301" s="3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22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2.75" x14ac:dyDescent="0.2">
      <c r="A302" s="34"/>
      <c r="B302" s="5"/>
      <c r="C302" s="34"/>
      <c r="D302" s="3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22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2.75" x14ac:dyDescent="0.2">
      <c r="A303" s="34"/>
      <c r="B303" s="5"/>
      <c r="C303" s="34"/>
      <c r="D303" s="3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22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2.75" x14ac:dyDescent="0.2">
      <c r="A304" s="34"/>
      <c r="B304" s="5"/>
      <c r="C304" s="34"/>
      <c r="D304" s="3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22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2.75" x14ac:dyDescent="0.2">
      <c r="A305" s="34"/>
      <c r="B305" s="5"/>
      <c r="C305" s="34"/>
      <c r="D305" s="3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22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2.75" x14ac:dyDescent="0.2">
      <c r="A306" s="34"/>
      <c r="B306" s="5"/>
      <c r="C306" s="34"/>
      <c r="D306" s="3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22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2.75" x14ac:dyDescent="0.2">
      <c r="A307" s="34"/>
      <c r="B307" s="5"/>
      <c r="C307" s="34"/>
      <c r="D307" s="3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22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2.75" x14ac:dyDescent="0.2">
      <c r="A308" s="34"/>
      <c r="B308" s="5"/>
      <c r="C308" s="34"/>
      <c r="D308" s="3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22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2.75" x14ac:dyDescent="0.2">
      <c r="A309" s="34"/>
      <c r="B309" s="5"/>
      <c r="C309" s="34"/>
      <c r="D309" s="3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22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2.75" x14ac:dyDescent="0.2">
      <c r="A310" s="34"/>
      <c r="B310" s="5"/>
      <c r="C310" s="34"/>
      <c r="D310" s="3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22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2.75" x14ac:dyDescent="0.2">
      <c r="A311" s="34"/>
      <c r="B311" s="5"/>
      <c r="C311" s="34"/>
      <c r="D311" s="3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22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2.75" x14ac:dyDescent="0.2">
      <c r="A312" s="34"/>
      <c r="B312" s="5"/>
      <c r="C312" s="34"/>
      <c r="D312" s="3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22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2.75" x14ac:dyDescent="0.2">
      <c r="A313" s="34"/>
      <c r="B313" s="5"/>
      <c r="C313" s="34"/>
      <c r="D313" s="3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22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2.75" x14ac:dyDescent="0.2">
      <c r="A314" s="34"/>
      <c r="B314" s="5"/>
      <c r="C314" s="34"/>
      <c r="D314" s="3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22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2.75" x14ac:dyDescent="0.2">
      <c r="A315" s="34"/>
      <c r="B315" s="5"/>
      <c r="C315" s="34"/>
      <c r="D315" s="3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22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2.75" x14ac:dyDescent="0.2">
      <c r="A316" s="34"/>
      <c r="B316" s="5"/>
      <c r="C316" s="34"/>
      <c r="D316" s="3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22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2.75" x14ac:dyDescent="0.2">
      <c r="A317" s="34"/>
      <c r="B317" s="5"/>
      <c r="C317" s="34"/>
      <c r="D317" s="3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22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2.75" x14ac:dyDescent="0.2">
      <c r="A318" s="34"/>
      <c r="B318" s="5"/>
      <c r="C318" s="34"/>
      <c r="D318" s="3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22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2.75" x14ac:dyDescent="0.2">
      <c r="A319" s="34"/>
      <c r="B319" s="5"/>
      <c r="C319" s="34"/>
      <c r="D319" s="3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22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2.75" x14ac:dyDescent="0.2">
      <c r="A320" s="34"/>
      <c r="B320" s="5"/>
      <c r="C320" s="34"/>
      <c r="D320" s="3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22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2.75" x14ac:dyDescent="0.2">
      <c r="A321" s="34"/>
      <c r="B321" s="5"/>
      <c r="C321" s="34"/>
      <c r="D321" s="3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22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2.75" x14ac:dyDescent="0.2">
      <c r="A322" s="34"/>
      <c r="B322" s="5"/>
      <c r="C322" s="34"/>
      <c r="D322" s="3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22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2.75" x14ac:dyDescent="0.2">
      <c r="A323" s="34"/>
      <c r="B323" s="5"/>
      <c r="C323" s="34"/>
      <c r="D323" s="3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22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2.75" x14ac:dyDescent="0.2">
      <c r="A324" s="34"/>
      <c r="B324" s="5"/>
      <c r="C324" s="34"/>
      <c r="D324" s="3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22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2.75" x14ac:dyDescent="0.2">
      <c r="A325" s="34"/>
      <c r="B325" s="5"/>
      <c r="C325" s="34"/>
      <c r="D325" s="3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22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2.75" x14ac:dyDescent="0.2">
      <c r="A326" s="34"/>
      <c r="B326" s="5"/>
      <c r="C326" s="34"/>
      <c r="D326" s="3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22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2.75" x14ac:dyDescent="0.2">
      <c r="A327" s="34"/>
      <c r="B327" s="5"/>
      <c r="C327" s="34"/>
      <c r="D327" s="3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22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2.75" x14ac:dyDescent="0.2">
      <c r="A328" s="34"/>
      <c r="B328" s="5"/>
      <c r="C328" s="34"/>
      <c r="D328" s="3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22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2.75" x14ac:dyDescent="0.2">
      <c r="A329" s="34"/>
      <c r="B329" s="5"/>
      <c r="C329" s="34"/>
      <c r="D329" s="3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22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2.75" x14ac:dyDescent="0.2">
      <c r="A330" s="34"/>
      <c r="B330" s="5"/>
      <c r="C330" s="34"/>
      <c r="D330" s="3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22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2.75" x14ac:dyDescent="0.2">
      <c r="A331" s="34"/>
      <c r="B331" s="5"/>
      <c r="C331" s="34"/>
      <c r="D331" s="3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22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2.75" x14ac:dyDescent="0.2">
      <c r="A332" s="34"/>
      <c r="B332" s="5"/>
      <c r="C332" s="34"/>
      <c r="D332" s="3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22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2.75" x14ac:dyDescent="0.2">
      <c r="A333" s="34"/>
      <c r="B333" s="5"/>
      <c r="C333" s="34"/>
      <c r="D333" s="3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22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2.75" x14ac:dyDescent="0.2">
      <c r="A334" s="34"/>
      <c r="B334" s="5"/>
      <c r="C334" s="34"/>
      <c r="D334" s="3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22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2.75" x14ac:dyDescent="0.2">
      <c r="A335" s="34"/>
      <c r="B335" s="5"/>
      <c r="C335" s="34"/>
      <c r="D335" s="3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22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2.75" x14ac:dyDescent="0.2">
      <c r="A336" s="34"/>
      <c r="B336" s="5"/>
      <c r="C336" s="34"/>
      <c r="D336" s="3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22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2.75" x14ac:dyDescent="0.2">
      <c r="A337" s="34"/>
      <c r="B337" s="5"/>
      <c r="C337" s="34"/>
      <c r="D337" s="3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22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2.75" x14ac:dyDescent="0.2">
      <c r="A338" s="34"/>
      <c r="B338" s="5"/>
      <c r="C338" s="34"/>
      <c r="D338" s="3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22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2.75" x14ac:dyDescent="0.2">
      <c r="A339" s="34"/>
      <c r="B339" s="5"/>
      <c r="C339" s="34"/>
      <c r="D339" s="3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22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2.75" x14ac:dyDescent="0.2">
      <c r="A340" s="34"/>
      <c r="B340" s="5"/>
      <c r="C340" s="34"/>
      <c r="D340" s="3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22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2.75" x14ac:dyDescent="0.2">
      <c r="A341" s="34"/>
      <c r="B341" s="5"/>
      <c r="C341" s="34"/>
      <c r="D341" s="3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22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2.75" x14ac:dyDescent="0.2">
      <c r="A342" s="34"/>
      <c r="B342" s="5"/>
      <c r="C342" s="34"/>
      <c r="D342" s="3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22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2.75" x14ac:dyDescent="0.2">
      <c r="A343" s="34"/>
      <c r="B343" s="5"/>
      <c r="C343" s="34"/>
      <c r="D343" s="3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22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2.75" x14ac:dyDescent="0.2">
      <c r="A344" s="34"/>
      <c r="B344" s="5"/>
      <c r="C344" s="34"/>
      <c r="D344" s="3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22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2.75" x14ac:dyDescent="0.2">
      <c r="A345" s="34"/>
      <c r="B345" s="5"/>
      <c r="C345" s="34"/>
      <c r="D345" s="3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22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2.75" x14ac:dyDescent="0.2">
      <c r="A346" s="34"/>
      <c r="B346" s="5"/>
      <c r="C346" s="34"/>
      <c r="D346" s="3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22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2.75" x14ac:dyDescent="0.2">
      <c r="O347" s="13"/>
    </row>
    <row r="348" spans="1:30" ht="12.75" x14ac:dyDescent="0.2">
      <c r="O348" s="13"/>
    </row>
    <row r="349" spans="1:30" ht="12.75" x14ac:dyDescent="0.2">
      <c r="O349" s="13"/>
    </row>
    <row r="350" spans="1:30" ht="12.75" x14ac:dyDescent="0.2">
      <c r="O350" s="13"/>
    </row>
    <row r="351" spans="1:30" ht="12.75" x14ac:dyDescent="0.2">
      <c r="O351" s="13"/>
    </row>
    <row r="352" spans="1:30" ht="12.75" x14ac:dyDescent="0.2">
      <c r="O352" s="13"/>
    </row>
    <row r="353" spans="15:15" ht="12.75" x14ac:dyDescent="0.2">
      <c r="O353" s="13"/>
    </row>
    <row r="354" spans="15:15" ht="12.75" x14ac:dyDescent="0.2">
      <c r="O354" s="13"/>
    </row>
    <row r="355" spans="15:15" ht="12.75" x14ac:dyDescent="0.2">
      <c r="O355" s="13"/>
    </row>
    <row r="356" spans="15:15" ht="12.75" x14ac:dyDescent="0.2">
      <c r="O356" s="13"/>
    </row>
    <row r="357" spans="15:15" ht="12.75" x14ac:dyDescent="0.2">
      <c r="O357" s="13"/>
    </row>
    <row r="358" spans="15:15" ht="12.75" x14ac:dyDescent="0.2">
      <c r="O358" s="13"/>
    </row>
    <row r="359" spans="15:15" ht="12.75" x14ac:dyDescent="0.2">
      <c r="O359" s="13"/>
    </row>
    <row r="360" spans="15:15" ht="12.75" x14ac:dyDescent="0.2">
      <c r="O360" s="13"/>
    </row>
    <row r="361" spans="15:15" ht="12.75" x14ac:dyDescent="0.2">
      <c r="O361" s="13"/>
    </row>
    <row r="362" spans="15:15" ht="12.75" x14ac:dyDescent="0.2">
      <c r="O362" s="13"/>
    </row>
    <row r="363" spans="15:15" ht="12.75" x14ac:dyDescent="0.2">
      <c r="O363" s="13"/>
    </row>
    <row r="364" spans="15:15" ht="12.75" x14ac:dyDescent="0.2">
      <c r="O364" s="13"/>
    </row>
    <row r="365" spans="15:15" ht="12.75" x14ac:dyDescent="0.2">
      <c r="O365" s="13"/>
    </row>
    <row r="366" spans="15:15" ht="12.75" x14ac:dyDescent="0.2">
      <c r="O366" s="13"/>
    </row>
    <row r="367" spans="15:15" ht="12.75" x14ac:dyDescent="0.2">
      <c r="O367" s="13"/>
    </row>
    <row r="368" spans="15:15" ht="12.75" x14ac:dyDescent="0.2">
      <c r="O368" s="13"/>
    </row>
    <row r="369" spans="15:15" ht="12.75" x14ac:dyDescent="0.2">
      <c r="O369" s="13"/>
    </row>
    <row r="370" spans="15:15" ht="12.75" x14ac:dyDescent="0.2">
      <c r="O370" s="13"/>
    </row>
    <row r="371" spans="15:15" ht="12.75" x14ac:dyDescent="0.2">
      <c r="O371" s="13"/>
    </row>
    <row r="372" spans="15:15" ht="12.75" x14ac:dyDescent="0.2">
      <c r="O372" s="13"/>
    </row>
    <row r="373" spans="15:15" ht="12.75" x14ac:dyDescent="0.2">
      <c r="O373" s="13"/>
    </row>
    <row r="374" spans="15:15" ht="12.75" x14ac:dyDescent="0.2">
      <c r="O374" s="13"/>
    </row>
    <row r="375" spans="15:15" ht="12.75" x14ac:dyDescent="0.2">
      <c r="O375" s="13"/>
    </row>
    <row r="376" spans="15:15" ht="12.75" x14ac:dyDescent="0.2">
      <c r="O376" s="13"/>
    </row>
    <row r="377" spans="15:15" ht="12.75" x14ac:dyDescent="0.2">
      <c r="O377" s="13"/>
    </row>
    <row r="378" spans="15:15" ht="12.75" x14ac:dyDescent="0.2">
      <c r="O378" s="13"/>
    </row>
    <row r="379" spans="15:15" ht="12.75" x14ac:dyDescent="0.2">
      <c r="O379" s="13"/>
    </row>
    <row r="380" spans="15:15" ht="12.75" x14ac:dyDescent="0.2">
      <c r="O380" s="13"/>
    </row>
    <row r="381" spans="15:15" ht="12.75" x14ac:dyDescent="0.2">
      <c r="O381" s="13"/>
    </row>
    <row r="382" spans="15:15" ht="12.75" x14ac:dyDescent="0.2">
      <c r="O382" s="13"/>
    </row>
    <row r="383" spans="15:15" ht="12.75" x14ac:dyDescent="0.2">
      <c r="O383" s="13"/>
    </row>
    <row r="384" spans="15:15" ht="12.75" x14ac:dyDescent="0.2">
      <c r="O384" s="13"/>
    </row>
    <row r="385" spans="15:15" ht="12.75" x14ac:dyDescent="0.2">
      <c r="O385" s="13"/>
    </row>
    <row r="386" spans="15:15" ht="12.75" x14ac:dyDescent="0.2">
      <c r="O386" s="13"/>
    </row>
    <row r="387" spans="15:15" ht="12.75" x14ac:dyDescent="0.2">
      <c r="O387" s="13"/>
    </row>
    <row r="388" spans="15:15" ht="12.75" x14ac:dyDescent="0.2">
      <c r="O388" s="13"/>
    </row>
    <row r="389" spans="15:15" ht="12.75" x14ac:dyDescent="0.2">
      <c r="O389" s="13"/>
    </row>
    <row r="390" spans="15:15" ht="12.75" x14ac:dyDescent="0.2">
      <c r="O390" s="13"/>
    </row>
    <row r="391" spans="15:15" ht="12.75" x14ac:dyDescent="0.2">
      <c r="O391" s="13"/>
    </row>
    <row r="392" spans="15:15" ht="12.75" x14ac:dyDescent="0.2">
      <c r="O392" s="13"/>
    </row>
    <row r="393" spans="15:15" ht="12.75" x14ac:dyDescent="0.2">
      <c r="O393" s="13"/>
    </row>
    <row r="394" spans="15:15" ht="12.75" x14ac:dyDescent="0.2">
      <c r="O394" s="13"/>
    </row>
    <row r="395" spans="15:15" ht="12.75" x14ac:dyDescent="0.2">
      <c r="O395" s="13"/>
    </row>
    <row r="396" spans="15:15" ht="12.75" x14ac:dyDescent="0.2">
      <c r="O396" s="13"/>
    </row>
    <row r="397" spans="15:15" ht="12.75" x14ac:dyDescent="0.2">
      <c r="O397" s="13"/>
    </row>
    <row r="398" spans="15:15" ht="12.75" x14ac:dyDescent="0.2">
      <c r="O398" s="13"/>
    </row>
    <row r="399" spans="15:15" ht="12.75" x14ac:dyDescent="0.2">
      <c r="O399" s="13"/>
    </row>
    <row r="400" spans="15:15" ht="12.75" x14ac:dyDescent="0.2">
      <c r="O400" s="13"/>
    </row>
    <row r="401" spans="15:15" ht="12.75" x14ac:dyDescent="0.2">
      <c r="O401" s="13"/>
    </row>
    <row r="402" spans="15:15" ht="12.75" x14ac:dyDescent="0.2">
      <c r="O402" s="13"/>
    </row>
    <row r="403" spans="15:15" ht="12.75" x14ac:dyDescent="0.2">
      <c r="O403" s="13"/>
    </row>
    <row r="404" spans="15:15" ht="12.75" x14ac:dyDescent="0.2">
      <c r="O404" s="13"/>
    </row>
    <row r="405" spans="15:15" ht="12.75" x14ac:dyDescent="0.2">
      <c r="O405" s="13"/>
    </row>
    <row r="406" spans="15:15" ht="12.75" x14ac:dyDescent="0.2">
      <c r="O406" s="13"/>
    </row>
    <row r="407" spans="15:15" ht="12.75" x14ac:dyDescent="0.2">
      <c r="O407" s="13"/>
    </row>
    <row r="408" spans="15:15" ht="12.75" x14ac:dyDescent="0.2">
      <c r="O408" s="13"/>
    </row>
    <row r="409" spans="15:15" ht="12.75" x14ac:dyDescent="0.2">
      <c r="O409" s="13"/>
    </row>
    <row r="410" spans="15:15" ht="12.75" x14ac:dyDescent="0.2">
      <c r="O410" s="13"/>
    </row>
    <row r="411" spans="15:15" ht="12.75" x14ac:dyDescent="0.2">
      <c r="O411" s="13"/>
    </row>
    <row r="412" spans="15:15" ht="12.75" x14ac:dyDescent="0.2">
      <c r="O412" s="13"/>
    </row>
    <row r="413" spans="15:15" ht="12.75" x14ac:dyDescent="0.2">
      <c r="O413" s="13"/>
    </row>
    <row r="414" spans="15:15" ht="12.75" x14ac:dyDescent="0.2">
      <c r="O414" s="13"/>
    </row>
    <row r="415" spans="15:15" ht="12.75" x14ac:dyDescent="0.2">
      <c r="O415" s="13"/>
    </row>
    <row r="416" spans="15:15" ht="12.75" x14ac:dyDescent="0.2">
      <c r="O416" s="13"/>
    </row>
    <row r="417" spans="15:15" ht="12.75" x14ac:dyDescent="0.2">
      <c r="O417" s="13"/>
    </row>
    <row r="418" spans="15:15" ht="12.75" x14ac:dyDescent="0.2">
      <c r="O418" s="13"/>
    </row>
    <row r="419" spans="15:15" ht="12.75" x14ac:dyDescent="0.2">
      <c r="O419" s="13"/>
    </row>
    <row r="420" spans="15:15" ht="12.75" x14ac:dyDescent="0.2">
      <c r="O420" s="13"/>
    </row>
    <row r="421" spans="15:15" ht="12.75" x14ac:dyDescent="0.2">
      <c r="O421" s="13"/>
    </row>
    <row r="422" spans="15:15" ht="12.75" x14ac:dyDescent="0.2">
      <c r="O422" s="13"/>
    </row>
    <row r="423" spans="15:15" ht="12.75" x14ac:dyDescent="0.2">
      <c r="O423" s="13"/>
    </row>
    <row r="424" spans="15:15" ht="12.75" x14ac:dyDescent="0.2">
      <c r="O424" s="13"/>
    </row>
    <row r="425" spans="15:15" ht="12.75" x14ac:dyDescent="0.2">
      <c r="O425" s="13"/>
    </row>
    <row r="426" spans="15:15" ht="12.75" x14ac:dyDescent="0.2">
      <c r="O426" s="13"/>
    </row>
    <row r="427" spans="15:15" ht="12.75" x14ac:dyDescent="0.2">
      <c r="O427" s="13"/>
    </row>
    <row r="428" spans="15:15" ht="12.75" x14ac:dyDescent="0.2">
      <c r="O428" s="13"/>
    </row>
    <row r="429" spans="15:15" ht="12.75" x14ac:dyDescent="0.2">
      <c r="O429" s="13"/>
    </row>
    <row r="430" spans="15:15" ht="12.75" x14ac:dyDescent="0.2">
      <c r="O430" s="13"/>
    </row>
    <row r="431" spans="15:15" ht="12.75" x14ac:dyDescent="0.2">
      <c r="O431" s="13"/>
    </row>
    <row r="432" spans="15:15" ht="12.75" x14ac:dyDescent="0.2">
      <c r="O432" s="13"/>
    </row>
    <row r="433" spans="15:15" ht="12.75" x14ac:dyDescent="0.2">
      <c r="O433" s="13"/>
    </row>
    <row r="434" spans="15:15" ht="12.75" x14ac:dyDescent="0.2">
      <c r="O434" s="13"/>
    </row>
    <row r="435" spans="15:15" ht="12.75" x14ac:dyDescent="0.2">
      <c r="O435" s="13"/>
    </row>
    <row r="436" spans="15:15" ht="12.75" x14ac:dyDescent="0.2">
      <c r="O436" s="13"/>
    </row>
    <row r="437" spans="15:15" ht="12.75" x14ac:dyDescent="0.2">
      <c r="O437" s="13"/>
    </row>
    <row r="438" spans="15:15" ht="12.75" x14ac:dyDescent="0.2">
      <c r="O438" s="13"/>
    </row>
    <row r="439" spans="15:15" ht="12.75" x14ac:dyDescent="0.2">
      <c r="O439" s="13"/>
    </row>
    <row r="440" spans="15:15" ht="12.75" x14ac:dyDescent="0.2">
      <c r="O440" s="13"/>
    </row>
    <row r="441" spans="15:15" ht="12.75" x14ac:dyDescent="0.2">
      <c r="O441" s="13"/>
    </row>
    <row r="442" spans="15:15" ht="12.75" x14ac:dyDescent="0.2">
      <c r="O442" s="13"/>
    </row>
    <row r="443" spans="15:15" ht="12.75" x14ac:dyDescent="0.2">
      <c r="O443" s="13"/>
    </row>
    <row r="444" spans="15:15" ht="12.75" x14ac:dyDescent="0.2">
      <c r="O444" s="13"/>
    </row>
    <row r="445" spans="15:15" ht="12.75" x14ac:dyDescent="0.2">
      <c r="O445" s="13"/>
    </row>
    <row r="446" spans="15:15" ht="12.75" x14ac:dyDescent="0.2">
      <c r="O446" s="13"/>
    </row>
    <row r="447" spans="15:15" ht="12.75" x14ac:dyDescent="0.2">
      <c r="O447" s="13"/>
    </row>
    <row r="448" spans="15:15" ht="12.75" x14ac:dyDescent="0.2">
      <c r="O448" s="13"/>
    </row>
    <row r="449" spans="15:15" ht="12.75" x14ac:dyDescent="0.2">
      <c r="O449" s="13"/>
    </row>
    <row r="450" spans="15:15" ht="12.75" x14ac:dyDescent="0.2">
      <c r="O450" s="13"/>
    </row>
    <row r="451" spans="15:15" ht="12.75" x14ac:dyDescent="0.2">
      <c r="O451" s="13"/>
    </row>
    <row r="452" spans="15:15" ht="12.75" x14ac:dyDescent="0.2">
      <c r="O452" s="13"/>
    </row>
    <row r="453" spans="15:15" ht="12.75" x14ac:dyDescent="0.2">
      <c r="O453" s="13"/>
    </row>
    <row r="454" spans="15:15" ht="12.75" x14ac:dyDescent="0.2">
      <c r="O454" s="13"/>
    </row>
    <row r="455" spans="15:15" ht="12.75" x14ac:dyDescent="0.2">
      <c r="O455" s="13"/>
    </row>
    <row r="456" spans="15:15" ht="12.75" x14ac:dyDescent="0.2">
      <c r="O456" s="13"/>
    </row>
    <row r="457" spans="15:15" ht="12.75" x14ac:dyDescent="0.2">
      <c r="O457" s="13"/>
    </row>
    <row r="458" spans="15:15" ht="12.75" x14ac:dyDescent="0.2">
      <c r="O458" s="13"/>
    </row>
    <row r="459" spans="15:15" ht="12.75" x14ac:dyDescent="0.2">
      <c r="O459" s="13"/>
    </row>
    <row r="460" spans="15:15" ht="12.75" x14ac:dyDescent="0.2">
      <c r="O460" s="13"/>
    </row>
    <row r="461" spans="15:15" ht="12.75" x14ac:dyDescent="0.2">
      <c r="O461" s="13"/>
    </row>
    <row r="462" spans="15:15" ht="12.75" x14ac:dyDescent="0.2">
      <c r="O462" s="13"/>
    </row>
    <row r="463" spans="15:15" ht="12.75" x14ac:dyDescent="0.2">
      <c r="O463" s="13"/>
    </row>
    <row r="464" spans="15:15" ht="12.75" x14ac:dyDescent="0.2">
      <c r="O464" s="13"/>
    </row>
    <row r="465" spans="15:15" ht="12.75" x14ac:dyDescent="0.2">
      <c r="O465" s="13"/>
    </row>
    <row r="466" spans="15:15" ht="12.75" x14ac:dyDescent="0.2">
      <c r="O466" s="13"/>
    </row>
    <row r="467" spans="15:15" ht="12.75" x14ac:dyDescent="0.2">
      <c r="O467" s="13"/>
    </row>
    <row r="468" spans="15:15" ht="12.75" x14ac:dyDescent="0.2">
      <c r="O468" s="13"/>
    </row>
    <row r="469" spans="15:15" ht="12.75" x14ac:dyDescent="0.2">
      <c r="O469" s="13"/>
    </row>
    <row r="470" spans="15:15" ht="12.75" x14ac:dyDescent="0.2">
      <c r="O470" s="13"/>
    </row>
    <row r="471" spans="15:15" ht="12.75" x14ac:dyDescent="0.2">
      <c r="O471" s="13"/>
    </row>
    <row r="472" spans="15:15" ht="12.75" x14ac:dyDescent="0.2">
      <c r="O472" s="13"/>
    </row>
    <row r="473" spans="15:15" ht="12.75" x14ac:dyDescent="0.2">
      <c r="O473" s="13"/>
    </row>
    <row r="474" spans="15:15" ht="12.75" x14ac:dyDescent="0.2">
      <c r="O474" s="13"/>
    </row>
    <row r="475" spans="15:15" ht="12.75" x14ac:dyDescent="0.2">
      <c r="O475" s="13"/>
    </row>
    <row r="476" spans="15:15" ht="12.75" x14ac:dyDescent="0.2">
      <c r="O476" s="13"/>
    </row>
    <row r="477" spans="15:15" ht="12.75" x14ac:dyDescent="0.2">
      <c r="O477" s="13"/>
    </row>
    <row r="478" spans="15:15" ht="12.75" x14ac:dyDescent="0.2">
      <c r="O478" s="13"/>
    </row>
    <row r="479" spans="15:15" ht="12.75" x14ac:dyDescent="0.2">
      <c r="O479" s="13"/>
    </row>
    <row r="480" spans="15:15" ht="12.75" x14ac:dyDescent="0.2">
      <c r="O480" s="13"/>
    </row>
    <row r="481" spans="15:15" ht="12.75" x14ac:dyDescent="0.2">
      <c r="O481" s="13"/>
    </row>
    <row r="482" spans="15:15" ht="12.75" x14ac:dyDescent="0.2">
      <c r="O482" s="13"/>
    </row>
    <row r="483" spans="15:15" ht="12.75" x14ac:dyDescent="0.2">
      <c r="O483" s="13"/>
    </row>
    <row r="484" spans="15:15" ht="12.75" x14ac:dyDescent="0.2">
      <c r="O484" s="13"/>
    </row>
    <row r="485" spans="15:15" ht="12.75" x14ac:dyDescent="0.2">
      <c r="O485" s="13"/>
    </row>
    <row r="486" spans="15:15" ht="12.75" x14ac:dyDescent="0.2">
      <c r="O486" s="13"/>
    </row>
    <row r="487" spans="15:15" ht="12.75" x14ac:dyDescent="0.2">
      <c r="O487" s="13"/>
    </row>
    <row r="488" spans="15:15" ht="12.75" x14ac:dyDescent="0.2">
      <c r="O488" s="13"/>
    </row>
    <row r="489" spans="15:15" ht="12.75" x14ac:dyDescent="0.2">
      <c r="O489" s="13"/>
    </row>
    <row r="490" spans="15:15" ht="12.75" x14ac:dyDescent="0.2">
      <c r="O490" s="13"/>
    </row>
    <row r="491" spans="15:15" ht="12.75" x14ac:dyDescent="0.2">
      <c r="O491" s="13"/>
    </row>
    <row r="492" spans="15:15" ht="12.75" x14ac:dyDescent="0.2">
      <c r="O492" s="13"/>
    </row>
    <row r="493" spans="15:15" ht="12.75" x14ac:dyDescent="0.2">
      <c r="O493" s="13"/>
    </row>
    <row r="494" spans="15:15" ht="12.75" x14ac:dyDescent="0.2">
      <c r="O494" s="13"/>
    </row>
    <row r="495" spans="15:15" ht="12.75" x14ac:dyDescent="0.2">
      <c r="O495" s="13"/>
    </row>
    <row r="496" spans="15:15" ht="12.75" x14ac:dyDescent="0.2">
      <c r="O496" s="13"/>
    </row>
    <row r="497" spans="15:15" ht="12.75" x14ac:dyDescent="0.2">
      <c r="O497" s="13"/>
    </row>
    <row r="498" spans="15:15" ht="12.75" x14ac:dyDescent="0.2">
      <c r="O498" s="13"/>
    </row>
    <row r="499" spans="15:15" ht="12.75" x14ac:dyDescent="0.2">
      <c r="O499" s="13"/>
    </row>
    <row r="500" spans="15:15" ht="12.75" x14ac:dyDescent="0.2">
      <c r="O500" s="13"/>
    </row>
    <row r="501" spans="15:15" ht="12.75" x14ac:dyDescent="0.2">
      <c r="O501" s="13"/>
    </row>
    <row r="502" spans="15:15" ht="12.75" x14ac:dyDescent="0.2">
      <c r="O502" s="13"/>
    </row>
    <row r="503" spans="15:15" ht="12.75" x14ac:dyDescent="0.2">
      <c r="O503" s="13"/>
    </row>
    <row r="504" spans="15:15" ht="12.75" x14ac:dyDescent="0.2">
      <c r="O504" s="13"/>
    </row>
    <row r="505" spans="15:15" ht="12.75" x14ac:dyDescent="0.2">
      <c r="O505" s="13"/>
    </row>
    <row r="506" spans="15:15" ht="12.75" x14ac:dyDescent="0.2">
      <c r="O506" s="13"/>
    </row>
    <row r="507" spans="15:15" ht="12.75" x14ac:dyDescent="0.2">
      <c r="O507" s="13"/>
    </row>
    <row r="508" spans="15:15" ht="12.75" x14ac:dyDescent="0.2">
      <c r="O508" s="13"/>
    </row>
    <row r="509" spans="15:15" ht="12.75" x14ac:dyDescent="0.2">
      <c r="O509" s="13"/>
    </row>
    <row r="510" spans="15:15" ht="12.75" x14ac:dyDescent="0.2">
      <c r="O510" s="13"/>
    </row>
    <row r="511" spans="15:15" ht="12.75" x14ac:dyDescent="0.2">
      <c r="O511" s="13"/>
    </row>
    <row r="512" spans="15:15" ht="12.75" x14ac:dyDescent="0.2">
      <c r="O512" s="13"/>
    </row>
    <row r="513" spans="15:15" ht="12.75" x14ac:dyDescent="0.2">
      <c r="O513" s="13"/>
    </row>
    <row r="514" spans="15:15" ht="12.75" x14ac:dyDescent="0.2">
      <c r="O514" s="13"/>
    </row>
    <row r="515" spans="15:15" ht="12.75" x14ac:dyDescent="0.2">
      <c r="O515" s="13"/>
    </row>
    <row r="516" spans="15:15" ht="12.75" x14ac:dyDescent="0.2">
      <c r="O516" s="13"/>
    </row>
    <row r="517" spans="15:15" ht="12.75" x14ac:dyDescent="0.2">
      <c r="O517" s="13"/>
    </row>
    <row r="518" spans="15:15" ht="12.75" x14ac:dyDescent="0.2">
      <c r="O518" s="13"/>
    </row>
    <row r="519" spans="15:15" ht="12.75" x14ac:dyDescent="0.2">
      <c r="O519" s="13"/>
    </row>
    <row r="520" spans="15:15" ht="12.75" x14ac:dyDescent="0.2">
      <c r="O520" s="13"/>
    </row>
    <row r="521" spans="15:15" ht="12.75" x14ac:dyDescent="0.2">
      <c r="O521" s="13"/>
    </row>
    <row r="522" spans="15:15" ht="12.75" x14ac:dyDescent="0.2">
      <c r="O522" s="13"/>
    </row>
    <row r="523" spans="15:15" ht="12.75" x14ac:dyDescent="0.2">
      <c r="O523" s="13"/>
    </row>
    <row r="524" spans="15:15" ht="12.75" x14ac:dyDescent="0.2">
      <c r="O524" s="13"/>
    </row>
    <row r="525" spans="15:15" ht="12.75" x14ac:dyDescent="0.2">
      <c r="O525" s="13"/>
    </row>
    <row r="526" spans="15:15" ht="12.75" x14ac:dyDescent="0.2">
      <c r="O526" s="13"/>
    </row>
    <row r="527" spans="15:15" ht="12.75" x14ac:dyDescent="0.2">
      <c r="O527" s="13"/>
    </row>
    <row r="528" spans="15:15" ht="12.75" x14ac:dyDescent="0.2">
      <c r="O528" s="13"/>
    </row>
    <row r="529" spans="15:15" ht="12.75" x14ac:dyDescent="0.2">
      <c r="O529" s="13"/>
    </row>
    <row r="530" spans="15:15" ht="12.75" x14ac:dyDescent="0.2">
      <c r="O530" s="13"/>
    </row>
    <row r="531" spans="15:15" ht="12.75" x14ac:dyDescent="0.2">
      <c r="O531" s="13"/>
    </row>
    <row r="532" spans="15:15" ht="12.75" x14ac:dyDescent="0.2">
      <c r="O532" s="13"/>
    </row>
    <row r="533" spans="15:15" ht="12.75" x14ac:dyDescent="0.2">
      <c r="O533" s="13"/>
    </row>
    <row r="534" spans="15:15" ht="12.75" x14ac:dyDescent="0.2">
      <c r="O534" s="13"/>
    </row>
    <row r="535" spans="15:15" ht="12.75" x14ac:dyDescent="0.2">
      <c r="O535" s="13"/>
    </row>
    <row r="536" spans="15:15" ht="12.75" x14ac:dyDescent="0.2">
      <c r="O536" s="13"/>
    </row>
    <row r="537" spans="15:15" ht="12.75" x14ac:dyDescent="0.2">
      <c r="O537" s="13"/>
    </row>
    <row r="538" spans="15:15" ht="12.75" x14ac:dyDescent="0.2">
      <c r="O538" s="13"/>
    </row>
    <row r="539" spans="15:15" ht="12.75" x14ac:dyDescent="0.2">
      <c r="O539" s="13"/>
    </row>
    <row r="540" spans="15:15" ht="12.75" x14ac:dyDescent="0.2">
      <c r="O540" s="13"/>
    </row>
    <row r="541" spans="15:15" ht="12.75" x14ac:dyDescent="0.2">
      <c r="O541" s="13"/>
    </row>
    <row r="542" spans="15:15" ht="12.75" x14ac:dyDescent="0.2">
      <c r="O542" s="13"/>
    </row>
    <row r="543" spans="15:15" ht="12.75" x14ac:dyDescent="0.2">
      <c r="O543" s="13"/>
    </row>
    <row r="544" spans="15:15" ht="12.75" x14ac:dyDescent="0.2">
      <c r="O544" s="13"/>
    </row>
    <row r="545" spans="15:15" ht="12.75" x14ac:dyDescent="0.2">
      <c r="O545" s="13"/>
    </row>
    <row r="546" spans="15:15" ht="12.75" x14ac:dyDescent="0.2">
      <c r="O546" s="13"/>
    </row>
    <row r="547" spans="15:15" ht="12.75" x14ac:dyDescent="0.2">
      <c r="O547" s="13"/>
    </row>
    <row r="548" spans="15:15" ht="12.75" x14ac:dyDescent="0.2">
      <c r="O548" s="13"/>
    </row>
    <row r="549" spans="15:15" ht="12.75" x14ac:dyDescent="0.2">
      <c r="O549" s="13"/>
    </row>
    <row r="550" spans="15:15" ht="12.75" x14ac:dyDescent="0.2">
      <c r="O550" s="13"/>
    </row>
    <row r="551" spans="15:15" ht="12.75" x14ac:dyDescent="0.2">
      <c r="O551" s="13"/>
    </row>
    <row r="552" spans="15:15" ht="12.75" x14ac:dyDescent="0.2">
      <c r="O552" s="13"/>
    </row>
    <row r="553" spans="15:15" ht="12.75" x14ac:dyDescent="0.2">
      <c r="O553" s="13"/>
    </row>
    <row r="554" spans="15:15" ht="12.75" x14ac:dyDescent="0.2">
      <c r="O554" s="13"/>
    </row>
    <row r="555" spans="15:15" ht="12.75" x14ac:dyDescent="0.2">
      <c r="O555" s="13"/>
    </row>
    <row r="556" spans="15:15" ht="12.75" x14ac:dyDescent="0.2">
      <c r="O556" s="13"/>
    </row>
    <row r="557" spans="15:15" ht="12.75" x14ac:dyDescent="0.2">
      <c r="O557" s="13"/>
    </row>
    <row r="558" spans="15:15" ht="12.75" x14ac:dyDescent="0.2">
      <c r="O558" s="13"/>
    </row>
    <row r="559" spans="15:15" ht="12.75" x14ac:dyDescent="0.2">
      <c r="O559" s="13"/>
    </row>
    <row r="560" spans="15:15" ht="12.75" x14ac:dyDescent="0.2">
      <c r="O560" s="13"/>
    </row>
    <row r="561" spans="15:15" ht="12.75" x14ac:dyDescent="0.2">
      <c r="O561" s="13"/>
    </row>
    <row r="562" spans="15:15" ht="12.75" x14ac:dyDescent="0.2">
      <c r="O562" s="13"/>
    </row>
    <row r="563" spans="15:15" ht="12.75" x14ac:dyDescent="0.2">
      <c r="O563" s="13"/>
    </row>
    <row r="564" spans="15:15" ht="12.75" x14ac:dyDescent="0.2">
      <c r="O564" s="13"/>
    </row>
    <row r="565" spans="15:15" ht="12.75" x14ac:dyDescent="0.2">
      <c r="O565" s="13"/>
    </row>
    <row r="566" spans="15:15" ht="12.75" x14ac:dyDescent="0.2">
      <c r="O566" s="13"/>
    </row>
    <row r="567" spans="15:15" ht="12.75" x14ac:dyDescent="0.2">
      <c r="O567" s="13"/>
    </row>
    <row r="568" spans="15:15" ht="12.75" x14ac:dyDescent="0.2">
      <c r="O568" s="13"/>
    </row>
    <row r="569" spans="15:15" ht="12.75" x14ac:dyDescent="0.2">
      <c r="O569" s="13"/>
    </row>
    <row r="570" spans="15:15" ht="12.75" x14ac:dyDescent="0.2">
      <c r="O570" s="13"/>
    </row>
    <row r="571" spans="15:15" ht="12.75" x14ac:dyDescent="0.2">
      <c r="O571" s="13"/>
    </row>
    <row r="572" spans="15:15" ht="12.75" x14ac:dyDescent="0.2">
      <c r="O572" s="13"/>
    </row>
    <row r="573" spans="15:15" ht="12.75" x14ac:dyDescent="0.2">
      <c r="O573" s="13"/>
    </row>
    <row r="574" spans="15:15" ht="12.75" x14ac:dyDescent="0.2">
      <c r="O574" s="13"/>
    </row>
    <row r="575" spans="15:15" ht="12.75" x14ac:dyDescent="0.2">
      <c r="O575" s="13"/>
    </row>
    <row r="576" spans="15:15" ht="12.75" x14ac:dyDescent="0.2">
      <c r="O576" s="13"/>
    </row>
    <row r="577" spans="15:15" ht="12.75" x14ac:dyDescent="0.2">
      <c r="O577" s="13"/>
    </row>
    <row r="578" spans="15:15" ht="12.75" x14ac:dyDescent="0.2">
      <c r="O578" s="13"/>
    </row>
    <row r="579" spans="15:15" ht="12.75" x14ac:dyDescent="0.2">
      <c r="O579" s="13"/>
    </row>
    <row r="580" spans="15:15" ht="12.75" x14ac:dyDescent="0.2">
      <c r="O580" s="13"/>
    </row>
    <row r="581" spans="15:15" ht="12.75" x14ac:dyDescent="0.2">
      <c r="O581" s="13"/>
    </row>
    <row r="582" spans="15:15" ht="12.75" x14ac:dyDescent="0.2">
      <c r="O582" s="13"/>
    </row>
    <row r="583" spans="15:15" ht="12.75" x14ac:dyDescent="0.2">
      <c r="O583" s="13"/>
    </row>
    <row r="584" spans="15:15" ht="12.75" x14ac:dyDescent="0.2">
      <c r="O584" s="13"/>
    </row>
    <row r="585" spans="15:15" ht="12.75" x14ac:dyDescent="0.2">
      <c r="O585" s="13"/>
    </row>
    <row r="586" spans="15:15" ht="12.75" x14ac:dyDescent="0.2">
      <c r="O586" s="13"/>
    </row>
    <row r="587" spans="15:15" ht="12.75" x14ac:dyDescent="0.2">
      <c r="O587" s="13"/>
    </row>
    <row r="588" spans="15:15" ht="12.75" x14ac:dyDescent="0.2">
      <c r="O588" s="13"/>
    </row>
    <row r="589" spans="15:15" ht="12.75" x14ac:dyDescent="0.2">
      <c r="O589" s="13"/>
    </row>
    <row r="590" spans="15:15" ht="12.75" x14ac:dyDescent="0.2">
      <c r="O590" s="13"/>
    </row>
    <row r="591" spans="15:15" ht="12.75" x14ac:dyDescent="0.2">
      <c r="O591" s="13"/>
    </row>
    <row r="592" spans="15:15" ht="12.75" x14ac:dyDescent="0.2">
      <c r="O592" s="13"/>
    </row>
    <row r="593" spans="15:15" ht="12.75" x14ac:dyDescent="0.2">
      <c r="O593" s="13"/>
    </row>
    <row r="594" spans="15:15" ht="12.75" x14ac:dyDescent="0.2">
      <c r="O594" s="13"/>
    </row>
    <row r="595" spans="15:15" ht="12.75" x14ac:dyDescent="0.2">
      <c r="O595" s="13"/>
    </row>
    <row r="596" spans="15:15" ht="12.75" x14ac:dyDescent="0.2">
      <c r="O596" s="13"/>
    </row>
    <row r="597" spans="15:15" ht="12.75" x14ac:dyDescent="0.2">
      <c r="O597" s="13"/>
    </row>
    <row r="598" spans="15:15" ht="12.75" x14ac:dyDescent="0.2">
      <c r="O598" s="13"/>
    </row>
    <row r="599" spans="15:15" ht="12.75" x14ac:dyDescent="0.2">
      <c r="O599" s="13"/>
    </row>
    <row r="600" spans="15:15" ht="12.75" x14ac:dyDescent="0.2">
      <c r="O600" s="13"/>
    </row>
    <row r="601" spans="15:15" ht="12.75" x14ac:dyDescent="0.2">
      <c r="O601" s="13"/>
    </row>
    <row r="602" spans="15:15" ht="12.75" x14ac:dyDescent="0.2">
      <c r="O602" s="13"/>
    </row>
    <row r="603" spans="15:15" ht="12.75" x14ac:dyDescent="0.2">
      <c r="O603" s="13"/>
    </row>
    <row r="604" spans="15:15" ht="12.75" x14ac:dyDescent="0.2">
      <c r="O604" s="13"/>
    </row>
    <row r="605" spans="15:15" ht="12.75" x14ac:dyDescent="0.2">
      <c r="O605" s="13"/>
    </row>
    <row r="606" spans="15:15" ht="12.75" x14ac:dyDescent="0.2">
      <c r="O606" s="13"/>
    </row>
    <row r="607" spans="15:15" ht="12.75" x14ac:dyDescent="0.2">
      <c r="O607" s="13"/>
    </row>
    <row r="608" spans="15:15" ht="12.75" x14ac:dyDescent="0.2">
      <c r="O608" s="13"/>
    </row>
    <row r="609" spans="15:15" ht="12.75" x14ac:dyDescent="0.2">
      <c r="O609" s="13"/>
    </row>
    <row r="610" spans="15:15" ht="12.75" x14ac:dyDescent="0.2">
      <c r="O610" s="13"/>
    </row>
    <row r="611" spans="15:15" ht="12.75" x14ac:dyDescent="0.2">
      <c r="O611" s="13"/>
    </row>
    <row r="612" spans="15:15" ht="12.75" x14ac:dyDescent="0.2">
      <c r="O612" s="13"/>
    </row>
    <row r="613" spans="15:15" ht="12.75" x14ac:dyDescent="0.2">
      <c r="O613" s="13"/>
    </row>
    <row r="614" spans="15:15" ht="12.75" x14ac:dyDescent="0.2">
      <c r="O614" s="13"/>
    </row>
    <row r="615" spans="15:15" ht="12.75" x14ac:dyDescent="0.2">
      <c r="O615" s="13"/>
    </row>
    <row r="616" spans="15:15" ht="12.75" x14ac:dyDescent="0.2">
      <c r="O616" s="13"/>
    </row>
    <row r="617" spans="15:15" ht="12.75" x14ac:dyDescent="0.2">
      <c r="O617" s="13"/>
    </row>
    <row r="618" spans="15:15" ht="12.75" x14ac:dyDescent="0.2">
      <c r="O618" s="13"/>
    </row>
    <row r="619" spans="15:15" ht="12.75" x14ac:dyDescent="0.2">
      <c r="O619" s="13"/>
    </row>
    <row r="620" spans="15:15" ht="12.75" x14ac:dyDescent="0.2">
      <c r="O620" s="13"/>
    </row>
    <row r="621" spans="15:15" ht="12.75" x14ac:dyDescent="0.2">
      <c r="O621" s="13"/>
    </row>
    <row r="622" spans="15:15" ht="12.75" x14ac:dyDescent="0.2">
      <c r="O622" s="13"/>
    </row>
    <row r="623" spans="15:15" ht="12.75" x14ac:dyDescent="0.2">
      <c r="O623" s="13"/>
    </row>
    <row r="624" spans="15:15" ht="12.75" x14ac:dyDescent="0.2">
      <c r="O624" s="13"/>
    </row>
    <row r="625" spans="15:15" ht="12.75" x14ac:dyDescent="0.2">
      <c r="O625" s="13"/>
    </row>
    <row r="626" spans="15:15" ht="12.75" x14ac:dyDescent="0.2">
      <c r="O626" s="13"/>
    </row>
    <row r="627" spans="15:15" ht="12.75" x14ac:dyDescent="0.2">
      <c r="O627" s="13"/>
    </row>
    <row r="628" spans="15:15" ht="12.75" x14ac:dyDescent="0.2">
      <c r="O628" s="13"/>
    </row>
    <row r="629" spans="15:15" ht="12.75" x14ac:dyDescent="0.2">
      <c r="O629" s="13"/>
    </row>
    <row r="630" spans="15:15" ht="12.75" x14ac:dyDescent="0.2">
      <c r="O630" s="13"/>
    </row>
    <row r="631" spans="15:15" ht="12.75" x14ac:dyDescent="0.2">
      <c r="O631" s="13"/>
    </row>
    <row r="632" spans="15:15" ht="12.75" x14ac:dyDescent="0.2">
      <c r="O632" s="13"/>
    </row>
    <row r="633" spans="15:15" ht="12.75" x14ac:dyDescent="0.2">
      <c r="O633" s="13"/>
    </row>
    <row r="634" spans="15:15" ht="12.75" x14ac:dyDescent="0.2">
      <c r="O634" s="13"/>
    </row>
    <row r="635" spans="15:15" ht="12.75" x14ac:dyDescent="0.2">
      <c r="O635" s="13"/>
    </row>
    <row r="636" spans="15:15" ht="12.75" x14ac:dyDescent="0.2">
      <c r="O636" s="13"/>
    </row>
    <row r="637" spans="15:15" ht="12.75" x14ac:dyDescent="0.2">
      <c r="O637" s="13"/>
    </row>
    <row r="638" spans="15:15" ht="12.75" x14ac:dyDescent="0.2">
      <c r="O638" s="13"/>
    </row>
    <row r="639" spans="15:15" ht="12.75" x14ac:dyDescent="0.2">
      <c r="O639" s="13"/>
    </row>
    <row r="640" spans="15:15" ht="12.75" x14ac:dyDescent="0.2">
      <c r="O640" s="13"/>
    </row>
    <row r="641" spans="15:15" ht="12.75" x14ac:dyDescent="0.2">
      <c r="O641" s="13"/>
    </row>
    <row r="642" spans="15:15" ht="12.75" x14ac:dyDescent="0.2">
      <c r="O642" s="13"/>
    </row>
    <row r="643" spans="15:15" ht="12.75" x14ac:dyDescent="0.2">
      <c r="O643" s="13"/>
    </row>
    <row r="644" spans="15:15" ht="12.75" x14ac:dyDescent="0.2">
      <c r="O644" s="13"/>
    </row>
    <row r="645" spans="15:15" ht="12.75" x14ac:dyDescent="0.2">
      <c r="O645" s="13"/>
    </row>
    <row r="646" spans="15:15" ht="12.75" x14ac:dyDescent="0.2">
      <c r="O646" s="13"/>
    </row>
    <row r="647" spans="15:15" ht="12.75" x14ac:dyDescent="0.2">
      <c r="O647" s="13"/>
    </row>
    <row r="648" spans="15:15" ht="12.75" x14ac:dyDescent="0.2">
      <c r="O648" s="13"/>
    </row>
    <row r="649" spans="15:15" ht="12.75" x14ac:dyDescent="0.2">
      <c r="O649" s="13"/>
    </row>
    <row r="650" spans="15:15" ht="12.75" x14ac:dyDescent="0.2">
      <c r="O650" s="13"/>
    </row>
    <row r="651" spans="15:15" ht="12.75" x14ac:dyDescent="0.2">
      <c r="O651" s="13"/>
    </row>
    <row r="652" spans="15:15" ht="12.75" x14ac:dyDescent="0.2">
      <c r="O652" s="13"/>
    </row>
    <row r="653" spans="15:15" ht="12.75" x14ac:dyDescent="0.2">
      <c r="O653" s="13"/>
    </row>
    <row r="654" spans="15:15" ht="12.75" x14ac:dyDescent="0.2">
      <c r="O654" s="13"/>
    </row>
    <row r="655" spans="15:15" ht="12.75" x14ac:dyDescent="0.2">
      <c r="O655" s="13"/>
    </row>
    <row r="656" spans="15:15" ht="12.75" x14ac:dyDescent="0.2">
      <c r="O656" s="13"/>
    </row>
    <row r="657" spans="15:15" ht="12.75" x14ac:dyDescent="0.2">
      <c r="O657" s="13"/>
    </row>
    <row r="658" spans="15:15" ht="12.75" x14ac:dyDescent="0.2">
      <c r="O658" s="13"/>
    </row>
    <row r="659" spans="15:15" ht="12.75" x14ac:dyDescent="0.2">
      <c r="O659" s="13"/>
    </row>
    <row r="660" spans="15:15" ht="12.75" x14ac:dyDescent="0.2">
      <c r="O660" s="13"/>
    </row>
    <row r="661" spans="15:15" ht="12.75" x14ac:dyDescent="0.2">
      <c r="O661" s="13"/>
    </row>
    <row r="662" spans="15:15" ht="12.75" x14ac:dyDescent="0.2">
      <c r="O662" s="13"/>
    </row>
    <row r="663" spans="15:15" ht="12.75" x14ac:dyDescent="0.2">
      <c r="O663" s="13"/>
    </row>
    <row r="664" spans="15:15" ht="12.75" x14ac:dyDescent="0.2">
      <c r="O664" s="13"/>
    </row>
    <row r="665" spans="15:15" ht="12.75" x14ac:dyDescent="0.2">
      <c r="O665" s="13"/>
    </row>
    <row r="666" spans="15:15" ht="12.75" x14ac:dyDescent="0.2">
      <c r="O666" s="13"/>
    </row>
    <row r="667" spans="15:15" ht="12.75" x14ac:dyDescent="0.2">
      <c r="O667" s="13"/>
    </row>
    <row r="668" spans="15:15" ht="12.75" x14ac:dyDescent="0.2">
      <c r="O668" s="13"/>
    </row>
    <row r="669" spans="15:15" ht="12.75" x14ac:dyDescent="0.2">
      <c r="O669" s="13"/>
    </row>
    <row r="670" spans="15:15" ht="12.75" x14ac:dyDescent="0.2">
      <c r="O670" s="13"/>
    </row>
    <row r="671" spans="15:15" ht="12.75" x14ac:dyDescent="0.2">
      <c r="O671" s="13"/>
    </row>
    <row r="672" spans="15:15" ht="12.75" x14ac:dyDescent="0.2">
      <c r="O672" s="13"/>
    </row>
    <row r="673" spans="15:15" ht="12.75" x14ac:dyDescent="0.2">
      <c r="O673" s="13"/>
    </row>
    <row r="674" spans="15:15" ht="12.75" x14ac:dyDescent="0.2">
      <c r="O674" s="13"/>
    </row>
    <row r="675" spans="15:15" ht="12.75" x14ac:dyDescent="0.2">
      <c r="O675" s="13"/>
    </row>
    <row r="676" spans="15:15" ht="12.75" x14ac:dyDescent="0.2">
      <c r="O676" s="13"/>
    </row>
    <row r="677" spans="15:15" ht="12.75" x14ac:dyDescent="0.2">
      <c r="O677" s="13"/>
    </row>
    <row r="678" spans="15:15" ht="12.75" x14ac:dyDescent="0.2">
      <c r="O678" s="13"/>
    </row>
    <row r="679" spans="15:15" ht="12.75" x14ac:dyDescent="0.2">
      <c r="O679" s="13"/>
    </row>
    <row r="680" spans="15:15" ht="12.75" x14ac:dyDescent="0.2">
      <c r="O680" s="13"/>
    </row>
    <row r="681" spans="15:15" ht="12.75" x14ac:dyDescent="0.2">
      <c r="O681" s="13"/>
    </row>
    <row r="682" spans="15:15" ht="12.75" x14ac:dyDescent="0.2">
      <c r="O682" s="13"/>
    </row>
    <row r="683" spans="15:15" ht="12.75" x14ac:dyDescent="0.2">
      <c r="O683" s="13"/>
    </row>
    <row r="684" spans="15:15" ht="12.75" x14ac:dyDescent="0.2">
      <c r="O684" s="13"/>
    </row>
    <row r="685" spans="15:15" ht="12.75" x14ac:dyDescent="0.2">
      <c r="O685" s="13"/>
    </row>
    <row r="686" spans="15:15" ht="12.75" x14ac:dyDescent="0.2">
      <c r="O686" s="13"/>
    </row>
    <row r="687" spans="15:15" ht="12.75" x14ac:dyDescent="0.2">
      <c r="O687" s="13"/>
    </row>
    <row r="688" spans="15:15" ht="12.75" x14ac:dyDescent="0.2">
      <c r="O688" s="13"/>
    </row>
    <row r="689" spans="15:15" ht="12.75" x14ac:dyDescent="0.2">
      <c r="O689" s="13"/>
    </row>
    <row r="690" spans="15:15" ht="12.75" x14ac:dyDescent="0.2">
      <c r="O690" s="13"/>
    </row>
    <row r="691" spans="15:15" ht="12.75" x14ac:dyDescent="0.2">
      <c r="O691" s="13"/>
    </row>
    <row r="692" spans="15:15" ht="12.75" x14ac:dyDescent="0.2">
      <c r="O692" s="13"/>
    </row>
    <row r="693" spans="15:15" ht="12.75" x14ac:dyDescent="0.2">
      <c r="O693" s="13"/>
    </row>
    <row r="694" spans="15:15" ht="12.75" x14ac:dyDescent="0.2">
      <c r="O694" s="13"/>
    </row>
    <row r="695" spans="15:15" ht="12.75" x14ac:dyDescent="0.2">
      <c r="O695" s="13"/>
    </row>
    <row r="696" spans="15:15" ht="12.75" x14ac:dyDescent="0.2">
      <c r="O696" s="13"/>
    </row>
    <row r="697" spans="15:15" ht="12.75" x14ac:dyDescent="0.2">
      <c r="O697" s="13"/>
    </row>
    <row r="698" spans="15:15" ht="12.75" x14ac:dyDescent="0.2">
      <c r="O698" s="13"/>
    </row>
    <row r="699" spans="15:15" ht="12.75" x14ac:dyDescent="0.2">
      <c r="O699" s="13"/>
    </row>
    <row r="700" spans="15:15" ht="12.75" x14ac:dyDescent="0.2">
      <c r="O700" s="13"/>
    </row>
    <row r="701" spans="15:15" ht="12.75" x14ac:dyDescent="0.2">
      <c r="O701" s="13"/>
    </row>
    <row r="702" spans="15:15" ht="12.75" x14ac:dyDescent="0.2">
      <c r="O702" s="13"/>
    </row>
    <row r="703" spans="15:15" ht="12.75" x14ac:dyDescent="0.2">
      <c r="O703" s="13"/>
    </row>
    <row r="704" spans="15:15" ht="12.75" x14ac:dyDescent="0.2">
      <c r="O704" s="13"/>
    </row>
    <row r="705" spans="15:15" ht="12.75" x14ac:dyDescent="0.2">
      <c r="O705" s="13"/>
    </row>
    <row r="706" spans="15:15" ht="12.75" x14ac:dyDescent="0.2">
      <c r="O706" s="13"/>
    </row>
    <row r="707" spans="15:15" ht="12.75" x14ac:dyDescent="0.2">
      <c r="O707" s="13"/>
    </row>
    <row r="708" spans="15:15" ht="12.75" x14ac:dyDescent="0.2">
      <c r="O708" s="13"/>
    </row>
    <row r="709" spans="15:15" ht="12.75" x14ac:dyDescent="0.2">
      <c r="O709" s="13"/>
    </row>
    <row r="710" spans="15:15" ht="12.75" x14ac:dyDescent="0.2">
      <c r="O710" s="13"/>
    </row>
    <row r="711" spans="15:15" ht="12.75" x14ac:dyDescent="0.2">
      <c r="O711" s="13"/>
    </row>
    <row r="712" spans="15:15" ht="12.75" x14ac:dyDescent="0.2">
      <c r="O712" s="13"/>
    </row>
    <row r="713" spans="15:15" ht="12.75" x14ac:dyDescent="0.2">
      <c r="O713" s="13"/>
    </row>
    <row r="714" spans="15:15" ht="12.75" x14ac:dyDescent="0.2">
      <c r="O714" s="13"/>
    </row>
    <row r="715" spans="15:15" ht="12.75" x14ac:dyDescent="0.2">
      <c r="O715" s="13"/>
    </row>
    <row r="716" spans="15:15" ht="12.75" x14ac:dyDescent="0.2">
      <c r="O716" s="13"/>
    </row>
    <row r="717" spans="15:15" ht="12.75" x14ac:dyDescent="0.2">
      <c r="O717" s="13"/>
    </row>
    <row r="718" spans="15:15" ht="12.75" x14ac:dyDescent="0.2">
      <c r="O718" s="13"/>
    </row>
    <row r="719" spans="15:15" ht="12.75" x14ac:dyDescent="0.2">
      <c r="O719" s="13"/>
    </row>
    <row r="720" spans="15:15" ht="12.75" x14ac:dyDescent="0.2">
      <c r="O720" s="13"/>
    </row>
    <row r="721" spans="15:15" ht="12.75" x14ac:dyDescent="0.2">
      <c r="O721" s="13"/>
    </row>
    <row r="722" spans="15:15" ht="12.75" x14ac:dyDescent="0.2">
      <c r="O722" s="13"/>
    </row>
    <row r="723" spans="15:15" ht="12.75" x14ac:dyDescent="0.2">
      <c r="O723" s="13"/>
    </row>
    <row r="724" spans="15:15" ht="12.75" x14ac:dyDescent="0.2">
      <c r="O724" s="13"/>
    </row>
    <row r="725" spans="15:15" ht="12.75" x14ac:dyDescent="0.2">
      <c r="O725" s="13"/>
    </row>
    <row r="726" spans="15:15" ht="12.75" x14ac:dyDescent="0.2">
      <c r="O726" s="13"/>
    </row>
    <row r="727" spans="15:15" ht="12.75" x14ac:dyDescent="0.2">
      <c r="O727" s="13"/>
    </row>
    <row r="728" spans="15:15" ht="12.75" x14ac:dyDescent="0.2">
      <c r="O728" s="13"/>
    </row>
    <row r="729" spans="15:15" ht="12.75" x14ac:dyDescent="0.2">
      <c r="O729" s="13"/>
    </row>
    <row r="730" spans="15:15" ht="12.75" x14ac:dyDescent="0.2">
      <c r="O730" s="13"/>
    </row>
    <row r="731" spans="15:15" ht="12.75" x14ac:dyDescent="0.2">
      <c r="O731" s="13"/>
    </row>
    <row r="732" spans="15:15" ht="12.75" x14ac:dyDescent="0.2">
      <c r="O732" s="13"/>
    </row>
    <row r="733" spans="15:15" ht="12.75" x14ac:dyDescent="0.2">
      <c r="O733" s="13"/>
    </row>
    <row r="734" spans="15:15" ht="12.75" x14ac:dyDescent="0.2">
      <c r="O734" s="13"/>
    </row>
    <row r="735" spans="15:15" ht="12.75" x14ac:dyDescent="0.2">
      <c r="O735" s="13"/>
    </row>
    <row r="736" spans="15:15" ht="12.75" x14ac:dyDescent="0.2">
      <c r="O736" s="13"/>
    </row>
    <row r="737" spans="15:15" ht="12.75" x14ac:dyDescent="0.2">
      <c r="O737" s="13"/>
    </row>
    <row r="738" spans="15:15" ht="12.75" x14ac:dyDescent="0.2">
      <c r="O738" s="13"/>
    </row>
    <row r="739" spans="15:15" ht="12.75" x14ac:dyDescent="0.2">
      <c r="O739" s="13"/>
    </row>
    <row r="740" spans="15:15" ht="12.75" x14ac:dyDescent="0.2">
      <c r="O740" s="13"/>
    </row>
    <row r="741" spans="15:15" ht="12.75" x14ac:dyDescent="0.2">
      <c r="O741" s="13"/>
    </row>
    <row r="742" spans="15:15" ht="12.75" x14ac:dyDescent="0.2">
      <c r="O742" s="13"/>
    </row>
    <row r="743" spans="15:15" ht="12.75" x14ac:dyDescent="0.2">
      <c r="O743" s="13"/>
    </row>
    <row r="744" spans="15:15" ht="12.75" x14ac:dyDescent="0.2">
      <c r="O744" s="13"/>
    </row>
    <row r="745" spans="15:15" ht="12.75" x14ac:dyDescent="0.2">
      <c r="O745" s="13"/>
    </row>
    <row r="746" spans="15:15" ht="12.75" x14ac:dyDescent="0.2">
      <c r="O746" s="13"/>
    </row>
    <row r="747" spans="15:15" ht="12.75" x14ac:dyDescent="0.2">
      <c r="O747" s="13"/>
    </row>
    <row r="748" spans="15:15" ht="12.75" x14ac:dyDescent="0.2">
      <c r="O748" s="13"/>
    </row>
    <row r="749" spans="15:15" ht="12.75" x14ac:dyDescent="0.2">
      <c r="O749" s="13"/>
    </row>
    <row r="750" spans="15:15" ht="12.75" x14ac:dyDescent="0.2">
      <c r="O750" s="13"/>
    </row>
    <row r="751" spans="15:15" ht="12.75" x14ac:dyDescent="0.2">
      <c r="O751" s="13"/>
    </row>
    <row r="752" spans="15:15" ht="12.75" x14ac:dyDescent="0.2">
      <c r="O752" s="13"/>
    </row>
    <row r="753" spans="15:15" ht="12.75" x14ac:dyDescent="0.2">
      <c r="O753" s="13"/>
    </row>
    <row r="754" spans="15:15" ht="12.75" x14ac:dyDescent="0.2">
      <c r="O754" s="13"/>
    </row>
    <row r="755" spans="15:15" ht="12.75" x14ac:dyDescent="0.2">
      <c r="O755" s="13"/>
    </row>
    <row r="756" spans="15:15" ht="12.75" x14ac:dyDescent="0.2">
      <c r="O756" s="13"/>
    </row>
    <row r="757" spans="15:15" ht="12.75" x14ac:dyDescent="0.2">
      <c r="O757" s="13"/>
    </row>
    <row r="758" spans="15:15" ht="12.75" x14ac:dyDescent="0.2">
      <c r="O758" s="13"/>
    </row>
    <row r="759" spans="15:15" ht="12.75" x14ac:dyDescent="0.2">
      <c r="O759" s="13"/>
    </row>
    <row r="760" spans="15:15" ht="12.75" x14ac:dyDescent="0.2">
      <c r="O760" s="13"/>
    </row>
    <row r="761" spans="15:15" ht="12.75" x14ac:dyDescent="0.2">
      <c r="O761" s="13"/>
    </row>
    <row r="762" spans="15:15" ht="12.75" x14ac:dyDescent="0.2">
      <c r="O762" s="13"/>
    </row>
    <row r="763" spans="15:15" ht="12.75" x14ac:dyDescent="0.2">
      <c r="O763" s="13"/>
    </row>
    <row r="764" spans="15:15" ht="12.75" x14ac:dyDescent="0.2">
      <c r="O764" s="13"/>
    </row>
    <row r="765" spans="15:15" ht="12.75" x14ac:dyDescent="0.2">
      <c r="O765" s="13"/>
    </row>
    <row r="766" spans="15:15" ht="12.75" x14ac:dyDescent="0.2">
      <c r="O766" s="13"/>
    </row>
    <row r="767" spans="15:15" ht="12.75" x14ac:dyDescent="0.2">
      <c r="O767" s="13"/>
    </row>
    <row r="768" spans="15:15" ht="12.75" x14ac:dyDescent="0.2">
      <c r="O768" s="13"/>
    </row>
    <row r="769" spans="15:15" ht="12.75" x14ac:dyDescent="0.2">
      <c r="O769" s="13"/>
    </row>
    <row r="770" spans="15:15" ht="12.75" x14ac:dyDescent="0.2">
      <c r="O770" s="13"/>
    </row>
    <row r="771" spans="15:15" ht="12.75" x14ac:dyDescent="0.2">
      <c r="O771" s="13"/>
    </row>
    <row r="772" spans="15:15" ht="12.75" x14ac:dyDescent="0.2">
      <c r="O772" s="13"/>
    </row>
    <row r="773" spans="15:15" ht="12.75" x14ac:dyDescent="0.2">
      <c r="O773" s="13"/>
    </row>
    <row r="774" spans="15:15" ht="12.75" x14ac:dyDescent="0.2">
      <c r="O774" s="13"/>
    </row>
    <row r="775" spans="15:15" ht="12.75" x14ac:dyDescent="0.2">
      <c r="O775" s="13"/>
    </row>
    <row r="776" spans="15:15" ht="12.75" x14ac:dyDescent="0.2">
      <c r="O776" s="13"/>
    </row>
    <row r="777" spans="15:15" ht="12.75" x14ac:dyDescent="0.2">
      <c r="O777" s="13"/>
    </row>
    <row r="778" spans="15:15" ht="12.75" x14ac:dyDescent="0.2">
      <c r="O778" s="13"/>
    </row>
    <row r="779" spans="15:15" ht="12.75" x14ac:dyDescent="0.2">
      <c r="O779" s="13"/>
    </row>
    <row r="780" spans="15:15" ht="12.75" x14ac:dyDescent="0.2">
      <c r="O780" s="13"/>
    </row>
    <row r="781" spans="15:15" ht="12.75" x14ac:dyDescent="0.2">
      <c r="O781" s="13"/>
    </row>
    <row r="782" spans="15:15" ht="12.75" x14ac:dyDescent="0.2">
      <c r="O782" s="13"/>
    </row>
    <row r="783" spans="15:15" ht="12.75" x14ac:dyDescent="0.2">
      <c r="O783" s="13"/>
    </row>
    <row r="784" spans="15:15" ht="12.75" x14ac:dyDescent="0.2">
      <c r="O784" s="13"/>
    </row>
    <row r="785" spans="15:15" ht="12.75" x14ac:dyDescent="0.2">
      <c r="O785" s="13"/>
    </row>
    <row r="786" spans="15:15" ht="12.75" x14ac:dyDescent="0.2">
      <c r="O786" s="13"/>
    </row>
    <row r="787" spans="15:15" ht="12.75" x14ac:dyDescent="0.2">
      <c r="O787" s="13"/>
    </row>
    <row r="788" spans="15:15" ht="12.75" x14ac:dyDescent="0.2">
      <c r="O788" s="13"/>
    </row>
    <row r="789" spans="15:15" ht="12.75" x14ac:dyDescent="0.2">
      <c r="O789" s="13"/>
    </row>
    <row r="790" spans="15:15" ht="12.75" x14ac:dyDescent="0.2">
      <c r="O790" s="13"/>
    </row>
    <row r="791" spans="15:15" ht="12.75" x14ac:dyDescent="0.2">
      <c r="O791" s="13"/>
    </row>
    <row r="792" spans="15:15" ht="12.75" x14ac:dyDescent="0.2">
      <c r="O792" s="13"/>
    </row>
    <row r="793" spans="15:15" ht="12.75" x14ac:dyDescent="0.2">
      <c r="O793" s="13"/>
    </row>
    <row r="794" spans="15:15" ht="12.75" x14ac:dyDescent="0.2">
      <c r="O794" s="13"/>
    </row>
    <row r="795" spans="15:15" ht="12.75" x14ac:dyDescent="0.2">
      <c r="O795" s="13"/>
    </row>
    <row r="796" spans="15:15" ht="12.75" x14ac:dyDescent="0.2">
      <c r="O796" s="13"/>
    </row>
    <row r="797" spans="15:15" ht="12.75" x14ac:dyDescent="0.2">
      <c r="O797" s="13"/>
    </row>
    <row r="798" spans="15:15" ht="12.75" x14ac:dyDescent="0.2">
      <c r="O798" s="13"/>
    </row>
    <row r="799" spans="15:15" ht="12.75" x14ac:dyDescent="0.2">
      <c r="O799" s="13"/>
    </row>
    <row r="800" spans="15:15" ht="12.75" x14ac:dyDescent="0.2">
      <c r="O800" s="13"/>
    </row>
    <row r="801" spans="15:15" ht="12.75" x14ac:dyDescent="0.2">
      <c r="O801" s="13"/>
    </row>
    <row r="802" spans="15:15" ht="12.75" x14ac:dyDescent="0.2">
      <c r="O802" s="13"/>
    </row>
    <row r="803" spans="15:15" ht="12.75" x14ac:dyDescent="0.2">
      <c r="O803" s="13"/>
    </row>
    <row r="804" spans="15:15" ht="12.75" x14ac:dyDescent="0.2">
      <c r="O804" s="13"/>
    </row>
    <row r="805" spans="15:15" ht="12.75" x14ac:dyDescent="0.2">
      <c r="O805" s="13"/>
    </row>
    <row r="806" spans="15:15" ht="12.75" x14ac:dyDescent="0.2">
      <c r="O806" s="13"/>
    </row>
    <row r="807" spans="15:15" ht="12.75" x14ac:dyDescent="0.2">
      <c r="O807" s="13"/>
    </row>
    <row r="808" spans="15:15" ht="12.75" x14ac:dyDescent="0.2">
      <c r="O808" s="13"/>
    </row>
    <row r="809" spans="15:15" ht="12.75" x14ac:dyDescent="0.2">
      <c r="O809" s="13"/>
    </row>
    <row r="810" spans="15:15" ht="12.75" x14ac:dyDescent="0.2">
      <c r="O810" s="13"/>
    </row>
    <row r="811" spans="15:15" ht="12.75" x14ac:dyDescent="0.2">
      <c r="O811" s="13"/>
    </row>
    <row r="812" spans="15:15" ht="12.75" x14ac:dyDescent="0.2">
      <c r="O812" s="13"/>
    </row>
    <row r="813" spans="15:15" ht="12.75" x14ac:dyDescent="0.2">
      <c r="O813" s="13"/>
    </row>
    <row r="814" spans="15:15" ht="12.75" x14ac:dyDescent="0.2">
      <c r="O814" s="13"/>
    </row>
    <row r="815" spans="15:15" ht="12.75" x14ac:dyDescent="0.2">
      <c r="O815" s="13"/>
    </row>
    <row r="816" spans="15:15" ht="12.75" x14ac:dyDescent="0.2">
      <c r="O816" s="13"/>
    </row>
    <row r="817" spans="15:15" ht="12.75" x14ac:dyDescent="0.2">
      <c r="O817" s="13"/>
    </row>
    <row r="818" spans="15:15" ht="12.75" x14ac:dyDescent="0.2">
      <c r="O818" s="13"/>
    </row>
    <row r="819" spans="15:15" ht="12.75" x14ac:dyDescent="0.2">
      <c r="O819" s="13"/>
    </row>
    <row r="820" spans="15:15" ht="12.75" x14ac:dyDescent="0.2">
      <c r="O820" s="13"/>
    </row>
    <row r="821" spans="15:15" ht="12.75" x14ac:dyDescent="0.2">
      <c r="O821" s="13"/>
    </row>
    <row r="822" spans="15:15" ht="12.75" x14ac:dyDescent="0.2">
      <c r="O822" s="13"/>
    </row>
    <row r="823" spans="15:15" ht="12.75" x14ac:dyDescent="0.2">
      <c r="O823" s="13"/>
    </row>
    <row r="824" spans="15:15" ht="12.75" x14ac:dyDescent="0.2">
      <c r="O824" s="13"/>
    </row>
    <row r="825" spans="15:15" ht="12.75" x14ac:dyDescent="0.2">
      <c r="O825" s="13"/>
    </row>
    <row r="826" spans="15:15" ht="12.75" x14ac:dyDescent="0.2">
      <c r="O826" s="13"/>
    </row>
    <row r="827" spans="15:15" ht="12.75" x14ac:dyDescent="0.2">
      <c r="O827" s="13"/>
    </row>
    <row r="828" spans="15:15" ht="12.75" x14ac:dyDescent="0.2">
      <c r="O828" s="13"/>
    </row>
    <row r="829" spans="15:15" ht="12.75" x14ac:dyDescent="0.2">
      <c r="O829" s="13"/>
    </row>
    <row r="830" spans="15:15" ht="12.75" x14ac:dyDescent="0.2">
      <c r="O830" s="13"/>
    </row>
    <row r="831" spans="15:15" ht="12.75" x14ac:dyDescent="0.2">
      <c r="O831" s="13"/>
    </row>
    <row r="832" spans="15:15" ht="12.75" x14ac:dyDescent="0.2">
      <c r="O832" s="13"/>
    </row>
    <row r="833" spans="15:15" ht="12.75" x14ac:dyDescent="0.2">
      <c r="O833" s="13"/>
    </row>
    <row r="834" spans="15:15" ht="12.75" x14ac:dyDescent="0.2">
      <c r="O834" s="13"/>
    </row>
    <row r="835" spans="15:15" ht="12.75" x14ac:dyDescent="0.2">
      <c r="O835" s="13"/>
    </row>
    <row r="836" spans="15:15" ht="12.75" x14ac:dyDescent="0.2">
      <c r="O836" s="13"/>
    </row>
    <row r="837" spans="15:15" ht="12.75" x14ac:dyDescent="0.2">
      <c r="O837" s="13"/>
    </row>
    <row r="838" spans="15:15" ht="12.75" x14ac:dyDescent="0.2">
      <c r="O838" s="13"/>
    </row>
    <row r="839" spans="15:15" ht="12.75" x14ac:dyDescent="0.2">
      <c r="O839" s="13"/>
    </row>
    <row r="840" spans="15:15" ht="12.75" x14ac:dyDescent="0.2">
      <c r="O840" s="13"/>
    </row>
    <row r="841" spans="15:15" ht="12.75" x14ac:dyDescent="0.2">
      <c r="O841" s="13"/>
    </row>
    <row r="842" spans="15:15" ht="12.75" x14ac:dyDescent="0.2">
      <c r="O842" s="13"/>
    </row>
    <row r="843" spans="15:15" ht="12.75" x14ac:dyDescent="0.2">
      <c r="O843" s="13"/>
    </row>
    <row r="844" spans="15:15" ht="12.75" x14ac:dyDescent="0.2">
      <c r="O844" s="13"/>
    </row>
    <row r="845" spans="15:15" ht="12.75" x14ac:dyDescent="0.2">
      <c r="O845" s="13"/>
    </row>
    <row r="846" spans="15:15" ht="12.75" x14ac:dyDescent="0.2">
      <c r="O846" s="13"/>
    </row>
    <row r="847" spans="15:15" ht="12.75" x14ac:dyDescent="0.2">
      <c r="O847" s="13"/>
    </row>
    <row r="848" spans="15:15" ht="12.75" x14ac:dyDescent="0.2">
      <c r="O848" s="13"/>
    </row>
    <row r="849" spans="15:15" ht="12.75" x14ac:dyDescent="0.2">
      <c r="O849" s="13"/>
    </row>
    <row r="850" spans="15:15" ht="12.75" x14ac:dyDescent="0.2">
      <c r="O850" s="13"/>
    </row>
    <row r="851" spans="15:15" ht="12.75" x14ac:dyDescent="0.2">
      <c r="O851" s="13"/>
    </row>
    <row r="852" spans="15:15" ht="12.75" x14ac:dyDescent="0.2">
      <c r="O852" s="13"/>
    </row>
    <row r="853" spans="15:15" ht="12.75" x14ac:dyDescent="0.2">
      <c r="O853" s="13"/>
    </row>
    <row r="854" spans="15:15" ht="12.75" x14ac:dyDescent="0.2">
      <c r="O854" s="13"/>
    </row>
    <row r="855" spans="15:15" ht="12.75" x14ac:dyDescent="0.2">
      <c r="O855" s="13"/>
    </row>
    <row r="856" spans="15:15" ht="12.75" x14ac:dyDescent="0.2">
      <c r="O856" s="13"/>
    </row>
    <row r="857" spans="15:15" ht="12.75" x14ac:dyDescent="0.2">
      <c r="O857" s="13"/>
    </row>
    <row r="858" spans="15:15" ht="12.75" x14ac:dyDescent="0.2">
      <c r="O858" s="13"/>
    </row>
    <row r="859" spans="15:15" ht="12.75" x14ac:dyDescent="0.2">
      <c r="O859" s="13"/>
    </row>
    <row r="860" spans="15:15" ht="12.75" x14ac:dyDescent="0.2">
      <c r="O860" s="13"/>
    </row>
    <row r="861" spans="15:15" ht="12.75" x14ac:dyDescent="0.2">
      <c r="O861" s="13"/>
    </row>
    <row r="862" spans="15:15" ht="12.75" x14ac:dyDescent="0.2">
      <c r="O862" s="13"/>
    </row>
    <row r="863" spans="15:15" ht="12.75" x14ac:dyDescent="0.2">
      <c r="O863" s="13"/>
    </row>
    <row r="864" spans="15:15" ht="12.75" x14ac:dyDescent="0.2">
      <c r="O864" s="13"/>
    </row>
    <row r="865" spans="15:15" ht="12.75" x14ac:dyDescent="0.2">
      <c r="O865" s="13"/>
    </row>
    <row r="866" spans="15:15" ht="12.75" x14ac:dyDescent="0.2">
      <c r="O866" s="13"/>
    </row>
    <row r="867" spans="15:15" ht="12.75" x14ac:dyDescent="0.2">
      <c r="O867" s="13"/>
    </row>
    <row r="868" spans="15:15" ht="12.75" x14ac:dyDescent="0.2">
      <c r="O868" s="13"/>
    </row>
    <row r="869" spans="15:15" ht="12.75" x14ac:dyDescent="0.2">
      <c r="O869" s="13"/>
    </row>
    <row r="870" spans="15:15" ht="12.75" x14ac:dyDescent="0.2">
      <c r="O870" s="13"/>
    </row>
    <row r="871" spans="15:15" ht="12.75" x14ac:dyDescent="0.2">
      <c r="O871" s="13"/>
    </row>
    <row r="872" spans="15:15" ht="12.75" x14ac:dyDescent="0.2">
      <c r="O872" s="13"/>
    </row>
    <row r="873" spans="15:15" ht="12.75" x14ac:dyDescent="0.2">
      <c r="O873" s="13"/>
    </row>
    <row r="874" spans="15:15" ht="12.75" x14ac:dyDescent="0.2">
      <c r="O874" s="13"/>
    </row>
    <row r="875" spans="15:15" ht="12.75" x14ac:dyDescent="0.2">
      <c r="O875" s="13"/>
    </row>
    <row r="876" spans="15:15" ht="12.75" x14ac:dyDescent="0.2">
      <c r="O876" s="13"/>
    </row>
    <row r="877" spans="15:15" ht="12.75" x14ac:dyDescent="0.2">
      <c r="O877" s="13"/>
    </row>
    <row r="878" spans="15:15" ht="12.75" x14ac:dyDescent="0.2">
      <c r="O878" s="13"/>
    </row>
    <row r="879" spans="15:15" ht="12.75" x14ac:dyDescent="0.2">
      <c r="O879" s="13"/>
    </row>
    <row r="880" spans="15:15" ht="12.75" x14ac:dyDescent="0.2">
      <c r="O880" s="13"/>
    </row>
    <row r="881" spans="15:15" ht="12.75" x14ac:dyDescent="0.2">
      <c r="O881" s="13"/>
    </row>
    <row r="882" spans="15:15" ht="12.75" x14ac:dyDescent="0.2">
      <c r="O882" s="13"/>
    </row>
    <row r="883" spans="15:15" ht="12.75" x14ac:dyDescent="0.2">
      <c r="O883" s="13"/>
    </row>
    <row r="884" spans="15:15" ht="12.75" x14ac:dyDescent="0.2">
      <c r="O884" s="13"/>
    </row>
    <row r="885" spans="15:15" ht="12.75" x14ac:dyDescent="0.2">
      <c r="O885" s="13"/>
    </row>
    <row r="886" spans="15:15" ht="12.75" x14ac:dyDescent="0.2">
      <c r="O886" s="13"/>
    </row>
    <row r="887" spans="15:15" ht="12.75" x14ac:dyDescent="0.2">
      <c r="O887" s="13"/>
    </row>
    <row r="888" spans="15:15" ht="12.75" x14ac:dyDescent="0.2">
      <c r="O888" s="13"/>
    </row>
    <row r="889" spans="15:15" ht="12.75" x14ac:dyDescent="0.2">
      <c r="O889" s="13"/>
    </row>
    <row r="890" spans="15:15" ht="12.75" x14ac:dyDescent="0.2">
      <c r="O890" s="13"/>
    </row>
    <row r="891" spans="15:15" ht="12.75" x14ac:dyDescent="0.2">
      <c r="O891" s="13"/>
    </row>
    <row r="892" spans="15:15" ht="12.75" x14ac:dyDescent="0.2">
      <c r="O892" s="13"/>
    </row>
    <row r="893" spans="15:15" ht="12.75" x14ac:dyDescent="0.2">
      <c r="O893" s="13"/>
    </row>
    <row r="894" spans="15:15" ht="12.75" x14ac:dyDescent="0.2">
      <c r="O894" s="13"/>
    </row>
    <row r="895" spans="15:15" ht="12.75" x14ac:dyDescent="0.2">
      <c r="O895" s="13"/>
    </row>
    <row r="896" spans="15:15" ht="12.75" x14ac:dyDescent="0.2">
      <c r="O896" s="13"/>
    </row>
    <row r="897" spans="15:15" ht="12.75" x14ac:dyDescent="0.2">
      <c r="O897" s="13"/>
    </row>
    <row r="898" spans="15:15" ht="12.75" x14ac:dyDescent="0.2">
      <c r="O898" s="13"/>
    </row>
    <row r="899" spans="15:15" ht="12.75" x14ac:dyDescent="0.2">
      <c r="O899" s="13"/>
    </row>
    <row r="900" spans="15:15" ht="12.75" x14ac:dyDescent="0.2">
      <c r="O900" s="13"/>
    </row>
    <row r="901" spans="15:15" ht="12.75" x14ac:dyDescent="0.2">
      <c r="O901" s="13"/>
    </row>
    <row r="902" spans="15:15" ht="12.75" x14ac:dyDescent="0.2">
      <c r="O902" s="13"/>
    </row>
    <row r="903" spans="15:15" ht="12.75" x14ac:dyDescent="0.2">
      <c r="O903" s="13"/>
    </row>
    <row r="904" spans="15:15" ht="12.75" x14ac:dyDescent="0.2">
      <c r="O904" s="13"/>
    </row>
    <row r="905" spans="15:15" ht="12.75" x14ac:dyDescent="0.2">
      <c r="O905" s="13"/>
    </row>
    <row r="906" spans="15:15" ht="12.75" x14ac:dyDescent="0.2">
      <c r="O906" s="13"/>
    </row>
    <row r="907" spans="15:15" ht="12.75" x14ac:dyDescent="0.2">
      <c r="O907" s="13"/>
    </row>
    <row r="908" spans="15:15" ht="12.75" x14ac:dyDescent="0.2">
      <c r="O908" s="13"/>
    </row>
    <row r="909" spans="15:15" ht="12.75" x14ac:dyDescent="0.2">
      <c r="O909" s="13"/>
    </row>
    <row r="910" spans="15:15" ht="12.75" x14ac:dyDescent="0.2">
      <c r="O910" s="13"/>
    </row>
    <row r="911" spans="15:15" ht="12.75" x14ac:dyDescent="0.2">
      <c r="O911" s="13"/>
    </row>
    <row r="912" spans="15:15" ht="12.75" x14ac:dyDescent="0.2">
      <c r="O912" s="13"/>
    </row>
    <row r="913" spans="15:15" ht="12.75" x14ac:dyDescent="0.2">
      <c r="O913" s="13"/>
    </row>
    <row r="914" spans="15:15" ht="12.75" x14ac:dyDescent="0.2">
      <c r="O914" s="13"/>
    </row>
    <row r="915" spans="15:15" ht="12.75" x14ac:dyDescent="0.2">
      <c r="O915" s="13"/>
    </row>
    <row r="916" spans="15:15" ht="12.75" x14ac:dyDescent="0.2">
      <c r="O916" s="13"/>
    </row>
    <row r="917" spans="15:15" ht="12.75" x14ac:dyDescent="0.2">
      <c r="O917" s="13"/>
    </row>
    <row r="918" spans="15:15" ht="12.75" x14ac:dyDescent="0.2">
      <c r="O918" s="13"/>
    </row>
    <row r="919" spans="15:15" ht="12.75" x14ac:dyDescent="0.2">
      <c r="O919" s="13"/>
    </row>
    <row r="920" spans="15:15" ht="12.75" x14ac:dyDescent="0.2">
      <c r="O920" s="13"/>
    </row>
    <row r="921" spans="15:15" ht="12.75" x14ac:dyDescent="0.2">
      <c r="O921" s="13"/>
    </row>
    <row r="922" spans="15:15" ht="12.75" x14ac:dyDescent="0.2">
      <c r="O922" s="13"/>
    </row>
    <row r="923" spans="15:15" ht="12.75" x14ac:dyDescent="0.2">
      <c r="O923" s="13"/>
    </row>
    <row r="924" spans="15:15" ht="12.75" x14ac:dyDescent="0.2">
      <c r="O924" s="13"/>
    </row>
    <row r="925" spans="15:15" ht="12.75" x14ac:dyDescent="0.2">
      <c r="O925" s="13"/>
    </row>
    <row r="926" spans="15:15" ht="12.75" x14ac:dyDescent="0.2">
      <c r="O926" s="13"/>
    </row>
    <row r="927" spans="15:15" ht="12.75" x14ac:dyDescent="0.2">
      <c r="O927" s="13"/>
    </row>
    <row r="928" spans="15:15" ht="12.75" x14ac:dyDescent="0.2">
      <c r="O928" s="13"/>
    </row>
    <row r="929" spans="15:15" ht="12.75" x14ac:dyDescent="0.2">
      <c r="O929" s="13"/>
    </row>
    <row r="930" spans="15:15" ht="12.75" x14ac:dyDescent="0.2">
      <c r="O930" s="13"/>
    </row>
    <row r="931" spans="15:15" ht="12.75" x14ac:dyDescent="0.2">
      <c r="O931" s="13"/>
    </row>
    <row r="932" spans="15:15" ht="12.75" x14ac:dyDescent="0.2">
      <c r="O932" s="13"/>
    </row>
    <row r="933" spans="15:15" ht="12.75" x14ac:dyDescent="0.2">
      <c r="O933" s="13"/>
    </row>
    <row r="934" spans="15:15" ht="12.75" x14ac:dyDescent="0.2">
      <c r="O934" s="13"/>
    </row>
    <row r="935" spans="15:15" ht="12.75" x14ac:dyDescent="0.2">
      <c r="O935" s="13"/>
    </row>
    <row r="936" spans="15:15" ht="12.75" x14ac:dyDescent="0.2">
      <c r="O936" s="13"/>
    </row>
    <row r="937" spans="15:15" ht="12.75" x14ac:dyDescent="0.2">
      <c r="O937" s="13"/>
    </row>
    <row r="938" spans="15:15" ht="12.75" x14ac:dyDescent="0.2">
      <c r="O938" s="13"/>
    </row>
    <row r="939" spans="15:15" ht="12.75" x14ac:dyDescent="0.2">
      <c r="O939" s="13"/>
    </row>
    <row r="940" spans="15:15" ht="12.75" x14ac:dyDescent="0.2">
      <c r="O940" s="13"/>
    </row>
    <row r="941" spans="15:15" ht="12.75" x14ac:dyDescent="0.2">
      <c r="O941" s="13"/>
    </row>
    <row r="942" spans="15:15" ht="12.75" x14ac:dyDescent="0.2">
      <c r="O942" s="13"/>
    </row>
    <row r="943" spans="15:15" ht="12.75" x14ac:dyDescent="0.2">
      <c r="O943" s="13"/>
    </row>
    <row r="944" spans="15:15" ht="12.75" x14ac:dyDescent="0.2">
      <c r="O944" s="13"/>
    </row>
    <row r="945" spans="15:15" ht="12.75" x14ac:dyDescent="0.2">
      <c r="O945" s="13"/>
    </row>
    <row r="946" spans="15:15" ht="12.75" x14ac:dyDescent="0.2">
      <c r="O946" s="13"/>
    </row>
    <row r="947" spans="15:15" ht="12.75" x14ac:dyDescent="0.2">
      <c r="O947" s="13"/>
    </row>
    <row r="948" spans="15:15" ht="12.75" x14ac:dyDescent="0.2">
      <c r="O948" s="13"/>
    </row>
    <row r="949" spans="15:15" ht="12.75" x14ac:dyDescent="0.2">
      <c r="O949" s="13"/>
    </row>
    <row r="950" spans="15:15" ht="12.75" x14ac:dyDescent="0.2">
      <c r="O950" s="13"/>
    </row>
    <row r="951" spans="15:15" ht="12.75" x14ac:dyDescent="0.2">
      <c r="O951" s="13"/>
    </row>
    <row r="952" spans="15:15" ht="12.75" x14ac:dyDescent="0.2">
      <c r="O952" s="13"/>
    </row>
    <row r="953" spans="15:15" ht="12.75" x14ac:dyDescent="0.2">
      <c r="O953" s="13"/>
    </row>
    <row r="954" spans="15:15" ht="12.75" x14ac:dyDescent="0.2">
      <c r="O954" s="13"/>
    </row>
    <row r="955" spans="15:15" ht="12.75" x14ac:dyDescent="0.2">
      <c r="O955" s="13"/>
    </row>
    <row r="956" spans="15:15" ht="12.75" x14ac:dyDescent="0.2">
      <c r="O956" s="13"/>
    </row>
    <row r="957" spans="15:15" ht="12.75" x14ac:dyDescent="0.2">
      <c r="O957" s="13"/>
    </row>
    <row r="958" spans="15:15" ht="12.75" x14ac:dyDescent="0.2">
      <c r="O958" s="13"/>
    </row>
    <row r="959" spans="15:15" ht="12.75" x14ac:dyDescent="0.2">
      <c r="O959" s="13"/>
    </row>
    <row r="960" spans="15:15" ht="12.75" x14ac:dyDescent="0.2">
      <c r="O960" s="13"/>
    </row>
    <row r="961" spans="15:15" ht="12.75" x14ac:dyDescent="0.2">
      <c r="O961" s="13"/>
    </row>
    <row r="962" spans="15:15" ht="12.75" x14ac:dyDescent="0.2">
      <c r="O962" s="13"/>
    </row>
    <row r="963" spans="15:15" ht="12.75" x14ac:dyDescent="0.2">
      <c r="O963" s="13"/>
    </row>
    <row r="964" spans="15:15" ht="12.75" x14ac:dyDescent="0.2">
      <c r="O964" s="13"/>
    </row>
    <row r="965" spans="15:15" ht="12.75" x14ac:dyDescent="0.2">
      <c r="O965" s="13"/>
    </row>
    <row r="966" spans="15:15" ht="12.75" x14ac:dyDescent="0.2">
      <c r="O966" s="13"/>
    </row>
    <row r="967" spans="15:15" ht="12.75" x14ac:dyDescent="0.2">
      <c r="O967" s="13"/>
    </row>
    <row r="968" spans="15:15" ht="12.75" x14ac:dyDescent="0.2">
      <c r="O968" s="13"/>
    </row>
    <row r="969" spans="15:15" ht="12.75" x14ac:dyDescent="0.2">
      <c r="O969" s="13"/>
    </row>
    <row r="970" spans="15:15" ht="12.75" x14ac:dyDescent="0.2">
      <c r="O970" s="13"/>
    </row>
    <row r="971" spans="15:15" ht="12.75" x14ac:dyDescent="0.2">
      <c r="O971" s="13"/>
    </row>
    <row r="972" spans="15:15" ht="12.75" x14ac:dyDescent="0.2">
      <c r="O972" s="13"/>
    </row>
    <row r="973" spans="15:15" ht="12.75" x14ac:dyDescent="0.2">
      <c r="O973" s="13"/>
    </row>
    <row r="974" spans="15:15" ht="12.75" x14ac:dyDescent="0.2">
      <c r="O974" s="13"/>
    </row>
    <row r="975" spans="15:15" ht="12.75" x14ac:dyDescent="0.2">
      <c r="O975" s="13"/>
    </row>
    <row r="976" spans="15:15" ht="12.75" x14ac:dyDescent="0.2">
      <c r="O976" s="13"/>
    </row>
    <row r="977" spans="15:15" ht="12.75" x14ac:dyDescent="0.2">
      <c r="O977" s="13"/>
    </row>
    <row r="978" spans="15:15" ht="12.75" x14ac:dyDescent="0.2">
      <c r="O978" s="13"/>
    </row>
    <row r="979" spans="15:15" ht="12.75" x14ac:dyDescent="0.2">
      <c r="O979" s="13"/>
    </row>
    <row r="980" spans="15:15" ht="12.75" x14ac:dyDescent="0.2">
      <c r="O980" s="13"/>
    </row>
    <row r="981" spans="15:15" ht="12.75" x14ac:dyDescent="0.2">
      <c r="O981" s="13"/>
    </row>
    <row r="982" spans="15:15" ht="12.75" x14ac:dyDescent="0.2">
      <c r="O982" s="13"/>
    </row>
    <row r="983" spans="15:15" ht="12.75" x14ac:dyDescent="0.2">
      <c r="O983" s="13"/>
    </row>
    <row r="984" spans="15:15" ht="12.75" x14ac:dyDescent="0.2">
      <c r="O984" s="13"/>
    </row>
    <row r="985" spans="15:15" ht="12.75" x14ac:dyDescent="0.2">
      <c r="O985" s="13"/>
    </row>
    <row r="986" spans="15:15" ht="12.75" x14ac:dyDescent="0.2">
      <c r="O986" s="13"/>
    </row>
    <row r="987" spans="15:15" ht="12.75" x14ac:dyDescent="0.2">
      <c r="O987" s="13"/>
    </row>
    <row r="988" spans="15:15" ht="12.75" x14ac:dyDescent="0.2">
      <c r="O988" s="13"/>
    </row>
    <row r="989" spans="15:15" ht="12.75" x14ac:dyDescent="0.2">
      <c r="O989" s="13"/>
    </row>
    <row r="990" spans="15:15" ht="12.75" x14ac:dyDescent="0.2">
      <c r="O990" s="13"/>
    </row>
    <row r="991" spans="15:15" ht="12.75" x14ac:dyDescent="0.2">
      <c r="O991" s="13"/>
    </row>
    <row r="992" spans="15:15" ht="12.75" x14ac:dyDescent="0.2">
      <c r="O992" s="13"/>
    </row>
    <row r="993" spans="15:15" ht="12.75" x14ac:dyDescent="0.2">
      <c r="O993" s="13"/>
    </row>
    <row r="994" spans="15:15" ht="12.75" x14ac:dyDescent="0.2">
      <c r="O994" s="13"/>
    </row>
    <row r="995" spans="15:15" ht="12.75" x14ac:dyDescent="0.2">
      <c r="O995" s="13"/>
    </row>
    <row r="996" spans="15:15" ht="12.75" x14ac:dyDescent="0.2">
      <c r="O996" s="13"/>
    </row>
    <row r="997" spans="15:15" ht="12.75" x14ac:dyDescent="0.2">
      <c r="O997" s="13"/>
    </row>
    <row r="998" spans="15:15" ht="12.75" x14ac:dyDescent="0.2">
      <c r="O998" s="13"/>
    </row>
    <row r="999" spans="15:15" ht="12.75" x14ac:dyDescent="0.2">
      <c r="O999" s="13"/>
    </row>
    <row r="1000" spans="15:15" ht="12.75" x14ac:dyDescent="0.2">
      <c r="O1000" s="13"/>
    </row>
    <row r="1001" spans="15:15" ht="12.75" x14ac:dyDescent="0.2">
      <c r="O1001" s="13"/>
    </row>
    <row r="1002" spans="15:15" ht="12.75" x14ac:dyDescent="0.2">
      <c r="O1002" s="13"/>
    </row>
    <row r="1003" spans="15:15" ht="12.75" x14ac:dyDescent="0.2">
      <c r="O1003" s="13"/>
    </row>
    <row r="1004" spans="15:15" ht="12.75" x14ac:dyDescent="0.2">
      <c r="O1004" s="13"/>
    </row>
    <row r="1005" spans="15:15" ht="12.75" x14ac:dyDescent="0.2">
      <c r="O1005" s="13"/>
    </row>
    <row r="1006" spans="15:15" ht="12.75" x14ac:dyDescent="0.2">
      <c r="O1006" s="13"/>
    </row>
    <row r="1007" spans="15:15" ht="12.75" x14ac:dyDescent="0.2">
      <c r="O1007" s="13"/>
    </row>
    <row r="1008" spans="15:15" ht="12.75" x14ac:dyDescent="0.2">
      <c r="O1008" s="13"/>
    </row>
    <row r="1009" spans="15:15" ht="12.75" x14ac:dyDescent="0.2">
      <c r="O1009" s="13"/>
    </row>
    <row r="1010" spans="15:15" ht="12.75" x14ac:dyDescent="0.2">
      <c r="O1010" s="13"/>
    </row>
    <row r="1011" spans="15:15" ht="12.75" x14ac:dyDescent="0.2">
      <c r="O1011" s="13"/>
    </row>
    <row r="1012" spans="15:15" ht="12.75" x14ac:dyDescent="0.2">
      <c r="O1012" s="13"/>
    </row>
    <row r="1013" spans="15:15" ht="12.75" x14ac:dyDescent="0.2">
      <c r="O1013" s="13"/>
    </row>
    <row r="1014" spans="15:15" ht="12.75" x14ac:dyDescent="0.2">
      <c r="O1014" s="13"/>
    </row>
  </sheetData>
  <mergeCells count="3">
    <mergeCell ref="E86:F86"/>
    <mergeCell ref="E87:F87"/>
    <mergeCell ref="E88:F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6"/>
  <sheetViews>
    <sheetView tabSelected="1" workbookViewId="0">
      <selection activeCell="I9" sqref="I9"/>
    </sheetView>
  </sheetViews>
  <sheetFormatPr defaultRowHeight="12.75" x14ac:dyDescent="0.2"/>
  <cols>
    <col min="2" max="2" width="21.5703125" bestFit="1" customWidth="1"/>
    <col min="3" max="3" width="14" bestFit="1" customWidth="1"/>
    <col min="4" max="4" width="15" bestFit="1" customWidth="1"/>
    <col min="5" max="5" width="16.85546875" bestFit="1" customWidth="1"/>
    <col min="6" max="6" width="21.5703125" bestFit="1" customWidth="1"/>
    <col min="7" max="7" width="24.140625" bestFit="1" customWidth="1"/>
  </cols>
  <sheetData>
    <row r="1" spans="1:7" ht="25.5" x14ac:dyDescent="0.2">
      <c r="A1" s="3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7" t="s">
        <v>21</v>
      </c>
    </row>
    <row r="2" spans="1:7" x14ac:dyDescent="0.2">
      <c r="A2" s="28">
        <v>40179</v>
      </c>
      <c r="B2" s="56">
        <v>0</v>
      </c>
      <c r="C2" s="56">
        <v>19500000</v>
      </c>
      <c r="D2" s="56">
        <v>0</v>
      </c>
      <c r="E2" s="56">
        <v>19500000</v>
      </c>
      <c r="F2" s="56">
        <v>19500000</v>
      </c>
      <c r="G2" s="56">
        <v>19872584</v>
      </c>
    </row>
    <row r="3" spans="1:7" x14ac:dyDescent="0.2">
      <c r="A3" s="28">
        <v>40211</v>
      </c>
      <c r="B3" s="56">
        <v>19872584</v>
      </c>
      <c r="C3" s="56">
        <v>0</v>
      </c>
      <c r="D3" s="56">
        <v>0</v>
      </c>
      <c r="E3" s="56">
        <v>0</v>
      </c>
      <c r="F3" s="56">
        <v>19872584</v>
      </c>
      <c r="G3" s="56">
        <v>20539347</v>
      </c>
    </row>
    <row r="4" spans="1:7" x14ac:dyDescent="0.2">
      <c r="A4" s="28">
        <v>40243</v>
      </c>
      <c r="B4" s="56">
        <v>20539347</v>
      </c>
      <c r="C4" s="56">
        <v>5000000</v>
      </c>
      <c r="D4" s="56">
        <v>0</v>
      </c>
      <c r="E4" s="56">
        <v>5000000</v>
      </c>
      <c r="F4" s="56">
        <v>25539347</v>
      </c>
      <c r="G4" s="56">
        <v>26019324</v>
      </c>
    </row>
    <row r="5" spans="1:7" x14ac:dyDescent="0.2">
      <c r="A5" s="28">
        <v>40275</v>
      </c>
      <c r="B5" s="56">
        <v>26019324</v>
      </c>
      <c r="C5" s="56">
        <v>0</v>
      </c>
      <c r="D5" s="56">
        <v>0</v>
      </c>
      <c r="E5" s="56">
        <v>0</v>
      </c>
      <c r="F5" s="56">
        <v>26019324</v>
      </c>
      <c r="G5" s="56">
        <v>26591797</v>
      </c>
    </row>
    <row r="6" spans="1:7" x14ac:dyDescent="0.2">
      <c r="A6" s="28">
        <v>40307</v>
      </c>
      <c r="B6" s="56">
        <v>26591797</v>
      </c>
      <c r="C6" s="56">
        <v>250000</v>
      </c>
      <c r="D6" s="56">
        <v>0</v>
      </c>
      <c r="E6" s="56">
        <v>250000</v>
      </c>
      <c r="F6" s="56">
        <v>26841797</v>
      </c>
      <c r="G6" s="56">
        <v>27371489</v>
      </c>
    </row>
    <row r="7" spans="1:7" x14ac:dyDescent="0.2">
      <c r="A7" s="28">
        <v>40339</v>
      </c>
      <c r="B7" s="56">
        <v>27371489</v>
      </c>
      <c r="C7" s="56">
        <v>0</v>
      </c>
      <c r="D7" s="56">
        <v>0</v>
      </c>
      <c r="E7" s="56">
        <v>0</v>
      </c>
      <c r="F7" s="56">
        <v>27371489</v>
      </c>
      <c r="G7" s="56">
        <v>28193897</v>
      </c>
    </row>
    <row r="8" spans="1:7" x14ac:dyDescent="0.2">
      <c r="A8" s="28">
        <v>40371</v>
      </c>
      <c r="B8" s="56">
        <v>28193897</v>
      </c>
      <c r="C8" s="56">
        <v>2500000</v>
      </c>
      <c r="D8" s="56">
        <v>0</v>
      </c>
      <c r="E8" s="56">
        <v>2500000</v>
      </c>
      <c r="F8" s="56">
        <v>30693897</v>
      </c>
      <c r="G8" s="56">
        <v>31286709</v>
      </c>
    </row>
    <row r="9" spans="1:7" x14ac:dyDescent="0.2">
      <c r="A9" s="28">
        <v>40403</v>
      </c>
      <c r="B9" s="56">
        <v>31286709</v>
      </c>
      <c r="C9" s="56">
        <v>250000</v>
      </c>
      <c r="D9" s="56">
        <v>0</v>
      </c>
      <c r="E9" s="56">
        <v>250000</v>
      </c>
      <c r="F9" s="56">
        <v>31536709</v>
      </c>
      <c r="G9" s="56">
        <v>31966657</v>
      </c>
    </row>
    <row r="10" spans="1:7" x14ac:dyDescent="0.2">
      <c r="A10" s="28">
        <v>40435</v>
      </c>
      <c r="B10" s="56">
        <v>31966657</v>
      </c>
      <c r="C10" s="56">
        <v>10550000</v>
      </c>
      <c r="D10" s="56">
        <v>11607209</v>
      </c>
      <c r="E10" s="56">
        <v>-1057209</v>
      </c>
      <c r="F10" s="56">
        <v>30909448</v>
      </c>
      <c r="G10" s="56">
        <v>31579625</v>
      </c>
    </row>
    <row r="11" spans="1:7" x14ac:dyDescent="0.2">
      <c r="A11" s="28">
        <v>40467</v>
      </c>
      <c r="B11" s="56">
        <v>31579625</v>
      </c>
      <c r="C11" s="56">
        <v>3100000</v>
      </c>
      <c r="D11" s="56">
        <v>0</v>
      </c>
      <c r="E11" s="56">
        <v>3100000</v>
      </c>
      <c r="F11" s="56">
        <v>34679625</v>
      </c>
      <c r="G11" s="56">
        <v>35607751</v>
      </c>
    </row>
    <row r="12" spans="1:7" x14ac:dyDescent="0.2">
      <c r="A12" s="28">
        <v>40499</v>
      </c>
      <c r="B12" s="56">
        <v>35607751</v>
      </c>
      <c r="C12" s="56">
        <v>1500000</v>
      </c>
      <c r="D12" s="56">
        <v>0</v>
      </c>
      <c r="E12" s="56">
        <v>1500000</v>
      </c>
      <c r="F12" s="56">
        <v>37107751</v>
      </c>
      <c r="G12" s="56">
        <v>38210677</v>
      </c>
    </row>
    <row r="13" spans="1:7" x14ac:dyDescent="0.2">
      <c r="A13" s="28">
        <v>40531</v>
      </c>
      <c r="B13" s="56">
        <v>38210677</v>
      </c>
      <c r="C13" s="56">
        <v>0</v>
      </c>
      <c r="D13" s="56">
        <v>0</v>
      </c>
      <c r="E13" s="56">
        <v>0</v>
      </c>
      <c r="F13" s="56">
        <v>38210677</v>
      </c>
      <c r="G13" s="56">
        <v>38907280</v>
      </c>
    </row>
    <row r="14" spans="1:7" x14ac:dyDescent="0.2">
      <c r="A14" s="28">
        <v>40544</v>
      </c>
      <c r="B14" s="56">
        <v>38907280</v>
      </c>
      <c r="C14" s="56">
        <v>8100000</v>
      </c>
      <c r="D14" s="56">
        <v>0</v>
      </c>
      <c r="E14" s="56">
        <v>8100000</v>
      </c>
      <c r="F14" s="56">
        <v>47007280</v>
      </c>
      <c r="G14" s="56">
        <v>48259659</v>
      </c>
    </row>
    <row r="15" spans="1:7" x14ac:dyDescent="0.2">
      <c r="A15" s="28">
        <v>40576</v>
      </c>
      <c r="B15" s="56">
        <v>48259659</v>
      </c>
      <c r="C15" s="56">
        <v>2750000</v>
      </c>
      <c r="D15" s="56">
        <v>0</v>
      </c>
      <c r="E15" s="56">
        <v>2750000</v>
      </c>
      <c r="F15" s="56">
        <v>51009659</v>
      </c>
      <c r="G15" s="56">
        <v>52383827</v>
      </c>
    </row>
    <row r="16" spans="1:7" x14ac:dyDescent="0.2">
      <c r="A16" s="28">
        <v>40608</v>
      </c>
      <c r="B16" s="56">
        <v>52383827</v>
      </c>
      <c r="C16" s="56">
        <v>1300000</v>
      </c>
      <c r="D16" s="56">
        <v>0</v>
      </c>
      <c r="E16" s="56">
        <v>1300000</v>
      </c>
      <c r="F16" s="56">
        <v>53683827</v>
      </c>
      <c r="G16" s="56">
        <v>55501606</v>
      </c>
    </row>
    <row r="17" spans="1:7" x14ac:dyDescent="0.2">
      <c r="A17" s="28">
        <v>40640</v>
      </c>
      <c r="B17" s="56">
        <v>55501606</v>
      </c>
      <c r="C17" s="56">
        <v>1100000</v>
      </c>
      <c r="D17" s="56">
        <v>1100000</v>
      </c>
      <c r="E17" s="56">
        <v>0</v>
      </c>
      <c r="F17" s="56">
        <v>55501606</v>
      </c>
      <c r="G17" s="56">
        <v>57467488</v>
      </c>
    </row>
    <row r="18" spans="1:7" x14ac:dyDescent="0.2">
      <c r="A18" s="28">
        <v>40672</v>
      </c>
      <c r="B18" s="56">
        <v>57467488</v>
      </c>
      <c r="C18" s="56">
        <v>11650000</v>
      </c>
      <c r="D18" s="56">
        <v>1000000</v>
      </c>
      <c r="E18" s="56">
        <v>10650000</v>
      </c>
      <c r="F18" s="56">
        <v>68117488</v>
      </c>
      <c r="G18" s="56">
        <v>70612583</v>
      </c>
    </row>
    <row r="19" spans="1:7" x14ac:dyDescent="0.2">
      <c r="A19" s="28">
        <v>40704</v>
      </c>
      <c r="B19" s="56">
        <v>70612583</v>
      </c>
      <c r="C19" s="56">
        <v>1250000</v>
      </c>
      <c r="D19" s="56">
        <v>0</v>
      </c>
      <c r="E19" s="56">
        <v>1250000</v>
      </c>
      <c r="F19" s="56">
        <v>71862583</v>
      </c>
      <c r="G19" s="56">
        <v>74015436</v>
      </c>
    </row>
    <row r="20" spans="1:7" x14ac:dyDescent="0.2">
      <c r="A20" s="28">
        <v>40736</v>
      </c>
      <c r="B20" s="56">
        <v>74015436</v>
      </c>
      <c r="C20" s="56">
        <v>9800000</v>
      </c>
      <c r="D20" s="56">
        <v>0</v>
      </c>
      <c r="E20" s="56">
        <v>9800000</v>
      </c>
      <c r="F20" s="56">
        <v>83815436</v>
      </c>
      <c r="G20" s="56">
        <v>85495690</v>
      </c>
    </row>
    <row r="21" spans="1:7" x14ac:dyDescent="0.2">
      <c r="A21" s="28">
        <v>40768</v>
      </c>
      <c r="B21" s="56">
        <v>85495690</v>
      </c>
      <c r="C21" s="56">
        <v>7475000</v>
      </c>
      <c r="D21" s="56">
        <v>0</v>
      </c>
      <c r="E21" s="56">
        <v>7475000</v>
      </c>
      <c r="F21" s="56">
        <v>92970690</v>
      </c>
      <c r="G21" s="56">
        <v>93888446</v>
      </c>
    </row>
    <row r="22" spans="1:7" x14ac:dyDescent="0.2">
      <c r="A22" s="28">
        <v>40800</v>
      </c>
      <c r="B22" s="56">
        <v>93888446</v>
      </c>
      <c r="C22" s="56">
        <v>10490000</v>
      </c>
      <c r="D22" s="56">
        <v>0</v>
      </c>
      <c r="E22" s="56">
        <v>10490000</v>
      </c>
      <c r="F22" s="56">
        <v>104378446</v>
      </c>
      <c r="G22" s="56">
        <v>102883737</v>
      </c>
    </row>
    <row r="23" spans="1:7" x14ac:dyDescent="0.2">
      <c r="A23" s="28">
        <v>40832</v>
      </c>
      <c r="B23" s="56">
        <v>102883737</v>
      </c>
      <c r="C23" s="56">
        <v>800000</v>
      </c>
      <c r="D23" s="56">
        <v>500000</v>
      </c>
      <c r="E23" s="56">
        <v>300000</v>
      </c>
      <c r="F23" s="56">
        <v>103183737</v>
      </c>
      <c r="G23" s="56">
        <v>103992151</v>
      </c>
    </row>
    <row r="24" spans="1:7" x14ac:dyDescent="0.2">
      <c r="A24" s="28">
        <v>40864</v>
      </c>
      <c r="B24" s="56">
        <v>103992151</v>
      </c>
      <c r="C24" s="56">
        <v>1200000</v>
      </c>
      <c r="D24" s="56">
        <v>0</v>
      </c>
      <c r="E24" s="56">
        <v>1200000</v>
      </c>
      <c r="F24" s="56">
        <v>105192151</v>
      </c>
      <c r="G24" s="56">
        <v>104197316</v>
      </c>
    </row>
    <row r="25" spans="1:7" x14ac:dyDescent="0.2">
      <c r="A25" s="28">
        <v>40896</v>
      </c>
      <c r="B25" s="56">
        <v>104197316</v>
      </c>
      <c r="C25" s="56">
        <v>0</v>
      </c>
      <c r="D25" s="56">
        <v>0</v>
      </c>
      <c r="E25" s="56">
        <v>0</v>
      </c>
      <c r="F25" s="56">
        <v>104197316</v>
      </c>
      <c r="G25" s="56">
        <v>106013672</v>
      </c>
    </row>
    <row r="26" spans="1:7" x14ac:dyDescent="0.2">
      <c r="A26" s="28">
        <v>40909</v>
      </c>
      <c r="B26" s="56">
        <v>106013672</v>
      </c>
      <c r="C26" s="56">
        <v>6000000</v>
      </c>
      <c r="D26" s="56">
        <v>3000000</v>
      </c>
      <c r="E26" s="56">
        <v>3000000</v>
      </c>
      <c r="F26" s="56">
        <v>109013672</v>
      </c>
      <c r="G26" s="56">
        <v>110482659</v>
      </c>
    </row>
    <row r="27" spans="1:7" x14ac:dyDescent="0.2">
      <c r="A27" s="28">
        <v>40941</v>
      </c>
      <c r="B27" s="56">
        <v>110482659</v>
      </c>
      <c r="C27" s="56">
        <v>38050000</v>
      </c>
      <c r="D27" s="56">
        <v>1217350</v>
      </c>
      <c r="E27" s="56">
        <v>36832650</v>
      </c>
      <c r="F27" s="56">
        <v>147315310</v>
      </c>
      <c r="G27" s="56">
        <v>148632537</v>
      </c>
    </row>
    <row r="28" spans="1:7" x14ac:dyDescent="0.2">
      <c r="A28" s="28">
        <v>40973</v>
      </c>
      <c r="B28" s="56">
        <v>148632537</v>
      </c>
      <c r="C28" s="56">
        <v>21562000</v>
      </c>
      <c r="D28" s="56">
        <v>0</v>
      </c>
      <c r="E28" s="56">
        <v>21562000</v>
      </c>
      <c r="F28" s="56">
        <v>170194537</v>
      </c>
      <c r="G28" s="56">
        <v>171532875</v>
      </c>
    </row>
    <row r="29" spans="1:7" x14ac:dyDescent="0.2">
      <c r="A29" s="28">
        <v>41005</v>
      </c>
      <c r="B29" s="56">
        <v>171549562.53999999</v>
      </c>
      <c r="C29" s="56">
        <v>26500000</v>
      </c>
      <c r="D29" s="56">
        <v>1050000</v>
      </c>
      <c r="E29" s="56">
        <v>25450000</v>
      </c>
      <c r="F29" s="56">
        <v>196999563</v>
      </c>
      <c r="G29" s="56">
        <v>202132322</v>
      </c>
    </row>
    <row r="30" spans="1:7" x14ac:dyDescent="0.2">
      <c r="A30" s="28">
        <v>41037</v>
      </c>
      <c r="B30" s="56">
        <v>202133363</v>
      </c>
      <c r="C30" s="56">
        <v>32575000</v>
      </c>
      <c r="D30" s="56">
        <v>0</v>
      </c>
      <c r="E30" s="56">
        <v>32575000</v>
      </c>
      <c r="F30" s="56">
        <v>234708363</v>
      </c>
      <c r="G30" s="56">
        <v>241840273</v>
      </c>
    </row>
    <row r="31" spans="1:7" x14ac:dyDescent="0.2">
      <c r="A31" s="28">
        <v>41069</v>
      </c>
      <c r="B31" s="56">
        <v>241840273</v>
      </c>
      <c r="C31" s="56">
        <v>3000000</v>
      </c>
      <c r="D31" s="56">
        <v>0</v>
      </c>
      <c r="E31" s="56">
        <v>3000000</v>
      </c>
      <c r="F31" s="56">
        <v>244840273</v>
      </c>
      <c r="G31" s="56">
        <v>247430128</v>
      </c>
    </row>
    <row r="32" spans="1:7" x14ac:dyDescent="0.2">
      <c r="A32" s="28">
        <v>41101</v>
      </c>
      <c r="B32" s="56">
        <v>247430128</v>
      </c>
      <c r="C32" s="56">
        <v>15453000</v>
      </c>
      <c r="D32" s="56">
        <v>579964</v>
      </c>
      <c r="E32" s="56">
        <v>14873036</v>
      </c>
      <c r="F32" s="56">
        <v>262303164</v>
      </c>
      <c r="G32" s="56">
        <v>271852743</v>
      </c>
    </row>
    <row r="33" spans="1:7" x14ac:dyDescent="0.2">
      <c r="A33" s="28">
        <v>41133</v>
      </c>
      <c r="B33" s="56">
        <v>271852743</v>
      </c>
      <c r="C33" s="56">
        <v>94925000</v>
      </c>
      <c r="D33" s="56">
        <v>0</v>
      </c>
      <c r="E33" s="56">
        <v>94925000</v>
      </c>
      <c r="F33" s="56">
        <v>366777743</v>
      </c>
      <c r="G33" s="56">
        <v>371617977</v>
      </c>
    </row>
    <row r="34" spans="1:7" x14ac:dyDescent="0.2">
      <c r="A34" s="28">
        <v>41165</v>
      </c>
      <c r="B34" s="56">
        <v>371617977</v>
      </c>
      <c r="C34" s="56">
        <v>13300000</v>
      </c>
      <c r="D34" s="56">
        <v>0</v>
      </c>
      <c r="E34" s="56">
        <v>13300000</v>
      </c>
      <c r="F34" s="56">
        <v>384917977</v>
      </c>
      <c r="G34" s="56">
        <v>384399443</v>
      </c>
    </row>
    <row r="35" spans="1:7" x14ac:dyDescent="0.2">
      <c r="A35" s="28">
        <v>41197</v>
      </c>
      <c r="B35" s="56">
        <v>384399443</v>
      </c>
      <c r="C35" s="56">
        <v>13025000</v>
      </c>
      <c r="D35" s="56">
        <v>3564127</v>
      </c>
      <c r="E35" s="56">
        <v>9460873</v>
      </c>
      <c r="F35" s="56">
        <v>393860315</v>
      </c>
      <c r="G35" s="56">
        <v>394118483</v>
      </c>
    </row>
    <row r="36" spans="1:7" x14ac:dyDescent="0.2">
      <c r="A36" s="28">
        <v>41229</v>
      </c>
      <c r="B36" s="56">
        <v>394118483</v>
      </c>
      <c r="C36" s="56">
        <v>3500000</v>
      </c>
      <c r="D36" s="56">
        <v>0</v>
      </c>
      <c r="E36" s="56">
        <v>3500000</v>
      </c>
      <c r="F36" s="56">
        <v>397618483</v>
      </c>
      <c r="G36" s="56">
        <v>394923463</v>
      </c>
    </row>
    <row r="37" spans="1:7" x14ac:dyDescent="0.2">
      <c r="A37" s="28">
        <v>41261</v>
      </c>
      <c r="B37" s="56">
        <v>394923463</v>
      </c>
      <c r="C37" s="56">
        <v>2100000</v>
      </c>
      <c r="D37" s="56">
        <v>0</v>
      </c>
      <c r="E37" s="56">
        <v>2100000</v>
      </c>
      <c r="F37" s="56">
        <v>397023463</v>
      </c>
      <c r="G37" s="56">
        <v>399342758</v>
      </c>
    </row>
    <row r="38" spans="1:7" x14ac:dyDescent="0.2">
      <c r="A38" s="28">
        <v>41275</v>
      </c>
      <c r="B38" s="56">
        <v>399342758</v>
      </c>
      <c r="C38" s="56">
        <v>125000</v>
      </c>
      <c r="D38" s="56">
        <v>12136176</v>
      </c>
      <c r="E38" s="56">
        <v>-12011176</v>
      </c>
      <c r="F38" s="56">
        <v>387331582</v>
      </c>
      <c r="G38" s="56">
        <v>386540642</v>
      </c>
    </row>
    <row r="39" spans="1:7" x14ac:dyDescent="0.2">
      <c r="A39" s="28">
        <v>41307</v>
      </c>
      <c r="B39" s="56">
        <v>386540642</v>
      </c>
      <c r="C39" s="56">
        <v>10500000</v>
      </c>
      <c r="D39" s="56">
        <v>2500000</v>
      </c>
      <c r="E39" s="56">
        <v>8000000</v>
      </c>
      <c r="F39" s="56">
        <v>394540642</v>
      </c>
      <c r="G39" s="56">
        <v>398057126</v>
      </c>
    </row>
    <row r="40" spans="1:7" x14ac:dyDescent="0.2">
      <c r="A40" s="28">
        <v>41339</v>
      </c>
      <c r="B40" s="56">
        <v>398057126</v>
      </c>
      <c r="C40" s="56">
        <v>0</v>
      </c>
      <c r="D40" s="56">
        <v>0</v>
      </c>
      <c r="E40" s="56">
        <v>0</v>
      </c>
      <c r="F40" s="56">
        <v>398057126</v>
      </c>
      <c r="G40" s="56">
        <v>400335433</v>
      </c>
    </row>
    <row r="41" spans="1:7" x14ac:dyDescent="0.2">
      <c r="A41" s="28">
        <v>41371</v>
      </c>
      <c r="B41" s="56">
        <v>400335433</v>
      </c>
      <c r="C41" s="56">
        <v>2000000</v>
      </c>
      <c r="D41" s="56">
        <v>19913206</v>
      </c>
      <c r="E41" s="56">
        <v>-17913206</v>
      </c>
      <c r="F41" s="56">
        <v>382422228</v>
      </c>
      <c r="G41" s="56">
        <v>376788008</v>
      </c>
    </row>
    <row r="42" spans="1:7" x14ac:dyDescent="0.2">
      <c r="A42" s="28">
        <v>41403</v>
      </c>
      <c r="B42" s="56">
        <v>376788008</v>
      </c>
      <c r="C42" s="56">
        <v>10000000</v>
      </c>
      <c r="D42" s="56">
        <v>0</v>
      </c>
      <c r="E42" s="56">
        <v>10000000</v>
      </c>
      <c r="F42" s="56">
        <v>386788008</v>
      </c>
      <c r="G42" s="56">
        <v>380576176</v>
      </c>
    </row>
    <row r="43" spans="1:7" x14ac:dyDescent="0.2">
      <c r="A43" s="28">
        <v>41435</v>
      </c>
      <c r="B43" s="56">
        <v>380576176</v>
      </c>
      <c r="C43" s="56">
        <v>500000</v>
      </c>
      <c r="D43" s="56">
        <v>0</v>
      </c>
      <c r="E43" s="56">
        <v>500000</v>
      </c>
      <c r="F43" s="56">
        <v>381076176</v>
      </c>
      <c r="G43" s="56">
        <v>384049949</v>
      </c>
    </row>
    <row r="44" spans="1:7" x14ac:dyDescent="0.2">
      <c r="A44" s="28">
        <v>41467</v>
      </c>
      <c r="B44" s="56">
        <v>384049949</v>
      </c>
      <c r="C44" s="56">
        <v>17000000</v>
      </c>
      <c r="D44" s="56">
        <v>57018006</v>
      </c>
      <c r="E44" s="56">
        <v>-40018006</v>
      </c>
      <c r="F44" s="56">
        <v>344031944</v>
      </c>
      <c r="G44" s="56">
        <v>351358068</v>
      </c>
    </row>
    <row r="45" spans="1:7" x14ac:dyDescent="0.2">
      <c r="A45" s="28">
        <v>41499</v>
      </c>
      <c r="B45" s="56">
        <v>351358068</v>
      </c>
      <c r="C45" s="56">
        <v>35750000</v>
      </c>
      <c r="D45" s="56">
        <v>0</v>
      </c>
      <c r="E45" s="56">
        <v>35750000</v>
      </c>
      <c r="F45" s="56">
        <v>387108068</v>
      </c>
      <c r="G45" s="56">
        <v>391634565</v>
      </c>
    </row>
    <row r="46" spans="1:7" x14ac:dyDescent="0.2">
      <c r="A46" s="28">
        <v>41531</v>
      </c>
      <c r="B46" s="56">
        <v>391634565</v>
      </c>
      <c r="C46" s="56">
        <v>4500000</v>
      </c>
      <c r="D46" s="56">
        <v>0</v>
      </c>
      <c r="E46" s="56">
        <v>4500000</v>
      </c>
      <c r="F46" s="56">
        <v>396134565</v>
      </c>
      <c r="G46" s="56">
        <v>399735837</v>
      </c>
    </row>
    <row r="47" spans="1:7" x14ac:dyDescent="0.2">
      <c r="A47" s="28">
        <v>41563</v>
      </c>
      <c r="B47" s="56">
        <v>399735837</v>
      </c>
      <c r="C47" s="56">
        <v>11800000</v>
      </c>
      <c r="D47" s="56">
        <v>14638088</v>
      </c>
      <c r="E47" s="56">
        <v>-2838088</v>
      </c>
      <c r="F47" s="56">
        <v>396897749</v>
      </c>
      <c r="G47" s="56">
        <v>403720445</v>
      </c>
    </row>
    <row r="48" spans="1:7" x14ac:dyDescent="0.2">
      <c r="A48" s="28">
        <v>41595</v>
      </c>
      <c r="B48" s="56">
        <v>403720445</v>
      </c>
      <c r="C48" s="56">
        <v>10000000</v>
      </c>
      <c r="D48" s="56">
        <v>0</v>
      </c>
      <c r="E48" s="56">
        <v>10000000</v>
      </c>
      <c r="F48" s="56">
        <v>413720445</v>
      </c>
      <c r="G48" s="56">
        <v>414857841</v>
      </c>
    </row>
    <row r="49" spans="1:7" x14ac:dyDescent="0.2">
      <c r="A49" s="28">
        <v>41627</v>
      </c>
      <c r="B49" s="56">
        <v>414857841</v>
      </c>
      <c r="C49" s="56">
        <v>300000</v>
      </c>
      <c r="D49" s="56">
        <v>0</v>
      </c>
      <c r="E49" s="56">
        <v>300000</v>
      </c>
      <c r="F49" s="56">
        <v>415157841</v>
      </c>
      <c r="G49" s="56">
        <v>419915336</v>
      </c>
    </row>
    <row r="50" spans="1:7" x14ac:dyDescent="0.2">
      <c r="A50" s="28">
        <v>41640</v>
      </c>
      <c r="B50" s="56">
        <v>419915336.16000003</v>
      </c>
      <c r="C50" s="56">
        <v>5200000</v>
      </c>
      <c r="D50" s="56">
        <v>35218335.770000003</v>
      </c>
      <c r="E50" s="56">
        <v>-30018335.770000003</v>
      </c>
      <c r="F50" s="56">
        <v>389897000.38999999</v>
      </c>
      <c r="G50" s="56">
        <v>396251010.13999999</v>
      </c>
    </row>
    <row r="51" spans="1:7" x14ac:dyDescent="0.2">
      <c r="A51" s="28">
        <v>41672</v>
      </c>
      <c r="B51" s="56">
        <v>396251010.13999999</v>
      </c>
      <c r="C51" s="56">
        <v>4000000</v>
      </c>
      <c r="D51" s="56">
        <v>2900000</v>
      </c>
      <c r="E51" s="56">
        <v>1100000</v>
      </c>
      <c r="F51" s="56">
        <v>397351010.13999999</v>
      </c>
      <c r="G51" s="56">
        <v>404024369.57999998</v>
      </c>
    </row>
    <row r="52" spans="1:7" x14ac:dyDescent="0.2">
      <c r="A52" s="28">
        <v>41704</v>
      </c>
      <c r="B52" s="56">
        <v>404024369.57999998</v>
      </c>
      <c r="C52" s="56">
        <v>2000000</v>
      </c>
      <c r="D52" s="56">
        <v>0</v>
      </c>
      <c r="E52" s="56">
        <v>2000000</v>
      </c>
      <c r="F52" s="56">
        <v>406024369.57999998</v>
      </c>
      <c r="G52" s="56">
        <v>409809232.24000001</v>
      </c>
    </row>
    <row r="53" spans="1:7" x14ac:dyDescent="0.2">
      <c r="A53" s="28">
        <v>41736</v>
      </c>
      <c r="B53" s="56">
        <v>409809232.24000001</v>
      </c>
      <c r="C53" s="56">
        <v>0</v>
      </c>
      <c r="D53" s="56">
        <v>17465745.129999999</v>
      </c>
      <c r="E53" s="56">
        <v>-17465745.129999999</v>
      </c>
      <c r="F53" s="56">
        <v>392343487.11000001</v>
      </c>
      <c r="G53" s="56">
        <v>396028321.81</v>
      </c>
    </row>
    <row r="54" spans="1:7" x14ac:dyDescent="0.2">
      <c r="A54" s="28">
        <v>41768</v>
      </c>
      <c r="B54" s="56">
        <v>396028321.81</v>
      </c>
      <c r="C54" s="56">
        <v>10000000</v>
      </c>
      <c r="D54" s="56">
        <v>0</v>
      </c>
      <c r="E54" s="56">
        <v>10000000</v>
      </c>
      <c r="F54" s="56">
        <v>406028321.81</v>
      </c>
      <c r="G54" s="56">
        <v>411995875.55000001</v>
      </c>
    </row>
    <row r="55" spans="1:7" x14ac:dyDescent="0.2">
      <c r="A55" s="28">
        <v>41800</v>
      </c>
      <c r="B55" s="56">
        <v>411995875.55000001</v>
      </c>
      <c r="C55" s="56">
        <v>100000</v>
      </c>
      <c r="D55" s="56">
        <v>0</v>
      </c>
      <c r="E55" s="56">
        <v>100000</v>
      </c>
      <c r="F55" s="56">
        <v>412095875.55000001</v>
      </c>
      <c r="G55" s="56">
        <v>416934267.94999999</v>
      </c>
    </row>
    <row r="56" spans="1:7" x14ac:dyDescent="0.2">
      <c r="A56" s="28">
        <v>41832</v>
      </c>
      <c r="B56" s="56">
        <v>416934267.94999999</v>
      </c>
      <c r="C56" s="56">
        <v>14000000</v>
      </c>
      <c r="D56" s="56">
        <v>10052934.279999999</v>
      </c>
      <c r="E56" s="56">
        <v>3947065.7200000007</v>
      </c>
      <c r="F56" s="56">
        <v>420881333.67000002</v>
      </c>
      <c r="G56" s="56">
        <v>420923474.42000002</v>
      </c>
    </row>
    <row r="57" spans="1:7" x14ac:dyDescent="0.2">
      <c r="A57" s="28">
        <v>41864</v>
      </c>
      <c r="B57" s="56">
        <v>420923474.42000002</v>
      </c>
      <c r="C57" s="56">
        <v>9000000</v>
      </c>
      <c r="D57" s="56">
        <v>0</v>
      </c>
      <c r="E57" s="56">
        <v>9000000</v>
      </c>
      <c r="F57" s="56">
        <v>429923474.42000002</v>
      </c>
      <c r="G57" s="56">
        <v>431544690.54000002</v>
      </c>
    </row>
    <row r="58" spans="1:7" x14ac:dyDescent="0.2">
      <c r="A58" s="28">
        <v>41896</v>
      </c>
      <c r="B58" s="56">
        <v>431544690.54000002</v>
      </c>
      <c r="C58" s="56">
        <v>0</v>
      </c>
      <c r="D58" s="56">
        <v>0</v>
      </c>
      <c r="E58" s="56">
        <v>0</v>
      </c>
      <c r="F58" s="56">
        <v>431544690.54000002</v>
      </c>
      <c r="G58" s="56">
        <v>432250899.99000001</v>
      </c>
    </row>
    <row r="59" spans="1:7" x14ac:dyDescent="0.2">
      <c r="A59" s="28">
        <v>41928</v>
      </c>
      <c r="B59" s="56">
        <v>432250899.99000001</v>
      </c>
      <c r="C59" s="56">
        <v>0</v>
      </c>
      <c r="D59" s="56">
        <v>11690325.65</v>
      </c>
      <c r="E59" s="56">
        <v>-11690325.65</v>
      </c>
      <c r="F59" s="56">
        <v>420560574.33999997</v>
      </c>
      <c r="G59" s="56">
        <v>419867130.33999997</v>
      </c>
    </row>
    <row r="60" spans="1:7" x14ac:dyDescent="0.2">
      <c r="A60" s="28">
        <v>41960</v>
      </c>
      <c r="B60" s="56">
        <v>419867130.33999997</v>
      </c>
      <c r="C60" s="56">
        <v>0</v>
      </c>
      <c r="D60" s="56">
        <v>0</v>
      </c>
      <c r="E60" s="56">
        <v>0</v>
      </c>
      <c r="F60" s="56">
        <v>419867130.33999997</v>
      </c>
      <c r="G60" s="56">
        <v>422078896.38999999</v>
      </c>
    </row>
    <row r="61" spans="1:7" x14ac:dyDescent="0.2">
      <c r="A61" s="28">
        <v>41992</v>
      </c>
      <c r="B61" s="56">
        <v>422078896.38999999</v>
      </c>
      <c r="C61" s="56">
        <v>0</v>
      </c>
      <c r="D61" s="56">
        <v>0</v>
      </c>
      <c r="E61" s="56">
        <v>0</v>
      </c>
      <c r="F61" s="56">
        <v>422078896.38999999</v>
      </c>
      <c r="G61" s="56">
        <v>425789226.94</v>
      </c>
    </row>
    <row r="62" spans="1:7" x14ac:dyDescent="0.2">
      <c r="A62" s="28">
        <v>42005</v>
      </c>
      <c r="B62" s="56">
        <v>425789227.19999999</v>
      </c>
      <c r="C62" s="56">
        <v>800000</v>
      </c>
      <c r="D62" s="56">
        <v>15235000</v>
      </c>
      <c r="E62" s="56">
        <v>-14435000</v>
      </c>
      <c r="F62" s="56">
        <v>411354227.19999999</v>
      </c>
      <c r="G62" s="56">
        <v>411834038.47000003</v>
      </c>
    </row>
    <row r="63" spans="1:7" x14ac:dyDescent="0.2">
      <c r="A63" s="28">
        <v>42037</v>
      </c>
      <c r="B63" s="56">
        <v>411834038.47000003</v>
      </c>
      <c r="C63" s="56">
        <v>10500000</v>
      </c>
      <c r="D63" s="56">
        <v>0</v>
      </c>
      <c r="E63" s="56">
        <v>10500000</v>
      </c>
      <c r="F63" s="56">
        <v>422334038.47000003</v>
      </c>
      <c r="G63" s="56">
        <v>419244916.95999998</v>
      </c>
    </row>
    <row r="64" spans="1:7" x14ac:dyDescent="0.2">
      <c r="A64" s="28">
        <v>42069</v>
      </c>
      <c r="B64" s="56">
        <v>419244916.95999998</v>
      </c>
      <c r="C64" s="56">
        <v>0</v>
      </c>
      <c r="D64" s="56">
        <v>0</v>
      </c>
      <c r="E64" s="56">
        <v>0</v>
      </c>
      <c r="F64" s="56">
        <v>419244916.95999998</v>
      </c>
      <c r="G64" s="56">
        <v>422645652.29000002</v>
      </c>
    </row>
    <row r="65" spans="1:7" x14ac:dyDescent="0.2">
      <c r="A65" s="28">
        <v>42101</v>
      </c>
      <c r="B65" s="56">
        <v>422645652.29000002</v>
      </c>
      <c r="C65" s="56">
        <v>2500000</v>
      </c>
      <c r="D65" s="56">
        <v>31330255.77</v>
      </c>
      <c r="E65" s="56">
        <v>-28830255.77</v>
      </c>
      <c r="F65" s="56">
        <v>393815396.51999998</v>
      </c>
      <c r="G65" s="56">
        <v>389648103.25</v>
      </c>
    </row>
    <row r="66" spans="1:7" x14ac:dyDescent="0.2">
      <c r="A66" s="28">
        <v>42133</v>
      </c>
      <c r="B66" s="56">
        <v>389648103.25</v>
      </c>
      <c r="C66" s="56">
        <v>1500000</v>
      </c>
      <c r="D66" s="56">
        <v>0</v>
      </c>
      <c r="E66" s="56">
        <v>1500000</v>
      </c>
      <c r="F66" s="56">
        <v>391148103.25</v>
      </c>
      <c r="G66" s="56">
        <v>384908741.50999999</v>
      </c>
    </row>
    <row r="67" spans="1:7" x14ac:dyDescent="0.2">
      <c r="A67" s="28">
        <v>42165</v>
      </c>
      <c r="B67" s="56">
        <v>384908741.50999999</v>
      </c>
      <c r="C67" s="56">
        <v>0</v>
      </c>
      <c r="D67" s="56">
        <v>0</v>
      </c>
      <c r="E67" s="56">
        <v>0</v>
      </c>
      <c r="F67" s="56">
        <v>384908741.50999999</v>
      </c>
      <c r="G67" s="56">
        <v>381459213.00999999</v>
      </c>
    </row>
    <row r="68" spans="1:7" x14ac:dyDescent="0.2">
      <c r="A68" s="28">
        <v>42197</v>
      </c>
      <c r="B68" s="56">
        <v>381459213.00999999</v>
      </c>
      <c r="C68" s="56">
        <v>0</v>
      </c>
      <c r="D68" s="56">
        <v>23828528.489999998</v>
      </c>
      <c r="E68" s="56">
        <v>-23828528.489999998</v>
      </c>
      <c r="F68" s="56">
        <v>357630684.51999998</v>
      </c>
      <c r="G68" s="56">
        <v>358274495.63</v>
      </c>
    </row>
    <row r="69" spans="1:7" x14ac:dyDescent="0.2">
      <c r="A69" s="28">
        <v>42229</v>
      </c>
      <c r="B69" s="56">
        <v>358274495.63</v>
      </c>
      <c r="C69" s="56">
        <v>0</v>
      </c>
      <c r="D69" s="56">
        <v>0</v>
      </c>
      <c r="E69" s="56">
        <v>0</v>
      </c>
      <c r="F69" s="56">
        <v>358274495.63</v>
      </c>
      <c r="G69" s="56">
        <v>357627090.62</v>
      </c>
    </row>
    <row r="70" spans="1:7" x14ac:dyDescent="0.2">
      <c r="A70" s="28">
        <v>42261</v>
      </c>
      <c r="B70" s="56">
        <v>357627090.62</v>
      </c>
      <c r="C70" s="56">
        <v>0</v>
      </c>
      <c r="D70" s="56">
        <v>0</v>
      </c>
      <c r="E70" s="56">
        <v>0</v>
      </c>
      <c r="F70" s="56">
        <v>357627090.62</v>
      </c>
      <c r="G70" s="56">
        <v>356972451.16000003</v>
      </c>
    </row>
    <row r="71" spans="1:7" x14ac:dyDescent="0.2">
      <c r="A71" s="28">
        <v>42293</v>
      </c>
      <c r="B71" s="56">
        <v>356972451.16000003</v>
      </c>
      <c r="C71" s="56">
        <v>0</v>
      </c>
      <c r="D71" s="56">
        <v>59970210.969999999</v>
      </c>
      <c r="E71" s="56">
        <v>-59970210.969999999</v>
      </c>
      <c r="F71" s="56">
        <v>297002240.19000006</v>
      </c>
      <c r="G71" s="56">
        <v>295061221.70999998</v>
      </c>
    </row>
    <row r="72" spans="1:7" x14ac:dyDescent="0.2">
      <c r="A72" s="28">
        <v>42325</v>
      </c>
      <c r="B72" s="56">
        <v>295061221.70999998</v>
      </c>
      <c r="C72" s="56">
        <v>0</v>
      </c>
      <c r="D72" s="56">
        <v>0</v>
      </c>
      <c r="E72" s="56">
        <v>0</v>
      </c>
      <c r="F72" s="56">
        <v>295061221.70999998</v>
      </c>
      <c r="G72" s="56">
        <v>295461526.08999997</v>
      </c>
    </row>
    <row r="73" spans="1:7" x14ac:dyDescent="0.2">
      <c r="A73" s="28">
        <v>42357</v>
      </c>
      <c r="B73" s="56">
        <v>295461526.08999997</v>
      </c>
      <c r="C73" s="56">
        <v>0</v>
      </c>
      <c r="D73" s="56">
        <v>0</v>
      </c>
      <c r="E73" s="56">
        <v>0</v>
      </c>
      <c r="F73" s="56">
        <v>295461526.08999997</v>
      </c>
      <c r="G73" s="56">
        <v>291633522.13</v>
      </c>
    </row>
    <row r="74" spans="1:7" x14ac:dyDescent="0.2">
      <c r="A74" s="28">
        <v>42370</v>
      </c>
      <c r="B74" s="56">
        <v>291633522.13</v>
      </c>
      <c r="C74" s="56">
        <v>0</v>
      </c>
      <c r="D74" s="56">
        <v>53181578.369999997</v>
      </c>
      <c r="E74" s="56">
        <v>-53181578.369999997</v>
      </c>
      <c r="F74" s="56">
        <v>238451943.75999999</v>
      </c>
      <c r="G74" s="56">
        <v>238063089.88999999</v>
      </c>
    </row>
    <row r="77" spans="1:7" x14ac:dyDescent="0.2">
      <c r="A77" s="30"/>
    </row>
    <row r="78" spans="1:7" x14ac:dyDescent="0.2">
      <c r="A78" s="31"/>
    </row>
    <row r="79" spans="1:7" x14ac:dyDescent="0.2">
      <c r="A79" s="31"/>
    </row>
    <row r="80" spans="1:7" x14ac:dyDescent="0.2">
      <c r="A80" s="31"/>
    </row>
    <row r="81" spans="1:1" x14ac:dyDescent="0.2">
      <c r="A81" s="31"/>
    </row>
    <row r="82" spans="1:1" x14ac:dyDescent="0.2">
      <c r="A82" s="35"/>
    </row>
    <row r="83" spans="1:1" x14ac:dyDescent="0.2">
      <c r="A83" s="35"/>
    </row>
    <row r="84" spans="1:1" x14ac:dyDescent="0.2">
      <c r="A84" s="35"/>
    </row>
    <row r="85" spans="1:1" x14ac:dyDescent="0.2">
      <c r="A85" s="35"/>
    </row>
    <row r="86" spans="1:1" x14ac:dyDescent="0.2">
      <c r="A86" s="35"/>
    </row>
    <row r="87" spans="1:1" x14ac:dyDescent="0.2">
      <c r="A87" s="35"/>
    </row>
    <row r="88" spans="1:1" x14ac:dyDescent="0.2">
      <c r="A88" s="48"/>
    </row>
    <row r="89" spans="1:1" x14ac:dyDescent="0.2">
      <c r="A89" s="35"/>
    </row>
    <row r="97" spans="1:1" x14ac:dyDescent="0.2">
      <c r="A97" s="35"/>
    </row>
    <row r="98" spans="1:1" x14ac:dyDescent="0.2">
      <c r="A98" s="35"/>
    </row>
    <row r="99" spans="1:1" x14ac:dyDescent="0.2">
      <c r="A99" s="48"/>
    </row>
    <row r="100" spans="1:1" x14ac:dyDescent="0.2">
      <c r="A100" s="35"/>
    </row>
    <row r="101" spans="1:1" x14ac:dyDescent="0.2">
      <c r="A101" s="35"/>
    </row>
    <row r="102" spans="1:1" x14ac:dyDescent="0.2">
      <c r="A102" s="35"/>
    </row>
    <row r="103" spans="1:1" x14ac:dyDescent="0.2">
      <c r="A103" s="35"/>
    </row>
    <row r="104" spans="1:1" x14ac:dyDescent="0.2">
      <c r="A104" s="35"/>
    </row>
    <row r="108" spans="1:1" x14ac:dyDescent="0.2">
      <c r="A108" s="35"/>
    </row>
    <row r="109" spans="1:1" x14ac:dyDescent="0.2">
      <c r="A109" s="35"/>
    </row>
    <row r="110" spans="1:1" x14ac:dyDescent="0.2">
      <c r="A110" s="35"/>
    </row>
    <row r="111" spans="1:1" x14ac:dyDescent="0.2">
      <c r="A111" s="35"/>
    </row>
    <row r="112" spans="1:1" x14ac:dyDescent="0.2">
      <c r="A112" s="35"/>
    </row>
    <row r="113" spans="1:1" x14ac:dyDescent="0.2">
      <c r="A113" s="35"/>
    </row>
    <row r="114" spans="1:1" x14ac:dyDescent="0.2">
      <c r="A114" s="35"/>
    </row>
    <row r="115" spans="1:1" x14ac:dyDescent="0.2">
      <c r="A115" s="35"/>
    </row>
    <row r="116" spans="1:1" x14ac:dyDescent="0.2">
      <c r="A116" s="35"/>
    </row>
    <row r="117" spans="1:1" x14ac:dyDescent="0.2">
      <c r="A117" s="35"/>
    </row>
    <row r="118" spans="1:1" x14ac:dyDescent="0.2">
      <c r="A118" s="35"/>
    </row>
    <row r="119" spans="1:1" x14ac:dyDescent="0.2">
      <c r="A119" s="35"/>
    </row>
    <row r="120" spans="1:1" x14ac:dyDescent="0.2">
      <c r="A120" s="35"/>
    </row>
    <row r="121" spans="1:1" x14ac:dyDescent="0.2">
      <c r="A121" s="35"/>
    </row>
    <row r="122" spans="1:1" x14ac:dyDescent="0.2">
      <c r="A122" s="35"/>
    </row>
    <row r="123" spans="1:1" x14ac:dyDescent="0.2">
      <c r="A123" s="35"/>
    </row>
    <row r="124" spans="1:1" x14ac:dyDescent="0.2">
      <c r="A124" s="35"/>
    </row>
    <row r="125" spans="1:1" x14ac:dyDescent="0.2">
      <c r="A125" s="35"/>
    </row>
    <row r="126" spans="1:1" x14ac:dyDescent="0.2">
      <c r="A126" s="35"/>
    </row>
    <row r="127" spans="1:1" x14ac:dyDescent="0.2">
      <c r="A127" s="35"/>
    </row>
    <row r="128" spans="1:1" x14ac:dyDescent="0.2">
      <c r="A128" s="35"/>
    </row>
    <row r="129" spans="1:1" x14ac:dyDescent="0.2">
      <c r="A129" s="35"/>
    </row>
    <row r="130" spans="1:1" x14ac:dyDescent="0.2">
      <c r="A130" s="35"/>
    </row>
    <row r="131" spans="1:1" x14ac:dyDescent="0.2">
      <c r="A131" s="35"/>
    </row>
    <row r="132" spans="1:1" x14ac:dyDescent="0.2">
      <c r="A132" s="35"/>
    </row>
    <row r="133" spans="1:1" x14ac:dyDescent="0.2">
      <c r="A133" s="35"/>
    </row>
    <row r="134" spans="1:1" x14ac:dyDescent="0.2">
      <c r="A134" s="35"/>
    </row>
    <row r="135" spans="1:1" x14ac:dyDescent="0.2">
      <c r="A135" s="35"/>
    </row>
    <row r="136" spans="1:1" x14ac:dyDescent="0.2">
      <c r="A136" s="35"/>
    </row>
    <row r="137" spans="1:1" x14ac:dyDescent="0.2">
      <c r="A137" s="35"/>
    </row>
    <row r="138" spans="1:1" x14ac:dyDescent="0.2">
      <c r="A138" s="35"/>
    </row>
    <row r="139" spans="1:1" x14ac:dyDescent="0.2">
      <c r="A139" s="35"/>
    </row>
    <row r="140" spans="1:1" x14ac:dyDescent="0.2">
      <c r="A140" s="35"/>
    </row>
    <row r="141" spans="1:1" x14ac:dyDescent="0.2">
      <c r="A141" s="35"/>
    </row>
    <row r="142" spans="1:1" x14ac:dyDescent="0.2">
      <c r="A142" s="35"/>
    </row>
    <row r="143" spans="1:1" x14ac:dyDescent="0.2">
      <c r="A143" s="35"/>
    </row>
    <row r="144" spans="1:1" x14ac:dyDescent="0.2">
      <c r="A144" s="35"/>
    </row>
    <row r="145" spans="1:1" x14ac:dyDescent="0.2">
      <c r="A145" s="35"/>
    </row>
    <row r="146" spans="1:1" x14ac:dyDescent="0.2">
      <c r="A146" s="35"/>
    </row>
    <row r="147" spans="1:1" x14ac:dyDescent="0.2">
      <c r="A147" s="35"/>
    </row>
    <row r="148" spans="1:1" x14ac:dyDescent="0.2">
      <c r="A148" s="35"/>
    </row>
    <row r="149" spans="1:1" x14ac:dyDescent="0.2">
      <c r="A149" s="35"/>
    </row>
    <row r="150" spans="1:1" x14ac:dyDescent="0.2">
      <c r="A150" s="35"/>
    </row>
    <row r="151" spans="1:1" x14ac:dyDescent="0.2">
      <c r="A151" s="35"/>
    </row>
    <row r="152" spans="1:1" x14ac:dyDescent="0.2">
      <c r="A152" s="35"/>
    </row>
    <row r="153" spans="1:1" x14ac:dyDescent="0.2">
      <c r="A153" s="35"/>
    </row>
    <row r="154" spans="1:1" x14ac:dyDescent="0.2">
      <c r="A154" s="35"/>
    </row>
    <row r="155" spans="1:1" x14ac:dyDescent="0.2">
      <c r="A155" s="35"/>
    </row>
    <row r="156" spans="1:1" x14ac:dyDescent="0.2">
      <c r="A156" s="35"/>
    </row>
    <row r="157" spans="1:1" x14ac:dyDescent="0.2">
      <c r="A157" s="35"/>
    </row>
    <row r="158" spans="1:1" x14ac:dyDescent="0.2">
      <c r="A158" s="35"/>
    </row>
    <row r="159" spans="1:1" x14ac:dyDescent="0.2">
      <c r="A159" s="35"/>
    </row>
    <row r="160" spans="1:1" x14ac:dyDescent="0.2">
      <c r="A160" s="35"/>
    </row>
    <row r="161" spans="1:1" x14ac:dyDescent="0.2">
      <c r="A161" s="35"/>
    </row>
    <row r="162" spans="1:1" x14ac:dyDescent="0.2">
      <c r="A162" s="35"/>
    </row>
    <row r="163" spans="1:1" x14ac:dyDescent="0.2">
      <c r="A163" s="35"/>
    </row>
    <row r="164" spans="1:1" x14ac:dyDescent="0.2">
      <c r="A164" s="35"/>
    </row>
    <row r="165" spans="1:1" x14ac:dyDescent="0.2">
      <c r="A165" s="35"/>
    </row>
    <row r="166" spans="1:1" x14ac:dyDescent="0.2">
      <c r="A166" s="35"/>
    </row>
    <row r="167" spans="1:1" x14ac:dyDescent="0.2">
      <c r="A167" s="35"/>
    </row>
    <row r="168" spans="1:1" x14ac:dyDescent="0.2">
      <c r="A168" s="35"/>
    </row>
    <row r="169" spans="1:1" x14ac:dyDescent="0.2">
      <c r="A169" s="35"/>
    </row>
    <row r="170" spans="1:1" x14ac:dyDescent="0.2">
      <c r="A170" s="35"/>
    </row>
    <row r="171" spans="1:1" x14ac:dyDescent="0.2">
      <c r="A171" s="35"/>
    </row>
    <row r="172" spans="1:1" x14ac:dyDescent="0.2">
      <c r="A172" s="35"/>
    </row>
    <row r="173" spans="1:1" x14ac:dyDescent="0.2">
      <c r="A173" s="35"/>
    </row>
    <row r="174" spans="1:1" x14ac:dyDescent="0.2">
      <c r="A174" s="35"/>
    </row>
    <row r="175" spans="1:1" x14ac:dyDescent="0.2">
      <c r="A175" s="35"/>
    </row>
    <row r="176" spans="1:1" x14ac:dyDescent="0.2">
      <c r="A176" s="35"/>
    </row>
    <row r="177" spans="1:1" x14ac:dyDescent="0.2">
      <c r="A177" s="35"/>
    </row>
    <row r="178" spans="1:1" x14ac:dyDescent="0.2">
      <c r="A178" s="35"/>
    </row>
    <row r="179" spans="1:1" x14ac:dyDescent="0.2">
      <c r="A179" s="35"/>
    </row>
    <row r="180" spans="1:1" x14ac:dyDescent="0.2">
      <c r="A180" s="35"/>
    </row>
    <row r="181" spans="1:1" x14ac:dyDescent="0.2">
      <c r="A181" s="35"/>
    </row>
    <row r="182" spans="1:1" x14ac:dyDescent="0.2">
      <c r="A182" s="35"/>
    </row>
    <row r="183" spans="1:1" x14ac:dyDescent="0.2">
      <c r="A183" s="35"/>
    </row>
    <row r="184" spans="1:1" x14ac:dyDescent="0.2">
      <c r="A184" s="35"/>
    </row>
    <row r="185" spans="1:1" x14ac:dyDescent="0.2">
      <c r="A185" s="35"/>
    </row>
    <row r="186" spans="1:1" x14ac:dyDescent="0.2">
      <c r="A186" s="35"/>
    </row>
    <row r="187" spans="1:1" x14ac:dyDescent="0.2">
      <c r="A187" s="35"/>
    </row>
    <row r="188" spans="1:1" x14ac:dyDescent="0.2">
      <c r="A188" s="35"/>
    </row>
    <row r="189" spans="1:1" x14ac:dyDescent="0.2">
      <c r="A189" s="35"/>
    </row>
    <row r="190" spans="1:1" x14ac:dyDescent="0.2">
      <c r="A190" s="35"/>
    </row>
    <row r="191" spans="1:1" x14ac:dyDescent="0.2">
      <c r="A191" s="35"/>
    </row>
    <row r="192" spans="1:1" x14ac:dyDescent="0.2">
      <c r="A192" s="35"/>
    </row>
    <row r="193" spans="1:1" x14ac:dyDescent="0.2">
      <c r="A193" s="35"/>
    </row>
    <row r="194" spans="1:1" x14ac:dyDescent="0.2">
      <c r="A194" s="35"/>
    </row>
    <row r="195" spans="1:1" x14ac:dyDescent="0.2">
      <c r="A195" s="35"/>
    </row>
    <row r="196" spans="1:1" x14ac:dyDescent="0.2">
      <c r="A196" s="35"/>
    </row>
    <row r="197" spans="1:1" x14ac:dyDescent="0.2">
      <c r="A197" s="35"/>
    </row>
    <row r="198" spans="1:1" x14ac:dyDescent="0.2">
      <c r="A198" s="35"/>
    </row>
    <row r="199" spans="1:1" x14ac:dyDescent="0.2">
      <c r="A199" s="35"/>
    </row>
    <row r="200" spans="1:1" x14ac:dyDescent="0.2">
      <c r="A200" s="35"/>
    </row>
    <row r="201" spans="1:1" x14ac:dyDescent="0.2">
      <c r="A201" s="35"/>
    </row>
    <row r="202" spans="1:1" x14ac:dyDescent="0.2">
      <c r="A202" s="35"/>
    </row>
    <row r="203" spans="1:1" x14ac:dyDescent="0.2">
      <c r="A203" s="35"/>
    </row>
    <row r="204" spans="1:1" x14ac:dyDescent="0.2">
      <c r="A204" s="35"/>
    </row>
    <row r="205" spans="1:1" x14ac:dyDescent="0.2">
      <c r="A205" s="35"/>
    </row>
    <row r="206" spans="1:1" x14ac:dyDescent="0.2">
      <c r="A206" s="35"/>
    </row>
    <row r="207" spans="1:1" x14ac:dyDescent="0.2">
      <c r="A207" s="35"/>
    </row>
    <row r="208" spans="1:1" x14ac:dyDescent="0.2">
      <c r="A208" s="35"/>
    </row>
    <row r="209" spans="1:1" x14ac:dyDescent="0.2">
      <c r="A209" s="35"/>
    </row>
    <row r="210" spans="1:1" x14ac:dyDescent="0.2">
      <c r="A210" s="35"/>
    </row>
    <row r="211" spans="1:1" x14ac:dyDescent="0.2">
      <c r="A211" s="35"/>
    </row>
    <row r="212" spans="1:1" x14ac:dyDescent="0.2">
      <c r="A212" s="35"/>
    </row>
    <row r="213" spans="1:1" x14ac:dyDescent="0.2">
      <c r="A213" s="35"/>
    </row>
    <row r="214" spans="1:1" x14ac:dyDescent="0.2">
      <c r="A214" s="35"/>
    </row>
    <row r="215" spans="1:1" x14ac:dyDescent="0.2">
      <c r="A215" s="35"/>
    </row>
    <row r="216" spans="1:1" x14ac:dyDescent="0.2">
      <c r="A216" s="35"/>
    </row>
    <row r="217" spans="1:1" x14ac:dyDescent="0.2">
      <c r="A217" s="35"/>
    </row>
    <row r="218" spans="1:1" x14ac:dyDescent="0.2">
      <c r="A218" s="35"/>
    </row>
    <row r="219" spans="1:1" x14ac:dyDescent="0.2">
      <c r="A219" s="35"/>
    </row>
    <row r="220" spans="1:1" x14ac:dyDescent="0.2">
      <c r="A220" s="35"/>
    </row>
    <row r="221" spans="1:1" x14ac:dyDescent="0.2">
      <c r="A221" s="35"/>
    </row>
    <row r="222" spans="1:1" x14ac:dyDescent="0.2">
      <c r="A222" s="35"/>
    </row>
    <row r="223" spans="1:1" x14ac:dyDescent="0.2">
      <c r="A223" s="35"/>
    </row>
    <row r="224" spans="1:1" x14ac:dyDescent="0.2">
      <c r="A224" s="35"/>
    </row>
    <row r="225" spans="1:1" x14ac:dyDescent="0.2">
      <c r="A225" s="35"/>
    </row>
    <row r="226" spans="1:1" x14ac:dyDescent="0.2">
      <c r="A226" s="35"/>
    </row>
    <row r="227" spans="1:1" x14ac:dyDescent="0.2">
      <c r="A227" s="35"/>
    </row>
    <row r="228" spans="1:1" x14ac:dyDescent="0.2">
      <c r="A228" s="35"/>
    </row>
    <row r="229" spans="1:1" x14ac:dyDescent="0.2">
      <c r="A229" s="35"/>
    </row>
    <row r="230" spans="1:1" x14ac:dyDescent="0.2">
      <c r="A230" s="35"/>
    </row>
    <row r="231" spans="1:1" x14ac:dyDescent="0.2">
      <c r="A231" s="35"/>
    </row>
    <row r="232" spans="1:1" x14ac:dyDescent="0.2">
      <c r="A232" s="35"/>
    </row>
    <row r="233" spans="1:1" x14ac:dyDescent="0.2">
      <c r="A233" s="35"/>
    </row>
    <row r="234" spans="1:1" x14ac:dyDescent="0.2">
      <c r="A234" s="35"/>
    </row>
    <row r="235" spans="1:1" x14ac:dyDescent="0.2">
      <c r="A235" s="35"/>
    </row>
    <row r="236" spans="1:1" x14ac:dyDescent="0.2">
      <c r="A236" s="35"/>
    </row>
    <row r="237" spans="1:1" x14ac:dyDescent="0.2">
      <c r="A237" s="35"/>
    </row>
    <row r="238" spans="1:1" x14ac:dyDescent="0.2">
      <c r="A238" s="35"/>
    </row>
    <row r="239" spans="1:1" x14ac:dyDescent="0.2">
      <c r="A239" s="35"/>
    </row>
    <row r="240" spans="1:1" x14ac:dyDescent="0.2">
      <c r="A240" s="35"/>
    </row>
    <row r="241" spans="1:1" x14ac:dyDescent="0.2">
      <c r="A241" s="35"/>
    </row>
    <row r="242" spans="1:1" x14ac:dyDescent="0.2">
      <c r="A242" s="35"/>
    </row>
    <row r="243" spans="1:1" x14ac:dyDescent="0.2">
      <c r="A243" s="35"/>
    </row>
    <row r="244" spans="1:1" x14ac:dyDescent="0.2">
      <c r="A244" s="35"/>
    </row>
    <row r="245" spans="1:1" x14ac:dyDescent="0.2">
      <c r="A245" s="35"/>
    </row>
    <row r="246" spans="1:1" x14ac:dyDescent="0.2">
      <c r="A246" s="35"/>
    </row>
    <row r="247" spans="1:1" x14ac:dyDescent="0.2">
      <c r="A247" s="35"/>
    </row>
    <row r="248" spans="1:1" x14ac:dyDescent="0.2">
      <c r="A248" s="35"/>
    </row>
    <row r="249" spans="1:1" x14ac:dyDescent="0.2">
      <c r="A249" s="35"/>
    </row>
    <row r="250" spans="1:1" x14ac:dyDescent="0.2">
      <c r="A250" s="35"/>
    </row>
    <row r="251" spans="1:1" x14ac:dyDescent="0.2">
      <c r="A251" s="35"/>
    </row>
    <row r="252" spans="1:1" x14ac:dyDescent="0.2">
      <c r="A252" s="35"/>
    </row>
    <row r="253" spans="1:1" x14ac:dyDescent="0.2">
      <c r="A253" s="35"/>
    </row>
    <row r="254" spans="1:1" x14ac:dyDescent="0.2">
      <c r="A254" s="35"/>
    </row>
    <row r="255" spans="1:1" x14ac:dyDescent="0.2">
      <c r="A255" s="35"/>
    </row>
    <row r="256" spans="1:1" x14ac:dyDescent="0.2">
      <c r="A256" s="35"/>
    </row>
    <row r="257" spans="1:1" x14ac:dyDescent="0.2">
      <c r="A257" s="35"/>
    </row>
    <row r="258" spans="1:1" x14ac:dyDescent="0.2">
      <c r="A258" s="35"/>
    </row>
    <row r="259" spans="1:1" x14ac:dyDescent="0.2">
      <c r="A259" s="35"/>
    </row>
    <row r="260" spans="1:1" x14ac:dyDescent="0.2">
      <c r="A260" s="35"/>
    </row>
    <row r="261" spans="1:1" x14ac:dyDescent="0.2">
      <c r="A261" s="35"/>
    </row>
    <row r="262" spans="1:1" x14ac:dyDescent="0.2">
      <c r="A262" s="35"/>
    </row>
    <row r="263" spans="1:1" x14ac:dyDescent="0.2">
      <c r="A263" s="35"/>
    </row>
    <row r="264" spans="1:1" x14ac:dyDescent="0.2">
      <c r="A264" s="35"/>
    </row>
    <row r="265" spans="1:1" x14ac:dyDescent="0.2">
      <c r="A265" s="35"/>
    </row>
    <row r="266" spans="1:1" x14ac:dyDescent="0.2">
      <c r="A266" s="35"/>
    </row>
    <row r="267" spans="1:1" x14ac:dyDescent="0.2">
      <c r="A267" s="35"/>
    </row>
    <row r="268" spans="1:1" x14ac:dyDescent="0.2">
      <c r="A268" s="35"/>
    </row>
    <row r="269" spans="1:1" x14ac:dyDescent="0.2">
      <c r="A269" s="35"/>
    </row>
    <row r="270" spans="1:1" x14ac:dyDescent="0.2">
      <c r="A270" s="35"/>
    </row>
    <row r="271" spans="1:1" x14ac:dyDescent="0.2">
      <c r="A271" s="35"/>
    </row>
    <row r="272" spans="1:1" x14ac:dyDescent="0.2">
      <c r="A272" s="35"/>
    </row>
    <row r="273" spans="1:1" x14ac:dyDescent="0.2">
      <c r="A273" s="35"/>
    </row>
    <row r="274" spans="1:1" x14ac:dyDescent="0.2">
      <c r="A274" s="35"/>
    </row>
    <row r="275" spans="1:1" x14ac:dyDescent="0.2">
      <c r="A275" s="35"/>
    </row>
    <row r="276" spans="1:1" x14ac:dyDescent="0.2">
      <c r="A276" s="35"/>
    </row>
    <row r="277" spans="1:1" x14ac:dyDescent="0.2">
      <c r="A277" s="35"/>
    </row>
    <row r="278" spans="1:1" x14ac:dyDescent="0.2">
      <c r="A278" s="35"/>
    </row>
    <row r="279" spans="1:1" x14ac:dyDescent="0.2">
      <c r="A279" s="35"/>
    </row>
    <row r="280" spans="1:1" x14ac:dyDescent="0.2">
      <c r="A280" s="35"/>
    </row>
    <row r="281" spans="1:1" x14ac:dyDescent="0.2">
      <c r="A281" s="35"/>
    </row>
    <row r="282" spans="1:1" x14ac:dyDescent="0.2">
      <c r="A282" s="35"/>
    </row>
    <row r="283" spans="1:1" x14ac:dyDescent="0.2">
      <c r="A283" s="35"/>
    </row>
    <row r="284" spans="1:1" x14ac:dyDescent="0.2">
      <c r="A284" s="35"/>
    </row>
    <row r="285" spans="1:1" x14ac:dyDescent="0.2">
      <c r="A285" s="35"/>
    </row>
    <row r="286" spans="1:1" x14ac:dyDescent="0.2">
      <c r="A286" s="35"/>
    </row>
    <row r="287" spans="1:1" x14ac:dyDescent="0.2">
      <c r="A287" s="35"/>
    </row>
    <row r="288" spans="1:1" x14ac:dyDescent="0.2">
      <c r="A288" s="35"/>
    </row>
    <row r="289" spans="1:1" x14ac:dyDescent="0.2">
      <c r="A289" s="35"/>
    </row>
    <row r="290" spans="1:1" x14ac:dyDescent="0.2">
      <c r="A290" s="35"/>
    </row>
    <row r="291" spans="1:1" x14ac:dyDescent="0.2">
      <c r="A291" s="35"/>
    </row>
    <row r="292" spans="1:1" x14ac:dyDescent="0.2">
      <c r="A292" s="35"/>
    </row>
    <row r="293" spans="1:1" x14ac:dyDescent="0.2">
      <c r="A293" s="35"/>
    </row>
    <row r="294" spans="1:1" x14ac:dyDescent="0.2">
      <c r="A294" s="35"/>
    </row>
    <row r="295" spans="1:1" x14ac:dyDescent="0.2">
      <c r="A295" s="35"/>
    </row>
    <row r="296" spans="1:1" x14ac:dyDescent="0.2">
      <c r="A296" s="35"/>
    </row>
    <row r="297" spans="1:1" x14ac:dyDescent="0.2">
      <c r="A297" s="35"/>
    </row>
    <row r="298" spans="1:1" x14ac:dyDescent="0.2">
      <c r="A298" s="35"/>
    </row>
    <row r="299" spans="1:1" x14ac:dyDescent="0.2">
      <c r="A299" s="35"/>
    </row>
    <row r="300" spans="1:1" x14ac:dyDescent="0.2">
      <c r="A300" s="35"/>
    </row>
    <row r="301" spans="1:1" x14ac:dyDescent="0.2">
      <c r="A301" s="35"/>
    </row>
    <row r="302" spans="1:1" x14ac:dyDescent="0.2">
      <c r="A302" s="35"/>
    </row>
    <row r="303" spans="1:1" x14ac:dyDescent="0.2">
      <c r="A303" s="35"/>
    </row>
    <row r="304" spans="1:1" x14ac:dyDescent="0.2">
      <c r="A304" s="35"/>
    </row>
    <row r="305" spans="1:1" x14ac:dyDescent="0.2">
      <c r="A305" s="35"/>
    </row>
    <row r="306" spans="1:1" x14ac:dyDescent="0.2">
      <c r="A306" s="35"/>
    </row>
    <row r="307" spans="1:1" x14ac:dyDescent="0.2">
      <c r="A307" s="35"/>
    </row>
    <row r="308" spans="1:1" x14ac:dyDescent="0.2">
      <c r="A308" s="35"/>
    </row>
    <row r="309" spans="1:1" x14ac:dyDescent="0.2">
      <c r="A309" s="35"/>
    </row>
    <row r="310" spans="1:1" x14ac:dyDescent="0.2">
      <c r="A310" s="35"/>
    </row>
    <row r="311" spans="1:1" x14ac:dyDescent="0.2">
      <c r="A311" s="35"/>
    </row>
    <row r="312" spans="1:1" x14ac:dyDescent="0.2">
      <c r="A312" s="35"/>
    </row>
    <row r="313" spans="1:1" x14ac:dyDescent="0.2">
      <c r="A313" s="35"/>
    </row>
    <row r="314" spans="1:1" x14ac:dyDescent="0.2">
      <c r="A314" s="35"/>
    </row>
    <row r="315" spans="1:1" x14ac:dyDescent="0.2">
      <c r="A315" s="35"/>
    </row>
    <row r="316" spans="1:1" x14ac:dyDescent="0.2">
      <c r="A316" s="35"/>
    </row>
    <row r="317" spans="1:1" x14ac:dyDescent="0.2">
      <c r="A317" s="35"/>
    </row>
    <row r="318" spans="1:1" x14ac:dyDescent="0.2">
      <c r="A318" s="35"/>
    </row>
    <row r="319" spans="1:1" x14ac:dyDescent="0.2">
      <c r="A319" s="35"/>
    </row>
    <row r="320" spans="1:1" x14ac:dyDescent="0.2">
      <c r="A320" s="35"/>
    </row>
    <row r="321" spans="1:1" x14ac:dyDescent="0.2">
      <c r="A321" s="35"/>
    </row>
    <row r="322" spans="1:1" x14ac:dyDescent="0.2">
      <c r="A322" s="35"/>
    </row>
    <row r="323" spans="1:1" x14ac:dyDescent="0.2">
      <c r="A323" s="35"/>
    </row>
    <row r="324" spans="1:1" x14ac:dyDescent="0.2">
      <c r="A324" s="35"/>
    </row>
    <row r="325" spans="1:1" x14ac:dyDescent="0.2">
      <c r="A325" s="35"/>
    </row>
    <row r="326" spans="1:1" x14ac:dyDescent="0.2">
      <c r="A326" s="35"/>
    </row>
    <row r="327" spans="1:1" x14ac:dyDescent="0.2">
      <c r="A327" s="35"/>
    </row>
    <row r="328" spans="1:1" x14ac:dyDescent="0.2">
      <c r="A328" s="35"/>
    </row>
    <row r="329" spans="1:1" x14ac:dyDescent="0.2">
      <c r="A329" s="35"/>
    </row>
    <row r="330" spans="1:1" x14ac:dyDescent="0.2">
      <c r="A330" s="35"/>
    </row>
    <row r="331" spans="1:1" x14ac:dyDescent="0.2">
      <c r="A331" s="35"/>
    </row>
    <row r="332" spans="1:1" x14ac:dyDescent="0.2">
      <c r="A332" s="35"/>
    </row>
    <row r="333" spans="1:1" x14ac:dyDescent="0.2">
      <c r="A333" s="35"/>
    </row>
    <row r="334" spans="1:1" x14ac:dyDescent="0.2">
      <c r="A334" s="35"/>
    </row>
    <row r="335" spans="1:1" x14ac:dyDescent="0.2">
      <c r="A335" s="35"/>
    </row>
    <row r="336" spans="1:1" x14ac:dyDescent="0.2">
      <c r="A336" s="35"/>
    </row>
    <row r="337" spans="1:1" x14ac:dyDescent="0.2">
      <c r="A337" s="35"/>
    </row>
    <row r="338" spans="1:1" x14ac:dyDescent="0.2">
      <c r="A338" s="35"/>
    </row>
    <row r="339" spans="1:1" x14ac:dyDescent="0.2">
      <c r="A339" s="35"/>
    </row>
    <row r="340" spans="1:1" x14ac:dyDescent="0.2">
      <c r="A340" s="35"/>
    </row>
    <row r="341" spans="1:1" x14ac:dyDescent="0.2">
      <c r="A341" s="35"/>
    </row>
    <row r="342" spans="1:1" x14ac:dyDescent="0.2">
      <c r="A342" s="35"/>
    </row>
    <row r="343" spans="1:1" x14ac:dyDescent="0.2">
      <c r="A343" s="35"/>
    </row>
    <row r="344" spans="1:1" x14ac:dyDescent="0.2">
      <c r="A344" s="35"/>
    </row>
    <row r="345" spans="1:1" x14ac:dyDescent="0.2">
      <c r="A345" s="35"/>
    </row>
    <row r="346" spans="1:1" x14ac:dyDescent="0.2">
      <c r="A346" s="35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Gross NAV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Hart</dc:creator>
  <cp:lastModifiedBy>Heather Hart</cp:lastModifiedBy>
  <dcterms:created xsi:type="dcterms:W3CDTF">2016-01-20T15:10:03Z</dcterms:created>
  <dcterms:modified xsi:type="dcterms:W3CDTF">2016-01-20T15:10:03Z</dcterms:modified>
</cp:coreProperties>
</file>