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31635" windowHeight="171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T74" i="1" l="1"/>
  <c r="T51" i="1" l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50" i="1"/>
  <c r="N75" i="1"/>
  <c r="O75" i="1" s="1"/>
  <c r="K75" i="1"/>
  <c r="N74" i="1"/>
  <c r="K74" i="1"/>
  <c r="O74" i="1" s="1"/>
  <c r="N73" i="1"/>
  <c r="K73" i="1"/>
  <c r="O73" i="1" s="1"/>
  <c r="O72" i="1"/>
  <c r="N72" i="1"/>
  <c r="K72" i="1"/>
  <c r="N71" i="1"/>
  <c r="K71" i="1"/>
  <c r="O71" i="1" s="1"/>
  <c r="N70" i="1"/>
  <c r="K70" i="1"/>
  <c r="O70" i="1" s="1"/>
  <c r="N69" i="1"/>
  <c r="K69" i="1"/>
  <c r="O69" i="1" s="1"/>
  <c r="N68" i="1"/>
  <c r="O68" i="1" s="1"/>
  <c r="K68" i="1"/>
  <c r="N67" i="1"/>
  <c r="K67" i="1"/>
  <c r="N66" i="1"/>
  <c r="K66" i="1"/>
  <c r="O66" i="1" s="1"/>
  <c r="N65" i="1"/>
  <c r="O65" i="1" s="1"/>
  <c r="K65" i="1"/>
  <c r="N64" i="1"/>
  <c r="K64" i="1"/>
  <c r="O64" i="1" s="1"/>
  <c r="N63" i="1"/>
  <c r="K63" i="1"/>
  <c r="O63" i="1" s="1"/>
  <c r="N62" i="1"/>
  <c r="K62" i="1"/>
  <c r="O62" i="1" s="1"/>
  <c r="N61" i="1"/>
  <c r="K61" i="1"/>
  <c r="O61" i="1" s="1"/>
  <c r="N60" i="1"/>
  <c r="K60" i="1"/>
  <c r="N59" i="1"/>
  <c r="K59" i="1"/>
  <c r="N58" i="1"/>
  <c r="K58" i="1"/>
  <c r="O58" i="1" s="1"/>
  <c r="N57" i="1"/>
  <c r="K57" i="1"/>
  <c r="O57" i="1" s="1"/>
  <c r="N56" i="1"/>
  <c r="K56" i="1"/>
  <c r="O56" i="1" s="1"/>
  <c r="N55" i="1"/>
  <c r="K55" i="1"/>
  <c r="O55" i="1" s="1"/>
  <c r="N54" i="1"/>
  <c r="K54" i="1"/>
  <c r="N53" i="1"/>
  <c r="K53" i="1"/>
  <c r="O53" i="1" s="1"/>
  <c r="N52" i="1"/>
  <c r="K52" i="1"/>
  <c r="N51" i="1"/>
  <c r="K51" i="1"/>
  <c r="N50" i="1"/>
  <c r="O50" i="1" s="1"/>
  <c r="O52" i="1" l="1"/>
  <c r="O60" i="1"/>
  <c r="O67" i="1"/>
  <c r="O54" i="1"/>
  <c r="O51" i="1"/>
  <c r="O59" i="1"/>
</calcChain>
</file>

<file path=xl/sharedStrings.xml><?xml version="1.0" encoding="utf-8"?>
<sst xmlns="http://schemas.openxmlformats.org/spreadsheetml/2006/main" count="18" uniqueCount="11">
  <si>
    <t>Period</t>
  </si>
  <si>
    <t>Previous Month Balance</t>
  </si>
  <si>
    <t>Subscription</t>
  </si>
  <si>
    <t>Redemption</t>
  </si>
  <si>
    <t>Net Subscriptions</t>
  </si>
  <si>
    <t>Effective 
 Beg Balance</t>
  </si>
  <si>
    <t>Ending Balance
(Includes Perf Allocation)</t>
  </si>
  <si>
    <t>AUM</t>
  </si>
  <si>
    <t>Cello</t>
  </si>
  <si>
    <t>Sonata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</si>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</sst>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mm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8F0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164" fontId="4" fillId="0" borderId="0" xfId="0" applyNumberFormat="1" applyFont="1" applyAlignment="1">
      <alignment horizontal="right"/>
    </xf>
    <xf numFmtId="43" fontId="0" fillId="0" borderId="0" xfId="1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wrapText="1"/>
    </xf>
    <xf numFmtId="164" fontId="7" fillId="0" borderId="0" xfId="0" applyNumberFormat="1" applyFont="1" applyAlignment="1">
      <alignment horizontal="right"/>
    </xf>
    <xf numFmtId="43" fontId="8" fillId="2" borderId="0" xfId="1" applyFont="1" applyFill="1"/>
    <xf numFmtId="43" fontId="8" fillId="0" borderId="0" xfId="1" applyFont="1" applyFill="1" applyAlignment="1"/>
    <xf numFmtId="43" fontId="8" fillId="0" borderId="0" xfId="1" applyFont="1" applyFill="1"/>
    <xf numFmtId="164" fontId="0" fillId="0" borderId="0" xfId="0" applyNumberFormat="1"/>
    <xf numFmtId="43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abSelected="1" workbookViewId="0">
      <selection activeCell="Q25" sqref="Q25"/>
    </sheetView>
  </sheetViews>
  <sheetFormatPr defaultRowHeight="15" x14ac:dyDescent="0.25"/>
  <cols>
    <col min="1" max="1" width="8.5703125" bestFit="1" customWidth="1"/>
    <col min="2" max="2" width="23.42578125" bestFit="1" customWidth="1"/>
    <col min="3" max="4" width="14.28515625" bestFit="1" customWidth="1"/>
    <col min="5" max="5" width="16.85546875" bestFit="1" customWidth="1"/>
    <col min="6" max="6" width="23.28515625" bestFit="1" customWidth="1"/>
    <col min="7" max="7" width="15.28515625" bestFit="1" customWidth="1"/>
    <col min="10" max="10" width="8.140625" bestFit="1" customWidth="1"/>
    <col min="11" max="11" width="20.85546875" bestFit="1" customWidth="1"/>
    <col min="12" max="12" width="14.5703125" bestFit="1" customWidth="1"/>
    <col min="13" max="13" width="10.7109375" bestFit="1" customWidth="1"/>
    <col min="14" max="14" width="15.5703125" bestFit="1" customWidth="1"/>
    <col min="15" max="15" width="20.5703125" bestFit="1" customWidth="1"/>
    <col min="16" max="16" width="14.5703125" bestFit="1" customWidth="1"/>
    <col min="20" max="20" width="15.28515625" bestFit="1" customWidth="1"/>
  </cols>
  <sheetData>
    <row r="1" spans="1:19" x14ac:dyDescent="0.25">
      <c r="A1" s="15" t="s">
        <v>8</v>
      </c>
      <c r="B1" s="15"/>
      <c r="C1" s="15"/>
      <c r="D1" s="15"/>
      <c r="E1" s="15"/>
      <c r="F1" s="15"/>
      <c r="G1" s="15"/>
      <c r="J1" s="16" t="s">
        <v>9</v>
      </c>
      <c r="K1" s="16"/>
      <c r="L1" s="16"/>
      <c r="M1" s="16"/>
      <c r="N1" s="16"/>
      <c r="O1" s="16"/>
      <c r="P1" s="16"/>
      <c r="R1" s="17" t="s">
        <v>10</v>
      </c>
      <c r="S1" s="17"/>
    </row>
    <row r="2" spans="1:19" ht="72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J2" s="6" t="s">
        <v>0</v>
      </c>
      <c r="K2" s="7" t="s">
        <v>1</v>
      </c>
      <c r="L2" s="7" t="s">
        <v>2</v>
      </c>
      <c r="M2" s="7" t="s">
        <v>3</v>
      </c>
      <c r="N2" s="7" t="s">
        <v>4</v>
      </c>
      <c r="O2" s="7" t="s">
        <v>5</v>
      </c>
      <c r="P2" s="8" t="s">
        <v>6</v>
      </c>
    </row>
    <row r="3" spans="1:19" x14ac:dyDescent="0.25">
      <c r="A3" s="4">
        <v>40179</v>
      </c>
      <c r="B3" s="5">
        <v>0</v>
      </c>
      <c r="C3" s="5">
        <v>19500000</v>
      </c>
      <c r="D3" s="5">
        <v>0</v>
      </c>
      <c r="E3" s="5">
        <v>19500000</v>
      </c>
      <c r="F3" s="5">
        <v>19500000</v>
      </c>
      <c r="G3" s="5">
        <v>19872584</v>
      </c>
    </row>
    <row r="4" spans="1:19" x14ac:dyDescent="0.25">
      <c r="A4" s="4">
        <v>40211</v>
      </c>
      <c r="B4" s="5">
        <v>19872584</v>
      </c>
      <c r="C4" s="5">
        <v>0</v>
      </c>
      <c r="D4" s="5">
        <v>0</v>
      </c>
      <c r="E4" s="5">
        <v>0</v>
      </c>
      <c r="F4" s="5">
        <v>19872584</v>
      </c>
      <c r="G4" s="5">
        <v>20539347</v>
      </c>
    </row>
    <row r="5" spans="1:19" x14ac:dyDescent="0.25">
      <c r="A5" s="4">
        <v>40243</v>
      </c>
      <c r="B5" s="5">
        <v>20539347</v>
      </c>
      <c r="C5" s="5">
        <v>5000000</v>
      </c>
      <c r="D5" s="5">
        <v>0</v>
      </c>
      <c r="E5" s="5">
        <v>5000000</v>
      </c>
      <c r="F5" s="5">
        <v>25539347</v>
      </c>
      <c r="G5" s="5">
        <v>26019324</v>
      </c>
    </row>
    <row r="6" spans="1:19" x14ac:dyDescent="0.25">
      <c r="A6" s="4">
        <v>40275</v>
      </c>
      <c r="B6" s="5">
        <v>26019324</v>
      </c>
      <c r="C6" s="5">
        <v>0</v>
      </c>
      <c r="D6" s="5">
        <v>0</v>
      </c>
      <c r="E6" s="5">
        <v>0</v>
      </c>
      <c r="F6" s="5">
        <v>26019324</v>
      </c>
      <c r="G6" s="5">
        <v>26591797</v>
      </c>
    </row>
    <row r="7" spans="1:19" x14ac:dyDescent="0.25">
      <c r="A7" s="4">
        <v>40307</v>
      </c>
      <c r="B7" s="5">
        <v>26591797</v>
      </c>
      <c r="C7" s="5">
        <v>250000</v>
      </c>
      <c r="D7" s="5">
        <v>0</v>
      </c>
      <c r="E7" s="5">
        <v>250000</v>
      </c>
      <c r="F7" s="5">
        <v>26841797</v>
      </c>
      <c r="G7" s="5">
        <v>27371489</v>
      </c>
    </row>
    <row r="8" spans="1:19" x14ac:dyDescent="0.25">
      <c r="A8" s="4">
        <v>40339</v>
      </c>
      <c r="B8" s="5">
        <v>27371489</v>
      </c>
      <c r="C8" s="5">
        <v>0</v>
      </c>
      <c r="D8" s="5">
        <v>0</v>
      </c>
      <c r="E8" s="5">
        <v>0</v>
      </c>
      <c r="F8" s="5">
        <v>27371489</v>
      </c>
      <c r="G8" s="5">
        <v>28193897</v>
      </c>
    </row>
    <row r="9" spans="1:19" x14ac:dyDescent="0.25">
      <c r="A9" s="4">
        <v>40371</v>
      </c>
      <c r="B9" s="5">
        <v>28193897</v>
      </c>
      <c r="C9" s="5">
        <v>2500000</v>
      </c>
      <c r="D9" s="5">
        <v>0</v>
      </c>
      <c r="E9" s="5">
        <v>2500000</v>
      </c>
      <c r="F9" s="5">
        <v>30693897</v>
      </c>
      <c r="G9" s="5">
        <v>31286709</v>
      </c>
    </row>
    <row r="10" spans="1:19" x14ac:dyDescent="0.25">
      <c r="A10" s="4">
        <v>40403</v>
      </c>
      <c r="B10" s="5">
        <v>31286709</v>
      </c>
      <c r="C10" s="5">
        <v>250000</v>
      </c>
      <c r="D10" s="5">
        <v>0</v>
      </c>
      <c r="E10" s="5">
        <v>250000</v>
      </c>
      <c r="F10" s="5">
        <v>31536709</v>
      </c>
      <c r="G10" s="5">
        <v>31966657</v>
      </c>
    </row>
    <row r="11" spans="1:19" x14ac:dyDescent="0.25">
      <c r="A11" s="4">
        <v>40435</v>
      </c>
      <c r="B11" s="5">
        <v>31966657</v>
      </c>
      <c r="C11" s="5">
        <v>10550000</v>
      </c>
      <c r="D11" s="5">
        <v>11607209</v>
      </c>
      <c r="E11" s="5">
        <v>-1057209</v>
      </c>
      <c r="F11" s="5">
        <v>30909448</v>
      </c>
      <c r="G11" s="5">
        <v>31579625</v>
      </c>
    </row>
    <row r="12" spans="1:19" x14ac:dyDescent="0.25">
      <c r="A12" s="4">
        <v>40467</v>
      </c>
      <c r="B12" s="5">
        <v>31579625</v>
      </c>
      <c r="C12" s="5">
        <v>3100000</v>
      </c>
      <c r="D12" s="5">
        <v>0</v>
      </c>
      <c r="E12" s="5">
        <v>3100000</v>
      </c>
      <c r="F12" s="5">
        <v>34679625</v>
      </c>
      <c r="G12" s="5">
        <v>35607751</v>
      </c>
    </row>
    <row r="13" spans="1:19" x14ac:dyDescent="0.25">
      <c r="A13" s="4">
        <v>40499</v>
      </c>
      <c r="B13" s="5">
        <v>35607751</v>
      </c>
      <c r="C13" s="5">
        <v>1500000</v>
      </c>
      <c r="D13" s="5">
        <v>0</v>
      </c>
      <c r="E13" s="5">
        <v>1500000</v>
      </c>
      <c r="F13" s="5">
        <v>37107751</v>
      </c>
      <c r="G13" s="5">
        <v>38210677</v>
      </c>
    </row>
    <row r="14" spans="1:19" x14ac:dyDescent="0.25">
      <c r="A14" s="4">
        <v>40531</v>
      </c>
      <c r="B14" s="5">
        <v>38210677</v>
      </c>
      <c r="C14" s="5">
        <v>0</v>
      </c>
      <c r="D14" s="5">
        <v>0</v>
      </c>
      <c r="E14" s="5">
        <v>0</v>
      </c>
      <c r="F14" s="5">
        <v>38210677</v>
      </c>
      <c r="G14" s="5">
        <v>38907280</v>
      </c>
    </row>
    <row r="15" spans="1:19" x14ac:dyDescent="0.25">
      <c r="A15" s="4">
        <v>40544</v>
      </c>
      <c r="B15" s="5">
        <v>38907280</v>
      </c>
      <c r="C15" s="5">
        <v>8100000</v>
      </c>
      <c r="D15" s="5">
        <v>0</v>
      </c>
      <c r="E15" s="5">
        <v>8100000</v>
      </c>
      <c r="F15" s="5">
        <v>47007280</v>
      </c>
      <c r="G15" s="5">
        <v>48259659</v>
      </c>
    </row>
    <row r="16" spans="1:19" x14ac:dyDescent="0.25">
      <c r="A16" s="4">
        <v>40576</v>
      </c>
      <c r="B16" s="5">
        <v>48259659</v>
      </c>
      <c r="C16" s="5">
        <v>2750000</v>
      </c>
      <c r="D16" s="5">
        <v>0</v>
      </c>
      <c r="E16" s="5">
        <v>2750000</v>
      </c>
      <c r="F16" s="5">
        <v>51009659</v>
      </c>
      <c r="G16" s="5">
        <v>52383827</v>
      </c>
    </row>
    <row r="17" spans="1:7" x14ac:dyDescent="0.25">
      <c r="A17" s="4">
        <v>40608</v>
      </c>
      <c r="B17" s="5">
        <v>52383827</v>
      </c>
      <c r="C17" s="5">
        <v>1300000</v>
      </c>
      <c r="D17" s="5">
        <v>0</v>
      </c>
      <c r="E17" s="5">
        <v>1300000</v>
      </c>
      <c r="F17" s="5">
        <v>53683827</v>
      </c>
      <c r="G17" s="5">
        <v>55501606</v>
      </c>
    </row>
    <row r="18" spans="1:7" x14ac:dyDescent="0.25">
      <c r="A18" s="4">
        <v>40640</v>
      </c>
      <c r="B18" s="5">
        <v>55501606</v>
      </c>
      <c r="C18" s="5">
        <v>1100000</v>
      </c>
      <c r="D18" s="5">
        <v>1100000</v>
      </c>
      <c r="E18" s="5">
        <v>0</v>
      </c>
      <c r="F18" s="5">
        <v>55501606</v>
      </c>
      <c r="G18" s="5">
        <v>57467488</v>
      </c>
    </row>
    <row r="19" spans="1:7" x14ac:dyDescent="0.25">
      <c r="A19" s="4">
        <v>40672</v>
      </c>
      <c r="B19" s="5">
        <v>57467488</v>
      </c>
      <c r="C19" s="5">
        <v>11650000</v>
      </c>
      <c r="D19" s="5">
        <v>1000000</v>
      </c>
      <c r="E19" s="5">
        <v>10650000</v>
      </c>
      <c r="F19" s="5">
        <v>68117488</v>
      </c>
      <c r="G19" s="5">
        <v>70612583</v>
      </c>
    </row>
    <row r="20" spans="1:7" x14ac:dyDescent="0.25">
      <c r="A20" s="4">
        <v>40704</v>
      </c>
      <c r="B20" s="5">
        <v>70612583</v>
      </c>
      <c r="C20" s="5">
        <v>1250000</v>
      </c>
      <c r="D20" s="5">
        <v>0</v>
      </c>
      <c r="E20" s="5">
        <v>1250000</v>
      </c>
      <c r="F20" s="5">
        <v>71862583</v>
      </c>
      <c r="G20" s="5">
        <v>74015436</v>
      </c>
    </row>
    <row r="21" spans="1:7" x14ac:dyDescent="0.25">
      <c r="A21" s="4">
        <v>40736</v>
      </c>
      <c r="B21" s="5">
        <v>74015436</v>
      </c>
      <c r="C21" s="5">
        <v>9800000</v>
      </c>
      <c r="D21" s="5">
        <v>0</v>
      </c>
      <c r="E21" s="5">
        <v>9800000</v>
      </c>
      <c r="F21" s="5">
        <v>83815436</v>
      </c>
      <c r="G21" s="5">
        <v>85495690</v>
      </c>
    </row>
    <row r="22" spans="1:7" x14ac:dyDescent="0.25">
      <c r="A22" s="4">
        <v>40768</v>
      </c>
      <c r="B22" s="5">
        <v>85495690</v>
      </c>
      <c r="C22" s="5">
        <v>7475000</v>
      </c>
      <c r="D22" s="5">
        <v>0</v>
      </c>
      <c r="E22" s="5">
        <v>7475000</v>
      </c>
      <c r="F22" s="5">
        <v>92970690</v>
      </c>
      <c r="G22" s="5">
        <v>93888446</v>
      </c>
    </row>
    <row r="23" spans="1:7" x14ac:dyDescent="0.25">
      <c r="A23" s="4">
        <v>40800</v>
      </c>
      <c r="B23" s="5">
        <v>93888446</v>
      </c>
      <c r="C23" s="5">
        <v>10490000</v>
      </c>
      <c r="D23" s="5">
        <v>0</v>
      </c>
      <c r="E23" s="5">
        <v>10490000</v>
      </c>
      <c r="F23" s="5">
        <v>104378446</v>
      </c>
      <c r="G23" s="5">
        <v>102883737</v>
      </c>
    </row>
    <row r="24" spans="1:7" x14ac:dyDescent="0.25">
      <c r="A24" s="4">
        <v>40832</v>
      </c>
      <c r="B24" s="5">
        <v>102883737</v>
      </c>
      <c r="C24" s="5">
        <v>800000</v>
      </c>
      <c r="D24" s="5">
        <v>500000</v>
      </c>
      <c r="E24" s="5">
        <v>300000</v>
      </c>
      <c r="F24" s="5">
        <v>103183737</v>
      </c>
      <c r="G24" s="5">
        <v>103992151</v>
      </c>
    </row>
    <row r="25" spans="1:7" x14ac:dyDescent="0.25">
      <c r="A25" s="4">
        <v>40864</v>
      </c>
      <c r="B25" s="5">
        <v>103992151</v>
      </c>
      <c r="C25" s="5">
        <v>1200000</v>
      </c>
      <c r="D25" s="5">
        <v>0</v>
      </c>
      <c r="E25" s="5">
        <v>1200000</v>
      </c>
      <c r="F25" s="5">
        <v>105192151</v>
      </c>
      <c r="G25" s="5">
        <v>104197316</v>
      </c>
    </row>
    <row r="26" spans="1:7" x14ac:dyDescent="0.25">
      <c r="A26" s="4">
        <v>40896</v>
      </c>
      <c r="B26" s="5">
        <v>104197316</v>
      </c>
      <c r="C26" s="5">
        <v>0</v>
      </c>
      <c r="D26" s="5">
        <v>0</v>
      </c>
      <c r="E26" s="5">
        <v>0</v>
      </c>
      <c r="F26" s="5">
        <v>104197316</v>
      </c>
      <c r="G26" s="5">
        <v>106013672</v>
      </c>
    </row>
    <row r="27" spans="1:7" x14ac:dyDescent="0.25">
      <c r="A27" s="4">
        <v>40909</v>
      </c>
      <c r="B27" s="5">
        <v>106013672</v>
      </c>
      <c r="C27" s="5">
        <v>6000000</v>
      </c>
      <c r="D27" s="5">
        <v>3000000</v>
      </c>
      <c r="E27" s="5">
        <v>3000000</v>
      </c>
      <c r="F27" s="5">
        <v>109013672</v>
      </c>
      <c r="G27" s="5">
        <v>110482659</v>
      </c>
    </row>
    <row r="28" spans="1:7" x14ac:dyDescent="0.25">
      <c r="A28" s="4">
        <v>40941</v>
      </c>
      <c r="B28" s="5">
        <v>110482659</v>
      </c>
      <c r="C28" s="5">
        <v>38050000</v>
      </c>
      <c r="D28" s="5">
        <v>1217350</v>
      </c>
      <c r="E28" s="5">
        <v>36832650</v>
      </c>
      <c r="F28" s="5">
        <v>147315310</v>
      </c>
      <c r="G28" s="5">
        <v>148632537</v>
      </c>
    </row>
    <row r="29" spans="1:7" x14ac:dyDescent="0.25">
      <c r="A29" s="4">
        <v>40973</v>
      </c>
      <c r="B29" s="5">
        <v>148632537</v>
      </c>
      <c r="C29" s="5">
        <v>21562000</v>
      </c>
      <c r="D29" s="5">
        <v>0</v>
      </c>
      <c r="E29" s="5">
        <v>21562000</v>
      </c>
      <c r="F29" s="5">
        <v>170194537</v>
      </c>
      <c r="G29" s="5">
        <v>171532875</v>
      </c>
    </row>
    <row r="30" spans="1:7" x14ac:dyDescent="0.25">
      <c r="A30" s="4">
        <v>41005</v>
      </c>
      <c r="B30" s="5">
        <v>171549562.53999999</v>
      </c>
      <c r="C30" s="5">
        <v>26500000</v>
      </c>
      <c r="D30" s="5">
        <v>1050000</v>
      </c>
      <c r="E30" s="5">
        <v>25450000</v>
      </c>
      <c r="F30" s="5">
        <v>196999563</v>
      </c>
      <c r="G30" s="5">
        <v>202132322</v>
      </c>
    </row>
    <row r="31" spans="1:7" x14ac:dyDescent="0.25">
      <c r="A31" s="4">
        <v>41037</v>
      </c>
      <c r="B31" s="5">
        <v>202133363</v>
      </c>
      <c r="C31" s="5">
        <v>32575000</v>
      </c>
      <c r="D31" s="5">
        <v>0</v>
      </c>
      <c r="E31" s="5">
        <v>32575000</v>
      </c>
      <c r="F31" s="5">
        <v>234708363</v>
      </c>
      <c r="G31" s="5">
        <v>241840273</v>
      </c>
    </row>
    <row r="32" spans="1:7" x14ac:dyDescent="0.25">
      <c r="A32" s="4">
        <v>41069</v>
      </c>
      <c r="B32" s="5">
        <v>241840273</v>
      </c>
      <c r="C32" s="5">
        <v>3000000</v>
      </c>
      <c r="D32" s="5">
        <v>0</v>
      </c>
      <c r="E32" s="5">
        <v>3000000</v>
      </c>
      <c r="F32" s="5">
        <v>244840273</v>
      </c>
      <c r="G32" s="5">
        <v>247430128</v>
      </c>
    </row>
    <row r="33" spans="1:7" x14ac:dyDescent="0.25">
      <c r="A33" s="4">
        <v>41101</v>
      </c>
      <c r="B33" s="5">
        <v>247430128</v>
      </c>
      <c r="C33" s="5">
        <v>15453000</v>
      </c>
      <c r="D33" s="5">
        <v>579964</v>
      </c>
      <c r="E33" s="5">
        <v>14873036</v>
      </c>
      <c r="F33" s="5">
        <v>262303164</v>
      </c>
      <c r="G33" s="5">
        <v>271852743</v>
      </c>
    </row>
    <row r="34" spans="1:7" x14ac:dyDescent="0.25">
      <c r="A34" s="4">
        <v>41133</v>
      </c>
      <c r="B34" s="5">
        <v>271852743</v>
      </c>
      <c r="C34" s="5">
        <v>94925000</v>
      </c>
      <c r="D34" s="5">
        <v>0</v>
      </c>
      <c r="E34" s="5">
        <v>94925000</v>
      </c>
      <c r="F34" s="5">
        <v>366777743</v>
      </c>
      <c r="G34" s="5">
        <v>371617977</v>
      </c>
    </row>
    <row r="35" spans="1:7" x14ac:dyDescent="0.25">
      <c r="A35" s="4">
        <v>41165</v>
      </c>
      <c r="B35" s="5">
        <v>371617977</v>
      </c>
      <c r="C35" s="5">
        <v>13300000</v>
      </c>
      <c r="D35" s="5">
        <v>0</v>
      </c>
      <c r="E35" s="5">
        <v>13300000</v>
      </c>
      <c r="F35" s="5">
        <v>384917977</v>
      </c>
      <c r="G35" s="5">
        <v>384399443</v>
      </c>
    </row>
    <row r="36" spans="1:7" x14ac:dyDescent="0.25">
      <c r="A36" s="4">
        <v>41197</v>
      </c>
      <c r="B36" s="5">
        <v>384399443</v>
      </c>
      <c r="C36" s="5">
        <v>13025000</v>
      </c>
      <c r="D36" s="5">
        <v>3564127</v>
      </c>
      <c r="E36" s="5">
        <v>9460873</v>
      </c>
      <c r="F36" s="5">
        <v>393860315</v>
      </c>
      <c r="G36" s="5">
        <v>394118483</v>
      </c>
    </row>
    <row r="37" spans="1:7" x14ac:dyDescent="0.25">
      <c r="A37" s="4">
        <v>41229</v>
      </c>
      <c r="B37" s="5">
        <v>394118483</v>
      </c>
      <c r="C37" s="5">
        <v>3500000</v>
      </c>
      <c r="D37" s="5">
        <v>0</v>
      </c>
      <c r="E37" s="5">
        <v>3500000</v>
      </c>
      <c r="F37" s="5">
        <v>397618483</v>
      </c>
      <c r="G37" s="5">
        <v>394923463</v>
      </c>
    </row>
    <row r="38" spans="1:7" x14ac:dyDescent="0.25">
      <c r="A38" s="4">
        <v>41261</v>
      </c>
      <c r="B38" s="5">
        <v>394923463</v>
      </c>
      <c r="C38" s="5">
        <v>2100000</v>
      </c>
      <c r="D38" s="5">
        <v>0</v>
      </c>
      <c r="E38" s="5">
        <v>2100000</v>
      </c>
      <c r="F38" s="5">
        <v>397023463</v>
      </c>
      <c r="G38" s="5">
        <v>399342758</v>
      </c>
    </row>
    <row r="39" spans="1:7" x14ac:dyDescent="0.25">
      <c r="A39" s="4">
        <v>41275</v>
      </c>
      <c r="B39" s="5">
        <v>399342758</v>
      </c>
      <c r="C39" s="5">
        <v>125000</v>
      </c>
      <c r="D39" s="5">
        <v>12136176</v>
      </c>
      <c r="E39" s="5">
        <v>-12011176</v>
      </c>
      <c r="F39" s="5">
        <v>387331582</v>
      </c>
      <c r="G39" s="5">
        <v>386540642</v>
      </c>
    </row>
    <row r="40" spans="1:7" x14ac:dyDescent="0.25">
      <c r="A40" s="4">
        <v>41307</v>
      </c>
      <c r="B40" s="5">
        <v>386540642</v>
      </c>
      <c r="C40" s="5">
        <v>10500000</v>
      </c>
      <c r="D40" s="5">
        <v>2500000</v>
      </c>
      <c r="E40" s="5">
        <v>8000000</v>
      </c>
      <c r="F40" s="5">
        <v>394540642</v>
      </c>
      <c r="G40" s="5">
        <v>398057126</v>
      </c>
    </row>
    <row r="41" spans="1:7" x14ac:dyDescent="0.25">
      <c r="A41" s="4">
        <v>41339</v>
      </c>
      <c r="B41" s="5">
        <v>398057126</v>
      </c>
      <c r="C41" s="5">
        <v>0</v>
      </c>
      <c r="D41" s="5">
        <v>0</v>
      </c>
      <c r="E41" s="5">
        <v>0</v>
      </c>
      <c r="F41" s="5">
        <v>398057126</v>
      </c>
      <c r="G41" s="5">
        <v>400335433</v>
      </c>
    </row>
    <row r="42" spans="1:7" x14ac:dyDescent="0.25">
      <c r="A42" s="4">
        <v>41371</v>
      </c>
      <c r="B42" s="5">
        <v>400335433</v>
      </c>
      <c r="C42" s="5">
        <v>2000000</v>
      </c>
      <c r="D42" s="5">
        <v>19913206</v>
      </c>
      <c r="E42" s="5">
        <v>-17913206</v>
      </c>
      <c r="F42" s="5">
        <v>382422228</v>
      </c>
      <c r="G42" s="5">
        <v>376788008</v>
      </c>
    </row>
    <row r="43" spans="1:7" x14ac:dyDescent="0.25">
      <c r="A43" s="4">
        <v>41403</v>
      </c>
      <c r="B43" s="5">
        <v>376788008</v>
      </c>
      <c r="C43" s="5">
        <v>10000000</v>
      </c>
      <c r="D43" s="5">
        <v>0</v>
      </c>
      <c r="E43" s="5">
        <v>10000000</v>
      </c>
      <c r="F43" s="5">
        <v>386788008</v>
      </c>
      <c r="G43" s="5">
        <v>380576176</v>
      </c>
    </row>
    <row r="44" spans="1:7" x14ac:dyDescent="0.25">
      <c r="A44" s="4">
        <v>41435</v>
      </c>
      <c r="B44" s="5">
        <v>380576176</v>
      </c>
      <c r="C44" s="5">
        <v>500000</v>
      </c>
      <c r="D44" s="5">
        <v>0</v>
      </c>
      <c r="E44" s="5">
        <v>500000</v>
      </c>
      <c r="F44" s="5">
        <v>381076176</v>
      </c>
      <c r="G44" s="5">
        <v>384049949</v>
      </c>
    </row>
    <row r="45" spans="1:7" x14ac:dyDescent="0.25">
      <c r="A45" s="4">
        <v>41467</v>
      </c>
      <c r="B45" s="5">
        <v>384049949</v>
      </c>
      <c r="C45" s="5">
        <v>17000000</v>
      </c>
      <c r="D45" s="5">
        <v>57018006</v>
      </c>
      <c r="E45" s="5">
        <v>-40018006</v>
      </c>
      <c r="F45" s="5">
        <v>344031944</v>
      </c>
      <c r="G45" s="5">
        <v>351358068</v>
      </c>
    </row>
    <row r="46" spans="1:7" x14ac:dyDescent="0.25">
      <c r="A46" s="4">
        <v>41499</v>
      </c>
      <c r="B46" s="5">
        <v>351358068</v>
      </c>
      <c r="C46" s="5">
        <v>35750000</v>
      </c>
      <c r="D46" s="5">
        <v>0</v>
      </c>
      <c r="E46" s="5">
        <v>35750000</v>
      </c>
      <c r="F46" s="5">
        <v>387108068</v>
      </c>
      <c r="G46" s="5">
        <v>391634565</v>
      </c>
    </row>
    <row r="47" spans="1:7" x14ac:dyDescent="0.25">
      <c r="A47" s="4">
        <v>41531</v>
      </c>
      <c r="B47" s="5">
        <v>391634565</v>
      </c>
      <c r="C47" s="5">
        <v>4500000</v>
      </c>
      <c r="D47" s="5">
        <v>0</v>
      </c>
      <c r="E47" s="5">
        <v>4500000</v>
      </c>
      <c r="F47" s="5">
        <v>396134565</v>
      </c>
      <c r="G47" s="5">
        <v>399735837</v>
      </c>
    </row>
    <row r="48" spans="1:7" x14ac:dyDescent="0.25">
      <c r="A48" s="4">
        <v>41563</v>
      </c>
      <c r="B48" s="5">
        <v>399735837</v>
      </c>
      <c r="C48" s="5">
        <v>11800000</v>
      </c>
      <c r="D48" s="5">
        <v>14638088</v>
      </c>
      <c r="E48" s="5">
        <v>-2838088</v>
      </c>
      <c r="F48" s="5">
        <v>396897749</v>
      </c>
      <c r="G48" s="5">
        <v>403720445</v>
      </c>
    </row>
    <row r="49" spans="1:20" x14ac:dyDescent="0.25">
      <c r="A49" s="4">
        <v>41595</v>
      </c>
      <c r="B49" s="5">
        <v>403720445</v>
      </c>
      <c r="C49" s="5">
        <v>10000000</v>
      </c>
      <c r="D49" s="5">
        <v>0</v>
      </c>
      <c r="E49" s="5">
        <v>10000000</v>
      </c>
      <c r="F49" s="5">
        <v>413720445</v>
      </c>
      <c r="G49" s="5">
        <v>414857841</v>
      </c>
      <c r="T49" t="s">
        <v>7</v>
      </c>
    </row>
    <row r="50" spans="1:20" x14ac:dyDescent="0.25">
      <c r="A50" s="4">
        <v>41627</v>
      </c>
      <c r="B50" s="5">
        <v>414857841</v>
      </c>
      <c r="C50" s="5">
        <v>300000</v>
      </c>
      <c r="D50" s="5">
        <v>0</v>
      </c>
      <c r="E50" s="5">
        <v>300000</v>
      </c>
      <c r="F50" s="5">
        <v>415157841</v>
      </c>
      <c r="G50" s="5">
        <v>419915336</v>
      </c>
      <c r="J50" s="9">
        <v>41627</v>
      </c>
      <c r="K50" s="10">
        <v>0</v>
      </c>
      <c r="L50" s="10">
        <v>100000000</v>
      </c>
      <c r="M50" s="10"/>
      <c r="N50" s="11">
        <f>L50-M50</f>
        <v>100000000</v>
      </c>
      <c r="O50" s="11">
        <f>K50+N50</f>
        <v>100000000</v>
      </c>
      <c r="P50" s="10">
        <v>99991810.719999999</v>
      </c>
      <c r="S50" s="13">
        <f>J50</f>
        <v>41627</v>
      </c>
      <c r="T50" s="14">
        <f>G50+P50</f>
        <v>519907146.72000003</v>
      </c>
    </row>
    <row r="51" spans="1:20" x14ac:dyDescent="0.25">
      <c r="A51" s="4">
        <v>41640</v>
      </c>
      <c r="B51" s="5">
        <v>419915336.16000003</v>
      </c>
      <c r="C51" s="5">
        <v>5200000</v>
      </c>
      <c r="D51" s="5">
        <v>35218335.770000003</v>
      </c>
      <c r="E51" s="5">
        <v>-30018335.770000003</v>
      </c>
      <c r="F51" s="5">
        <v>389897000.38999999</v>
      </c>
      <c r="G51" s="5">
        <v>396251010.13999999</v>
      </c>
      <c r="J51" s="9">
        <v>41640</v>
      </c>
      <c r="K51" s="11">
        <f>P50</f>
        <v>99991810.719999999</v>
      </c>
      <c r="L51" s="10"/>
      <c r="M51" s="10"/>
      <c r="N51" s="11">
        <f t="shared" ref="N51:N75" si="0">L51-M51</f>
        <v>0</v>
      </c>
      <c r="O51" s="11">
        <f t="shared" ref="O51:O75" si="1">K51+N51</f>
        <v>99991810.719999999</v>
      </c>
      <c r="P51" s="10">
        <v>99866808.650000006</v>
      </c>
      <c r="S51" s="13">
        <f t="shared" ref="S51:S74" si="2">J51</f>
        <v>41640</v>
      </c>
      <c r="T51" s="14">
        <f t="shared" ref="T51:T74" si="3">G51+P51</f>
        <v>496117818.78999996</v>
      </c>
    </row>
    <row r="52" spans="1:20" x14ac:dyDescent="0.25">
      <c r="A52" s="4">
        <v>41672</v>
      </c>
      <c r="B52" s="5">
        <v>396251010.13999999</v>
      </c>
      <c r="C52" s="5">
        <v>4000000</v>
      </c>
      <c r="D52" s="5">
        <v>2900000</v>
      </c>
      <c r="E52" s="5">
        <v>1100000</v>
      </c>
      <c r="F52" s="5">
        <v>397351010.13999999</v>
      </c>
      <c r="G52" s="5">
        <v>404024369.57999998</v>
      </c>
      <c r="J52" s="9">
        <v>41672</v>
      </c>
      <c r="K52" s="11">
        <f t="shared" ref="K52:K75" si="4">P51</f>
        <v>99866808.650000006</v>
      </c>
      <c r="L52" s="10"/>
      <c r="M52" s="10">
        <v>20000</v>
      </c>
      <c r="N52" s="11">
        <f t="shared" si="0"/>
        <v>-20000</v>
      </c>
      <c r="O52" s="11">
        <f t="shared" si="1"/>
        <v>99846808.650000006</v>
      </c>
      <c r="P52" s="10">
        <v>100087234.13</v>
      </c>
      <c r="S52" s="13">
        <f t="shared" si="2"/>
        <v>41672</v>
      </c>
      <c r="T52" s="14">
        <f t="shared" si="3"/>
        <v>504111603.70999998</v>
      </c>
    </row>
    <row r="53" spans="1:20" x14ac:dyDescent="0.25">
      <c r="A53" s="4">
        <v>41704</v>
      </c>
      <c r="B53" s="5">
        <v>404024369.57999998</v>
      </c>
      <c r="C53" s="5">
        <v>2000000</v>
      </c>
      <c r="D53" s="5">
        <v>0</v>
      </c>
      <c r="E53" s="5">
        <v>2000000</v>
      </c>
      <c r="F53" s="5">
        <v>406024369.57999998</v>
      </c>
      <c r="G53" s="5">
        <v>409809232.24000001</v>
      </c>
      <c r="J53" s="9">
        <v>41704</v>
      </c>
      <c r="K53" s="11">
        <f t="shared" si="4"/>
        <v>100087234.13</v>
      </c>
      <c r="L53" s="10"/>
      <c r="M53" s="10">
        <v>30000</v>
      </c>
      <c r="N53" s="11">
        <f t="shared" si="0"/>
        <v>-30000</v>
      </c>
      <c r="O53" s="11">
        <f t="shared" si="1"/>
        <v>100057234.13</v>
      </c>
      <c r="P53" s="10">
        <v>99840382.239999995</v>
      </c>
      <c r="S53" s="13">
        <f t="shared" si="2"/>
        <v>41704</v>
      </c>
      <c r="T53" s="14">
        <f t="shared" si="3"/>
        <v>509649614.48000002</v>
      </c>
    </row>
    <row r="54" spans="1:20" x14ac:dyDescent="0.25">
      <c r="A54" s="4">
        <v>41736</v>
      </c>
      <c r="B54" s="5">
        <v>409809232.24000001</v>
      </c>
      <c r="C54" s="5">
        <v>0</v>
      </c>
      <c r="D54" s="5">
        <v>17465745.129999999</v>
      </c>
      <c r="E54" s="5">
        <v>-17465745.129999999</v>
      </c>
      <c r="F54" s="5">
        <v>392343487.11000001</v>
      </c>
      <c r="G54" s="5">
        <v>396028321.81</v>
      </c>
      <c r="J54" s="9">
        <v>41736</v>
      </c>
      <c r="K54" s="11">
        <f t="shared" si="4"/>
        <v>99840382.239999995</v>
      </c>
      <c r="L54" s="10"/>
      <c r="M54" s="10">
        <v>35000</v>
      </c>
      <c r="N54" s="11">
        <f t="shared" si="0"/>
        <v>-35000</v>
      </c>
      <c r="O54" s="11">
        <f t="shared" si="1"/>
        <v>99805382.239999995</v>
      </c>
      <c r="P54" s="10">
        <v>100801136.04000001</v>
      </c>
      <c r="S54" s="13">
        <f t="shared" si="2"/>
        <v>41736</v>
      </c>
      <c r="T54" s="14">
        <f t="shared" si="3"/>
        <v>496829457.85000002</v>
      </c>
    </row>
    <row r="55" spans="1:20" x14ac:dyDescent="0.25">
      <c r="A55" s="4">
        <v>41768</v>
      </c>
      <c r="B55" s="5">
        <v>396028321.81</v>
      </c>
      <c r="C55" s="5">
        <v>10000000</v>
      </c>
      <c r="D55" s="5">
        <v>0</v>
      </c>
      <c r="E55" s="5">
        <v>10000000</v>
      </c>
      <c r="F55" s="5">
        <v>406028321.81</v>
      </c>
      <c r="G55" s="5">
        <v>411995875.55000001</v>
      </c>
      <c r="J55" s="9">
        <v>41768</v>
      </c>
      <c r="K55" s="11">
        <f t="shared" si="4"/>
        <v>100801136.04000001</v>
      </c>
      <c r="L55" s="10"/>
      <c r="M55" s="10">
        <v>45000</v>
      </c>
      <c r="N55" s="11">
        <f t="shared" si="0"/>
        <v>-45000</v>
      </c>
      <c r="O55" s="11">
        <f t="shared" si="1"/>
        <v>100756136.04000001</v>
      </c>
      <c r="P55" s="10">
        <v>101902207.14</v>
      </c>
      <c r="S55" s="13">
        <f t="shared" si="2"/>
        <v>41768</v>
      </c>
      <c r="T55" s="14">
        <f t="shared" si="3"/>
        <v>513898082.69</v>
      </c>
    </row>
    <row r="56" spans="1:20" x14ac:dyDescent="0.25">
      <c r="A56" s="4">
        <v>41800</v>
      </c>
      <c r="B56" s="5">
        <v>411995875.55000001</v>
      </c>
      <c r="C56" s="5">
        <v>100000</v>
      </c>
      <c r="D56" s="5">
        <v>0</v>
      </c>
      <c r="E56" s="5">
        <v>100000</v>
      </c>
      <c r="F56" s="5">
        <v>412095875.55000001</v>
      </c>
      <c r="G56" s="5">
        <v>416934267.94999999</v>
      </c>
      <c r="J56" s="9">
        <v>41800</v>
      </c>
      <c r="K56" s="11">
        <f t="shared" si="4"/>
        <v>101902207.14</v>
      </c>
      <c r="L56" s="10"/>
      <c r="M56" s="10">
        <v>25000</v>
      </c>
      <c r="N56" s="11">
        <f t="shared" si="0"/>
        <v>-25000</v>
      </c>
      <c r="O56" s="11">
        <f t="shared" si="1"/>
        <v>101877207.14</v>
      </c>
      <c r="P56" s="10">
        <v>102345725.56</v>
      </c>
      <c r="S56" s="13">
        <f t="shared" si="2"/>
        <v>41800</v>
      </c>
      <c r="T56" s="14">
        <f t="shared" si="3"/>
        <v>519279993.50999999</v>
      </c>
    </row>
    <row r="57" spans="1:20" x14ac:dyDescent="0.25">
      <c r="A57" s="4">
        <v>41832</v>
      </c>
      <c r="B57" s="5">
        <v>416934267.94999999</v>
      </c>
      <c r="C57" s="5">
        <v>14000000</v>
      </c>
      <c r="D57" s="5">
        <v>10052934.279999999</v>
      </c>
      <c r="E57" s="5">
        <v>3947065.7200000007</v>
      </c>
      <c r="F57" s="5">
        <v>420881333.67000002</v>
      </c>
      <c r="G57" s="5">
        <v>420923474.42000002</v>
      </c>
      <c r="J57" s="9">
        <v>41832</v>
      </c>
      <c r="K57" s="11">
        <f t="shared" si="4"/>
        <v>102345725.56</v>
      </c>
      <c r="L57" s="10"/>
      <c r="M57" s="10">
        <v>30000</v>
      </c>
      <c r="N57" s="11">
        <f t="shared" si="0"/>
        <v>-30000</v>
      </c>
      <c r="O57" s="11">
        <f t="shared" si="1"/>
        <v>102315725.56</v>
      </c>
      <c r="P57" s="10">
        <v>102907004.29000001</v>
      </c>
      <c r="S57" s="13">
        <f t="shared" si="2"/>
        <v>41832</v>
      </c>
      <c r="T57" s="14">
        <f t="shared" si="3"/>
        <v>523830478.71000004</v>
      </c>
    </row>
    <row r="58" spans="1:20" x14ac:dyDescent="0.25">
      <c r="A58" s="4">
        <v>41864</v>
      </c>
      <c r="B58" s="5">
        <v>420923474.42000002</v>
      </c>
      <c r="C58" s="5">
        <v>9000000</v>
      </c>
      <c r="D58" s="5">
        <v>0</v>
      </c>
      <c r="E58" s="5">
        <v>9000000</v>
      </c>
      <c r="F58" s="5">
        <v>429923474.42000002</v>
      </c>
      <c r="G58" s="5">
        <v>431544690.54000002</v>
      </c>
      <c r="J58" s="9">
        <v>41864</v>
      </c>
      <c r="K58" s="11">
        <f t="shared" si="4"/>
        <v>102907004.29000001</v>
      </c>
      <c r="L58" s="10"/>
      <c r="M58" s="10">
        <v>35000</v>
      </c>
      <c r="N58" s="11">
        <f t="shared" si="0"/>
        <v>-35000</v>
      </c>
      <c r="O58" s="11">
        <f t="shared" si="1"/>
        <v>102872004.29000001</v>
      </c>
      <c r="P58" s="10">
        <v>102908669.73</v>
      </c>
      <c r="S58" s="13">
        <f t="shared" si="2"/>
        <v>41864</v>
      </c>
      <c r="T58" s="14">
        <f t="shared" si="3"/>
        <v>534453360.27000004</v>
      </c>
    </row>
    <row r="59" spans="1:20" x14ac:dyDescent="0.25">
      <c r="A59" s="4">
        <v>41896</v>
      </c>
      <c r="B59" s="5">
        <v>431544690.54000002</v>
      </c>
      <c r="C59" s="5">
        <v>0</v>
      </c>
      <c r="D59" s="5">
        <v>0</v>
      </c>
      <c r="E59" s="5">
        <v>0</v>
      </c>
      <c r="F59" s="5">
        <v>431544690.54000002</v>
      </c>
      <c r="G59" s="5">
        <v>432250899.99000001</v>
      </c>
      <c r="J59" s="9">
        <v>41896</v>
      </c>
      <c r="K59" s="11">
        <f t="shared" si="4"/>
        <v>102908669.73</v>
      </c>
      <c r="L59" s="10"/>
      <c r="M59" s="10">
        <v>35000</v>
      </c>
      <c r="N59" s="11">
        <f t="shared" si="0"/>
        <v>-35000</v>
      </c>
      <c r="O59" s="11">
        <f t="shared" si="1"/>
        <v>102873669.73</v>
      </c>
      <c r="P59" s="10">
        <v>103026973.2</v>
      </c>
      <c r="S59" s="13">
        <f t="shared" si="2"/>
        <v>41896</v>
      </c>
      <c r="T59" s="14">
        <f t="shared" si="3"/>
        <v>535277873.19</v>
      </c>
    </row>
    <row r="60" spans="1:20" x14ac:dyDescent="0.25">
      <c r="A60" s="4">
        <v>41928</v>
      </c>
      <c r="B60" s="5">
        <v>432250899.99000001</v>
      </c>
      <c r="C60" s="5">
        <v>0</v>
      </c>
      <c r="D60" s="5">
        <v>11690325.65</v>
      </c>
      <c r="E60" s="5">
        <v>-11690325.65</v>
      </c>
      <c r="F60" s="5">
        <v>420560574.33999997</v>
      </c>
      <c r="G60" s="5">
        <v>419867130.33999997</v>
      </c>
      <c r="J60" s="9">
        <v>41928</v>
      </c>
      <c r="K60" s="11">
        <f t="shared" si="4"/>
        <v>103026973.2</v>
      </c>
      <c r="L60" s="10"/>
      <c r="M60" s="10">
        <v>60000</v>
      </c>
      <c r="N60" s="11">
        <f t="shared" si="0"/>
        <v>-60000</v>
      </c>
      <c r="O60" s="11">
        <f t="shared" si="1"/>
        <v>102966973.2</v>
      </c>
      <c r="P60" s="10">
        <v>103455295.05</v>
      </c>
      <c r="S60" s="13">
        <f t="shared" si="2"/>
        <v>41928</v>
      </c>
      <c r="T60" s="14">
        <f t="shared" si="3"/>
        <v>523322425.38999999</v>
      </c>
    </row>
    <row r="61" spans="1:20" x14ac:dyDescent="0.25">
      <c r="A61" s="4">
        <v>41960</v>
      </c>
      <c r="B61" s="5">
        <v>419867130.33999997</v>
      </c>
      <c r="C61" s="5">
        <v>0</v>
      </c>
      <c r="D61" s="5">
        <v>0</v>
      </c>
      <c r="E61" s="5">
        <v>0</v>
      </c>
      <c r="F61" s="5">
        <v>419867130.33999997</v>
      </c>
      <c r="G61" s="5">
        <v>422078896.38999999</v>
      </c>
      <c r="J61" s="9">
        <v>41960</v>
      </c>
      <c r="K61" s="11">
        <f t="shared" si="4"/>
        <v>103455295.05</v>
      </c>
      <c r="L61" s="10"/>
      <c r="M61" s="10">
        <v>40000</v>
      </c>
      <c r="N61" s="11">
        <f t="shared" si="0"/>
        <v>-40000</v>
      </c>
      <c r="O61" s="11">
        <f t="shared" si="1"/>
        <v>103415295.05</v>
      </c>
      <c r="P61" s="10">
        <v>104014811.73999999</v>
      </c>
      <c r="S61" s="13">
        <f t="shared" si="2"/>
        <v>41960</v>
      </c>
      <c r="T61" s="14">
        <f t="shared" si="3"/>
        <v>526093708.13</v>
      </c>
    </row>
    <row r="62" spans="1:20" x14ac:dyDescent="0.25">
      <c r="A62" s="4">
        <v>41992</v>
      </c>
      <c r="B62" s="5">
        <v>422078896.38999999</v>
      </c>
      <c r="C62" s="5">
        <v>0</v>
      </c>
      <c r="D62" s="5">
        <v>0</v>
      </c>
      <c r="E62" s="5">
        <v>0</v>
      </c>
      <c r="F62" s="5">
        <v>422078896.38999999</v>
      </c>
      <c r="G62" s="5">
        <v>425789226.94</v>
      </c>
      <c r="J62" s="9">
        <v>41992</v>
      </c>
      <c r="K62" s="11">
        <f t="shared" si="4"/>
        <v>104014811.73999999</v>
      </c>
      <c r="L62" s="10"/>
      <c r="M62" s="10">
        <v>40000</v>
      </c>
      <c r="N62" s="11">
        <f t="shared" si="0"/>
        <v>-40000</v>
      </c>
      <c r="O62" s="11">
        <f t="shared" si="1"/>
        <v>103974811.73999999</v>
      </c>
      <c r="P62" s="10">
        <v>104787978.06999999</v>
      </c>
      <c r="S62" s="13">
        <f t="shared" si="2"/>
        <v>41992</v>
      </c>
      <c r="T62" s="14">
        <f t="shared" si="3"/>
        <v>530577205.00999999</v>
      </c>
    </row>
    <row r="63" spans="1:20" x14ac:dyDescent="0.25">
      <c r="A63" s="4">
        <v>42005</v>
      </c>
      <c r="B63" s="5">
        <v>425789227.19999999</v>
      </c>
      <c r="C63" s="5">
        <v>800000</v>
      </c>
      <c r="D63" s="5">
        <v>15235000</v>
      </c>
      <c r="E63" s="5">
        <v>-14435000</v>
      </c>
      <c r="F63" s="5">
        <v>411354227.19999999</v>
      </c>
      <c r="G63" s="5">
        <v>411834038.47000003</v>
      </c>
      <c r="J63" s="9">
        <v>42005</v>
      </c>
      <c r="K63" s="11">
        <f t="shared" si="4"/>
        <v>104787978.06999999</v>
      </c>
      <c r="L63" s="10"/>
      <c r="M63" s="10">
        <v>40000</v>
      </c>
      <c r="N63" s="11">
        <f t="shared" si="0"/>
        <v>-40000</v>
      </c>
      <c r="O63" s="11">
        <f t="shared" si="1"/>
        <v>104747978.06999999</v>
      </c>
      <c r="P63" s="10">
        <v>104323768.5</v>
      </c>
      <c r="S63" s="13">
        <f t="shared" si="2"/>
        <v>42005</v>
      </c>
      <c r="T63" s="14">
        <f t="shared" si="3"/>
        <v>516157806.97000003</v>
      </c>
    </row>
    <row r="64" spans="1:20" x14ac:dyDescent="0.25">
      <c r="A64" s="4">
        <v>42037</v>
      </c>
      <c r="B64" s="5">
        <v>411834038.47000003</v>
      </c>
      <c r="C64" s="5">
        <v>10500000</v>
      </c>
      <c r="D64" s="5">
        <v>0</v>
      </c>
      <c r="E64" s="5">
        <v>10500000</v>
      </c>
      <c r="F64" s="5">
        <v>422334038.47000003</v>
      </c>
      <c r="G64" s="5">
        <v>419244916.95999998</v>
      </c>
      <c r="J64" s="9">
        <v>42037</v>
      </c>
      <c r="K64" s="11">
        <f t="shared" si="4"/>
        <v>104323768.5</v>
      </c>
      <c r="L64" s="10"/>
      <c r="M64" s="10">
        <v>20000</v>
      </c>
      <c r="N64" s="11">
        <f t="shared" si="0"/>
        <v>-20000</v>
      </c>
      <c r="O64" s="11">
        <f t="shared" si="1"/>
        <v>104303768.5</v>
      </c>
      <c r="P64" s="10">
        <v>103989848.26000001</v>
      </c>
      <c r="S64" s="13">
        <f t="shared" si="2"/>
        <v>42037</v>
      </c>
      <c r="T64" s="14">
        <f t="shared" si="3"/>
        <v>523234765.21999997</v>
      </c>
    </row>
    <row r="65" spans="1:20" x14ac:dyDescent="0.25">
      <c r="A65" s="4">
        <v>42069</v>
      </c>
      <c r="B65" s="5">
        <v>419244916.95999998</v>
      </c>
      <c r="C65" s="5">
        <v>0</v>
      </c>
      <c r="D65" s="5">
        <v>0</v>
      </c>
      <c r="E65" s="5">
        <v>0</v>
      </c>
      <c r="F65" s="5">
        <v>419244916.95999998</v>
      </c>
      <c r="G65" s="5">
        <v>422645652.29000002</v>
      </c>
      <c r="J65" s="9">
        <v>42069</v>
      </c>
      <c r="K65" s="11">
        <f t="shared" si="4"/>
        <v>103989848.26000001</v>
      </c>
      <c r="L65" s="10"/>
      <c r="M65" s="10">
        <v>35000</v>
      </c>
      <c r="N65" s="11">
        <f t="shared" si="0"/>
        <v>-35000</v>
      </c>
      <c r="O65" s="11">
        <f t="shared" si="1"/>
        <v>103954848.26000001</v>
      </c>
      <c r="P65" s="10">
        <v>104491140.72</v>
      </c>
      <c r="S65" s="13">
        <f t="shared" si="2"/>
        <v>42069</v>
      </c>
      <c r="T65" s="14">
        <f t="shared" si="3"/>
        <v>527136793.00999999</v>
      </c>
    </row>
    <row r="66" spans="1:20" x14ac:dyDescent="0.25">
      <c r="A66" s="4">
        <v>42101</v>
      </c>
      <c r="B66" s="5">
        <v>422645652.29000002</v>
      </c>
      <c r="C66" s="5">
        <v>2500000</v>
      </c>
      <c r="D66" s="5">
        <v>31330255.77</v>
      </c>
      <c r="E66" s="5">
        <v>-28830255.77</v>
      </c>
      <c r="F66" s="5">
        <v>393815396.51999998</v>
      </c>
      <c r="G66" s="5">
        <v>389648103.25</v>
      </c>
      <c r="J66" s="9">
        <v>42101</v>
      </c>
      <c r="K66" s="11">
        <f t="shared" si="4"/>
        <v>104491140.72</v>
      </c>
      <c r="L66" s="10"/>
      <c r="M66" s="10">
        <v>60000</v>
      </c>
      <c r="N66" s="11">
        <f t="shared" si="0"/>
        <v>-60000</v>
      </c>
      <c r="O66" s="11">
        <f t="shared" si="1"/>
        <v>104431140.72</v>
      </c>
      <c r="P66" s="10">
        <v>103766189.44</v>
      </c>
      <c r="S66" s="13">
        <f t="shared" si="2"/>
        <v>42101</v>
      </c>
      <c r="T66" s="14">
        <f t="shared" si="3"/>
        <v>493414292.69</v>
      </c>
    </row>
    <row r="67" spans="1:20" x14ac:dyDescent="0.25">
      <c r="A67" s="4">
        <v>42133</v>
      </c>
      <c r="B67" s="5">
        <v>389648103.25</v>
      </c>
      <c r="C67" s="5">
        <v>1500000</v>
      </c>
      <c r="D67" s="5">
        <v>0</v>
      </c>
      <c r="E67" s="5">
        <v>1500000</v>
      </c>
      <c r="F67" s="5">
        <v>391148103.25</v>
      </c>
      <c r="G67" s="5">
        <v>384908741.50999999</v>
      </c>
      <c r="J67" s="9">
        <v>42133</v>
      </c>
      <c r="K67" s="11">
        <f t="shared" si="4"/>
        <v>103766189.44</v>
      </c>
      <c r="L67" s="10"/>
      <c r="M67" s="10">
        <v>32000</v>
      </c>
      <c r="N67" s="11">
        <f t="shared" si="0"/>
        <v>-32000</v>
      </c>
      <c r="O67" s="11">
        <f t="shared" si="1"/>
        <v>103734189.44</v>
      </c>
      <c r="P67" s="10">
        <v>102223713.88</v>
      </c>
      <c r="S67" s="13">
        <f t="shared" si="2"/>
        <v>42133</v>
      </c>
      <c r="T67" s="14">
        <f t="shared" si="3"/>
        <v>487132455.38999999</v>
      </c>
    </row>
    <row r="68" spans="1:20" x14ac:dyDescent="0.25">
      <c r="A68" s="4">
        <v>42165</v>
      </c>
      <c r="B68" s="5">
        <v>384908741.50999999</v>
      </c>
      <c r="C68" s="5">
        <v>0</v>
      </c>
      <c r="D68" s="5">
        <v>0</v>
      </c>
      <c r="E68" s="5">
        <v>0</v>
      </c>
      <c r="F68" s="5">
        <v>384908741.50999999</v>
      </c>
      <c r="G68" s="5">
        <v>381459213.00999999</v>
      </c>
      <c r="J68" s="9">
        <v>42165</v>
      </c>
      <c r="K68" s="11">
        <f t="shared" si="4"/>
        <v>102223713.88</v>
      </c>
      <c r="L68" s="10"/>
      <c r="M68" s="10">
        <v>10000</v>
      </c>
      <c r="N68" s="11">
        <f t="shared" si="0"/>
        <v>-10000</v>
      </c>
      <c r="O68" s="11">
        <f t="shared" si="1"/>
        <v>102213713.88</v>
      </c>
      <c r="P68" s="10">
        <v>101030308.84999999</v>
      </c>
      <c r="S68" s="13">
        <f t="shared" si="2"/>
        <v>42165</v>
      </c>
      <c r="T68" s="14">
        <f t="shared" si="3"/>
        <v>482489521.86000001</v>
      </c>
    </row>
    <row r="69" spans="1:20" x14ac:dyDescent="0.25">
      <c r="A69" s="4">
        <v>42197</v>
      </c>
      <c r="B69" s="5">
        <v>381459213.00999999</v>
      </c>
      <c r="C69" s="5">
        <v>0</v>
      </c>
      <c r="D69" s="5">
        <v>23828528.489999998</v>
      </c>
      <c r="E69" s="5">
        <v>-23828528.489999998</v>
      </c>
      <c r="F69" s="5">
        <v>357630684.51999998</v>
      </c>
      <c r="G69" s="5">
        <v>358274495.63</v>
      </c>
      <c r="J69" s="9">
        <v>42197</v>
      </c>
      <c r="K69" s="11">
        <f t="shared" si="4"/>
        <v>101030308.84999999</v>
      </c>
      <c r="L69" s="10"/>
      <c r="M69" s="10">
        <v>35000</v>
      </c>
      <c r="N69" s="11">
        <f t="shared" si="0"/>
        <v>-35000</v>
      </c>
      <c r="O69" s="11">
        <f t="shared" si="1"/>
        <v>100995308.84999999</v>
      </c>
      <c r="P69" s="10">
        <v>101542874.98999999</v>
      </c>
      <c r="S69" s="13">
        <f t="shared" si="2"/>
        <v>42197</v>
      </c>
      <c r="T69" s="14">
        <f t="shared" si="3"/>
        <v>459817370.62</v>
      </c>
    </row>
    <row r="70" spans="1:20" x14ac:dyDescent="0.25">
      <c r="A70" s="4">
        <v>42229</v>
      </c>
      <c r="B70" s="5">
        <v>358274495.63</v>
      </c>
      <c r="C70" s="5">
        <v>0</v>
      </c>
      <c r="D70" s="5">
        <v>0</v>
      </c>
      <c r="E70" s="5">
        <v>0</v>
      </c>
      <c r="F70" s="5">
        <v>358274495.63</v>
      </c>
      <c r="G70" s="5">
        <v>357627090.62</v>
      </c>
      <c r="J70" s="9">
        <v>42229</v>
      </c>
      <c r="K70" s="11">
        <f t="shared" si="4"/>
        <v>101542874.98999999</v>
      </c>
      <c r="L70" s="10"/>
      <c r="M70" s="10">
        <v>50000</v>
      </c>
      <c r="N70" s="11">
        <f t="shared" si="0"/>
        <v>-50000</v>
      </c>
      <c r="O70" s="11">
        <f t="shared" si="1"/>
        <v>101492874.98999999</v>
      </c>
      <c r="P70" s="10">
        <v>102039871.84</v>
      </c>
      <c r="S70" s="13">
        <f t="shared" si="2"/>
        <v>42229</v>
      </c>
      <c r="T70" s="14">
        <f t="shared" si="3"/>
        <v>459666962.46000004</v>
      </c>
    </row>
    <row r="71" spans="1:20" x14ac:dyDescent="0.25">
      <c r="A71" s="4">
        <v>42261</v>
      </c>
      <c r="B71" s="5">
        <v>357627090.62</v>
      </c>
      <c r="C71" s="5">
        <v>0</v>
      </c>
      <c r="D71" s="5">
        <v>0</v>
      </c>
      <c r="E71" s="5">
        <v>0</v>
      </c>
      <c r="F71" s="5">
        <v>357627090.62</v>
      </c>
      <c r="G71" s="5">
        <v>356972451.16000003</v>
      </c>
      <c r="J71" s="9">
        <v>42261</v>
      </c>
      <c r="K71" s="11">
        <f t="shared" si="4"/>
        <v>102039871.84</v>
      </c>
      <c r="L71" s="10"/>
      <c r="M71" s="10">
        <v>30000</v>
      </c>
      <c r="N71" s="11">
        <f t="shared" si="0"/>
        <v>-30000</v>
      </c>
      <c r="O71" s="11">
        <f t="shared" si="1"/>
        <v>102009871.84</v>
      </c>
      <c r="P71" s="10">
        <v>101970871.78</v>
      </c>
      <c r="S71" s="13">
        <f t="shared" si="2"/>
        <v>42261</v>
      </c>
      <c r="T71" s="14">
        <f t="shared" si="3"/>
        <v>458943322.94000006</v>
      </c>
    </row>
    <row r="72" spans="1:20" x14ac:dyDescent="0.25">
      <c r="A72" s="4">
        <v>42293</v>
      </c>
      <c r="B72" s="5">
        <v>356972451.16000003</v>
      </c>
      <c r="C72" s="5">
        <v>0</v>
      </c>
      <c r="D72" s="5">
        <v>59970210.969999999</v>
      </c>
      <c r="E72" s="5">
        <v>-59970210.969999999</v>
      </c>
      <c r="F72" s="5">
        <v>297002240.19000006</v>
      </c>
      <c r="G72" s="5">
        <v>295061221.70999998</v>
      </c>
      <c r="J72" s="9">
        <v>42293</v>
      </c>
      <c r="K72" s="11">
        <f t="shared" si="4"/>
        <v>101970871.78</v>
      </c>
      <c r="L72" s="10"/>
      <c r="M72" s="10">
        <v>20000</v>
      </c>
      <c r="N72" s="11">
        <f t="shared" si="0"/>
        <v>-20000</v>
      </c>
      <c r="O72" s="11">
        <f t="shared" si="1"/>
        <v>101950871.78</v>
      </c>
      <c r="P72" s="10">
        <v>101531254.56</v>
      </c>
      <c r="S72" s="13">
        <f t="shared" si="2"/>
        <v>42293</v>
      </c>
      <c r="T72" s="14">
        <f t="shared" si="3"/>
        <v>396592476.26999998</v>
      </c>
    </row>
    <row r="73" spans="1:20" x14ac:dyDescent="0.25">
      <c r="A73" s="4">
        <v>42325</v>
      </c>
      <c r="B73" s="5">
        <v>295061221.70999998</v>
      </c>
      <c r="C73" s="5">
        <v>0</v>
      </c>
      <c r="D73" s="5">
        <v>0</v>
      </c>
      <c r="E73" s="5">
        <v>0</v>
      </c>
      <c r="F73" s="5">
        <v>295061221.70999998</v>
      </c>
      <c r="G73" s="5">
        <v>295461526.08999997</v>
      </c>
      <c r="J73" s="9">
        <v>42325</v>
      </c>
      <c r="K73" s="11">
        <f t="shared" si="4"/>
        <v>101531254.56</v>
      </c>
      <c r="L73" s="10"/>
      <c r="M73" s="10">
        <v>35000</v>
      </c>
      <c r="N73" s="11">
        <f t="shared" si="0"/>
        <v>-35000</v>
      </c>
      <c r="O73" s="11">
        <f t="shared" si="1"/>
        <v>101496254.56</v>
      </c>
      <c r="P73" s="10">
        <v>101692821.89</v>
      </c>
      <c r="S73" s="13">
        <f t="shared" si="2"/>
        <v>42325</v>
      </c>
      <c r="T73" s="14">
        <f t="shared" si="3"/>
        <v>397154347.97999996</v>
      </c>
    </row>
    <row r="74" spans="1:20" x14ac:dyDescent="0.25">
      <c r="A74" s="4">
        <v>42357</v>
      </c>
      <c r="B74" s="5">
        <v>295461526.08999997</v>
      </c>
      <c r="C74" s="5">
        <v>0</v>
      </c>
      <c r="D74" s="5">
        <v>0</v>
      </c>
      <c r="E74" s="5">
        <v>0</v>
      </c>
      <c r="F74" s="5">
        <v>295461526.08999997</v>
      </c>
      <c r="G74" s="5">
        <v>291633522.13</v>
      </c>
      <c r="J74" s="9">
        <v>42357</v>
      </c>
      <c r="K74" s="11">
        <f t="shared" si="4"/>
        <v>101692821.89</v>
      </c>
      <c r="L74" s="10"/>
      <c r="M74" s="10">
        <v>15000</v>
      </c>
      <c r="N74" s="11">
        <f t="shared" si="0"/>
        <v>-15000</v>
      </c>
      <c r="O74" s="11">
        <f t="shared" si="1"/>
        <v>101677821.89</v>
      </c>
      <c r="P74" s="10">
        <v>100536017.48999999</v>
      </c>
      <c r="S74" s="13">
        <f t="shared" si="2"/>
        <v>42357</v>
      </c>
      <c r="T74" s="14">
        <f t="shared" si="3"/>
        <v>392169539.62</v>
      </c>
    </row>
    <row r="75" spans="1:20" x14ac:dyDescent="0.25">
      <c r="A75" s="4">
        <v>42370</v>
      </c>
      <c r="B75" s="5">
        <v>291633522.13</v>
      </c>
      <c r="C75" s="5">
        <v>0</v>
      </c>
      <c r="D75" s="5">
        <v>53181578.369999997</v>
      </c>
      <c r="E75" s="5">
        <v>-53181578.369999997</v>
      </c>
      <c r="F75" s="5">
        <v>238451943.75999999</v>
      </c>
      <c r="G75" s="5">
        <v>238063089.88999999</v>
      </c>
      <c r="J75" s="9">
        <v>42370</v>
      </c>
      <c r="K75" s="11">
        <f t="shared" si="4"/>
        <v>100536017.48999999</v>
      </c>
      <c r="L75" s="10"/>
      <c r="M75" s="10">
        <v>35000</v>
      </c>
      <c r="N75" s="11">
        <f t="shared" si="0"/>
        <v>-35000</v>
      </c>
      <c r="O75" s="11">
        <f t="shared" si="1"/>
        <v>100501017.48999999</v>
      </c>
      <c r="P7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2016-01-21T14:32:18Z</dcterms:created>
  <dcterms:modified xsi:type="dcterms:W3CDTF">2016-01-21T14:57:27Z</dcterms:modified>
</cp:coreProperties>
</file>