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60" windowWidth="1980" windowHeight="8955"/>
  </bookViews>
  <sheets>
    <sheet name="OAS and Media Effect" sheetId="2" r:id="rId1"/>
    <sheet name="Disclaimer" sheetId="3" r:id="rId2"/>
    <sheet name="Refi Universe" sheetId="4" r:id="rId3"/>
    <sheet name="YB OAS" sheetId="6" r:id="rId4"/>
  </sheets>
  <externalReferences>
    <externalReference r:id="rId5"/>
    <externalReference r:id="rId6"/>
  </externalReferences>
  <definedNames>
    <definedName name="Query_from_Agency_13" localSheetId="2" hidden="1">'Refi Universe'!$E$1:$F$1302</definedName>
    <definedName name="temp" localSheetId="2">'Refi Universe'!$G$1:$H$1262</definedName>
  </definedNames>
  <calcPr calcId="145621"/>
</workbook>
</file>

<file path=xl/calcChain.xml><?xml version="1.0" encoding="utf-8"?>
<calcChain xmlns="http://schemas.openxmlformats.org/spreadsheetml/2006/main">
  <c r="E1263" i="6" l="1"/>
  <c r="E1264" i="6"/>
  <c r="E1265" i="6"/>
  <c r="E1266" i="6"/>
  <c r="E1267" i="6"/>
  <c r="E1268" i="6"/>
  <c r="E1269" i="6"/>
  <c r="E1270" i="6"/>
  <c r="E1271" i="6"/>
  <c r="E1272" i="6"/>
  <c r="E1273" i="6"/>
  <c r="E1274" i="6"/>
  <c r="E1275" i="6"/>
  <c r="E1276" i="6"/>
  <c r="E1277" i="6"/>
  <c r="E1278" i="6"/>
  <c r="E1279" i="6"/>
  <c r="E1280" i="6"/>
  <c r="E1281" i="6"/>
  <c r="K1264" i="2"/>
  <c r="K1265" i="2"/>
  <c r="K1266" i="2"/>
  <c r="K1267" i="2"/>
  <c r="K1268" i="2"/>
  <c r="K1269" i="2"/>
  <c r="K1270" i="2"/>
  <c r="K1271" i="2"/>
  <c r="K1272" i="2"/>
  <c r="K1273" i="2"/>
  <c r="K1274" i="2"/>
  <c r="K1275" i="2"/>
  <c r="K1276" i="2"/>
  <c r="K1277" i="2"/>
  <c r="K1278" i="2"/>
  <c r="K1279" i="2"/>
  <c r="K1280" i="2"/>
  <c r="J1281" i="2"/>
  <c r="K1281"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0" i="2"/>
  <c r="K1260" i="2"/>
  <c r="K1261" i="2"/>
  <c r="K1262" i="2"/>
  <c r="K1263" i="2"/>
  <c r="K1245" i="2"/>
  <c r="K1246" i="2"/>
  <c r="K1247" i="2"/>
  <c r="K1248" i="2"/>
  <c r="K1249" i="2"/>
  <c r="K1250" i="2"/>
  <c r="K1251" i="2"/>
  <c r="K1252" i="2"/>
  <c r="K1253" i="2"/>
  <c r="K1254" i="2"/>
  <c r="K1255" i="2"/>
  <c r="K1256" i="2"/>
  <c r="K1257" i="2"/>
  <c r="K1259"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2" i="2"/>
  <c r="G1243" i="2"/>
  <c r="G1244" i="2"/>
  <c r="G1245" i="2"/>
  <c r="G1246" i="2"/>
  <c r="G1247" i="2"/>
  <c r="G1248" i="2"/>
  <c r="G1249" i="2"/>
  <c r="G1250" i="2"/>
  <c r="G1251" i="2"/>
  <c r="G1252" i="2"/>
  <c r="G1253" i="2"/>
  <c r="G1254" i="2"/>
  <c r="G1255" i="2"/>
  <c r="G1256" i="2"/>
  <c r="G1257" i="2"/>
  <c r="G1258" i="2"/>
  <c r="G1259"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180" i="2"/>
  <c r="G1181" i="2"/>
  <c r="G118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E8" i="6"/>
  <c r="E16" i="6"/>
  <c r="E24" i="6"/>
  <c r="E32" i="6"/>
  <c r="E40" i="6"/>
  <c r="E48" i="6"/>
  <c r="E56" i="6"/>
  <c r="E64" i="6"/>
  <c r="E72" i="6"/>
  <c r="E80" i="6"/>
  <c r="E88" i="6"/>
  <c r="E96" i="6"/>
  <c r="E104" i="6"/>
  <c r="E112" i="6"/>
  <c r="E120" i="6"/>
  <c r="E128" i="6"/>
  <c r="E136" i="6"/>
  <c r="E144" i="6"/>
  <c r="E152" i="6"/>
  <c r="E160" i="6"/>
  <c r="E168" i="6"/>
  <c r="E176" i="6"/>
  <c r="E184" i="6"/>
  <c r="E192" i="6"/>
  <c r="E200" i="6"/>
  <c r="E208" i="6"/>
  <c r="E216" i="6"/>
  <c r="E224" i="6"/>
  <c r="E232" i="6"/>
  <c r="E240" i="6"/>
  <c r="E248" i="6"/>
  <c r="E256" i="6"/>
  <c r="E264" i="6"/>
  <c r="E272" i="6"/>
  <c r="E280" i="6"/>
  <c r="E288" i="6"/>
  <c r="E296" i="6"/>
  <c r="E304" i="6"/>
  <c r="E312" i="6"/>
  <c r="E320" i="6"/>
  <c r="E328" i="6"/>
  <c r="E336" i="6"/>
  <c r="E344" i="6"/>
  <c r="E352" i="6"/>
  <c r="E360" i="6"/>
  <c r="E368" i="6"/>
  <c r="E376" i="6"/>
  <c r="E384" i="6"/>
  <c r="E392" i="6"/>
  <c r="E400" i="6"/>
  <c r="E408" i="6"/>
  <c r="E416" i="6"/>
  <c r="E424" i="6"/>
  <c r="E432" i="6"/>
  <c r="E440" i="6"/>
  <c r="E448" i="6"/>
  <c r="E456" i="6"/>
  <c r="E464" i="6"/>
  <c r="E472" i="6"/>
  <c r="E480" i="6"/>
  <c r="E488" i="6"/>
  <c r="E496" i="6"/>
  <c r="E504" i="6"/>
  <c r="E512" i="6"/>
  <c r="E520" i="6"/>
  <c r="E528" i="6"/>
  <c r="E536" i="6"/>
  <c r="E544" i="6"/>
  <c r="E552" i="6"/>
  <c r="E560" i="6"/>
  <c r="E568" i="6"/>
  <c r="E576" i="6"/>
  <c r="E584" i="6"/>
  <c r="E592" i="6"/>
  <c r="E600" i="6"/>
  <c r="E608" i="6"/>
  <c r="E616" i="6"/>
  <c r="E624" i="6"/>
  <c r="E632" i="6"/>
  <c r="E640" i="6"/>
  <c r="E648" i="6"/>
  <c r="E656" i="6"/>
  <c r="E664" i="6"/>
  <c r="E672" i="6"/>
  <c r="E680" i="6"/>
  <c r="E688" i="6"/>
  <c r="E696" i="6"/>
  <c r="E704" i="6"/>
  <c r="E712" i="6"/>
  <c r="E720" i="6"/>
  <c r="E728" i="6"/>
  <c r="E736" i="6"/>
  <c r="E744" i="6"/>
  <c r="E752" i="6"/>
  <c r="E760" i="6"/>
  <c r="E768" i="6"/>
  <c r="E776" i="6"/>
  <c r="E784" i="6"/>
  <c r="E792" i="6"/>
  <c r="E800" i="6"/>
  <c r="E808" i="6"/>
  <c r="E816" i="6"/>
  <c r="E824" i="6"/>
  <c r="E832" i="6"/>
  <c r="E840" i="6"/>
  <c r="E848" i="6"/>
  <c r="E856" i="6"/>
  <c r="E864" i="6"/>
  <c r="E872" i="6"/>
  <c r="E880" i="6"/>
  <c r="E888" i="6"/>
  <c r="E896" i="6"/>
  <c r="E904" i="6"/>
  <c r="E912" i="6"/>
  <c r="E920" i="6"/>
  <c r="E928" i="6"/>
  <c r="E936" i="6"/>
  <c r="E944" i="6"/>
  <c r="E952" i="6"/>
  <c r="E960" i="6"/>
  <c r="E968" i="6"/>
  <c r="E976" i="6"/>
  <c r="E984" i="6"/>
  <c r="E992" i="6"/>
  <c r="E1000" i="6"/>
  <c r="E1008" i="6"/>
  <c r="E1016" i="6"/>
  <c r="E2" i="6"/>
  <c r="E10" i="6"/>
  <c r="E18" i="6"/>
  <c r="E26" i="6"/>
  <c r="E34" i="6"/>
  <c r="E42" i="6"/>
  <c r="E50" i="6"/>
  <c r="E58" i="6"/>
  <c r="E66" i="6"/>
  <c r="E74" i="6"/>
  <c r="E82" i="6"/>
  <c r="E90" i="6"/>
  <c r="E98" i="6"/>
  <c r="E106" i="6"/>
  <c r="E114" i="6"/>
  <c r="E122" i="6"/>
  <c r="E130" i="6"/>
  <c r="E138" i="6"/>
  <c r="E146" i="6"/>
  <c r="E154" i="6"/>
  <c r="E162" i="6"/>
  <c r="E170" i="6"/>
  <c r="E178" i="6"/>
  <c r="E186" i="6"/>
  <c r="E194" i="6"/>
  <c r="E202" i="6"/>
  <c r="E210" i="6"/>
  <c r="E218" i="6"/>
  <c r="E226" i="6"/>
  <c r="E234" i="6"/>
  <c r="E242" i="6"/>
  <c r="E250" i="6"/>
  <c r="E258" i="6"/>
  <c r="E266" i="6"/>
  <c r="E274" i="6"/>
  <c r="E282" i="6"/>
  <c r="E290" i="6"/>
  <c r="E298" i="6"/>
  <c r="E306" i="6"/>
  <c r="E314" i="6"/>
  <c r="E322" i="6"/>
  <c r="E330" i="6"/>
  <c r="E338" i="6"/>
  <c r="E346" i="6"/>
  <c r="E354" i="6"/>
  <c r="E362" i="6"/>
  <c r="E370" i="6"/>
  <c r="E378" i="6"/>
  <c r="E386" i="6"/>
  <c r="E394" i="6"/>
  <c r="E402" i="6"/>
  <c r="E410" i="6"/>
  <c r="E418" i="6"/>
  <c r="E426" i="6"/>
  <c r="E434" i="6"/>
  <c r="E442" i="6"/>
  <c r="E450" i="6"/>
  <c r="E458" i="6"/>
  <c r="E466" i="6"/>
  <c r="E474" i="6"/>
  <c r="E482" i="6"/>
  <c r="E490" i="6"/>
  <c r="E498" i="6"/>
  <c r="E506" i="6"/>
  <c r="E514" i="6"/>
  <c r="E522" i="6"/>
  <c r="E530" i="6"/>
  <c r="E538" i="6"/>
  <c r="E546" i="6"/>
  <c r="E554" i="6"/>
  <c r="E562" i="6"/>
  <c r="E570" i="6"/>
  <c r="E578" i="6"/>
  <c r="E586" i="6"/>
  <c r="E594" i="6"/>
  <c r="E602" i="6"/>
  <c r="E610" i="6"/>
  <c r="E618" i="6"/>
  <c r="E626" i="6"/>
  <c r="E634" i="6"/>
  <c r="E642" i="6"/>
  <c r="E650" i="6"/>
  <c r="E658" i="6"/>
  <c r="E666" i="6"/>
  <c r="E674" i="6"/>
  <c r="E682" i="6"/>
  <c r="E690" i="6"/>
  <c r="E698" i="6"/>
  <c r="E706" i="6"/>
  <c r="E714" i="6"/>
  <c r="E722" i="6"/>
  <c r="E730" i="6"/>
  <c r="E738" i="6"/>
  <c r="E746" i="6"/>
  <c r="E754" i="6"/>
  <c r="E762" i="6"/>
  <c r="E770" i="6"/>
  <c r="E778" i="6"/>
  <c r="E786" i="6"/>
  <c r="E794" i="6"/>
  <c r="E802" i="6"/>
  <c r="E810" i="6"/>
  <c r="E818" i="6"/>
  <c r="E826" i="6"/>
  <c r="E834" i="6"/>
  <c r="E842" i="6"/>
  <c r="E850" i="6"/>
  <c r="E858" i="6"/>
  <c r="E866" i="6"/>
  <c r="E874" i="6"/>
  <c r="E882" i="6"/>
  <c r="E890" i="6"/>
  <c r="E898" i="6"/>
  <c r="E906" i="6"/>
  <c r="E914" i="6"/>
  <c r="E922" i="6"/>
  <c r="E930" i="6"/>
  <c r="E938" i="6"/>
  <c r="E946" i="6"/>
  <c r="E954" i="6"/>
  <c r="E962" i="6"/>
  <c r="E970" i="6"/>
  <c r="E978" i="6"/>
  <c r="E986" i="6"/>
  <c r="E994" i="6"/>
  <c r="E1002" i="6"/>
  <c r="E1010" i="6"/>
  <c r="E4" i="6"/>
  <c r="E12" i="6"/>
  <c r="E20" i="6"/>
  <c r="E28" i="6"/>
  <c r="E36" i="6"/>
  <c r="E44" i="6"/>
  <c r="E52" i="6"/>
  <c r="E60" i="6"/>
  <c r="E68" i="6"/>
  <c r="E76" i="6"/>
  <c r="E84" i="6"/>
  <c r="E92" i="6"/>
  <c r="E100" i="6"/>
  <c r="E108" i="6"/>
  <c r="E116" i="6"/>
  <c r="E124" i="6"/>
  <c r="E132" i="6"/>
  <c r="E140" i="6"/>
  <c r="E148" i="6"/>
  <c r="E156" i="6"/>
  <c r="E164" i="6"/>
  <c r="E172" i="6"/>
  <c r="E180" i="6"/>
  <c r="E188" i="6"/>
  <c r="E196" i="6"/>
  <c r="E204" i="6"/>
  <c r="E212" i="6"/>
  <c r="E220" i="6"/>
  <c r="E228" i="6"/>
  <c r="E236" i="6"/>
  <c r="E244" i="6"/>
  <c r="E252" i="6"/>
  <c r="E260" i="6"/>
  <c r="E268" i="6"/>
  <c r="E276" i="6"/>
  <c r="E284" i="6"/>
  <c r="E292" i="6"/>
  <c r="E300" i="6"/>
  <c r="E308" i="6"/>
  <c r="E316" i="6"/>
  <c r="E324" i="6"/>
  <c r="E332" i="6"/>
  <c r="E340" i="6"/>
  <c r="E348" i="6"/>
  <c r="E356" i="6"/>
  <c r="E364" i="6"/>
  <c r="E372" i="6"/>
  <c r="E380" i="6"/>
  <c r="E388" i="6"/>
  <c r="E396" i="6"/>
  <c r="E404" i="6"/>
  <c r="E412" i="6"/>
  <c r="E420" i="6"/>
  <c r="E428" i="6"/>
  <c r="E436" i="6"/>
  <c r="E444" i="6"/>
  <c r="E452" i="6"/>
  <c r="E460" i="6"/>
  <c r="E468" i="6"/>
  <c r="E476" i="6"/>
  <c r="E484" i="6"/>
  <c r="E492" i="6"/>
  <c r="E500" i="6"/>
  <c r="E508" i="6"/>
  <c r="E516" i="6"/>
  <c r="E524" i="6"/>
  <c r="E532" i="6"/>
  <c r="E540" i="6"/>
  <c r="E548" i="6"/>
  <c r="E556" i="6"/>
  <c r="E564" i="6"/>
  <c r="E572" i="6"/>
  <c r="E580" i="6"/>
  <c r="E588" i="6"/>
  <c r="E596" i="6"/>
  <c r="E604" i="6"/>
  <c r="E612" i="6"/>
  <c r="E620" i="6"/>
  <c r="E628" i="6"/>
  <c r="E636" i="6"/>
  <c r="E644" i="6"/>
  <c r="E652" i="6"/>
  <c r="E660" i="6"/>
  <c r="E668" i="6"/>
  <c r="E676" i="6"/>
  <c r="E684" i="6"/>
  <c r="E692" i="6"/>
  <c r="E700" i="6"/>
  <c r="E708" i="6"/>
  <c r="E716" i="6"/>
  <c r="E724" i="6"/>
  <c r="E732" i="6"/>
  <c r="E740" i="6"/>
  <c r="E748" i="6"/>
  <c r="E756" i="6"/>
  <c r="E764" i="6"/>
  <c r="E772" i="6"/>
  <c r="E780" i="6"/>
  <c r="E788" i="6"/>
  <c r="E796" i="6"/>
  <c r="E804" i="6"/>
  <c r="E812" i="6"/>
  <c r="E820" i="6"/>
  <c r="E828" i="6"/>
  <c r="E836" i="6"/>
  <c r="E844" i="6"/>
  <c r="E852" i="6"/>
  <c r="E860" i="6"/>
  <c r="E868" i="6"/>
  <c r="E876" i="6"/>
  <c r="E884" i="6"/>
  <c r="E892" i="6"/>
  <c r="E900" i="6"/>
  <c r="E908" i="6"/>
  <c r="E916" i="6"/>
  <c r="E924" i="6"/>
  <c r="E932" i="6"/>
  <c r="E940" i="6"/>
  <c r="E948" i="6"/>
  <c r="E956" i="6"/>
  <c r="E964" i="6"/>
  <c r="E972" i="6"/>
  <c r="E980" i="6"/>
  <c r="E988" i="6"/>
  <c r="E996" i="6"/>
  <c r="E1004" i="6"/>
  <c r="E1012" i="6"/>
  <c r="E13" i="6"/>
  <c r="E25" i="6"/>
  <c r="E38" i="6"/>
  <c r="E51" i="6"/>
  <c r="E63" i="6"/>
  <c r="E77" i="6"/>
  <c r="E89" i="6"/>
  <c r="E102" i="6"/>
  <c r="E115" i="6"/>
  <c r="E127" i="6"/>
  <c r="E141" i="6"/>
  <c r="E153" i="6"/>
  <c r="E166" i="6"/>
  <c r="E179" i="6"/>
  <c r="E191" i="6"/>
  <c r="E205" i="6"/>
  <c r="E217" i="6"/>
  <c r="E230" i="6"/>
  <c r="E243" i="6"/>
  <c r="E255" i="6"/>
  <c r="E269" i="6"/>
  <c r="E281" i="6"/>
  <c r="E294" i="6"/>
  <c r="E307" i="6"/>
  <c r="E319" i="6"/>
  <c r="E333" i="6"/>
  <c r="E345" i="6"/>
  <c r="E358" i="6"/>
  <c r="E371" i="6"/>
  <c r="E383" i="6"/>
  <c r="E397" i="6"/>
  <c r="E409" i="6"/>
  <c r="E422" i="6"/>
  <c r="E435" i="6"/>
  <c r="E447" i="6"/>
  <c r="E461" i="6"/>
  <c r="E473" i="6"/>
  <c r="E486" i="6"/>
  <c r="E499" i="6"/>
  <c r="E511" i="6"/>
  <c r="E525" i="6"/>
  <c r="E537" i="6"/>
  <c r="E550" i="6"/>
  <c r="E563" i="6"/>
  <c r="E575" i="6"/>
  <c r="E589" i="6"/>
  <c r="E601" i="6"/>
  <c r="E614" i="6"/>
  <c r="E627" i="6"/>
  <c r="E639" i="6"/>
  <c r="E653" i="6"/>
  <c r="E665" i="6"/>
  <c r="E678" i="6"/>
  <c r="E691" i="6"/>
  <c r="E703" i="6"/>
  <c r="E717" i="6"/>
  <c r="E729" i="6"/>
  <c r="E742" i="6"/>
  <c r="E755" i="6"/>
  <c r="E767" i="6"/>
  <c r="E781" i="6"/>
  <c r="E793" i="6"/>
  <c r="E806" i="6"/>
  <c r="E819" i="6"/>
  <c r="E831" i="6"/>
  <c r="E845" i="6"/>
  <c r="E857" i="6"/>
  <c r="E870" i="6"/>
  <c r="E883" i="6"/>
  <c r="E895" i="6"/>
  <c r="E909" i="6"/>
  <c r="E921" i="6"/>
  <c r="E934" i="6"/>
  <c r="E947" i="6"/>
  <c r="E959" i="6"/>
  <c r="E973" i="6"/>
  <c r="E985" i="6"/>
  <c r="E998" i="6"/>
  <c r="E1011" i="6"/>
  <c r="E1021" i="6"/>
  <c r="E1029" i="6"/>
  <c r="E1037" i="6"/>
  <c r="E1045" i="6"/>
  <c r="E1053" i="6"/>
  <c r="E1061" i="6"/>
  <c r="E1069" i="6"/>
  <c r="E1077" i="6"/>
  <c r="E1085" i="6"/>
  <c r="E1093" i="6"/>
  <c r="E1101" i="6"/>
  <c r="E1109" i="6"/>
  <c r="E1117" i="6"/>
  <c r="E1125" i="6"/>
  <c r="E1133" i="6"/>
  <c r="E1141" i="6"/>
  <c r="E1149" i="6"/>
  <c r="E1157" i="6"/>
  <c r="E1165" i="6"/>
  <c r="E1173" i="6"/>
  <c r="E1181" i="6"/>
  <c r="E1189" i="6"/>
  <c r="E1197" i="6"/>
  <c r="E1205" i="6"/>
  <c r="E1213" i="6"/>
  <c r="E1221" i="6"/>
  <c r="E1229" i="6"/>
  <c r="E1237" i="6"/>
  <c r="E1245" i="6"/>
  <c r="E1253" i="6"/>
  <c r="C3" i="6"/>
  <c r="C11" i="6"/>
  <c r="C19" i="6"/>
  <c r="C27" i="6"/>
  <c r="C35" i="6"/>
  <c r="C43" i="6"/>
  <c r="C51" i="6"/>
  <c r="C59" i="6"/>
  <c r="C67" i="6"/>
  <c r="C75" i="6"/>
  <c r="C83" i="6"/>
  <c r="C91" i="6"/>
  <c r="C99" i="6"/>
  <c r="C107" i="6"/>
  <c r="C115" i="6"/>
  <c r="C123" i="6"/>
  <c r="C131" i="6"/>
  <c r="C139" i="6"/>
  <c r="E3" i="6"/>
  <c r="E17" i="6"/>
  <c r="E31" i="6"/>
  <c r="E46" i="6"/>
  <c r="E61" i="6"/>
  <c r="E75" i="6"/>
  <c r="E91" i="6"/>
  <c r="E105" i="6"/>
  <c r="E119" i="6"/>
  <c r="E134" i="6"/>
  <c r="E149" i="6"/>
  <c r="E163" i="6"/>
  <c r="E177" i="6"/>
  <c r="E193" i="6"/>
  <c r="E207" i="6"/>
  <c r="E222" i="6"/>
  <c r="E237" i="6"/>
  <c r="E251" i="6"/>
  <c r="E265" i="6"/>
  <c r="E279" i="6"/>
  <c r="E295" i="6"/>
  <c r="E310" i="6"/>
  <c r="E325" i="6"/>
  <c r="E339" i="6"/>
  <c r="E353" i="6"/>
  <c r="E367" i="6"/>
  <c r="E382" i="6"/>
  <c r="E398" i="6"/>
  <c r="E413" i="6"/>
  <c r="E427" i="6"/>
  <c r="E441" i="6"/>
  <c r="E455" i="6"/>
  <c r="E470" i="6"/>
  <c r="E485" i="6"/>
  <c r="E501" i="6"/>
  <c r="E515" i="6"/>
  <c r="E529" i="6"/>
  <c r="E543" i="6"/>
  <c r="E558" i="6"/>
  <c r="E573" i="6"/>
  <c r="E587" i="6"/>
  <c r="E603" i="6"/>
  <c r="E617" i="6"/>
  <c r="E631" i="6"/>
  <c r="E646" i="6"/>
  <c r="E661" i="6"/>
  <c r="E675" i="6"/>
  <c r="E689" i="6"/>
  <c r="E705" i="6"/>
  <c r="E719" i="6"/>
  <c r="E734" i="6"/>
  <c r="E749" i="6"/>
  <c r="E763" i="6"/>
  <c r="E777" i="6"/>
  <c r="E791" i="6"/>
  <c r="E807" i="6"/>
  <c r="E822" i="6"/>
  <c r="E837" i="6"/>
  <c r="E851" i="6"/>
  <c r="E865" i="6"/>
  <c r="E879" i="6"/>
  <c r="E894" i="6"/>
  <c r="E910" i="6"/>
  <c r="E925" i="6"/>
  <c r="E939" i="6"/>
  <c r="E953" i="6"/>
  <c r="E967" i="6"/>
  <c r="E982" i="6"/>
  <c r="E997" i="6"/>
  <c r="E1013" i="6"/>
  <c r="E1023" i="6"/>
  <c r="E1032" i="6"/>
  <c r="E1041" i="6"/>
  <c r="E1050" i="6"/>
  <c r="E1059" i="6"/>
  <c r="E1068" i="6"/>
  <c r="E1078" i="6"/>
  <c r="E1087" i="6"/>
  <c r="E1096" i="6"/>
  <c r="E1105" i="6"/>
  <c r="E1114" i="6"/>
  <c r="E1123" i="6"/>
  <c r="E1132" i="6"/>
  <c r="E1142" i="6"/>
  <c r="E1151" i="6"/>
  <c r="E1160" i="6"/>
  <c r="E1169" i="6"/>
  <c r="E1178" i="6"/>
  <c r="E1187" i="6"/>
  <c r="E1196" i="6"/>
  <c r="E1206" i="6"/>
  <c r="E1215" i="6"/>
  <c r="E1224" i="6"/>
  <c r="E1233" i="6"/>
  <c r="E1242" i="6"/>
  <c r="E1251" i="6"/>
  <c r="C2" i="6"/>
  <c r="C12" i="6"/>
  <c r="C21" i="6"/>
  <c r="C30" i="6"/>
  <c r="C39" i="6"/>
  <c r="C48" i="6"/>
  <c r="C57" i="6"/>
  <c r="C66" i="6"/>
  <c r="C76" i="6"/>
  <c r="C85" i="6"/>
  <c r="C94" i="6"/>
  <c r="C103" i="6"/>
  <c r="C112" i="6"/>
  <c r="C121" i="6"/>
  <c r="C130" i="6"/>
  <c r="C140" i="6"/>
  <c r="C148" i="6"/>
  <c r="C156" i="6"/>
  <c r="C164" i="6"/>
  <c r="C172" i="6"/>
  <c r="C180" i="6"/>
  <c r="C188" i="6"/>
  <c r="C196" i="6"/>
  <c r="C204" i="6"/>
  <c r="C212" i="6"/>
  <c r="C220" i="6"/>
  <c r="C228" i="6"/>
  <c r="C236" i="6"/>
  <c r="C244" i="6"/>
  <c r="C252" i="6"/>
  <c r="C260" i="6"/>
  <c r="E6" i="6"/>
  <c r="E21" i="6"/>
  <c r="E35" i="6"/>
  <c r="E49" i="6"/>
  <c r="E65" i="6"/>
  <c r="E79" i="6"/>
  <c r="E94" i="6"/>
  <c r="E109" i="6"/>
  <c r="E123" i="6"/>
  <c r="E137" i="6"/>
  <c r="E151" i="6"/>
  <c r="E167" i="6"/>
  <c r="E182" i="6"/>
  <c r="E197" i="6"/>
  <c r="E211" i="6"/>
  <c r="E225" i="6"/>
  <c r="E239" i="6"/>
  <c r="E254" i="6"/>
  <c r="E270" i="6"/>
  <c r="E285" i="6"/>
  <c r="E299" i="6"/>
  <c r="E313" i="6"/>
  <c r="E327" i="6"/>
  <c r="E342" i="6"/>
  <c r="E357" i="6"/>
  <c r="E373" i="6"/>
  <c r="E387" i="6"/>
  <c r="E401" i="6"/>
  <c r="E415" i="6"/>
  <c r="E430" i="6"/>
  <c r="E445" i="6"/>
  <c r="E459" i="6"/>
  <c r="E475" i="6"/>
  <c r="E489" i="6"/>
  <c r="E503" i="6"/>
  <c r="E518" i="6"/>
  <c r="E533" i="6"/>
  <c r="E547" i="6"/>
  <c r="E561" i="6"/>
  <c r="E577" i="6"/>
  <c r="E591" i="6"/>
  <c r="E606" i="6"/>
  <c r="E621" i="6"/>
  <c r="E635" i="6"/>
  <c r="E649" i="6"/>
  <c r="E663" i="6"/>
  <c r="E679" i="6"/>
  <c r="E694" i="6"/>
  <c r="E709" i="6"/>
  <c r="E723" i="6"/>
  <c r="E737" i="6"/>
  <c r="E751" i="6"/>
  <c r="E766" i="6"/>
  <c r="E782" i="6"/>
  <c r="E797" i="6"/>
  <c r="E811" i="6"/>
  <c r="E825" i="6"/>
  <c r="E839" i="6"/>
  <c r="E854" i="6"/>
  <c r="E869" i="6"/>
  <c r="E885" i="6"/>
  <c r="E899" i="6"/>
  <c r="E913" i="6"/>
  <c r="E927" i="6"/>
  <c r="E942" i="6"/>
  <c r="E957" i="6"/>
  <c r="E971" i="6"/>
  <c r="E987" i="6"/>
  <c r="E1001" i="6"/>
  <c r="E1015" i="6"/>
  <c r="E1025" i="6"/>
  <c r="E1034" i="6"/>
  <c r="E1043" i="6"/>
  <c r="E1052" i="6"/>
  <c r="E1062" i="6"/>
  <c r="E1071" i="6"/>
  <c r="E1080" i="6"/>
  <c r="E1089" i="6"/>
  <c r="E1098" i="6"/>
  <c r="E1107" i="6"/>
  <c r="E1116" i="6"/>
  <c r="E1126" i="6"/>
  <c r="E1135" i="6"/>
  <c r="E1144" i="6"/>
  <c r="E1153" i="6"/>
  <c r="E1162" i="6"/>
  <c r="E1171" i="6"/>
  <c r="E1180" i="6"/>
  <c r="E1190" i="6"/>
  <c r="E1199" i="6"/>
  <c r="E1208" i="6"/>
  <c r="E1217" i="6"/>
  <c r="E1226" i="6"/>
  <c r="E1235" i="6"/>
  <c r="E1244" i="6"/>
  <c r="E1254" i="6"/>
  <c r="C5" i="6"/>
  <c r="C14" i="6"/>
  <c r="C23" i="6"/>
  <c r="C32" i="6"/>
  <c r="C41" i="6"/>
  <c r="C50" i="6"/>
  <c r="C60" i="6"/>
  <c r="C69" i="6"/>
  <c r="C78" i="6"/>
  <c r="C87" i="6"/>
  <c r="C96" i="6"/>
  <c r="C105" i="6"/>
  <c r="C114" i="6"/>
  <c r="C124" i="6"/>
  <c r="C133" i="6"/>
  <c r="C142" i="6"/>
  <c r="C150" i="6"/>
  <c r="C158" i="6"/>
  <c r="C166" i="6"/>
  <c r="C174" i="6"/>
  <c r="C182" i="6"/>
  <c r="C190" i="6"/>
  <c r="C198" i="6"/>
  <c r="C206" i="6"/>
  <c r="C214" i="6"/>
  <c r="C222" i="6"/>
  <c r="C230" i="6"/>
  <c r="C238" i="6"/>
  <c r="C246" i="6"/>
  <c r="C254" i="6"/>
  <c r="C262" i="6"/>
  <c r="C270" i="6"/>
  <c r="C278" i="6"/>
  <c r="C286" i="6"/>
  <c r="C294" i="6"/>
  <c r="C302" i="6"/>
  <c r="C310" i="6"/>
  <c r="C318" i="6"/>
  <c r="C326" i="6"/>
  <c r="C334" i="6"/>
  <c r="C342" i="6"/>
  <c r="C350" i="6"/>
  <c r="C358" i="6"/>
  <c r="C366" i="6"/>
  <c r="C374" i="6"/>
  <c r="C382" i="6"/>
  <c r="C390" i="6"/>
  <c r="C398" i="6"/>
  <c r="C406" i="6"/>
  <c r="C414" i="6"/>
  <c r="C422" i="6"/>
  <c r="C430" i="6"/>
  <c r="C438" i="6"/>
  <c r="C446" i="6"/>
  <c r="C454" i="6"/>
  <c r="C462" i="6"/>
  <c r="C470" i="6"/>
  <c r="C478" i="6"/>
  <c r="C486" i="6"/>
  <c r="C494" i="6"/>
  <c r="C502" i="6"/>
  <c r="C510" i="6"/>
  <c r="C518" i="6"/>
  <c r="C526" i="6"/>
  <c r="C534" i="6"/>
  <c r="C542" i="6"/>
  <c r="C550" i="6"/>
  <c r="C558" i="6"/>
  <c r="C566" i="6"/>
  <c r="C574" i="6"/>
  <c r="C582" i="6"/>
  <c r="C590" i="6"/>
  <c r="C598" i="6"/>
  <c r="C606" i="6"/>
  <c r="C614" i="6"/>
  <c r="C622" i="6"/>
  <c r="C630" i="6"/>
  <c r="C638" i="6"/>
  <c r="C646" i="6"/>
  <c r="C654" i="6"/>
  <c r="C662" i="6"/>
  <c r="C670" i="6"/>
  <c r="C678" i="6"/>
  <c r="C686" i="6"/>
  <c r="C694" i="6"/>
  <c r="C702" i="6"/>
  <c r="C710" i="6"/>
  <c r="C718" i="6"/>
  <c r="C726" i="6"/>
  <c r="C734" i="6"/>
  <c r="C742" i="6"/>
  <c r="C750" i="6"/>
  <c r="C758" i="6"/>
  <c r="C766" i="6"/>
  <c r="C774" i="6"/>
  <c r="C782" i="6"/>
  <c r="C790" i="6"/>
  <c r="C798" i="6"/>
  <c r="C806" i="6"/>
  <c r="C814" i="6"/>
  <c r="C822" i="6"/>
  <c r="C830" i="6"/>
  <c r="C838" i="6"/>
  <c r="C846" i="6"/>
  <c r="C854" i="6"/>
  <c r="C862" i="6"/>
  <c r="C870" i="6"/>
  <c r="C878" i="6"/>
  <c r="C886" i="6"/>
  <c r="C894" i="6"/>
  <c r="C902" i="6"/>
  <c r="C910" i="6"/>
  <c r="C918" i="6"/>
  <c r="C926" i="6"/>
  <c r="C934" i="6"/>
  <c r="E19" i="6"/>
  <c r="E39" i="6"/>
  <c r="E57" i="6"/>
  <c r="E78" i="6"/>
  <c r="E97" i="6"/>
  <c r="E117" i="6"/>
  <c r="E135" i="6"/>
  <c r="E157" i="6"/>
  <c r="E174" i="6"/>
  <c r="E195" i="6"/>
  <c r="E214" i="6"/>
  <c r="E233" i="6"/>
  <c r="E253" i="6"/>
  <c r="E273" i="6"/>
  <c r="E291" i="6"/>
  <c r="E311" i="6"/>
  <c r="E331" i="6"/>
  <c r="E350" i="6"/>
  <c r="E369" i="6"/>
  <c r="E390" i="6"/>
  <c r="E407" i="6"/>
  <c r="E429" i="6"/>
  <c r="E449" i="6"/>
  <c r="E467" i="6"/>
  <c r="E487" i="6"/>
  <c r="E507" i="6"/>
  <c r="E526" i="6"/>
  <c r="E545" i="6"/>
  <c r="E566" i="6"/>
  <c r="E583" i="6"/>
  <c r="E605" i="6"/>
  <c r="E623" i="6"/>
  <c r="E643" i="6"/>
  <c r="E662" i="6"/>
  <c r="E683" i="6"/>
  <c r="E701" i="6"/>
  <c r="E721" i="6"/>
  <c r="E741" i="6"/>
  <c r="E759" i="6"/>
  <c r="E779" i="6"/>
  <c r="E799" i="6"/>
  <c r="E817" i="6"/>
  <c r="E838" i="6"/>
  <c r="E859" i="6"/>
  <c r="E877" i="6"/>
  <c r="E897" i="6"/>
  <c r="E917" i="6"/>
  <c r="E935" i="6"/>
  <c r="E955" i="6"/>
  <c r="E975" i="6"/>
  <c r="E993" i="6"/>
  <c r="E1014" i="6"/>
  <c r="E1027" i="6"/>
  <c r="E1039" i="6"/>
  <c r="E1051" i="6"/>
  <c r="E1064" i="6"/>
  <c r="E1075" i="6"/>
  <c r="E1088" i="6"/>
  <c r="E1100" i="6"/>
  <c r="E1112" i="6"/>
  <c r="E1124" i="6"/>
  <c r="E1137" i="6"/>
  <c r="E1148" i="6"/>
  <c r="E1161" i="6"/>
  <c r="E1174" i="6"/>
  <c r="E1185" i="6"/>
  <c r="E1198" i="6"/>
  <c r="E1210" i="6"/>
  <c r="E1222" i="6"/>
  <c r="E1234" i="6"/>
  <c r="E1247" i="6"/>
  <c r="E1258" i="6"/>
  <c r="C13" i="6"/>
  <c r="C25" i="6"/>
  <c r="C37" i="6"/>
  <c r="C49" i="6"/>
  <c r="C62" i="6"/>
  <c r="C73" i="6"/>
  <c r="C86" i="6"/>
  <c r="C98" i="6"/>
  <c r="C110" i="6"/>
  <c r="C122" i="6"/>
  <c r="C135" i="6"/>
  <c r="C146" i="6"/>
  <c r="C157" i="6"/>
  <c r="C168" i="6"/>
  <c r="C178" i="6"/>
  <c r="C189" i="6"/>
  <c r="C200" i="6"/>
  <c r="C210" i="6"/>
  <c r="C221" i="6"/>
  <c r="C232" i="6"/>
  <c r="C242" i="6"/>
  <c r="C253" i="6"/>
  <c r="C264" i="6"/>
  <c r="C273" i="6"/>
  <c r="C282" i="6"/>
  <c r="C291" i="6"/>
  <c r="C300" i="6"/>
  <c r="C309" i="6"/>
  <c r="C319" i="6"/>
  <c r="C328" i="6"/>
  <c r="C337" i="6"/>
  <c r="C346" i="6"/>
  <c r="C355" i="6"/>
  <c r="C364" i="6"/>
  <c r="C373" i="6"/>
  <c r="C383" i="6"/>
  <c r="C392" i="6"/>
  <c r="C401" i="6"/>
  <c r="C410" i="6"/>
  <c r="C419" i="6"/>
  <c r="C428" i="6"/>
  <c r="C437" i="6"/>
  <c r="C447" i="6"/>
  <c r="C456" i="6"/>
  <c r="C465" i="6"/>
  <c r="C474" i="6"/>
  <c r="C483" i="6"/>
  <c r="C492" i="6"/>
  <c r="C501" i="6"/>
  <c r="C511" i="6"/>
  <c r="C520" i="6"/>
  <c r="C529" i="6"/>
  <c r="C538" i="6"/>
  <c r="C547" i="6"/>
  <c r="C556" i="6"/>
  <c r="E5" i="6"/>
  <c r="E23" i="6"/>
  <c r="E43" i="6"/>
  <c r="E62" i="6"/>
  <c r="E83" i="6"/>
  <c r="E101" i="6"/>
  <c r="E121" i="6"/>
  <c r="E142" i="6"/>
  <c r="E159" i="6"/>
  <c r="E181" i="6"/>
  <c r="E199" i="6"/>
  <c r="E219" i="6"/>
  <c r="E238" i="6"/>
  <c r="E259" i="6"/>
  <c r="E277" i="6"/>
  <c r="E297" i="6"/>
  <c r="E317" i="6"/>
  <c r="E335" i="6"/>
  <c r="E355" i="6"/>
  <c r="E375" i="6"/>
  <c r="E393" i="6"/>
  <c r="E414" i="6"/>
  <c r="E433" i="6"/>
  <c r="E453" i="6"/>
  <c r="E471" i="6"/>
  <c r="E493" i="6"/>
  <c r="E510" i="6"/>
  <c r="E531" i="6"/>
  <c r="E551" i="6"/>
  <c r="E569" i="6"/>
  <c r="E590" i="6"/>
  <c r="E609" i="6"/>
  <c r="E629" i="6"/>
  <c r="E647" i="6"/>
  <c r="E669" i="6"/>
  <c r="E686" i="6"/>
  <c r="E707" i="6"/>
  <c r="E726" i="6"/>
  <c r="E745" i="6"/>
  <c r="E765" i="6"/>
  <c r="E785" i="6"/>
  <c r="E803" i="6"/>
  <c r="E823" i="6"/>
  <c r="E843" i="6"/>
  <c r="E862" i="6"/>
  <c r="E881" i="6"/>
  <c r="E902" i="6"/>
  <c r="E919" i="6"/>
  <c r="E941" i="6"/>
  <c r="E961" i="6"/>
  <c r="E979" i="6"/>
  <c r="E999" i="6"/>
  <c r="E1018" i="6"/>
  <c r="E1030" i="6"/>
  <c r="E1042" i="6"/>
  <c r="E1055" i="6"/>
  <c r="E1066" i="6"/>
  <c r="E1079" i="6"/>
  <c r="E1091" i="6"/>
  <c r="E1103" i="6"/>
  <c r="E1115" i="6"/>
  <c r="E1128" i="6"/>
  <c r="E1139" i="6"/>
  <c r="E1152" i="6"/>
  <c r="E1164" i="6"/>
  <c r="E1176" i="6"/>
  <c r="E1188" i="6"/>
  <c r="E1201" i="6"/>
  <c r="E1212" i="6"/>
  <c r="E1225" i="6"/>
  <c r="E1238" i="6"/>
  <c r="E1249" i="6"/>
  <c r="C4" i="6"/>
  <c r="C16" i="6"/>
  <c r="C28" i="6"/>
  <c r="C40" i="6"/>
  <c r="C53" i="6"/>
  <c r="C64" i="6"/>
  <c r="C77" i="6"/>
  <c r="C89" i="6"/>
  <c r="C101" i="6"/>
  <c r="C113" i="6"/>
  <c r="C126" i="6"/>
  <c r="C137" i="6"/>
  <c r="C149" i="6"/>
  <c r="C160" i="6"/>
  <c r="C170" i="6"/>
  <c r="C181" i="6"/>
  <c r="C192" i="6"/>
  <c r="C202" i="6"/>
  <c r="C213" i="6"/>
  <c r="C224" i="6"/>
  <c r="C234" i="6"/>
  <c r="C245" i="6"/>
  <c r="C256" i="6"/>
  <c r="C266" i="6"/>
  <c r="C275" i="6"/>
  <c r="C284" i="6"/>
  <c r="C293" i="6"/>
  <c r="C303" i="6"/>
  <c r="C312" i="6"/>
  <c r="C321" i="6"/>
  <c r="C330" i="6"/>
  <c r="C339" i="6"/>
  <c r="C348" i="6"/>
  <c r="C357" i="6"/>
  <c r="C367" i="6"/>
  <c r="C376" i="6"/>
  <c r="C385" i="6"/>
  <c r="C394" i="6"/>
  <c r="C403" i="6"/>
  <c r="C412" i="6"/>
  <c r="C421" i="6"/>
  <c r="C431" i="6"/>
  <c r="C440" i="6"/>
  <c r="C449" i="6"/>
  <c r="C458" i="6"/>
  <c r="C467" i="6"/>
  <c r="C476" i="6"/>
  <c r="C485" i="6"/>
  <c r="C495" i="6"/>
  <c r="C504" i="6"/>
  <c r="C513" i="6"/>
  <c r="C522" i="6"/>
  <c r="C531" i="6"/>
  <c r="C540" i="6"/>
  <c r="C549" i="6"/>
  <c r="C559" i="6"/>
  <c r="C568" i="6"/>
  <c r="E11" i="6"/>
  <c r="E37" i="6"/>
  <c r="E67" i="6"/>
  <c r="E87" i="6"/>
  <c r="E113" i="6"/>
  <c r="E143" i="6"/>
  <c r="E169" i="6"/>
  <c r="E190" i="6"/>
  <c r="E221" i="6"/>
  <c r="E246" i="6"/>
  <c r="E271" i="6"/>
  <c r="E301" i="6"/>
  <c r="E323" i="6"/>
  <c r="E349" i="6"/>
  <c r="E377" i="6"/>
  <c r="E403" i="6"/>
  <c r="E425" i="6"/>
  <c r="E454" i="6"/>
  <c r="E479" i="6"/>
  <c r="E505" i="6"/>
  <c r="E534" i="6"/>
  <c r="E557" i="6"/>
  <c r="E582" i="6"/>
  <c r="E611" i="6"/>
  <c r="E637" i="6"/>
  <c r="E659" i="6"/>
  <c r="E687" i="6"/>
  <c r="E713" i="6"/>
  <c r="E739" i="6"/>
  <c r="E769" i="6"/>
  <c r="E790" i="6"/>
  <c r="E815" i="6"/>
  <c r="E846" i="6"/>
  <c r="E871" i="6"/>
  <c r="E893" i="6"/>
  <c r="E923" i="6"/>
  <c r="E949" i="6"/>
  <c r="E974" i="6"/>
  <c r="E1003" i="6"/>
  <c r="E1022" i="6"/>
  <c r="E1038" i="6"/>
  <c r="E1056" i="6"/>
  <c r="E1072" i="6"/>
  <c r="E1086" i="6"/>
  <c r="E1104" i="6"/>
  <c r="E1120" i="6"/>
  <c r="E1136" i="6"/>
  <c r="E1154" i="6"/>
  <c r="E1168" i="6"/>
  <c r="E1184" i="6"/>
  <c r="E1202" i="6"/>
  <c r="E1218" i="6"/>
  <c r="E1232" i="6"/>
  <c r="E1250" i="6"/>
  <c r="C8" i="6"/>
  <c r="C24" i="6"/>
  <c r="C42" i="6"/>
  <c r="C56" i="6"/>
  <c r="C72" i="6"/>
  <c r="C90" i="6"/>
  <c r="C106" i="6"/>
  <c r="C120" i="6"/>
  <c r="C138" i="6"/>
  <c r="C153" i="6"/>
  <c r="C167" i="6"/>
  <c r="C183" i="6"/>
  <c r="C195" i="6"/>
  <c r="C209" i="6"/>
  <c r="C225" i="6"/>
  <c r="C239" i="6"/>
  <c r="C251" i="6"/>
  <c r="C267" i="6"/>
  <c r="C279" i="6"/>
  <c r="C290" i="6"/>
  <c r="C304" i="6"/>
  <c r="C315" i="6"/>
  <c r="C327" i="6"/>
  <c r="C340" i="6"/>
  <c r="C352" i="6"/>
  <c r="C363" i="6"/>
  <c r="C377" i="6"/>
  <c r="C388" i="6"/>
  <c r="C400" i="6"/>
  <c r="C413" i="6"/>
  <c r="C425" i="6"/>
  <c r="C436" i="6"/>
  <c r="C450" i="6"/>
  <c r="C461" i="6"/>
  <c r="C473" i="6"/>
  <c r="C487" i="6"/>
  <c r="C498" i="6"/>
  <c r="C509" i="6"/>
  <c r="C523" i="6"/>
  <c r="C535" i="6"/>
  <c r="C546" i="6"/>
  <c r="C560" i="6"/>
  <c r="C570" i="6"/>
  <c r="C579" i="6"/>
  <c r="C588" i="6"/>
  <c r="C597" i="6"/>
  <c r="C607" i="6"/>
  <c r="C616" i="6"/>
  <c r="C625" i="6"/>
  <c r="C634" i="6"/>
  <c r="C643" i="6"/>
  <c r="C652" i="6"/>
  <c r="C661" i="6"/>
  <c r="C671" i="6"/>
  <c r="C680" i="6"/>
  <c r="C689" i="6"/>
  <c r="C698" i="6"/>
  <c r="C707" i="6"/>
  <c r="C716" i="6"/>
  <c r="C725" i="6"/>
  <c r="C735" i="6"/>
  <c r="C744" i="6"/>
  <c r="C753" i="6"/>
  <c r="C762" i="6"/>
  <c r="C771" i="6"/>
  <c r="C780" i="6"/>
  <c r="C789" i="6"/>
  <c r="C799" i="6"/>
  <c r="C808" i="6"/>
  <c r="C817" i="6"/>
  <c r="C826" i="6"/>
  <c r="C835" i="6"/>
  <c r="C844" i="6"/>
  <c r="C853" i="6"/>
  <c r="C863" i="6"/>
  <c r="C872" i="6"/>
  <c r="C881" i="6"/>
  <c r="C890" i="6"/>
  <c r="C899" i="6"/>
  <c r="C908" i="6"/>
  <c r="C917" i="6"/>
  <c r="C927" i="6"/>
  <c r="C936" i="6"/>
  <c r="C944" i="6"/>
  <c r="C952" i="6"/>
  <c r="C960" i="6"/>
  <c r="C968" i="6"/>
  <c r="C976" i="6"/>
  <c r="C984" i="6"/>
  <c r="C992" i="6"/>
  <c r="C1000" i="6"/>
  <c r="C1008" i="6"/>
  <c r="C1016" i="6"/>
  <c r="C1024" i="6"/>
  <c r="C1032" i="6"/>
  <c r="C1040" i="6"/>
  <c r="C1048" i="6"/>
  <c r="C1056" i="6"/>
  <c r="C1064" i="6"/>
  <c r="C1072" i="6"/>
  <c r="C1080" i="6"/>
  <c r="C1088" i="6"/>
  <c r="C1096" i="6"/>
  <c r="C1104" i="6"/>
  <c r="C1112" i="6"/>
  <c r="C1120" i="6"/>
  <c r="C1128" i="6"/>
  <c r="C1136" i="6"/>
  <c r="C1144" i="6"/>
  <c r="C1152" i="6"/>
  <c r="C1160" i="6"/>
  <c r="C1168" i="6"/>
  <c r="C1176" i="6"/>
  <c r="C1184" i="6"/>
  <c r="C1192" i="6"/>
  <c r="C1200" i="6"/>
  <c r="C1208" i="6"/>
  <c r="C1216" i="6"/>
  <c r="C1224" i="6"/>
  <c r="C1232" i="6"/>
  <c r="C1240" i="6"/>
  <c r="C1248" i="6"/>
  <c r="C1256" i="6"/>
  <c r="E27" i="6"/>
  <c r="E53" i="6"/>
  <c r="E73" i="6"/>
  <c r="E103" i="6"/>
  <c r="E129" i="6"/>
  <c r="E155" i="6"/>
  <c r="E183" i="6"/>
  <c r="E206" i="6"/>
  <c r="E231" i="6"/>
  <c r="E261" i="6"/>
  <c r="E286" i="6"/>
  <c r="E309" i="6"/>
  <c r="E337" i="6"/>
  <c r="E363" i="6"/>
  <c r="E389" i="6"/>
  <c r="E417" i="6"/>
  <c r="E439" i="6"/>
  <c r="E465" i="6"/>
  <c r="E494" i="6"/>
  <c r="E519" i="6"/>
  <c r="E542" i="6"/>
  <c r="E571" i="6"/>
  <c r="E597" i="6"/>
  <c r="E622" i="6"/>
  <c r="E651" i="6"/>
  <c r="E673" i="6"/>
  <c r="E699" i="6"/>
  <c r="E727" i="6"/>
  <c r="E753" i="6"/>
  <c r="E775" i="6"/>
  <c r="E805" i="6"/>
  <c r="E830" i="6"/>
  <c r="E855" i="6"/>
  <c r="E886" i="6"/>
  <c r="E907" i="6"/>
  <c r="E933" i="6"/>
  <c r="E963" i="6"/>
  <c r="E989" i="6"/>
  <c r="E1009" i="6"/>
  <c r="E1031" i="6"/>
  <c r="E1047" i="6"/>
  <c r="E1063" i="6"/>
  <c r="E1081" i="6"/>
  <c r="E1095" i="6"/>
  <c r="E1111" i="6"/>
  <c r="E1129" i="6"/>
  <c r="E1145" i="6"/>
  <c r="E1159" i="6"/>
  <c r="E1177" i="6"/>
  <c r="E1193" i="6"/>
  <c r="E1209" i="6"/>
  <c r="E1227" i="6"/>
  <c r="E1241" i="6"/>
  <c r="E1257" i="6"/>
  <c r="C17" i="6"/>
  <c r="C33" i="6"/>
  <c r="C47" i="6"/>
  <c r="C65" i="6"/>
  <c r="C81" i="6"/>
  <c r="C97" i="6"/>
  <c r="C116" i="6"/>
  <c r="C129" i="6"/>
  <c r="C145" i="6"/>
  <c r="C161" i="6"/>
  <c r="C175" i="6"/>
  <c r="C187" i="6"/>
  <c r="C203" i="6"/>
  <c r="C217" i="6"/>
  <c r="C231" i="6"/>
  <c r="C247" i="6"/>
  <c r="C259" i="6"/>
  <c r="C272" i="6"/>
  <c r="C285" i="6"/>
  <c r="C297" i="6"/>
  <c r="C308" i="6"/>
  <c r="C322" i="6"/>
  <c r="C333" i="6"/>
  <c r="C345" i="6"/>
  <c r="C359" i="6"/>
  <c r="C370" i="6"/>
  <c r="C381" i="6"/>
  <c r="C395" i="6"/>
  <c r="C407" i="6"/>
  <c r="C418" i="6"/>
  <c r="C432" i="6"/>
  <c r="C443" i="6"/>
  <c r="C455" i="6"/>
  <c r="C468" i="6"/>
  <c r="C480" i="6"/>
  <c r="C491" i="6"/>
  <c r="C505" i="6"/>
  <c r="C516" i="6"/>
  <c r="C528" i="6"/>
  <c r="C541" i="6"/>
  <c r="C553" i="6"/>
  <c r="C564" i="6"/>
  <c r="C575" i="6"/>
  <c r="C584" i="6"/>
  <c r="C593" i="6"/>
  <c r="C602" i="6"/>
  <c r="C611" i="6"/>
  <c r="C620" i="6"/>
  <c r="C629" i="6"/>
  <c r="C639" i="6"/>
  <c r="C648" i="6"/>
  <c r="C657" i="6"/>
  <c r="C666" i="6"/>
  <c r="C675" i="6"/>
  <c r="C684" i="6"/>
  <c r="C693" i="6"/>
  <c r="C703" i="6"/>
  <c r="C712" i="6"/>
  <c r="C721" i="6"/>
  <c r="C730" i="6"/>
  <c r="C739" i="6"/>
  <c r="C748" i="6"/>
  <c r="C757" i="6"/>
  <c r="C767" i="6"/>
  <c r="C776" i="6"/>
  <c r="C785" i="6"/>
  <c r="C794" i="6"/>
  <c r="C803" i="6"/>
  <c r="C812" i="6"/>
  <c r="C821" i="6"/>
  <c r="C831" i="6"/>
  <c r="C840" i="6"/>
  <c r="C849" i="6"/>
  <c r="C858" i="6"/>
  <c r="C867" i="6"/>
  <c r="C876" i="6"/>
  <c r="C885" i="6"/>
  <c r="C895" i="6"/>
  <c r="C904" i="6"/>
  <c r="C913" i="6"/>
  <c r="C922" i="6"/>
  <c r="C931" i="6"/>
  <c r="C940" i="6"/>
  <c r="C948" i="6"/>
  <c r="C956" i="6"/>
  <c r="C964" i="6"/>
  <c r="C972" i="6"/>
  <c r="C980" i="6"/>
  <c r="C988" i="6"/>
  <c r="C996" i="6"/>
  <c r="C1004" i="6"/>
  <c r="C1012" i="6"/>
  <c r="C1020" i="6"/>
  <c r="C1028" i="6"/>
  <c r="C1036" i="6"/>
  <c r="C1044" i="6"/>
  <c r="C1052" i="6"/>
  <c r="C1060" i="6"/>
  <c r="C1068" i="6"/>
  <c r="C1076" i="6"/>
  <c r="C1084" i="6"/>
  <c r="C1092" i="6"/>
  <c r="C1100" i="6"/>
  <c r="C1108" i="6"/>
  <c r="C1116" i="6"/>
  <c r="C1124" i="6"/>
  <c r="C1132" i="6"/>
  <c r="C1140" i="6"/>
  <c r="C1148" i="6"/>
  <c r="C1156" i="6"/>
  <c r="C1164" i="6"/>
  <c r="C1172" i="6"/>
  <c r="C1180" i="6"/>
  <c r="C1188" i="6"/>
  <c r="C1196" i="6"/>
  <c r="C1204" i="6"/>
  <c r="C1212" i="6"/>
  <c r="C1220" i="6"/>
  <c r="C1228" i="6"/>
  <c r="C1236" i="6"/>
  <c r="C1244" i="6"/>
  <c r="C1252" i="6"/>
  <c r="E14" i="6"/>
  <c r="E47" i="6"/>
  <c r="E85" i="6"/>
  <c r="E118" i="6"/>
  <c r="E150" i="6"/>
  <c r="E187" i="6"/>
  <c r="E223" i="6"/>
  <c r="E257" i="6"/>
  <c r="E289" i="6"/>
  <c r="E326" i="6"/>
  <c r="E361" i="6"/>
  <c r="E395" i="6"/>
  <c r="E431" i="6"/>
  <c r="E463" i="6"/>
  <c r="E497" i="6"/>
  <c r="E535" i="6"/>
  <c r="E567" i="6"/>
  <c r="E599" i="6"/>
  <c r="E638" i="6"/>
  <c r="E671" i="6"/>
  <c r="E710" i="6"/>
  <c r="E743" i="6"/>
  <c r="E774" i="6"/>
  <c r="E813" i="6"/>
  <c r="E847" i="6"/>
  <c r="E878" i="6"/>
  <c r="E915" i="6"/>
  <c r="E950" i="6"/>
  <c r="E983" i="6"/>
  <c r="E1019" i="6"/>
  <c r="E1040" i="6"/>
  <c r="E1060" i="6"/>
  <c r="E1083" i="6"/>
  <c r="E1106" i="6"/>
  <c r="E1127" i="6"/>
  <c r="E1147" i="6"/>
  <c r="E1170" i="6"/>
  <c r="E1192" i="6"/>
  <c r="E1214" i="6"/>
  <c r="E1236" i="6"/>
  <c r="E1256" i="6"/>
  <c r="C20" i="6"/>
  <c r="C44" i="6"/>
  <c r="C63" i="6"/>
  <c r="C84" i="6"/>
  <c r="C108" i="6"/>
  <c r="C128" i="6"/>
  <c r="C151" i="6"/>
  <c r="C169" i="6"/>
  <c r="C186" i="6"/>
  <c r="C207" i="6"/>
  <c r="C226" i="6"/>
  <c r="C243" i="6"/>
  <c r="C263" i="6"/>
  <c r="C280" i="6"/>
  <c r="C296" i="6"/>
  <c r="C313" i="6"/>
  <c r="C329" i="6"/>
  <c r="C344" i="6"/>
  <c r="C361" i="6"/>
  <c r="C378" i="6"/>
  <c r="C393" i="6"/>
  <c r="C409" i="6"/>
  <c r="C426" i="6"/>
  <c r="C442" i="6"/>
  <c r="C459" i="6"/>
  <c r="C475" i="6"/>
  <c r="C490" i="6"/>
  <c r="C507" i="6"/>
  <c r="C524" i="6"/>
  <c r="C539" i="6"/>
  <c r="C555" i="6"/>
  <c r="C571" i="6"/>
  <c r="C583" i="6"/>
  <c r="C595" i="6"/>
  <c r="C608" i="6"/>
  <c r="C619" i="6"/>
  <c r="C632" i="6"/>
  <c r="C644" i="6"/>
  <c r="C656" i="6"/>
  <c r="C668" i="6"/>
  <c r="C681" i="6"/>
  <c r="C692" i="6"/>
  <c r="C705" i="6"/>
  <c r="C717" i="6"/>
  <c r="C729" i="6"/>
  <c r="C741" i="6"/>
  <c r="C754" i="6"/>
  <c r="C765" i="6"/>
  <c r="C778" i="6"/>
  <c r="C791" i="6"/>
  <c r="C802" i="6"/>
  <c r="C815" i="6"/>
  <c r="C827" i="6"/>
  <c r="C839" i="6"/>
  <c r="C851" i="6"/>
  <c r="C864" i="6"/>
  <c r="C875" i="6"/>
  <c r="C888" i="6"/>
  <c r="C900" i="6"/>
  <c r="C912" i="6"/>
  <c r="C924" i="6"/>
  <c r="C937" i="6"/>
  <c r="C947" i="6"/>
  <c r="C958" i="6"/>
  <c r="C969" i="6"/>
  <c r="C979" i="6"/>
  <c r="C990" i="6"/>
  <c r="C1001" i="6"/>
  <c r="C1011" i="6"/>
  <c r="C1022" i="6"/>
  <c r="C1033" i="6"/>
  <c r="C1043" i="6"/>
  <c r="C1054" i="6"/>
  <c r="C1065" i="6"/>
  <c r="C1075" i="6"/>
  <c r="C1086" i="6"/>
  <c r="C1097" i="6"/>
  <c r="C1107" i="6"/>
  <c r="C1118" i="6"/>
  <c r="C1129" i="6"/>
  <c r="C1139" i="6"/>
  <c r="C1150" i="6"/>
  <c r="C1161" i="6"/>
  <c r="C1171" i="6"/>
  <c r="C1182" i="6"/>
  <c r="C1193" i="6"/>
  <c r="C1203" i="6"/>
  <c r="C1214" i="6"/>
  <c r="C1225" i="6"/>
  <c r="C1235" i="6"/>
  <c r="C1246" i="6"/>
  <c r="C1257" i="6"/>
  <c r="E30" i="6"/>
  <c r="E69" i="6"/>
  <c r="E99" i="6"/>
  <c r="E133" i="6"/>
  <c r="E171" i="6"/>
  <c r="E203" i="6"/>
  <c r="E241" i="6"/>
  <c r="E275" i="6"/>
  <c r="E305" i="6"/>
  <c r="E343" i="6"/>
  <c r="E379" i="6"/>
  <c r="E411" i="6"/>
  <c r="E446" i="6"/>
  <c r="E481" i="6"/>
  <c r="E517" i="6"/>
  <c r="E553" i="6"/>
  <c r="E585" i="6"/>
  <c r="E619" i="6"/>
  <c r="E655" i="6"/>
  <c r="E693" i="6"/>
  <c r="E725" i="6"/>
  <c r="E758" i="6"/>
  <c r="E795" i="6"/>
  <c r="E829" i="6"/>
  <c r="E863" i="6"/>
  <c r="E901" i="6"/>
  <c r="E931" i="6"/>
  <c r="E966" i="6"/>
  <c r="E1005" i="6"/>
  <c r="E1028" i="6"/>
  <c r="E1049" i="6"/>
  <c r="E1073" i="6"/>
  <c r="E1094" i="6"/>
  <c r="E1118" i="6"/>
  <c r="E1138" i="6"/>
  <c r="E1158" i="6"/>
  <c r="E1182" i="6"/>
  <c r="E1203" i="6"/>
  <c r="E1223" i="6"/>
  <c r="E1246" i="6"/>
  <c r="C9" i="6"/>
  <c r="C31" i="6"/>
  <c r="C54" i="6"/>
  <c r="C74" i="6"/>
  <c r="C95" i="6"/>
  <c r="C118" i="6"/>
  <c r="C141" i="6"/>
  <c r="C159" i="6"/>
  <c r="C177" i="6"/>
  <c r="C197" i="6"/>
  <c r="C216" i="6"/>
  <c r="C235" i="6"/>
  <c r="C255" i="6"/>
  <c r="C271" i="6"/>
  <c r="C288" i="6"/>
  <c r="C305" i="6"/>
  <c r="C320" i="6"/>
  <c r="C336" i="6"/>
  <c r="C353" i="6"/>
  <c r="C369" i="6"/>
  <c r="C386" i="6"/>
  <c r="C402" i="6"/>
  <c r="C417" i="6"/>
  <c r="C434" i="6"/>
  <c r="C451" i="6"/>
  <c r="C466" i="6"/>
  <c r="C482" i="6"/>
  <c r="C499" i="6"/>
  <c r="C515" i="6"/>
  <c r="C532" i="6"/>
  <c r="C548" i="6"/>
  <c r="C563" i="6"/>
  <c r="C577" i="6"/>
  <c r="C589" i="6"/>
  <c r="C601" i="6"/>
  <c r="C613" i="6"/>
  <c r="C626" i="6"/>
  <c r="C637" i="6"/>
  <c r="C650" i="6"/>
  <c r="C663" i="6"/>
  <c r="C674" i="6"/>
  <c r="C687" i="6"/>
  <c r="C699" i="6"/>
  <c r="C711" i="6"/>
  <c r="C723" i="6"/>
  <c r="C736" i="6"/>
  <c r="C747" i="6"/>
  <c r="C760" i="6"/>
  <c r="C772" i="6"/>
  <c r="C784" i="6"/>
  <c r="C796" i="6"/>
  <c r="C809" i="6"/>
  <c r="C820" i="6"/>
  <c r="C833" i="6"/>
  <c r="C845" i="6"/>
  <c r="C857" i="6"/>
  <c r="C869" i="6"/>
  <c r="C882" i="6"/>
  <c r="C893" i="6"/>
  <c r="C906" i="6"/>
  <c r="C919" i="6"/>
  <c r="C930" i="6"/>
  <c r="C942" i="6"/>
  <c r="C953" i="6"/>
  <c r="C963" i="6"/>
  <c r="C974" i="6"/>
  <c r="C985" i="6"/>
  <c r="C995" i="6"/>
  <c r="C1006" i="6"/>
  <c r="C1017" i="6"/>
  <c r="C1027" i="6"/>
  <c r="C1038" i="6"/>
  <c r="C1049" i="6"/>
  <c r="C1059" i="6"/>
  <c r="C1070" i="6"/>
  <c r="C1081" i="6"/>
  <c r="C1091" i="6"/>
  <c r="C1102" i="6"/>
  <c r="C1113" i="6"/>
  <c r="C1123" i="6"/>
  <c r="C1134" i="6"/>
  <c r="C1145" i="6"/>
  <c r="C1155" i="6"/>
  <c r="C1166" i="6"/>
  <c r="C1177" i="6"/>
  <c r="C1187" i="6"/>
  <c r="C1198" i="6"/>
  <c r="C1209" i="6"/>
  <c r="C1219" i="6"/>
  <c r="C1230" i="6"/>
  <c r="C1241" i="6"/>
  <c r="C1251" i="6"/>
  <c r="E15" i="6"/>
  <c r="E59" i="6"/>
  <c r="E110" i="6"/>
  <c r="E158" i="6"/>
  <c r="E201" i="6"/>
  <c r="E247" i="6"/>
  <c r="E293" i="6"/>
  <c r="E341" i="6"/>
  <c r="E385" i="6"/>
  <c r="E437" i="6"/>
  <c r="E478" i="6"/>
  <c r="E523" i="6"/>
  <c r="E574" i="6"/>
  <c r="E615" i="6"/>
  <c r="E667" i="6"/>
  <c r="E711" i="6"/>
  <c r="E757" i="6"/>
  <c r="E801" i="6"/>
  <c r="E849" i="6"/>
  <c r="E891" i="6"/>
  <c r="E943" i="6"/>
  <c r="E990" i="6"/>
  <c r="E1026" i="6"/>
  <c r="E1057" i="6"/>
  <c r="E1084" i="6"/>
  <c r="E1113" i="6"/>
  <c r="E1143" i="6"/>
  <c r="E1172" i="6"/>
  <c r="E1200" i="6"/>
  <c r="E1230" i="6"/>
  <c r="E1259" i="6"/>
  <c r="C29" i="6"/>
  <c r="C58" i="6"/>
  <c r="C88" i="6"/>
  <c r="C117" i="6"/>
  <c r="C144" i="6"/>
  <c r="C171" i="6"/>
  <c r="C194" i="6"/>
  <c r="C219" i="6"/>
  <c r="C248" i="6"/>
  <c r="C269" i="6"/>
  <c r="C292" i="6"/>
  <c r="C314" i="6"/>
  <c r="C335" i="6"/>
  <c r="C356" i="6"/>
  <c r="C379" i="6"/>
  <c r="C399" i="6"/>
  <c r="C423" i="6"/>
  <c r="C444" i="6"/>
  <c r="C464" i="6"/>
  <c r="C488" i="6"/>
  <c r="C508" i="6"/>
  <c r="C530" i="6"/>
  <c r="C552" i="6"/>
  <c r="C572" i="6"/>
  <c r="C587" i="6"/>
  <c r="C604" i="6"/>
  <c r="C621" i="6"/>
  <c r="C636" i="6"/>
  <c r="C653" i="6"/>
  <c r="C669" i="6"/>
  <c r="C685" i="6"/>
  <c r="C701" i="6"/>
  <c r="C719" i="6"/>
  <c r="C733" i="6"/>
  <c r="C751" i="6"/>
  <c r="C768" i="6"/>
  <c r="C783" i="6"/>
  <c r="C800" i="6"/>
  <c r="C816" i="6"/>
  <c r="C832" i="6"/>
  <c r="C848" i="6"/>
  <c r="C865" i="6"/>
  <c r="C880" i="6"/>
  <c r="C897" i="6"/>
  <c r="C914" i="6"/>
  <c r="C929" i="6"/>
  <c r="C945" i="6"/>
  <c r="C959" i="6"/>
  <c r="C973" i="6"/>
  <c r="C987" i="6"/>
  <c r="C1002" i="6"/>
  <c r="C1015" i="6"/>
  <c r="C1030" i="6"/>
  <c r="C1045" i="6"/>
  <c r="C1058" i="6"/>
  <c r="C1073" i="6"/>
  <c r="C1087" i="6"/>
  <c r="C1101" i="6"/>
  <c r="C1115" i="6"/>
  <c r="C1130" i="6"/>
  <c r="C1143" i="6"/>
  <c r="C1158" i="6"/>
  <c r="C1173" i="6"/>
  <c r="C1186" i="6"/>
  <c r="C1201" i="6"/>
  <c r="C1215" i="6"/>
  <c r="C1229" i="6"/>
  <c r="C1243" i="6"/>
  <c r="C1258" i="6"/>
  <c r="E41" i="6"/>
  <c r="E86" i="6"/>
  <c r="E131" i="6"/>
  <c r="E175" i="6"/>
  <c r="E227" i="6"/>
  <c r="E267" i="6"/>
  <c r="E318" i="6"/>
  <c r="E365" i="6"/>
  <c r="E406" i="6"/>
  <c r="E457" i="6"/>
  <c r="E502" i="6"/>
  <c r="E549" i="6"/>
  <c r="E595" i="6"/>
  <c r="E641" i="6"/>
  <c r="E685" i="6"/>
  <c r="E733" i="6"/>
  <c r="E783" i="6"/>
  <c r="E827" i="6"/>
  <c r="E873" i="6"/>
  <c r="E918" i="6"/>
  <c r="E965" i="6"/>
  <c r="E1007" i="6"/>
  <c r="E1044" i="6"/>
  <c r="E1070" i="6"/>
  <c r="E1099" i="6"/>
  <c r="E1130" i="6"/>
  <c r="E1156" i="6"/>
  <c r="E1186" i="6"/>
  <c r="E1216" i="6"/>
  <c r="E1243" i="6"/>
  <c r="C15" i="6"/>
  <c r="C45" i="6"/>
  <c r="C71" i="6"/>
  <c r="C102" i="6"/>
  <c r="C132" i="6"/>
  <c r="C155" i="6"/>
  <c r="C184" i="6"/>
  <c r="C208" i="6"/>
  <c r="C233" i="6"/>
  <c r="C258" i="6"/>
  <c r="C281" i="6"/>
  <c r="C301" i="6"/>
  <c r="C324" i="6"/>
  <c r="C347" i="6"/>
  <c r="C368" i="6"/>
  <c r="C389" i="6"/>
  <c r="C411" i="6"/>
  <c r="C433" i="6"/>
  <c r="C453" i="6"/>
  <c r="C477" i="6"/>
  <c r="C497" i="6"/>
  <c r="C519" i="6"/>
  <c r="C543" i="6"/>
  <c r="C562" i="6"/>
  <c r="C580" i="6"/>
  <c r="C596" i="6"/>
  <c r="C612" i="6"/>
  <c r="C628" i="6"/>
  <c r="C645" i="6"/>
  <c r="C660" i="6"/>
  <c r="C677" i="6"/>
  <c r="C695" i="6"/>
  <c r="C709" i="6"/>
  <c r="C727" i="6"/>
  <c r="C743" i="6"/>
  <c r="C759" i="6"/>
  <c r="C775" i="6"/>
  <c r="C792" i="6"/>
  <c r="C807" i="6"/>
  <c r="C824" i="6"/>
  <c r="C841" i="6"/>
  <c r="C856" i="6"/>
  <c r="C873" i="6"/>
  <c r="C889" i="6"/>
  <c r="C905" i="6"/>
  <c r="C921" i="6"/>
  <c r="C938" i="6"/>
  <c r="C951" i="6"/>
  <c r="C966" i="6"/>
  <c r="C981" i="6"/>
  <c r="C994" i="6"/>
  <c r="C1009" i="6"/>
  <c r="C1023" i="6"/>
  <c r="C1037" i="6"/>
  <c r="C1051" i="6"/>
  <c r="C1066" i="6"/>
  <c r="C1079" i="6"/>
  <c r="C1094" i="6"/>
  <c r="C1109" i="6"/>
  <c r="C1122" i="6"/>
  <c r="C1137" i="6"/>
  <c r="C1151" i="6"/>
  <c r="C1165" i="6"/>
  <c r="C1179" i="6"/>
  <c r="C1194" i="6"/>
  <c r="C1207" i="6"/>
  <c r="C1222" i="6"/>
  <c r="C1237" i="6"/>
  <c r="C1250" i="6"/>
  <c r="E1262" i="6"/>
  <c r="E45" i="6"/>
  <c r="E93" i="6"/>
  <c r="E139" i="6"/>
  <c r="E185" i="6"/>
  <c r="E229" i="6"/>
  <c r="E278" i="6"/>
  <c r="E321" i="6"/>
  <c r="E366" i="6"/>
  <c r="E419" i="6"/>
  <c r="E462" i="6"/>
  <c r="E509" i="6"/>
  <c r="E555" i="6"/>
  <c r="E598" i="6"/>
  <c r="E645" i="6"/>
  <c r="E695" i="6"/>
  <c r="E735" i="6"/>
  <c r="E787" i="6"/>
  <c r="E833" i="6"/>
  <c r="E875" i="6"/>
  <c r="E926" i="6"/>
  <c r="E969" i="6"/>
  <c r="E1017" i="6"/>
  <c r="E1046" i="6"/>
  <c r="E1074" i="6"/>
  <c r="E1102" i="6"/>
  <c r="E1131" i="6"/>
  <c r="E1163" i="6"/>
  <c r="E1191" i="6"/>
  <c r="E1219" i="6"/>
  <c r="E1248" i="6"/>
  <c r="C18" i="6"/>
  <c r="C46" i="6"/>
  <c r="C79" i="6"/>
  <c r="C104" i="6"/>
  <c r="C134" i="6"/>
  <c r="C162" i="6"/>
  <c r="C185" i="6"/>
  <c r="C211" i="6"/>
  <c r="C237" i="6"/>
  <c r="C261" i="6"/>
  <c r="C283" i="6"/>
  <c r="C306" i="6"/>
  <c r="C325" i="6"/>
  <c r="C349" i="6"/>
  <c r="C371" i="6"/>
  <c r="C391" i="6"/>
  <c r="C415" i="6"/>
  <c r="C435" i="6"/>
  <c r="C457" i="6"/>
  <c r="C479" i="6"/>
  <c r="C500" i="6"/>
  <c r="C521" i="6"/>
  <c r="C544" i="6"/>
  <c r="C565" i="6"/>
  <c r="C581" i="6"/>
  <c r="C599" i="6"/>
  <c r="C615" i="6"/>
  <c r="C631" i="6"/>
  <c r="C647" i="6"/>
  <c r="C664" i="6"/>
  <c r="C679" i="6"/>
  <c r="C696" i="6"/>
  <c r="C713" i="6"/>
  <c r="C728" i="6"/>
  <c r="C745" i="6"/>
  <c r="C761" i="6"/>
  <c r="C777" i="6"/>
  <c r="C793" i="6"/>
  <c r="C810" i="6"/>
  <c r="C825" i="6"/>
  <c r="C842" i="6"/>
  <c r="C859" i="6"/>
  <c r="C874" i="6"/>
  <c r="C891" i="6"/>
  <c r="C907" i="6"/>
  <c r="C923" i="6"/>
  <c r="C939" i="6"/>
  <c r="C954" i="6"/>
  <c r="C967" i="6"/>
  <c r="C982" i="6"/>
  <c r="C997" i="6"/>
  <c r="C1010" i="6"/>
  <c r="C1025" i="6"/>
  <c r="C1039" i="6"/>
  <c r="C1053" i="6"/>
  <c r="C1067" i="6"/>
  <c r="C1082" i="6"/>
  <c r="C1095" i="6"/>
  <c r="C1110" i="6"/>
  <c r="C1125" i="6"/>
  <c r="C1138" i="6"/>
  <c r="C1153" i="6"/>
  <c r="C1167" i="6"/>
  <c r="C1181" i="6"/>
  <c r="C1195" i="6"/>
  <c r="C1210" i="6"/>
  <c r="C1223" i="6"/>
  <c r="C1238" i="6"/>
  <c r="C1253" i="6"/>
  <c r="E22" i="6"/>
  <c r="E95" i="6"/>
  <c r="E165" i="6"/>
  <c r="E245" i="6"/>
  <c r="E315" i="6"/>
  <c r="E391" i="6"/>
  <c r="E469" i="6"/>
  <c r="E539" i="6"/>
  <c r="E613" i="6"/>
  <c r="E681" i="6"/>
  <c r="E761" i="6"/>
  <c r="E835" i="6"/>
  <c r="E905" i="6"/>
  <c r="E981" i="6"/>
  <c r="E1036" i="6"/>
  <c r="E1090" i="6"/>
  <c r="E1134" i="6"/>
  <c r="E1179" i="6"/>
  <c r="E1228" i="6"/>
  <c r="C10" i="6"/>
  <c r="C61" i="6"/>
  <c r="C109" i="6"/>
  <c r="C152" i="6"/>
  <c r="C193" i="6"/>
  <c r="C229" i="6"/>
  <c r="C274" i="6"/>
  <c r="C307" i="6"/>
  <c r="C341" i="6"/>
  <c r="C375" i="6"/>
  <c r="C408" i="6"/>
  <c r="C445" i="6"/>
  <c r="C481" i="6"/>
  <c r="C514" i="6"/>
  <c r="C551" i="6"/>
  <c r="C578" i="6"/>
  <c r="C605" i="6"/>
  <c r="C633" i="6"/>
  <c r="C658" i="6"/>
  <c r="C683" i="6"/>
  <c r="C708" i="6"/>
  <c r="C737" i="6"/>
  <c r="C763" i="6"/>
  <c r="C787" i="6"/>
  <c r="C813" i="6"/>
  <c r="C837" i="6"/>
  <c r="C866" i="6"/>
  <c r="C892" i="6"/>
  <c r="C916" i="6"/>
  <c r="C943" i="6"/>
  <c r="C965" i="6"/>
  <c r="C989" i="6"/>
  <c r="C1013" i="6"/>
  <c r="C1034" i="6"/>
  <c r="C1057" i="6"/>
  <c r="C1078" i="6"/>
  <c r="C1103" i="6"/>
  <c r="C1126" i="6"/>
  <c r="C1147" i="6"/>
  <c r="C1170" i="6"/>
  <c r="C1191" i="6"/>
  <c r="C1217" i="6"/>
  <c r="C1239" i="6"/>
  <c r="E29" i="6"/>
  <c r="E107" i="6"/>
  <c r="E173" i="6"/>
  <c r="E249" i="6"/>
  <c r="E329" i="6"/>
  <c r="E399" i="6"/>
  <c r="E477" i="6"/>
  <c r="E541" i="6"/>
  <c r="E625" i="6"/>
  <c r="E697" i="6"/>
  <c r="E771" i="6"/>
  <c r="E841" i="6"/>
  <c r="E911" i="6"/>
  <c r="E991" i="6"/>
  <c r="E1048" i="6"/>
  <c r="E1092" i="6"/>
  <c r="E1140" i="6"/>
  <c r="E1183" i="6"/>
  <c r="E1231" i="6"/>
  <c r="C22" i="6"/>
  <c r="C68" i="6"/>
  <c r="C111" i="6"/>
  <c r="C154" i="6"/>
  <c r="C199" i="6"/>
  <c r="C240" i="6"/>
  <c r="C276" i="6"/>
  <c r="C311" i="6"/>
  <c r="C343" i="6"/>
  <c r="C380" i="6"/>
  <c r="C416" i="6"/>
  <c r="C448" i="6"/>
  <c r="C484" i="6"/>
  <c r="C517" i="6"/>
  <c r="C554" i="6"/>
  <c r="C585" i="6"/>
  <c r="C609" i="6"/>
  <c r="C635" i="6"/>
  <c r="C659" i="6"/>
  <c r="C688" i="6"/>
  <c r="C714" i="6"/>
  <c r="C738" i="6"/>
  <c r="C764" i="6"/>
  <c r="C818" i="6"/>
  <c r="C843" i="6"/>
  <c r="C868" i="6"/>
  <c r="C896" i="6"/>
  <c r="C920" i="6"/>
  <c r="C946" i="6"/>
  <c r="C970" i="6"/>
  <c r="C991" i="6"/>
  <c r="C1014" i="6"/>
  <c r="C1035" i="6"/>
  <c r="C1061" i="6"/>
  <c r="C1083" i="6"/>
  <c r="C1105" i="6"/>
  <c r="C1127" i="6"/>
  <c r="C1149" i="6"/>
  <c r="C1197" i="6"/>
  <c r="C1218" i="6"/>
  <c r="C1242" i="6"/>
  <c r="E347" i="6"/>
  <c r="E633" i="6"/>
  <c r="E861" i="6"/>
  <c r="E1058" i="6"/>
  <c r="E1150" i="6"/>
  <c r="C34" i="6"/>
  <c r="C125" i="6"/>
  <c r="C249" i="6"/>
  <c r="C354" i="6"/>
  <c r="C424" i="6"/>
  <c r="C493" i="6"/>
  <c r="C561" i="6"/>
  <c r="C641" i="6"/>
  <c r="C691" i="6"/>
  <c r="C770" i="6"/>
  <c r="C850" i="6"/>
  <c r="C928" i="6"/>
  <c r="C975" i="6"/>
  <c r="C1042" i="6"/>
  <c r="C1089" i="6"/>
  <c r="C1157" i="6"/>
  <c r="C1202" i="6"/>
  <c r="C1247" i="6"/>
  <c r="C100" i="6"/>
  <c r="C372" i="6"/>
  <c r="C472" i="6"/>
  <c r="C576" i="6"/>
  <c r="C655" i="6"/>
  <c r="C732" i="6"/>
  <c r="C811" i="6"/>
  <c r="C887" i="6"/>
  <c r="C941" i="6"/>
  <c r="C1007" i="6"/>
  <c r="C1077" i="6"/>
  <c r="C1146" i="6"/>
  <c r="C1169" i="6"/>
  <c r="C1234" i="6"/>
  <c r="C788" i="6"/>
  <c r="C1174" i="6"/>
  <c r="E54" i="6"/>
  <c r="E198" i="6"/>
  <c r="E421" i="6"/>
  <c r="E565" i="6"/>
  <c r="E937" i="6"/>
  <c r="E1195" i="6"/>
  <c r="C165" i="6"/>
  <c r="C287" i="6"/>
  <c r="C460" i="6"/>
  <c r="C617" i="6"/>
  <c r="C746" i="6"/>
  <c r="C877" i="6"/>
  <c r="C998" i="6"/>
  <c r="C1111" i="6"/>
  <c r="C1226" i="6"/>
  <c r="E1260" i="6"/>
  <c r="E33" i="6"/>
  <c r="E111" i="6"/>
  <c r="E189" i="6"/>
  <c r="E262" i="6"/>
  <c r="E334" i="6"/>
  <c r="E405" i="6"/>
  <c r="E483" i="6"/>
  <c r="E559" i="6"/>
  <c r="E630" i="6"/>
  <c r="E702" i="6"/>
  <c r="E773" i="6"/>
  <c r="E853" i="6"/>
  <c r="E929" i="6"/>
  <c r="E995" i="6"/>
  <c r="E1054" i="6"/>
  <c r="E1097" i="6"/>
  <c r="E1146" i="6"/>
  <c r="E1194" i="6"/>
  <c r="E1239" i="6"/>
  <c r="C26" i="6"/>
  <c r="C70" i="6"/>
  <c r="C119" i="6"/>
  <c r="C163" i="6"/>
  <c r="C201" i="6"/>
  <c r="C241" i="6"/>
  <c r="C277" i="6"/>
  <c r="C316" i="6"/>
  <c r="C351" i="6"/>
  <c r="C384" i="6"/>
  <c r="C420" i="6"/>
  <c r="C452" i="6"/>
  <c r="C489" i="6"/>
  <c r="C525" i="6"/>
  <c r="C557" i="6"/>
  <c r="C586" i="6"/>
  <c r="C610" i="6"/>
  <c r="C640" i="6"/>
  <c r="C665" i="6"/>
  <c r="C690" i="6"/>
  <c r="C715" i="6"/>
  <c r="C740" i="6"/>
  <c r="C769" i="6"/>
  <c r="C795" i="6"/>
  <c r="C819" i="6"/>
  <c r="C847" i="6"/>
  <c r="C871" i="6"/>
  <c r="C898" i="6"/>
  <c r="C925" i="6"/>
  <c r="C949" i="6"/>
  <c r="C971" i="6"/>
  <c r="C993" i="6"/>
  <c r="C1018" i="6"/>
  <c r="C1041" i="6"/>
  <c r="C1062" i="6"/>
  <c r="C1085" i="6"/>
  <c r="C1106" i="6"/>
  <c r="C1131" i="6"/>
  <c r="C1154" i="6"/>
  <c r="C1175" i="6"/>
  <c r="C1199" i="6"/>
  <c r="C1221" i="6"/>
  <c r="C1245" i="6"/>
  <c r="E125" i="6"/>
  <c r="E263" i="6"/>
  <c r="E491" i="6"/>
  <c r="E715" i="6"/>
  <c r="E789" i="6"/>
  <c r="E1006" i="6"/>
  <c r="E1108" i="6"/>
  <c r="E1240" i="6"/>
  <c r="C80" i="6"/>
  <c r="C205" i="6"/>
  <c r="C317" i="6"/>
  <c r="C387" i="6"/>
  <c r="C527" i="6"/>
  <c r="C591" i="6"/>
  <c r="C667" i="6"/>
  <c r="C720" i="6"/>
  <c r="C797" i="6"/>
  <c r="C823" i="6"/>
  <c r="C901" i="6"/>
  <c r="C950" i="6"/>
  <c r="C1019" i="6"/>
  <c r="C1063" i="6"/>
  <c r="C1133" i="6"/>
  <c r="C1178" i="6"/>
  <c r="C55" i="6"/>
  <c r="C338" i="6"/>
  <c r="C441" i="6"/>
  <c r="C545" i="6"/>
  <c r="C627" i="6"/>
  <c r="C706" i="6"/>
  <c r="C756" i="6"/>
  <c r="C836" i="6"/>
  <c r="C915" i="6"/>
  <c r="C986" i="6"/>
  <c r="C1055" i="6"/>
  <c r="C1121" i="6"/>
  <c r="C1190" i="6"/>
  <c r="C1259" i="6"/>
  <c r="E55" i="6"/>
  <c r="E126" i="6"/>
  <c r="E209" i="6"/>
  <c r="E283" i="6"/>
  <c r="E351" i="6"/>
  <c r="E423" i="6"/>
  <c r="E495" i="6"/>
  <c r="E579" i="6"/>
  <c r="E654" i="6"/>
  <c r="E718" i="6"/>
  <c r="E798" i="6"/>
  <c r="E867" i="6"/>
  <c r="E945" i="6"/>
  <c r="E1020" i="6"/>
  <c r="E1065" i="6"/>
  <c r="E1110" i="6"/>
  <c r="E1155" i="6"/>
  <c r="E1204" i="6"/>
  <c r="E1252" i="6"/>
  <c r="C36" i="6"/>
  <c r="C82" i="6"/>
  <c r="C127" i="6"/>
  <c r="C173" i="6"/>
  <c r="C215" i="6"/>
  <c r="C250" i="6"/>
  <c r="C289" i="6"/>
  <c r="C323" i="6"/>
  <c r="C360" i="6"/>
  <c r="C396" i="6"/>
  <c r="C427" i="6"/>
  <c r="C463" i="6"/>
  <c r="C496" i="6"/>
  <c r="C533" i="6"/>
  <c r="C567" i="6"/>
  <c r="C592" i="6"/>
  <c r="C618" i="6"/>
  <c r="C642" i="6"/>
  <c r="C672" i="6"/>
  <c r="C697" i="6"/>
  <c r="C722" i="6"/>
  <c r="C749" i="6"/>
  <c r="C773" i="6"/>
  <c r="C801" i="6"/>
  <c r="C828" i="6"/>
  <c r="C852" i="6"/>
  <c r="C879" i="6"/>
  <c r="C903" i="6"/>
  <c r="C932" i="6"/>
  <c r="C955" i="6"/>
  <c r="C977" i="6"/>
  <c r="C999" i="6"/>
  <c r="C1021" i="6"/>
  <c r="C1046" i="6"/>
  <c r="C1069" i="6"/>
  <c r="C1090" i="6"/>
  <c r="C1114" i="6"/>
  <c r="C1135" i="6"/>
  <c r="C1159" i="6"/>
  <c r="C1183" i="6"/>
  <c r="C1205" i="6"/>
  <c r="C1227" i="6"/>
  <c r="C1249" i="6"/>
  <c r="E1261" i="6"/>
  <c r="E70" i="6"/>
  <c r="E145" i="6"/>
  <c r="E213" i="6"/>
  <c r="E287" i="6"/>
  <c r="E359" i="6"/>
  <c r="E438" i="6"/>
  <c r="E513" i="6"/>
  <c r="E581" i="6"/>
  <c r="E657" i="6"/>
  <c r="E731" i="6"/>
  <c r="E809" i="6"/>
  <c r="E887" i="6"/>
  <c r="E951" i="6"/>
  <c r="E1024" i="6"/>
  <c r="E1067" i="6"/>
  <c r="E1119" i="6"/>
  <c r="E1166" i="6"/>
  <c r="E1207" i="6"/>
  <c r="E1255" i="6"/>
  <c r="C38" i="6"/>
  <c r="C92" i="6"/>
  <c r="C136" i="6"/>
  <c r="C176" i="6"/>
  <c r="C218" i="6"/>
  <c r="C257" i="6"/>
  <c r="C295" i="6"/>
  <c r="C331" i="6"/>
  <c r="C362" i="6"/>
  <c r="C397" i="6"/>
  <c r="C429" i="6"/>
  <c r="C469" i="6"/>
  <c r="C503" i="6"/>
  <c r="C536" i="6"/>
  <c r="C569" i="6"/>
  <c r="C594" i="6"/>
  <c r="C623" i="6"/>
  <c r="C649" i="6"/>
  <c r="C673" i="6"/>
  <c r="C700" i="6"/>
  <c r="C724" i="6"/>
  <c r="C752" i="6"/>
  <c r="C779" i="6"/>
  <c r="C804" i="6"/>
  <c r="C829" i="6"/>
  <c r="C855" i="6"/>
  <c r="C883" i="6"/>
  <c r="C909" i="6"/>
  <c r="C933" i="6"/>
  <c r="C957" i="6"/>
  <c r="C978" i="6"/>
  <c r="C1003" i="6"/>
  <c r="C1026" i="6"/>
  <c r="C1047" i="6"/>
  <c r="C1071" i="6"/>
  <c r="C1093" i="6"/>
  <c r="C1117" i="6"/>
  <c r="C1141" i="6"/>
  <c r="C1162" i="6"/>
  <c r="C1185" i="6"/>
  <c r="C1206" i="6"/>
  <c r="C1231" i="6"/>
  <c r="C1254" i="6"/>
  <c r="E7" i="6"/>
  <c r="E71" i="6"/>
  <c r="E147" i="6"/>
  <c r="E215" i="6"/>
  <c r="E302" i="6"/>
  <c r="E374" i="6"/>
  <c r="E443" i="6"/>
  <c r="E521" i="6"/>
  <c r="E593" i="6"/>
  <c r="E670" i="6"/>
  <c r="E747" i="6"/>
  <c r="E814" i="6"/>
  <c r="E889" i="6"/>
  <c r="E958" i="6"/>
  <c r="E1033" i="6"/>
  <c r="E1076" i="6"/>
  <c r="E1121" i="6"/>
  <c r="E1167" i="6"/>
  <c r="E1211" i="6"/>
  <c r="C6" i="6"/>
  <c r="C52" i="6"/>
  <c r="C93" i="6"/>
  <c r="C143" i="6"/>
  <c r="C179" i="6"/>
  <c r="C223" i="6"/>
  <c r="C265" i="6"/>
  <c r="C298" i="6"/>
  <c r="C332" i="6"/>
  <c r="C365" i="6"/>
  <c r="C404" i="6"/>
  <c r="C439" i="6"/>
  <c r="C471" i="6"/>
  <c r="C506" i="6"/>
  <c r="C537" i="6"/>
  <c r="C573" i="6"/>
  <c r="C600" i="6"/>
  <c r="C624" i="6"/>
  <c r="C651" i="6"/>
  <c r="C676" i="6"/>
  <c r="C704" i="6"/>
  <c r="C731" i="6"/>
  <c r="C755" i="6"/>
  <c r="C781" i="6"/>
  <c r="C805" i="6"/>
  <c r="C834" i="6"/>
  <c r="C860" i="6"/>
  <c r="C884" i="6"/>
  <c r="C911" i="6"/>
  <c r="C935" i="6"/>
  <c r="C961" i="6"/>
  <c r="C983" i="6"/>
  <c r="C1005" i="6"/>
  <c r="C1029" i="6"/>
  <c r="C1050" i="6"/>
  <c r="C1074" i="6"/>
  <c r="C1098" i="6"/>
  <c r="C1119" i="6"/>
  <c r="C1142" i="6"/>
  <c r="C1163" i="6"/>
  <c r="C1189" i="6"/>
  <c r="C1211" i="6"/>
  <c r="C1233" i="6"/>
  <c r="C1255" i="6"/>
  <c r="E9" i="6"/>
  <c r="E81" i="6"/>
  <c r="E161" i="6"/>
  <c r="E235" i="6"/>
  <c r="E303" i="6"/>
  <c r="E381" i="6"/>
  <c r="E451" i="6"/>
  <c r="E527" i="6"/>
  <c r="E607" i="6"/>
  <c r="E677" i="6"/>
  <c r="E750" i="6"/>
  <c r="E821" i="6"/>
  <c r="E903" i="6"/>
  <c r="E977" i="6"/>
  <c r="E1035" i="6"/>
  <c r="E1082" i="6"/>
  <c r="E1122" i="6"/>
  <c r="E1175" i="6"/>
  <c r="E1220" i="6"/>
  <c r="C7" i="6"/>
  <c r="C147" i="6"/>
  <c r="C191" i="6"/>
  <c r="C227" i="6"/>
  <c r="C268" i="6"/>
  <c r="C299" i="6"/>
  <c r="C405" i="6"/>
  <c r="C512" i="6"/>
  <c r="C603" i="6"/>
  <c r="C682" i="6"/>
  <c r="C786" i="6"/>
  <c r="C861" i="6"/>
  <c r="C962" i="6"/>
  <c r="C1031" i="6"/>
  <c r="C1099" i="6"/>
  <c r="C1213" i="6"/>
  <c r="J9" i="2"/>
  <c r="J7" i="2"/>
  <c r="J5" i="2"/>
  <c r="J6" i="2"/>
  <c r="J3" i="2"/>
  <c r="J4" i="2"/>
  <c r="J2" i="2"/>
  <c r="J8" i="2"/>
  <c r="D1213" i="6"/>
  <c r="D512" i="6"/>
  <c r="D1098" i="6"/>
  <c r="D911" i="6"/>
  <c r="D704" i="6"/>
  <c r="D471" i="6"/>
  <c r="D179" i="6"/>
  <c r="D1206" i="6"/>
  <c r="D1026" i="6"/>
  <c r="D829" i="6"/>
  <c r="D623" i="6"/>
  <c r="D362" i="6"/>
  <c r="D38" i="6"/>
  <c r="D1090" i="6"/>
  <c r="D903" i="6"/>
  <c r="D697" i="6"/>
  <c r="D463" i="6"/>
  <c r="D173" i="6"/>
  <c r="D986" i="6"/>
  <c r="D338" i="6"/>
  <c r="D823" i="6"/>
  <c r="D205" i="6"/>
  <c r="D1106" i="6"/>
  <c r="D925" i="6"/>
  <c r="D715" i="6"/>
  <c r="D489" i="6"/>
  <c r="D201" i="6"/>
  <c r="D877" i="6"/>
  <c r="D1234" i="6"/>
  <c r="D732" i="6"/>
  <c r="D1157" i="6"/>
  <c r="D641" i="6"/>
  <c r="D1242" i="6"/>
  <c r="D1035" i="6"/>
  <c r="D843" i="6"/>
  <c r="D609" i="6"/>
  <c r="D343" i="6"/>
  <c r="D22" i="6"/>
  <c r="D1078" i="6"/>
  <c r="D892" i="6"/>
  <c r="D683" i="6"/>
  <c r="D445" i="6"/>
  <c r="D152" i="6"/>
  <c r="D1195" i="6"/>
  <c r="D1082" i="6"/>
  <c r="D967" i="6"/>
  <c r="D842" i="6"/>
  <c r="D713" i="6"/>
  <c r="D581" i="6"/>
  <c r="D415" i="6"/>
  <c r="D237" i="6"/>
  <c r="D18" i="6"/>
  <c r="D1151" i="6"/>
  <c r="D1037" i="6"/>
  <c r="D921" i="6"/>
  <c r="D792" i="6"/>
  <c r="D660" i="6"/>
  <c r="D519" i="6"/>
  <c r="D347" i="6"/>
  <c r="D155" i="6"/>
  <c r="D1229" i="6"/>
  <c r="D1115" i="6"/>
  <c r="D1002" i="6"/>
  <c r="D880" i="6"/>
  <c r="D751" i="6"/>
  <c r="D621" i="6"/>
  <c r="D464" i="6"/>
  <c r="D292" i="6"/>
  <c r="D88" i="6"/>
  <c r="D1198" i="6"/>
  <c r="D1113" i="6"/>
  <c r="D1027" i="6"/>
  <c r="D942" i="6"/>
  <c r="D845" i="6"/>
  <c r="D747" i="6"/>
  <c r="D650" i="6"/>
  <c r="D548" i="6"/>
  <c r="D417" i="6"/>
  <c r="D288" i="6"/>
  <c r="D141" i="6"/>
  <c r="D1246" i="6"/>
  <c r="D1161" i="6"/>
  <c r="D1075" i="6"/>
  <c r="D990" i="6"/>
  <c r="D900" i="6"/>
  <c r="D802" i="6"/>
  <c r="D705" i="6"/>
  <c r="D608" i="6"/>
  <c r="D490" i="6"/>
  <c r="D361" i="6"/>
  <c r="D226" i="6"/>
  <c r="D63" i="6"/>
  <c r="D1212" i="6"/>
  <c r="D1148" i="6"/>
  <c r="D1084" i="6"/>
  <c r="D1020" i="6"/>
  <c r="D956" i="6"/>
  <c r="D885" i="6"/>
  <c r="D812" i="6"/>
  <c r="D739" i="6"/>
  <c r="D666" i="6"/>
  <c r="D593" i="6"/>
  <c r="D505" i="6"/>
  <c r="D407" i="6"/>
  <c r="D308" i="6"/>
  <c r="D203" i="6"/>
  <c r="D81" i="6"/>
  <c r="D1232" i="6"/>
  <c r="D1168" i="6"/>
  <c r="D1104" i="6"/>
  <c r="D1040" i="6"/>
  <c r="D976" i="6"/>
  <c r="D908" i="6"/>
  <c r="D835" i="6"/>
  <c r="D762" i="6"/>
  <c r="D689" i="6"/>
  <c r="D616" i="6"/>
  <c r="D535" i="6"/>
  <c r="D436" i="6"/>
  <c r="D340" i="6"/>
  <c r="D239" i="6"/>
  <c r="D120" i="6"/>
  <c r="D568" i="6"/>
  <c r="D495" i="6"/>
  <c r="D421" i="6"/>
  <c r="D348" i="6"/>
  <c r="D275" i="6"/>
  <c r="D192" i="6"/>
  <c r="D101" i="6"/>
  <c r="D4" i="6"/>
  <c r="D501" i="6"/>
  <c r="D428" i="6"/>
  <c r="D355" i="6"/>
  <c r="D282" i="6"/>
  <c r="D200" i="6"/>
  <c r="D110" i="6"/>
  <c r="D13" i="6"/>
  <c r="D878" i="6"/>
  <c r="D814" i="6"/>
  <c r="D750" i="6"/>
  <c r="D686" i="6"/>
  <c r="D622" i="6"/>
  <c r="D558" i="6"/>
  <c r="D494" i="6"/>
  <c r="D430" i="6"/>
  <c r="D366" i="6"/>
  <c r="D302" i="6"/>
  <c r="D238" i="6"/>
  <c r="D174" i="6"/>
  <c r="D105" i="6"/>
  <c r="D32" i="6"/>
  <c r="D236" i="6"/>
  <c r="D172" i="6"/>
  <c r="D103" i="6"/>
  <c r="D30" i="6"/>
  <c r="D115" i="6"/>
  <c r="D51" i="6"/>
  <c r="D1005" i="6"/>
  <c r="D600" i="6"/>
  <c r="D933" i="6"/>
  <c r="D218" i="6"/>
  <c r="D592" i="6"/>
  <c r="D1063" i="6"/>
  <c r="D819" i="6"/>
  <c r="D287" i="6"/>
  <c r="D354" i="6"/>
  <c r="D484" i="6"/>
  <c r="D787" i="6"/>
  <c r="D307" i="6"/>
  <c r="D1025" i="6"/>
  <c r="D325" i="6"/>
  <c r="D981" i="6"/>
  <c r="D258" i="6"/>
  <c r="D1058" i="6"/>
  <c r="D552" i="6"/>
  <c r="D1155" i="6"/>
  <c r="D796" i="6"/>
  <c r="D353" i="6"/>
  <c r="D1118" i="6"/>
  <c r="D656" i="6"/>
  <c r="D151" i="6"/>
  <c r="D1052" i="6"/>
  <c r="D776" i="6"/>
  <c r="D455" i="6"/>
  <c r="D17" i="6"/>
  <c r="D1008" i="6"/>
  <c r="D725" i="6"/>
  <c r="D388" i="6"/>
  <c r="D312" i="6"/>
  <c r="D538" i="6"/>
  <c r="D242" i="6"/>
  <c r="D910" i="6"/>
  <c r="D654" i="6"/>
  <c r="D462" i="6"/>
  <c r="D270" i="6"/>
  <c r="D19" i="6"/>
  <c r="D983" i="6"/>
  <c r="D1159" i="6"/>
  <c r="D627" i="6"/>
  <c r="D993" i="6"/>
  <c r="D165" i="6"/>
  <c r="D850" i="6"/>
  <c r="D688" i="6"/>
  <c r="D965" i="6"/>
  <c r="D551" i="6"/>
  <c r="D891" i="6"/>
  <c r="D479" i="6"/>
  <c r="D1079" i="6"/>
  <c r="D580" i="6"/>
  <c r="D1158" i="6"/>
  <c r="D669" i="6"/>
  <c r="D1230" i="6"/>
  <c r="D882" i="6"/>
  <c r="D466" i="6"/>
  <c r="D1193" i="6"/>
  <c r="D839" i="6"/>
  <c r="D280" i="6"/>
  <c r="D1108" i="6"/>
  <c r="D840" i="6"/>
  <c r="D620" i="6"/>
  <c r="D247" i="6"/>
  <c r="D1128" i="6"/>
  <c r="D863" i="6"/>
  <c r="D570" i="6"/>
  <c r="D42" i="6"/>
  <c r="D303" i="6"/>
  <c r="D529" i="6"/>
  <c r="D232" i="6"/>
  <c r="D838" i="6"/>
  <c r="D582" i="6"/>
  <c r="D326" i="6"/>
  <c r="D60" i="6"/>
  <c r="D57" i="6"/>
  <c r="D682" i="6"/>
  <c r="D265" i="6"/>
  <c r="D429" i="6"/>
  <c r="D749" i="6"/>
  <c r="D545" i="6"/>
  <c r="D971" i="6"/>
  <c r="D1111" i="6"/>
  <c r="D770" i="6"/>
  <c r="D659" i="6"/>
  <c r="D1126" i="6"/>
  <c r="D1223" i="6"/>
  <c r="D745" i="6"/>
  <c r="D79" i="6"/>
  <c r="D824" i="6"/>
  <c r="D208" i="6"/>
  <c r="D1099" i="6"/>
  <c r="D405" i="6"/>
  <c r="D1255" i="6"/>
  <c r="D1074" i="6"/>
  <c r="D884" i="6"/>
  <c r="D676" i="6"/>
  <c r="D439" i="6"/>
  <c r="D143" i="6"/>
  <c r="D1185" i="6"/>
  <c r="D1003" i="6"/>
  <c r="D804" i="6"/>
  <c r="D594" i="6"/>
  <c r="D331" i="6"/>
  <c r="D1249" i="6"/>
  <c r="D1069" i="6"/>
  <c r="D879" i="6"/>
  <c r="D672" i="6"/>
  <c r="D427" i="6"/>
  <c r="D127" i="6"/>
  <c r="D915" i="6"/>
  <c r="D55" i="6"/>
  <c r="D797" i="6"/>
  <c r="D80" i="6"/>
  <c r="D1085" i="6"/>
  <c r="D898" i="6"/>
  <c r="D690" i="6"/>
  <c r="D452" i="6"/>
  <c r="D163" i="6"/>
  <c r="D746" i="6"/>
  <c r="D1169" i="6"/>
  <c r="D655" i="6"/>
  <c r="D1089" i="6"/>
  <c r="D561" i="6"/>
  <c r="D1218" i="6"/>
  <c r="D1014" i="6"/>
  <c r="D818" i="6"/>
  <c r="D585" i="6"/>
  <c r="D311" i="6"/>
  <c r="D1239" i="6"/>
  <c r="D1057" i="6"/>
  <c r="D866" i="6"/>
  <c r="D658" i="6"/>
  <c r="D408" i="6"/>
  <c r="D109" i="6"/>
  <c r="D1181" i="6"/>
  <c r="D1067" i="6"/>
  <c r="D954" i="6"/>
  <c r="D825" i="6"/>
  <c r="D696" i="6"/>
  <c r="D565" i="6"/>
  <c r="D391" i="6"/>
  <c r="D211" i="6"/>
  <c r="D1250" i="6"/>
  <c r="D1137" i="6"/>
  <c r="D1023" i="6"/>
  <c r="D905" i="6"/>
  <c r="D775" i="6"/>
  <c r="D645" i="6"/>
  <c r="D497" i="6"/>
  <c r="D324" i="6"/>
  <c r="D132" i="6"/>
  <c r="D1215" i="6"/>
  <c r="D1101" i="6"/>
  <c r="D987" i="6"/>
  <c r="D865" i="6"/>
  <c r="D733" i="6"/>
  <c r="D604" i="6"/>
  <c r="D444" i="6"/>
  <c r="D269" i="6"/>
  <c r="D58" i="6"/>
  <c r="D1187" i="6"/>
  <c r="D1102" i="6"/>
  <c r="D1017" i="6"/>
  <c r="D930" i="6"/>
  <c r="D833" i="6"/>
  <c r="D736" i="6"/>
  <c r="D637" i="6"/>
  <c r="D532" i="6"/>
  <c r="D402" i="6"/>
  <c r="D271" i="6"/>
  <c r="D118" i="6"/>
  <c r="D1235" i="6"/>
  <c r="D1150" i="6"/>
  <c r="D1065" i="6"/>
  <c r="D979" i="6"/>
  <c r="D888" i="6"/>
  <c r="D791" i="6"/>
  <c r="D692" i="6"/>
  <c r="D595" i="6"/>
  <c r="D475" i="6"/>
  <c r="D344" i="6"/>
  <c r="D207" i="6"/>
  <c r="D44" i="6"/>
  <c r="D1204" i="6"/>
  <c r="D1140" i="6"/>
  <c r="D1076" i="6"/>
  <c r="D1012" i="6"/>
  <c r="D948" i="6"/>
  <c r="D876" i="6"/>
  <c r="D803" i="6"/>
  <c r="D730" i="6"/>
  <c r="D657" i="6"/>
  <c r="D584" i="6"/>
  <c r="D491" i="6"/>
  <c r="D395" i="6"/>
  <c r="D297" i="6"/>
  <c r="D187" i="6"/>
  <c r="D65" i="6"/>
  <c r="D1224" i="6"/>
  <c r="D1160" i="6"/>
  <c r="D1096" i="6"/>
  <c r="D1032" i="6"/>
  <c r="D968" i="6"/>
  <c r="D899" i="6"/>
  <c r="D826" i="6"/>
  <c r="D753" i="6"/>
  <c r="D680" i="6"/>
  <c r="D607" i="6"/>
  <c r="D523" i="6"/>
  <c r="D425" i="6"/>
  <c r="D327" i="6"/>
  <c r="D225" i="6"/>
  <c r="D106" i="6"/>
  <c r="D559" i="6"/>
  <c r="D485" i="6"/>
  <c r="D412" i="6"/>
  <c r="D339" i="6"/>
  <c r="D266" i="6"/>
  <c r="D181" i="6"/>
  <c r="D89" i="6"/>
  <c r="D492" i="6"/>
  <c r="D419" i="6"/>
  <c r="D346" i="6"/>
  <c r="D273" i="6"/>
  <c r="D189" i="6"/>
  <c r="D98" i="6"/>
  <c r="D934" i="6"/>
  <c r="D870" i="6"/>
  <c r="D806" i="6"/>
  <c r="D742" i="6"/>
  <c r="D678" i="6"/>
  <c r="D614" i="6"/>
  <c r="D550" i="6"/>
  <c r="D486" i="6"/>
  <c r="D422" i="6"/>
  <c r="D358" i="6"/>
  <c r="D294" i="6"/>
  <c r="D230" i="6"/>
  <c r="D166" i="6"/>
  <c r="D96" i="6"/>
  <c r="D23" i="6"/>
  <c r="D228" i="6"/>
  <c r="D164" i="6"/>
  <c r="D94" i="6"/>
  <c r="D21" i="6"/>
  <c r="D107" i="6"/>
  <c r="D43" i="6"/>
  <c r="D1189" i="6"/>
  <c r="D1117" i="6"/>
  <c r="D1183" i="6"/>
  <c r="D323" i="6"/>
  <c r="D591" i="6"/>
  <c r="D610" i="6"/>
  <c r="D1007" i="6"/>
  <c r="D1127" i="6"/>
  <c r="D1170" i="6"/>
  <c r="D1253" i="6"/>
  <c r="D647" i="6"/>
  <c r="D1207" i="6"/>
  <c r="D727" i="6"/>
  <c r="D45" i="6"/>
  <c r="D816" i="6"/>
  <c r="D379" i="6"/>
  <c r="D1070" i="6"/>
  <c r="D893" i="6"/>
  <c r="D482" i="6"/>
  <c r="D1203" i="6"/>
  <c r="D851" i="6"/>
  <c r="D296" i="6"/>
  <c r="D1116" i="6"/>
  <c r="D849" i="6"/>
  <c r="D553" i="6"/>
  <c r="D145" i="6"/>
  <c r="D1072" i="6"/>
  <c r="D799" i="6"/>
  <c r="D487" i="6"/>
  <c r="D56" i="6"/>
  <c r="D458" i="6"/>
  <c r="D53" i="6"/>
  <c r="D392" i="6"/>
  <c r="D62" i="6"/>
  <c r="D718" i="6"/>
  <c r="D526" i="6"/>
  <c r="D206" i="6"/>
  <c r="D204" i="6"/>
  <c r="D1163" i="6"/>
  <c r="D1093" i="6"/>
  <c r="D469" i="6"/>
  <c r="D567" i="6"/>
  <c r="D1019" i="6"/>
  <c r="D795" i="6"/>
  <c r="D316" i="6"/>
  <c r="D100" i="6"/>
  <c r="D920" i="6"/>
  <c r="D154" i="6"/>
  <c r="D1125" i="6"/>
  <c r="D631" i="6"/>
  <c r="D1194" i="6"/>
  <c r="D709" i="6"/>
  <c r="D15" i="6"/>
  <c r="D800" i="6"/>
  <c r="D171" i="6"/>
  <c r="D1059" i="6"/>
  <c r="D687" i="6"/>
  <c r="D197" i="6"/>
  <c r="D1022" i="6"/>
  <c r="D644" i="6"/>
  <c r="D128" i="6"/>
  <c r="D1044" i="6"/>
  <c r="D767" i="6"/>
  <c r="D345" i="6"/>
  <c r="D1192" i="6"/>
  <c r="D936" i="6"/>
  <c r="D643" i="6"/>
  <c r="D279" i="6"/>
  <c r="D449" i="6"/>
  <c r="D137" i="6"/>
  <c r="D383" i="6"/>
  <c r="D49" i="6"/>
  <c r="D710" i="6"/>
  <c r="D454" i="6"/>
  <c r="D198" i="6"/>
  <c r="D196" i="6"/>
  <c r="D75" i="6"/>
  <c r="D1142" i="6"/>
  <c r="D755" i="6"/>
  <c r="D1071" i="6"/>
  <c r="D1135" i="6"/>
  <c r="D1121" i="6"/>
  <c r="D1154" i="6"/>
  <c r="D277" i="6"/>
  <c r="D1247" i="6"/>
  <c r="D896" i="6"/>
  <c r="D943" i="6"/>
  <c r="D229" i="6"/>
  <c r="D874" i="6"/>
  <c r="D283" i="6"/>
  <c r="D951" i="6"/>
  <c r="D389" i="6"/>
  <c r="D1031" i="6"/>
  <c r="D299" i="6"/>
  <c r="D1233" i="6"/>
  <c r="D1050" i="6"/>
  <c r="D860" i="6"/>
  <c r="D651" i="6"/>
  <c r="D404" i="6"/>
  <c r="D93" i="6"/>
  <c r="D1162" i="6"/>
  <c r="D978" i="6"/>
  <c r="D779" i="6"/>
  <c r="D569" i="6"/>
  <c r="D295" i="6"/>
  <c r="D1227" i="6"/>
  <c r="D1046" i="6"/>
  <c r="D852" i="6"/>
  <c r="D642" i="6"/>
  <c r="D396" i="6"/>
  <c r="D82" i="6"/>
  <c r="D836" i="6"/>
  <c r="D1178" i="6"/>
  <c r="D720" i="6"/>
  <c r="D1245" i="6"/>
  <c r="D1062" i="6"/>
  <c r="D871" i="6"/>
  <c r="D665" i="6"/>
  <c r="D420" i="6"/>
  <c r="D119" i="6"/>
  <c r="D617" i="6"/>
  <c r="D1146" i="6"/>
  <c r="D576" i="6"/>
  <c r="D1042" i="6"/>
  <c r="D493" i="6"/>
  <c r="D1197" i="6"/>
  <c r="D991" i="6"/>
  <c r="D764" i="6"/>
  <c r="D554" i="6"/>
  <c r="D276" i="6"/>
  <c r="D1217" i="6"/>
  <c r="D1034" i="6"/>
  <c r="D837" i="6"/>
  <c r="D633" i="6"/>
  <c r="D375" i="6"/>
  <c r="D61" i="6"/>
  <c r="D1167" i="6"/>
  <c r="D1053" i="6"/>
  <c r="D939" i="6"/>
  <c r="D810" i="6"/>
  <c r="D679" i="6"/>
  <c r="D544" i="6"/>
  <c r="D371" i="6"/>
  <c r="D185" i="6"/>
  <c r="D1237" i="6"/>
  <c r="D1122" i="6"/>
  <c r="D1009" i="6"/>
  <c r="D889" i="6"/>
  <c r="D759" i="6"/>
  <c r="D628" i="6"/>
  <c r="D477" i="6"/>
  <c r="D301" i="6"/>
  <c r="D102" i="6"/>
  <c r="D1201" i="6"/>
  <c r="D1087" i="6"/>
  <c r="D973" i="6"/>
  <c r="D848" i="6"/>
  <c r="D719" i="6"/>
  <c r="D587" i="6"/>
  <c r="D423" i="6"/>
  <c r="D248" i="6"/>
  <c r="D29" i="6"/>
  <c r="D1177" i="6"/>
  <c r="D1091" i="6"/>
  <c r="D1006" i="6"/>
  <c r="D919" i="6"/>
  <c r="D820" i="6"/>
  <c r="D723" i="6"/>
  <c r="D626" i="6"/>
  <c r="D515" i="6"/>
  <c r="D386" i="6"/>
  <c r="D255" i="6"/>
  <c r="D95" i="6"/>
  <c r="D1225" i="6"/>
  <c r="D1139" i="6"/>
  <c r="D1054" i="6"/>
  <c r="D969" i="6"/>
  <c r="D875" i="6"/>
  <c r="D778" i="6"/>
  <c r="D681" i="6"/>
  <c r="D583" i="6"/>
  <c r="D459" i="6"/>
  <c r="D329" i="6"/>
  <c r="D186" i="6"/>
  <c r="D20" i="6"/>
  <c r="D1196" i="6"/>
  <c r="D1132" i="6"/>
  <c r="D1068" i="6"/>
  <c r="D1004" i="6"/>
  <c r="D940" i="6"/>
  <c r="D867" i="6"/>
  <c r="D794" i="6"/>
  <c r="D721" i="6"/>
  <c r="D648" i="6"/>
  <c r="D575" i="6"/>
  <c r="D480" i="6"/>
  <c r="D381" i="6"/>
  <c r="D285" i="6"/>
  <c r="D175" i="6"/>
  <c r="D47" i="6"/>
  <c r="D1216" i="6"/>
  <c r="D1152" i="6"/>
  <c r="D1088" i="6"/>
  <c r="D1024" i="6"/>
  <c r="D960" i="6"/>
  <c r="D890" i="6"/>
  <c r="D817" i="6"/>
  <c r="D744" i="6"/>
  <c r="D671" i="6"/>
  <c r="D597" i="6"/>
  <c r="D509" i="6"/>
  <c r="D413" i="6"/>
  <c r="D315" i="6"/>
  <c r="D209" i="6"/>
  <c r="D90" i="6"/>
  <c r="D549" i="6"/>
  <c r="D476" i="6"/>
  <c r="D403" i="6"/>
  <c r="D330" i="6"/>
  <c r="D256" i="6"/>
  <c r="D170" i="6"/>
  <c r="D77" i="6"/>
  <c r="D556" i="6"/>
  <c r="D483" i="6"/>
  <c r="D410" i="6"/>
  <c r="D337" i="6"/>
  <c r="D264" i="6"/>
  <c r="D178" i="6"/>
  <c r="D86" i="6"/>
  <c r="D926" i="6"/>
  <c r="D862" i="6"/>
  <c r="D798" i="6"/>
  <c r="D734" i="6"/>
  <c r="D670" i="6"/>
  <c r="D606" i="6"/>
  <c r="D542" i="6"/>
  <c r="D478" i="6"/>
  <c r="D414" i="6"/>
  <c r="D350" i="6"/>
  <c r="D286" i="6"/>
  <c r="D222" i="6"/>
  <c r="D158" i="6"/>
  <c r="D87" i="6"/>
  <c r="D14" i="6"/>
  <c r="D220" i="6"/>
  <c r="D156" i="6"/>
  <c r="D85" i="6"/>
  <c r="D12" i="6"/>
  <c r="D99" i="6"/>
  <c r="D35" i="6"/>
  <c r="D227" i="6"/>
  <c r="D332" i="6"/>
  <c r="D724" i="6"/>
  <c r="D999" i="6"/>
  <c r="D706" i="6"/>
  <c r="D1199" i="6"/>
  <c r="D351" i="6"/>
  <c r="D372" i="6"/>
  <c r="D946" i="6"/>
  <c r="D199" i="6"/>
  <c r="D578" i="6"/>
  <c r="D907" i="6"/>
  <c r="D134" i="6"/>
  <c r="D856" i="6"/>
  <c r="D433" i="6"/>
  <c r="D945" i="6"/>
  <c r="D194" i="6"/>
  <c r="D985" i="6"/>
  <c r="D601" i="6"/>
  <c r="D54" i="6"/>
  <c r="D947" i="6"/>
  <c r="D555" i="6"/>
  <c r="D1244" i="6"/>
  <c r="D988" i="6"/>
  <c r="D703" i="6"/>
  <c r="D359" i="6"/>
  <c r="D1200" i="6"/>
  <c r="D872" i="6"/>
  <c r="D579" i="6"/>
  <c r="D183" i="6"/>
  <c r="D385" i="6"/>
  <c r="D149" i="6"/>
  <c r="D465" i="6"/>
  <c r="D157" i="6"/>
  <c r="D782" i="6"/>
  <c r="D334" i="6"/>
  <c r="D69" i="6"/>
  <c r="D66" i="6"/>
  <c r="D786" i="6"/>
  <c r="D781" i="6"/>
  <c r="D298" i="6"/>
  <c r="D700" i="6"/>
  <c r="D977" i="6"/>
  <c r="D1190" i="6"/>
  <c r="D527" i="6"/>
  <c r="D586" i="6"/>
  <c r="D941" i="6"/>
  <c r="D1105" i="6"/>
  <c r="D1147" i="6"/>
  <c r="D1238" i="6"/>
  <c r="D761" i="6"/>
  <c r="D104" i="6"/>
  <c r="D841" i="6"/>
  <c r="D233" i="6"/>
  <c r="D929" i="6"/>
  <c r="D356" i="6"/>
  <c r="D974" i="6"/>
  <c r="D589" i="6"/>
  <c r="D31" i="6"/>
  <c r="D937" i="6"/>
  <c r="D539" i="6"/>
  <c r="D1236" i="6"/>
  <c r="D980" i="6"/>
  <c r="D693" i="6"/>
  <c r="D443" i="6"/>
  <c r="D1256" i="6"/>
  <c r="D1000" i="6"/>
  <c r="D716" i="6"/>
  <c r="D377" i="6"/>
  <c r="D522" i="6"/>
  <c r="D224" i="6"/>
  <c r="D456" i="6"/>
  <c r="D146" i="6"/>
  <c r="D774" i="6"/>
  <c r="D518" i="6"/>
  <c r="D262" i="6"/>
  <c r="D260" i="6"/>
  <c r="D139" i="6"/>
  <c r="D147" i="6"/>
  <c r="D537" i="6"/>
  <c r="D883" i="6"/>
  <c r="D136" i="6"/>
  <c r="D250" i="6"/>
  <c r="D387" i="6"/>
  <c r="D557" i="6"/>
  <c r="D887" i="6"/>
  <c r="D1083" i="6"/>
  <c r="D416" i="6"/>
  <c r="D737" i="6"/>
  <c r="D997" i="6"/>
  <c r="D457" i="6"/>
  <c r="D1066" i="6"/>
  <c r="D562" i="6"/>
  <c r="D962" i="6"/>
  <c r="D268" i="6"/>
  <c r="D1211" i="6"/>
  <c r="D1029" i="6"/>
  <c r="D834" i="6"/>
  <c r="D624" i="6"/>
  <c r="D365" i="6"/>
  <c r="D52" i="6"/>
  <c r="D1141" i="6"/>
  <c r="D957" i="6"/>
  <c r="D752" i="6"/>
  <c r="D536" i="6"/>
  <c r="D257" i="6"/>
  <c r="D1205" i="6"/>
  <c r="D1021" i="6"/>
  <c r="D828" i="6"/>
  <c r="D618" i="6"/>
  <c r="D360" i="6"/>
  <c r="D36" i="6"/>
  <c r="D756" i="6"/>
  <c r="D1133" i="6"/>
  <c r="D667" i="6"/>
  <c r="D1221" i="6"/>
  <c r="D1041" i="6"/>
  <c r="D847" i="6"/>
  <c r="D640" i="6"/>
  <c r="D384" i="6"/>
  <c r="D70" i="6"/>
  <c r="D460" i="6"/>
  <c r="D1077" i="6"/>
  <c r="D472" i="6"/>
  <c r="D975" i="6"/>
  <c r="D424" i="6"/>
  <c r="D1149" i="6"/>
  <c r="D970" i="6"/>
  <c r="D738" i="6"/>
  <c r="D517" i="6"/>
  <c r="D240" i="6"/>
  <c r="D1191" i="6"/>
  <c r="D1013" i="6"/>
  <c r="D813" i="6"/>
  <c r="D605" i="6"/>
  <c r="D341" i="6"/>
  <c r="D10" i="6"/>
  <c r="D1153" i="6"/>
  <c r="D1039" i="6"/>
  <c r="D923" i="6"/>
  <c r="D793" i="6"/>
  <c r="D664" i="6"/>
  <c r="D521" i="6"/>
  <c r="D349" i="6"/>
  <c r="D162" i="6"/>
  <c r="D1222" i="6"/>
  <c r="D1109" i="6"/>
  <c r="D994" i="6"/>
  <c r="D873" i="6"/>
  <c r="D743" i="6"/>
  <c r="D612" i="6"/>
  <c r="D453" i="6"/>
  <c r="D281" i="6"/>
  <c r="D71" i="6"/>
  <c r="D1186" i="6"/>
  <c r="D1073" i="6"/>
  <c r="D959" i="6"/>
  <c r="D832" i="6"/>
  <c r="D701" i="6"/>
  <c r="D572" i="6"/>
  <c r="D399" i="6"/>
  <c r="D219" i="6"/>
  <c r="D1251" i="6"/>
  <c r="D1166" i="6"/>
  <c r="D1081" i="6"/>
  <c r="D995" i="6"/>
  <c r="D906" i="6"/>
  <c r="D809" i="6"/>
  <c r="D711" i="6"/>
  <c r="D613" i="6"/>
  <c r="D499" i="6"/>
  <c r="D369" i="6"/>
  <c r="D235" i="6"/>
  <c r="D74" i="6"/>
  <c r="D1214" i="6"/>
  <c r="D1129" i="6"/>
  <c r="D1043" i="6"/>
  <c r="D958" i="6"/>
  <c r="D864" i="6"/>
  <c r="D765" i="6"/>
  <c r="D668" i="6"/>
  <c r="D571" i="6"/>
  <c r="D442" i="6"/>
  <c r="D313" i="6"/>
  <c r="D169" i="6"/>
  <c r="D1252" i="6"/>
  <c r="D1188" i="6"/>
  <c r="D1124" i="6"/>
  <c r="D1060" i="6"/>
  <c r="D996" i="6"/>
  <c r="D931" i="6"/>
  <c r="D858" i="6"/>
  <c r="D785" i="6"/>
  <c r="D712" i="6"/>
  <c r="D639" i="6"/>
  <c r="D564" i="6"/>
  <c r="D468" i="6"/>
  <c r="D370" i="6"/>
  <c r="D272" i="6"/>
  <c r="D161" i="6"/>
  <c r="D33" i="6"/>
  <c r="D1208" i="6"/>
  <c r="D1144" i="6"/>
  <c r="D1080" i="6"/>
  <c r="D1016" i="6"/>
  <c r="D952" i="6"/>
  <c r="D881" i="6"/>
  <c r="D808" i="6"/>
  <c r="D735" i="6"/>
  <c r="D661" i="6"/>
  <c r="D588" i="6"/>
  <c r="D498" i="6"/>
  <c r="D400" i="6"/>
  <c r="D304" i="6"/>
  <c r="D195" i="6"/>
  <c r="D72" i="6"/>
  <c r="D540" i="6"/>
  <c r="D467" i="6"/>
  <c r="D394" i="6"/>
  <c r="D321" i="6"/>
  <c r="D245" i="6"/>
  <c r="D160" i="6"/>
  <c r="D64" i="6"/>
  <c r="D547" i="6"/>
  <c r="D474" i="6"/>
  <c r="D401" i="6"/>
  <c r="D328" i="6"/>
  <c r="D253" i="6"/>
  <c r="D168" i="6"/>
  <c r="D73" i="6"/>
  <c r="D918" i="6"/>
  <c r="D854" i="6"/>
  <c r="D790" i="6"/>
  <c r="D726" i="6"/>
  <c r="D662" i="6"/>
  <c r="D598" i="6"/>
  <c r="D534" i="6"/>
  <c r="D470" i="6"/>
  <c r="D406" i="6"/>
  <c r="D342" i="6"/>
  <c r="D278" i="6"/>
  <c r="D214" i="6"/>
  <c r="D150" i="6"/>
  <c r="D78" i="6"/>
  <c r="D5" i="6"/>
  <c r="D212" i="6"/>
  <c r="D148" i="6"/>
  <c r="D76" i="6"/>
  <c r="D2" i="6"/>
  <c r="D91" i="6"/>
  <c r="D27" i="6"/>
  <c r="D861" i="6"/>
  <c r="D805" i="6"/>
  <c r="D6" i="6"/>
  <c r="D503" i="6"/>
  <c r="D801" i="6"/>
  <c r="D1259" i="6"/>
  <c r="D1018" i="6"/>
  <c r="D26" i="6"/>
  <c r="D928" i="6"/>
  <c r="D714" i="6"/>
  <c r="D989" i="6"/>
  <c r="D1138" i="6"/>
  <c r="D777" i="6"/>
  <c r="D500" i="6"/>
  <c r="D1094" i="6"/>
  <c r="D596" i="6"/>
  <c r="D1173" i="6"/>
  <c r="D685" i="6"/>
  <c r="D1241" i="6"/>
  <c r="D699" i="6"/>
  <c r="D216" i="6"/>
  <c r="D1033" i="6"/>
  <c r="D754" i="6"/>
  <c r="D426" i="6"/>
  <c r="D1180" i="6"/>
  <c r="D922" i="6"/>
  <c r="D629" i="6"/>
  <c r="D259" i="6"/>
  <c r="D1136" i="6"/>
  <c r="D944" i="6"/>
  <c r="D652" i="6"/>
  <c r="D290" i="6"/>
  <c r="D531" i="6"/>
  <c r="D234" i="6"/>
  <c r="D319" i="6"/>
  <c r="D846" i="6"/>
  <c r="D590" i="6"/>
  <c r="D398" i="6"/>
  <c r="D142" i="6"/>
  <c r="D140" i="6"/>
  <c r="D83" i="6"/>
  <c r="D191" i="6"/>
  <c r="D573" i="6"/>
  <c r="D909" i="6"/>
  <c r="D176" i="6"/>
  <c r="D773" i="6"/>
  <c r="D289" i="6"/>
  <c r="D1175" i="6"/>
  <c r="D1226" i="6"/>
  <c r="D249" i="6"/>
  <c r="D448" i="6"/>
  <c r="D763" i="6"/>
  <c r="D274" i="6"/>
  <c r="D1010" i="6"/>
  <c r="D306" i="6"/>
  <c r="D966" i="6"/>
  <c r="D411" i="6"/>
  <c r="D1045" i="6"/>
  <c r="D530" i="6"/>
  <c r="D1145" i="6"/>
  <c r="D784" i="6"/>
  <c r="D336" i="6"/>
  <c r="D1107" i="6"/>
  <c r="D741" i="6"/>
  <c r="D409" i="6"/>
  <c r="D1172" i="6"/>
  <c r="D913" i="6"/>
  <c r="D541" i="6"/>
  <c r="D129" i="6"/>
  <c r="D1064" i="6"/>
  <c r="D789" i="6"/>
  <c r="D473" i="6"/>
  <c r="D167" i="6"/>
  <c r="D376" i="6"/>
  <c r="D40" i="6"/>
  <c r="D309" i="6"/>
  <c r="D902" i="6"/>
  <c r="D646" i="6"/>
  <c r="D390" i="6"/>
  <c r="D133" i="6"/>
  <c r="D130" i="6"/>
  <c r="D11" i="6"/>
  <c r="D961" i="6"/>
  <c r="D1254" i="6"/>
  <c r="D673" i="6"/>
  <c r="D955" i="6"/>
  <c r="D533" i="6"/>
  <c r="D950" i="6"/>
  <c r="D769" i="6"/>
  <c r="D1174" i="6"/>
  <c r="D125" i="6"/>
  <c r="D111" i="6"/>
  <c r="D514" i="6"/>
  <c r="D1110" i="6"/>
  <c r="D615" i="6"/>
  <c r="D1179" i="6"/>
  <c r="D695" i="6"/>
  <c r="D603" i="6"/>
  <c r="D932" i="6"/>
  <c r="D1131" i="6"/>
  <c r="D1202" i="6"/>
  <c r="D1103" i="6"/>
  <c r="D859" i="6"/>
  <c r="D938" i="6"/>
  <c r="D1143" i="6"/>
  <c r="D653" i="6"/>
  <c r="D1219" i="6"/>
  <c r="D869" i="6"/>
  <c r="D451" i="6"/>
  <c r="D1182" i="6"/>
  <c r="D827" i="6"/>
  <c r="D393" i="6"/>
  <c r="D1164" i="6"/>
  <c r="D904" i="6"/>
  <c r="D611" i="6"/>
  <c r="D231" i="6"/>
  <c r="D1120" i="6"/>
  <c r="D853" i="6"/>
  <c r="D560" i="6"/>
  <c r="D153" i="6"/>
  <c r="D367" i="6"/>
  <c r="D28" i="6"/>
  <c r="D364" i="6"/>
  <c r="D25" i="6"/>
  <c r="D694" i="6"/>
  <c r="D438" i="6"/>
  <c r="D182" i="6"/>
  <c r="D188" i="6"/>
  <c r="D123" i="6"/>
  <c r="D263" i="6"/>
  <c r="D116" i="6"/>
  <c r="D780" i="6"/>
  <c r="D461" i="6"/>
  <c r="D293" i="6"/>
  <c r="D886" i="6"/>
  <c r="D374" i="6"/>
  <c r="D121" i="6"/>
  <c r="D363" i="6"/>
  <c r="D511" i="6"/>
  <c r="D566" i="6"/>
  <c r="D48" i="6"/>
  <c r="D440" i="6"/>
  <c r="D122" i="6"/>
  <c r="D502" i="6"/>
  <c r="D252" i="6"/>
  <c r="D317" i="6"/>
  <c r="D1243" i="6"/>
  <c r="D563" i="6"/>
  <c r="D1220" i="6"/>
  <c r="D1176" i="6"/>
  <c r="D431" i="6"/>
  <c r="D702" i="6"/>
  <c r="D131" i="6"/>
  <c r="D7" i="6"/>
  <c r="D1231" i="6"/>
  <c r="D722" i="6"/>
  <c r="D949" i="6"/>
  <c r="D691" i="6"/>
  <c r="D916" i="6"/>
  <c r="D728" i="6"/>
  <c r="D807" i="6"/>
  <c r="D1130" i="6"/>
  <c r="D636" i="6"/>
  <c r="D1209" i="6"/>
  <c r="D857" i="6"/>
  <c r="D434" i="6"/>
  <c r="D1171" i="6"/>
  <c r="D815" i="6"/>
  <c r="D378" i="6"/>
  <c r="D1156" i="6"/>
  <c r="D895" i="6"/>
  <c r="D602" i="6"/>
  <c r="D217" i="6"/>
  <c r="D1112" i="6"/>
  <c r="D844" i="6"/>
  <c r="D546" i="6"/>
  <c r="D138" i="6"/>
  <c r="D357" i="6"/>
  <c r="D16" i="6"/>
  <c r="D300" i="6"/>
  <c r="D894" i="6"/>
  <c r="D638" i="6"/>
  <c r="D382" i="6"/>
  <c r="D124" i="6"/>
  <c r="D180" i="6"/>
  <c r="D67" i="6"/>
  <c r="D1047" i="6"/>
  <c r="D496" i="6"/>
  <c r="D740" i="6"/>
  <c r="D34" i="6"/>
  <c r="D708" i="6"/>
  <c r="D599" i="6"/>
  <c r="D677" i="6"/>
  <c r="D1030" i="6"/>
  <c r="D508" i="6"/>
  <c r="D1134" i="6"/>
  <c r="D772" i="6"/>
  <c r="D320" i="6"/>
  <c r="D1097" i="6"/>
  <c r="D729" i="6"/>
  <c r="D1100" i="6"/>
  <c r="D831" i="6"/>
  <c r="D528" i="6"/>
  <c r="D1056" i="6"/>
  <c r="D24" i="6"/>
  <c r="D291" i="6"/>
  <c r="D630" i="6"/>
  <c r="D114" i="6"/>
  <c r="D59" i="6"/>
  <c r="D213" i="6"/>
  <c r="D822" i="6"/>
  <c r="D41" i="6"/>
  <c r="D267" i="6"/>
  <c r="D437" i="6"/>
  <c r="D246" i="6"/>
  <c r="D223" i="6"/>
  <c r="D68" i="6"/>
  <c r="D1051" i="6"/>
  <c r="D953" i="6"/>
  <c r="D912" i="6"/>
  <c r="D675" i="6"/>
  <c r="D625" i="6"/>
  <c r="D37" i="6"/>
  <c r="D244" i="6"/>
  <c r="D1119" i="6"/>
  <c r="D855" i="6"/>
  <c r="D215" i="6"/>
  <c r="D525" i="6"/>
  <c r="D1061" i="6"/>
  <c r="D481" i="6"/>
  <c r="D435" i="6"/>
  <c r="D543" i="6"/>
  <c r="D1015" i="6"/>
  <c r="D488" i="6"/>
  <c r="D1123" i="6"/>
  <c r="D760" i="6"/>
  <c r="D305" i="6"/>
  <c r="D1086" i="6"/>
  <c r="D717" i="6"/>
  <c r="D243" i="6"/>
  <c r="D1092" i="6"/>
  <c r="D821" i="6"/>
  <c r="D516" i="6"/>
  <c r="D97" i="6"/>
  <c r="D1048" i="6"/>
  <c r="D771" i="6"/>
  <c r="D450" i="6"/>
  <c r="D8" i="6"/>
  <c r="D284" i="6"/>
  <c r="D520" i="6"/>
  <c r="D221" i="6"/>
  <c r="D830" i="6"/>
  <c r="D574" i="6"/>
  <c r="D318" i="6"/>
  <c r="D50" i="6"/>
  <c r="D112" i="6"/>
  <c r="D3" i="6"/>
  <c r="D935" i="6"/>
  <c r="D649" i="6"/>
  <c r="D1055" i="6"/>
  <c r="D241" i="6"/>
  <c r="D868" i="6"/>
  <c r="D193" i="6"/>
  <c r="D261" i="6"/>
  <c r="D368" i="6"/>
  <c r="D914" i="6"/>
  <c r="D335" i="6"/>
  <c r="D1049" i="6"/>
  <c r="D674" i="6"/>
  <c r="D177" i="6"/>
  <c r="D1011" i="6"/>
  <c r="D632" i="6"/>
  <c r="D108" i="6"/>
  <c r="D1036" i="6"/>
  <c r="D757" i="6"/>
  <c r="D432" i="6"/>
  <c r="D1248" i="6"/>
  <c r="D992" i="6"/>
  <c r="D707" i="6"/>
  <c r="D513" i="6"/>
  <c r="D210" i="6"/>
  <c r="D310" i="6"/>
  <c r="D811" i="6"/>
  <c r="D768" i="6"/>
  <c r="D507" i="6"/>
  <c r="D322" i="6"/>
  <c r="D251" i="6"/>
  <c r="D373" i="6"/>
  <c r="D446" i="6"/>
  <c r="D731" i="6"/>
  <c r="D397" i="6"/>
  <c r="D441" i="6"/>
  <c r="D998" i="6"/>
  <c r="D635" i="6"/>
  <c r="D1210" i="6"/>
  <c r="D46" i="6"/>
  <c r="D184" i="6"/>
  <c r="D897" i="6"/>
  <c r="D314" i="6"/>
  <c r="D1038" i="6"/>
  <c r="D663" i="6"/>
  <c r="D159" i="6"/>
  <c r="D1001" i="6"/>
  <c r="D619" i="6"/>
  <c r="D84" i="6"/>
  <c r="D1028" i="6"/>
  <c r="D748" i="6"/>
  <c r="D418" i="6"/>
  <c r="D1240" i="6"/>
  <c r="D984" i="6"/>
  <c r="D698" i="6"/>
  <c r="D352" i="6"/>
  <c r="D504" i="6"/>
  <c r="D202" i="6"/>
  <c r="D447" i="6"/>
  <c r="D135" i="6"/>
  <c r="D766" i="6"/>
  <c r="D510" i="6"/>
  <c r="D254" i="6"/>
  <c r="D39" i="6"/>
  <c r="D506" i="6"/>
  <c r="D92" i="6"/>
  <c r="D901" i="6"/>
  <c r="D788" i="6"/>
  <c r="D380" i="6"/>
  <c r="D1095" i="6"/>
  <c r="D1165" i="6"/>
  <c r="D1258" i="6"/>
  <c r="D783" i="6"/>
  <c r="D144" i="6"/>
  <c r="D963" i="6"/>
  <c r="D577" i="6"/>
  <c r="D9" i="6"/>
  <c r="D924" i="6"/>
  <c r="D524" i="6"/>
  <c r="D1228" i="6"/>
  <c r="D972" i="6"/>
  <c r="D684" i="6"/>
  <c r="D333" i="6"/>
  <c r="D1184" i="6"/>
  <c r="D927" i="6"/>
  <c r="D634" i="6"/>
  <c r="D126" i="6"/>
  <c r="D758" i="6"/>
  <c r="D1114" i="6"/>
  <c r="D982" i="6"/>
  <c r="D117" i="6"/>
  <c r="D1257" i="6"/>
  <c r="D964" i="6"/>
  <c r="D917" i="6"/>
  <c r="D113" i="6"/>
  <c r="D190" i="6"/>
  <c r="J1266" i="2" l="1"/>
  <c r="J1274" i="2"/>
  <c r="J1267" i="2"/>
  <c r="J1275" i="2"/>
  <c r="J1265" i="2"/>
  <c r="J1276" i="2"/>
  <c r="J1269" i="2"/>
  <c r="J1277" i="2"/>
  <c r="J1273" i="2"/>
  <c r="J1268" i="2"/>
  <c r="J1270" i="2"/>
  <c r="J1278" i="2"/>
  <c r="J1271" i="2"/>
  <c r="J1279" i="2"/>
  <c r="J1264" i="2"/>
  <c r="J1272" i="2"/>
  <c r="J1280" i="2"/>
</calcChain>
</file>

<file path=xl/connections.xml><?xml version="1.0" encoding="utf-8"?>
<connections xmlns="http://schemas.openxmlformats.org/spreadsheetml/2006/main">
  <connection id="1" name="FL80II" type="1" refreshedVersion="4" savePassword="1" saveData="1">
    <dbPr connection="DSN=Agency" command="commit_x000d__x000a_select asof, &quot;0&quot; from RefinancibleUniverse_RateChanges_x000d__x000a_where scenario = 'PoolLevel'_x000d__x000a_order by asof desc"/>
  </connection>
  <connection id="2" name="temp" type="6" refreshedVersion="4" background="1" saveData="1">
    <textPr codePage="437" sourceFile="C:\Users\lien.chen\Desktop\temp.csv" comma="1">
      <textFields count="2">
        <textField/>
        <textField/>
      </textFields>
    </textPr>
  </connection>
</connections>
</file>

<file path=xl/sharedStrings.xml><?xml version="1.0" encoding="utf-8"?>
<sst xmlns="http://schemas.openxmlformats.org/spreadsheetml/2006/main" count="1733" uniqueCount="706">
  <si>
    <t>Date</t>
  </si>
  <si>
    <t>Conventional 30y Primary Mort Rate - Production</t>
  </si>
  <si>
    <t/>
  </si>
  <si>
    <t>This information has been prepared by the Corporate &amp; Investment Banking Division of Barclays and is issued by Barclays Bank PLC and/or one or more of its affiliates (collectively and each individually, "Barclays"). All information is provided "as is" and Barclays makes no express or implied warranties, and expressly disclaims all warranties of merchantability or fitness for a particular purpose or use with respect to any data included herein. Barclays makes no representations that the information contained herein or any of the analytic tools or reports referenced herein are accurate, reliable, complete, or appropriate for use by all investors in all locations. Because of the possibility of human and mechanical errors as well as other factors, Barclays is not responsible for any errors or omissions in the information contained herein or any of the analytic tools or reports referenced herein. Barclays will not treat unauthorized recipients of this information herein as its clients.</t>
  </si>
  <si>
    <t xml:space="preserve">  </t>
  </si>
  <si>
    <t>Without limiting any of the foregoing and to the extent permitted by law, in no event shall Barclays nor any of their respective officers, directors, partners, or employees have any liability for (a) any special, punitive, indirect, or consequential damages; or (b) any lost profits, lost revenue, loss of anticipated savings or loss of opportunity or other financial loss, even if notified of the possibility of such damages, arising from any use of, or reliance on, this information, analytic tools or reports referenced herein.</t>
  </si>
  <si>
    <t>Barclays is not utilizing this document to provide investment advice to you or any other party. The information, analytic tools or reports referenced herein and any results derived from their use provided herein are intended for informational purposes only and should not be regarded as an offer to sell or a solicitation of an offer to buy the products or securities to which it applies. No representation is made that any returns will be achieved through their use. Any data on past performance, modelling or back-testing contained herein is not necessarily indicative of future results. All levels, prices and spreads are historical and do not represent current market levels, prices or spreads, some or all of which may have changed. Any price provided herein is non-binding and is subject to change and may differ from a live bid, offer or price subsequently quoted by Barclays. The receipt by you of such price shall not constitute a binding transaction at such price. The information referenced herein or any of the results derived from any analytic tools or reports referenced herein are not intended to predict actual results and no assurances are given with respect thereto. Barclays does not guarantee the accuracy or completeness of information which is stated to have been obtained from, or is based upon, trade and statistical services or other third party sources. You should consult with your own accounting, legal or other advisors as to the adequacy of this information for your purposes.</t>
  </si>
  <si>
    <t xml:space="preserve">Barclays may (in various capacities) have inventory positions or deal in transactions or securities (or related derivatives) identical or similar to those described herein. </t>
  </si>
  <si>
    <t>Not all products or services mentioned are available in all jurisdictions. No offers, sales, resales, or delivery of any products or services described herein or any offering materials relating to any such products or services may be made in or from any jurisdiction except in circumstances which will result with compliance with any applicable laws and regulations and which will not impose any obligations on Barclays.</t>
  </si>
  <si>
    <t>This communication is being made available in the UK and Europe primarily to persons who are investment professionals as that term is defined in Article 19 of the Financial Services and Markets Act 2000 (Financial Promotion Order) 2005. It is directed at, and therefore should only be relied upon by, persons who have professional experience in matters relating to investments. The investments to which it relates are available only to such persons and will be entered into only with such persons. Barclays Bank PLC is authorised by the Prudential Regulation Authority and regulated by the Financial Conduct Authority and the Prudential Regulation Authority and is a member of the London Stock Exchange.</t>
  </si>
  <si>
    <t>Barclays Capital Inc., U.S. registered broker/dealer and member of FINRA (www.finra.org), is distributing this material in the United States and, in connection therewith accepts responsibility for its contents. Any U.S. person wishing to effect a transaction in any security discussed herein should do so only by contacting a representative of Barclays Capital Inc. in the U.S. at 745 Seventh Avenue, New York, New York 10019. Non-US persons should contact and execute transactions through a Barclays Bank PLC branch or affiliate in their home jurisdiction unless local regulations permit otherwise.</t>
  </si>
  <si>
    <t>IRS Circular 230 Prepared Materials Disclaimer: Barclays does not provide tax advice and nothing contained herein should be construed to be tax advice. Please be advised that any discussion of U.S. tax matters contained herein (including any attachments) (i) is not intended or written to be used, and cannot be used, by you for the purpose of avoiding U.S. tax-related penalties; and (ii) was written to support the promotion or marketing of the transactions or other matters addressed herein. Accordingly, you should seek advice based on your particular circumstances from an independent tax advisor.</t>
  </si>
  <si>
    <t>Barclays is not responsible for, and makes no warranties whatsoever as to, the content of any third-party web site accessed via a hyperlink contained herein and such information is not incorporated by reference.</t>
  </si>
  <si>
    <t>© Copyright Barclays Bank PLC (2015). All rights reserved. No part of this information may be reproduced in any manner without the prior written permission of Barclays or any of its affiliates. Barclays Bank PLC is registered in England No. 1026167. Registered office 1 Churchill Place, London, E14 5HP. Additional information will be furnished upon request.</t>
  </si>
  <si>
    <t>4/2/2012</t>
  </si>
  <si>
    <t>4/3/2012</t>
  </si>
  <si>
    <t>4/4/2012</t>
  </si>
  <si>
    <t>4/5/2012</t>
  </si>
  <si>
    <t>4/6/2012</t>
  </si>
  <si>
    <t>4/9/2012</t>
  </si>
  <si>
    <t>4/10/2012</t>
  </si>
  <si>
    <t>4/11/2012</t>
  </si>
  <si>
    <t>4/12/2012</t>
  </si>
  <si>
    <t>4/13/2012</t>
  </si>
  <si>
    <t>4/16/2012</t>
  </si>
  <si>
    <t>4/17/2012</t>
  </si>
  <si>
    <t>4/18/2012</t>
  </si>
  <si>
    <t>4/19/2012</t>
  </si>
  <si>
    <t>4/20/2012</t>
  </si>
  <si>
    <t>4/23/2012</t>
  </si>
  <si>
    <t>4/24/2012</t>
  </si>
  <si>
    <t>4/25/2012</t>
  </si>
  <si>
    <t>4/26/2012</t>
  </si>
  <si>
    <t>4/27/2012</t>
  </si>
  <si>
    <t>4/30/2012</t>
  </si>
  <si>
    <t>5/1/2012</t>
  </si>
  <si>
    <t>5/2/2012</t>
  </si>
  <si>
    <t>5/3/2012</t>
  </si>
  <si>
    <t>5/4/2012</t>
  </si>
  <si>
    <t>5/7/2012</t>
  </si>
  <si>
    <t>5/8/2012</t>
  </si>
  <si>
    <t>5/9/2012</t>
  </si>
  <si>
    <t>5/10/2012</t>
  </si>
  <si>
    <t>5/11/2012</t>
  </si>
  <si>
    <t>5/14/2012</t>
  </si>
  <si>
    <t>5/15/2012</t>
  </si>
  <si>
    <t>5/16/2012</t>
  </si>
  <si>
    <t>5/17/2012</t>
  </si>
  <si>
    <t>5/18/2012</t>
  </si>
  <si>
    <t>5/21/2012</t>
  </si>
  <si>
    <t>5/22/2012</t>
  </si>
  <si>
    <t>5/23/2012</t>
  </si>
  <si>
    <t>5/24/2012</t>
  </si>
  <si>
    <t>5/25/2012</t>
  </si>
  <si>
    <t>5/29/2012</t>
  </si>
  <si>
    <t>5/30/2012</t>
  </si>
  <si>
    <t>5/31/2012</t>
  </si>
  <si>
    <t>6/1/2012</t>
  </si>
  <si>
    <t>6/4/2012</t>
  </si>
  <si>
    <t>6/5/2012</t>
  </si>
  <si>
    <t>6/6/2012</t>
  </si>
  <si>
    <t>6/7/2012</t>
  </si>
  <si>
    <t>6/8/2012</t>
  </si>
  <si>
    <t>6/11/2012</t>
  </si>
  <si>
    <t>6/12/2012</t>
  </si>
  <si>
    <t>6/13/2012</t>
  </si>
  <si>
    <t>6/14/2012</t>
  </si>
  <si>
    <t>6/15/2012</t>
  </si>
  <si>
    <t>6/18/2012</t>
  </si>
  <si>
    <t>6/19/2012</t>
  </si>
  <si>
    <t>6/20/2012</t>
  </si>
  <si>
    <t>6/21/2012</t>
  </si>
  <si>
    <t>6/22/2012</t>
  </si>
  <si>
    <t>6/25/2012</t>
  </si>
  <si>
    <t>6/26/2012</t>
  </si>
  <si>
    <t>6/27/2012</t>
  </si>
  <si>
    <t>6/28/2012</t>
  </si>
  <si>
    <t>6/29/2012</t>
  </si>
  <si>
    <t>7/2/2012</t>
  </si>
  <si>
    <t>7/3/2012</t>
  </si>
  <si>
    <t>7/5/2012</t>
  </si>
  <si>
    <t>7/6/2012</t>
  </si>
  <si>
    <t>7/9/2012</t>
  </si>
  <si>
    <t>7/10/2012</t>
  </si>
  <si>
    <t>7/11/2012</t>
  </si>
  <si>
    <t>7/12/2012</t>
  </si>
  <si>
    <t>7/13/2012</t>
  </si>
  <si>
    <t>7/16/2012</t>
  </si>
  <si>
    <t>7/17/2012</t>
  </si>
  <si>
    <t>7/18/2012</t>
  </si>
  <si>
    <t>7/19/2012</t>
  </si>
  <si>
    <t>7/20/2012</t>
  </si>
  <si>
    <t>7/23/2012</t>
  </si>
  <si>
    <t>7/24/2012</t>
  </si>
  <si>
    <t>7/25/2012</t>
  </si>
  <si>
    <t>7/26/2012</t>
  </si>
  <si>
    <t>7/27/2012</t>
  </si>
  <si>
    <t>7/30/2012</t>
  </si>
  <si>
    <t>7/31/2012</t>
  </si>
  <si>
    <t>8/1/2012</t>
  </si>
  <si>
    <t>8/2/2012</t>
  </si>
  <si>
    <t>8/3/2012</t>
  </si>
  <si>
    <t>8/6/2012</t>
  </si>
  <si>
    <t>8/7/2012</t>
  </si>
  <si>
    <t>8/8/2012</t>
  </si>
  <si>
    <t>8/9/2012</t>
  </si>
  <si>
    <t>8/10/2012</t>
  </si>
  <si>
    <t>8/13/2012</t>
  </si>
  <si>
    <t>8/14/2012</t>
  </si>
  <si>
    <t>8/15/2012</t>
  </si>
  <si>
    <t>8/16/2012</t>
  </si>
  <si>
    <t>8/17/2012</t>
  </si>
  <si>
    <t>8/20/2012</t>
  </si>
  <si>
    <t>8/21/2012</t>
  </si>
  <si>
    <t>8/22/2012</t>
  </si>
  <si>
    <t>8/23/2012</t>
  </si>
  <si>
    <t>8/24/2012</t>
  </si>
  <si>
    <t>8/27/2012</t>
  </si>
  <si>
    <t>8/28/2012</t>
  </si>
  <si>
    <t>8/29/2012</t>
  </si>
  <si>
    <t>8/30/2012</t>
  </si>
  <si>
    <t>8/31/2012</t>
  </si>
  <si>
    <t>9/4/2012</t>
  </si>
  <si>
    <t>9/5/2012</t>
  </si>
  <si>
    <t>9/6/2012</t>
  </si>
  <si>
    <t>9/7/2012</t>
  </si>
  <si>
    <t>9/10/2012</t>
  </si>
  <si>
    <t>9/11/2012</t>
  </si>
  <si>
    <t>9/12/2012</t>
  </si>
  <si>
    <t>9/13/2012</t>
  </si>
  <si>
    <t>9/14/2012</t>
  </si>
  <si>
    <t>9/17/2012</t>
  </si>
  <si>
    <t>9/18/2012</t>
  </si>
  <si>
    <t>9/19/2012</t>
  </si>
  <si>
    <t>9/20/2012</t>
  </si>
  <si>
    <t>9/21/2012</t>
  </si>
  <si>
    <t>9/24/2012</t>
  </si>
  <si>
    <t>9/25/2012</t>
  </si>
  <si>
    <t>9/26/2012</t>
  </si>
  <si>
    <t>9/27/2012</t>
  </si>
  <si>
    <t>9/28/2012</t>
  </si>
  <si>
    <t>10/1/2012</t>
  </si>
  <si>
    <t>10/2/2012</t>
  </si>
  <si>
    <t>10/3/2012</t>
  </si>
  <si>
    <t>10/4/2012</t>
  </si>
  <si>
    <t>10/5/2012</t>
  </si>
  <si>
    <t>10/8/2012</t>
  </si>
  <si>
    <t>10/9/2012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</si>
  <si>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</si>
  <si>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</si>
  <si>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</si>
  <si>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</si>
  <si>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</si>
  <si>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</si>
  <si>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</si>
  <si>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</si>
  <si>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</si>
  <si>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</si>
  <si>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</si>
  <si>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</si>
  <si>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</si>
  <si>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</si>
  <si>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</si>
  <si>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</si>
  <si>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11/1/2012</t>
  </si>
  <si>
    <t>11/2/2012</t>
  </si>
  <si>
    <t>11/5/2012</t>
  </si>
  <si>
    <t>11/6/2012</t>
  </si>
  <si>
    <t>11/7/2012</t>
  </si>
  <si>
    <t>11/8/2012</t>
  </si>
  <si>
    <t>11/9/2012</t>
  </si>
  <si>
    <t>11/12/2012</t>
  </si>
  <si>
    <t>11/13/2012</t>
  </si>
  <si>
    <t>11/14/2012</t>
  </si>
  <si>
    <t>11/15/2012</t>
  </si>
  <si>
    <t>11/16/2012</t>
  </si>
  <si>
    <t>11/19/2012</t>
  </si>
  <si>
    <t>11/20/2012</t>
  </si>
  <si>
    <t>11/23/2012</t>
  </si>
  <si>
    <t>11/26/2012</t>
  </si>
  <si>
    <t>11/27/2012</t>
  </si>
  <si>
    <t>11/28/2012</t>
  </si>
  <si>
    <t>11/29/2012</t>
  </si>
  <si>
    <t>11/30/2012</t>
  </si>
  <si>
    <t>12/3/2012</t>
  </si>
  <si>
    <t>12/4/2012</t>
  </si>
  <si>
    <t>12/5/2012</t>
  </si>
  <si>
    <t>12/6/2012</t>
  </si>
  <si>
    <t>12/7/2012</t>
  </si>
  <si>
    <t>12/10/2012</t>
  </si>
  <si>
    <t>12/11/2012</t>
  </si>
  <si>
    <t>12/12/2012</t>
  </si>
  <si>
    <t>12/13/2012</t>
  </si>
  <si>
    <t>12/14/2012</t>
  </si>
  <si>
    <t>12/17/2012</t>
  </si>
  <si>
    <t>12/18/2012</t>
  </si>
  <si>
    <t>12/19/2012</t>
  </si>
  <si>
    <t>12/20/2012</t>
  </si>
  <si>
    <t>12/21/2012</t>
  </si>
  <si>
    <t>12/24/2012</t>
  </si>
  <si>
    <t>12/26/2012</t>
  </si>
  <si>
    <t>12/27/2012</t>
  </si>
  <si>
    <t>12/28/2012</t>
  </si>
  <si>
    <t>12/31/2012</t>
  </si>
  <si>
    <t>1/2/2013</t>
  </si>
  <si>
    <t>1/3/2013</t>
  </si>
  <si>
    <t>1/4/2013</t>
  </si>
  <si>
    <t>1/7/2013</t>
  </si>
  <si>
    <t>1/8/2013</t>
  </si>
  <si>
    <t>1/9/2013</t>
  </si>
  <si>
    <t>1/10/2013</t>
  </si>
  <si>
    <t>1/11/2013</t>
  </si>
  <si>
    <t>1/14/2013</t>
  </si>
  <si>
    <t>1/15/2013</t>
  </si>
  <si>
    <t>1/16/2013</t>
  </si>
  <si>
    <t>1/17/2013</t>
  </si>
  <si>
    <t>1/18/2013</t>
  </si>
  <si>
    <t>1/22/2013</t>
  </si>
  <si>
    <t>1/23/2013</t>
  </si>
  <si>
    <t>1/24/2013</t>
  </si>
  <si>
    <t>1/25/2013</t>
  </si>
  <si>
    <t>1/28/2013</t>
  </si>
  <si>
    <t>1/29/2013</t>
  </si>
  <si>
    <t>1/30/2013</t>
  </si>
  <si>
    <t>1/31/2013</t>
  </si>
  <si>
    <t>2/1/2013</t>
  </si>
  <si>
    <t>2/4/2013</t>
  </si>
  <si>
    <t>2/5/2013</t>
  </si>
  <si>
    <t>2/6/2013</t>
  </si>
  <si>
    <t>2/7/2013</t>
  </si>
  <si>
    <t>2/8/2013</t>
  </si>
  <si>
    <t>2/11/2013</t>
  </si>
  <si>
    <t>2/12/2013</t>
  </si>
  <si>
    <t>2/13/2013</t>
  </si>
  <si>
    <t>2/14/2013</t>
  </si>
  <si>
    <t>2/15/2013</t>
  </si>
  <si>
    <t>2/19/2013</t>
  </si>
  <si>
    <t>2/20/2013</t>
  </si>
  <si>
    <t>2/21/2013</t>
  </si>
  <si>
    <t>2/22/2013</t>
  </si>
  <si>
    <t>2/25/2013</t>
  </si>
  <si>
    <t>2/26/2013</t>
  </si>
  <si>
    <t>2/27/2013</t>
  </si>
  <si>
    <t>2/28/2013</t>
  </si>
  <si>
    <t>3/1/2013</t>
  </si>
  <si>
    <t>3/4/2013</t>
  </si>
  <si>
    <t>3/5/2013</t>
  </si>
  <si>
    <t>3/6/2013</t>
  </si>
  <si>
    <t>3/7/2013</t>
  </si>
  <si>
    <t>3/8/2013</t>
  </si>
  <si>
    <t>3/11/2013</t>
  </si>
  <si>
    <t>3/12/2013</t>
  </si>
  <si>
    <t>3/13/2013</t>
  </si>
  <si>
    <t>3/14/2013</t>
  </si>
  <si>
    <t>3/15/2013</t>
  </si>
  <si>
    <t>3/18/2013</t>
  </si>
  <si>
    <t>3/19/2013</t>
  </si>
  <si>
    <t>3/20/2013</t>
  </si>
  <si>
    <t>3/21/2013</t>
  </si>
  <si>
    <t>3/22/2013</t>
  </si>
  <si>
    <t>3/25/2013</t>
  </si>
  <si>
    <t>3/26/2013</t>
  </si>
  <si>
    <t>3/27/2013</t>
  </si>
  <si>
    <t>3/28/2013</t>
  </si>
  <si>
    <t>4/1/2013</t>
  </si>
  <si>
    <t>4/2/2013</t>
  </si>
  <si>
    <t>4/3/2013</t>
  </si>
  <si>
    <t>4/4/2013</t>
  </si>
  <si>
    <t>4/5/2013</t>
  </si>
  <si>
    <t>4/8/2013</t>
  </si>
  <si>
    <t>4/9/2013</t>
  </si>
  <si>
    <t>4/10/2013</t>
  </si>
  <si>
    <t>4/11/2013</t>
  </si>
  <si>
    <t>4/12/2013</t>
  </si>
  <si>
    <t>4/15/2013</t>
  </si>
  <si>
    <t>4/16/2013</t>
  </si>
  <si>
    <t>4/17/2013</t>
  </si>
  <si>
    <t>4/18/2013</t>
  </si>
  <si>
    <t>4/19/2013</t>
  </si>
  <si>
    <t>4/22/2013</t>
  </si>
  <si>
    <t>4/23/2013</t>
  </si>
  <si>
    <t>4/24/2013</t>
  </si>
  <si>
    <t>4/25/2013</t>
  </si>
  <si>
    <t>4/26/2013</t>
  </si>
  <si>
    <t>4/29/2013</t>
  </si>
  <si>
    <t>4/30/2013</t>
  </si>
  <si>
    <t>5/1/2013</t>
  </si>
  <si>
    <t>5/2/2013</t>
  </si>
  <si>
    <t>5/3/2013</t>
  </si>
  <si>
    <t>5/6/2013</t>
  </si>
  <si>
    <t>5/7/2013</t>
  </si>
  <si>
    <t>5/8/2013</t>
  </si>
  <si>
    <t>5/9/2013</t>
  </si>
  <si>
    <t>5/10/2013</t>
  </si>
  <si>
    <t>5/13/2013</t>
  </si>
  <si>
    <t>5/14/2013</t>
  </si>
  <si>
    <t>5/15/2013</t>
  </si>
  <si>
    <t>5/20/2013</t>
  </si>
  <si>
    <t>5/21/2013</t>
  </si>
  <si>
    <t>5/22/2013</t>
  </si>
  <si>
    <t>5/23/2013</t>
  </si>
  <si>
    <t>5/24/2013</t>
  </si>
  <si>
    <t>5/28/2013</t>
  </si>
  <si>
    <t>5/30/2013</t>
  </si>
  <si>
    <t>5/31/2013</t>
  </si>
  <si>
    <t>6/3/2013</t>
  </si>
  <si>
    <t>6/4/2013</t>
  </si>
  <si>
    <t>6/5/2013</t>
  </si>
  <si>
    <t>6/6/2013</t>
  </si>
  <si>
    <t>6/7/2013</t>
  </si>
  <si>
    <t>6/11/2013</t>
  </si>
  <si>
    <t>6/12/2013</t>
  </si>
  <si>
    <t>6/13/2013</t>
  </si>
  <si>
    <t>6/14/2013</t>
  </si>
  <si>
    <t>6/17/2013</t>
  </si>
  <si>
    <t>6/18/2013</t>
  </si>
  <si>
    <t>6/19/2013</t>
  </si>
  <si>
    <t>6/20/2013</t>
  </si>
  <si>
    <t>6/21/2013</t>
  </si>
  <si>
    <t>6/25/2013</t>
  </si>
  <si>
    <t>6/26/2013</t>
  </si>
  <si>
    <t>6/27/2013</t>
  </si>
  <si>
    <t>6/28/2013</t>
  </si>
  <si>
    <t>7/1/2013</t>
  </si>
  <si>
    <t>7/2/2013</t>
  </si>
  <si>
    <t>7/3/2013</t>
  </si>
  <si>
    <t>7/5/2013</t>
  </si>
  <si>
    <t>7/8/2013</t>
  </si>
  <si>
    <t>7/9/2013</t>
  </si>
  <si>
    <t>7/10/2013</t>
  </si>
  <si>
    <t>7/11/2013</t>
  </si>
  <si>
    <t>7/12/2013</t>
  </si>
  <si>
    <t>7/15/2013</t>
  </si>
  <si>
    <t>7/17/2013</t>
  </si>
  <si>
    <t>7/18/2013</t>
  </si>
  <si>
    <t>7/19/2013</t>
  </si>
  <si>
    <t>7/22/2013</t>
  </si>
  <si>
    <t>7/23/2013</t>
  </si>
  <si>
    <t>7/25/2013</t>
  </si>
  <si>
    <t>7/26/2013</t>
  </si>
  <si>
    <t>7/29/2013</t>
  </si>
  <si>
    <t>7/30/2013</t>
  </si>
  <si>
    <t>7/31/2013</t>
  </si>
  <si>
    <t>8/1/2013</t>
  </si>
  <si>
    <t>8/2/2013</t>
  </si>
  <si>
    <t>8/5/2013</t>
  </si>
  <si>
    <t>8/6/2013</t>
  </si>
  <si>
    <t>8/7/2013</t>
  </si>
  <si>
    <t>8/8/2013</t>
  </si>
  <si>
    <t>8/9/2013</t>
  </si>
  <si>
    <t>8/13/2013</t>
  </si>
  <si>
    <t>8/22/2013</t>
  </si>
  <si>
    <t>8/23/2013</t>
  </si>
  <si>
    <t>8/28/2013</t>
  </si>
  <si>
    <t>8/29/2013</t>
  </si>
  <si>
    <t>8/30/2013</t>
  </si>
  <si>
    <t>9/3/2013</t>
  </si>
  <si>
    <t>9/4/2013</t>
  </si>
  <si>
    <t>9/5/2013</t>
  </si>
  <si>
    <t>9/6/2013</t>
  </si>
  <si>
    <t>9/9/2013</t>
  </si>
  <si>
    <t>9/10/2013</t>
  </si>
  <si>
    <t>9/11/2013</t>
  </si>
  <si>
    <t>9/12/2013</t>
  </si>
  <si>
    <t>9/13/2013</t>
  </si>
  <si>
    <t>9/16/2013</t>
  </si>
  <si>
    <t>9/17/2013</t>
  </si>
  <si>
    <t>9/18/2013</t>
  </si>
  <si>
    <t>9/19/2013</t>
  </si>
  <si>
    <t>9/20/2013</t>
  </si>
  <si>
    <t>9/23/2013</t>
  </si>
  <si>
    <t>9/24/2013</t>
  </si>
  <si>
    <t>9/25/2013</t>
  </si>
  <si>
    <t>9/26/2013</t>
  </si>
  <si>
    <t>9/27/2013</t>
  </si>
  <si>
    <t>9/30/2013</t>
  </si>
  <si>
    <t>10/1/2013</t>
  </si>
  <si>
    <t>10/2/2013</t>
  </si>
  <si>
    <t>10/3/2013</t>
  </si>
  <si>
    <t>10/4/2013</t>
  </si>
  <si>
    <t>10/7/2013</t>
  </si>
  <si>
    <t>10/8/2013</t>
  </si>
  <si>
    <t>10/10/2013</t>
  </si>
  <si>
    <t>10/11/2013</t>
  </si>
  <si>
    <t>10/15/2013</t>
  </si>
  <si>
    <t>10/17/2013</t>
  </si>
  <si>
    <t>10/18/2013</t>
  </si>
  <si>
    <t>10/21/2013</t>
  </si>
  <si>
    <t>10/22/2013</t>
  </si>
  <si>
    <t>10/23/2013</t>
  </si>
  <si>
    <t>10/24/2013</t>
  </si>
  <si>
    <t>10/25/2013</t>
  </si>
  <si>
    <t>10/30/2013</t>
  </si>
  <si>
    <t>10/31/2013</t>
  </si>
  <si>
    <t>11/1/2013</t>
  </si>
  <si>
    <t>11/4/2013</t>
  </si>
  <si>
    <t>11/5/2013</t>
  </si>
  <si>
    <t>11/6/2013</t>
  </si>
  <si>
    <t>11/7/2013</t>
  </si>
  <si>
    <t>11/8/2013</t>
  </si>
  <si>
    <t>11/12/2013</t>
  </si>
  <si>
    <t>11/15/2013</t>
  </si>
  <si>
    <t>11/18/2013</t>
  </si>
  <si>
    <t>11/19/2013</t>
  </si>
  <si>
    <t>11/20/2013</t>
  </si>
  <si>
    <t>11/21/2013</t>
  </si>
  <si>
    <t>11/22/2013</t>
  </si>
  <si>
    <t>11/25/2013</t>
  </si>
  <si>
    <t>11/26/2013</t>
  </si>
  <si>
    <t>11/27/2013</t>
  </si>
  <si>
    <t>12/2/2013</t>
  </si>
  <si>
    <t>12/3/2013</t>
  </si>
  <si>
    <t>12/4/2013</t>
  </si>
  <si>
    <t>12/5/2013</t>
  </si>
  <si>
    <t>12/6/2013</t>
  </si>
  <si>
    <t>12/9/2013</t>
  </si>
  <si>
    <t>12/10/2013</t>
  </si>
  <si>
    <t>12/11/2013</t>
  </si>
  <si>
    <t>12/12/2013</t>
  </si>
  <si>
    <t>12/13/2013</t>
  </si>
  <si>
    <t>12/16/2013</t>
  </si>
  <si>
    <t>12/18/2013</t>
  </si>
  <si>
    <t>12/19/2013</t>
  </si>
  <si>
    <t>12/20/2013</t>
  </si>
  <si>
    <t>12/23/2013</t>
  </si>
  <si>
    <t>12/24/2013</t>
  </si>
  <si>
    <t>12/26/2013</t>
  </si>
  <si>
    <t>12/27/2013</t>
  </si>
  <si>
    <t>12/30/2013</t>
  </si>
  <si>
    <t>12/31/2013</t>
  </si>
  <si>
    <t>1/2/2014</t>
  </si>
  <si>
    <t>1/3/2014</t>
  </si>
  <si>
    <t>1/6/2014</t>
  </si>
  <si>
    <t>1/7/2014</t>
  </si>
  <si>
    <t>1/9/2014</t>
  </si>
  <si>
    <t>1/10/2014</t>
  </si>
  <si>
    <t>1/13/2014</t>
  </si>
  <si>
    <t>1/14/2014</t>
  </si>
  <si>
    <t>1/15/2014</t>
  </si>
  <si>
    <t>1/16/2014</t>
  </si>
  <si>
    <t>1/17/2014</t>
  </si>
  <si>
    <t>1/21/2014</t>
  </si>
  <si>
    <t>1/22/2014</t>
  </si>
  <si>
    <t>1/23/2014</t>
  </si>
  <si>
    <t>1/24/2014</t>
  </si>
  <si>
    <t>1/27/2014</t>
  </si>
  <si>
    <t>1/28/2014</t>
  </si>
  <si>
    <t>1/29/2014</t>
  </si>
  <si>
    <t>1/30/2014</t>
  </si>
  <si>
    <t>1/31/2014</t>
  </si>
  <si>
    <t>2/3/2014</t>
  </si>
  <si>
    <t>2/4/2014</t>
  </si>
  <si>
    <t>2/5/2014</t>
  </si>
  <si>
    <t>2/6/2014</t>
  </si>
  <si>
    <t>2/7/2014</t>
  </si>
  <si>
    <t>2/10/2014</t>
  </si>
  <si>
    <t>2/11/2014</t>
  </si>
  <si>
    <t>2/12/2014</t>
  </si>
  <si>
    <t>2/13/2014</t>
  </si>
  <si>
    <t>2/14/2014</t>
  </si>
  <si>
    <t>2/18/2014</t>
  </si>
  <si>
    <t>2/19/2014</t>
  </si>
  <si>
    <t>2/20/2014</t>
  </si>
  <si>
    <t>2/21/2014</t>
  </si>
  <si>
    <t>2/24/2014</t>
  </si>
  <si>
    <t>2/25/2014</t>
  </si>
  <si>
    <t>2/26/2014</t>
  </si>
  <si>
    <t>2/27/2014</t>
  </si>
  <si>
    <t>2/28/2014</t>
  </si>
  <si>
    <t>3/3/2014</t>
  </si>
  <si>
    <t>3/4/2014</t>
  </si>
  <si>
    <t>3/5/2014</t>
  </si>
  <si>
    <t>3/6/2014</t>
  </si>
  <si>
    <t>3/7/2014</t>
  </si>
  <si>
    <t>3/10/2014</t>
  </si>
  <si>
    <t>3/11/2014</t>
  </si>
  <si>
    <t>3/12/2014</t>
  </si>
  <si>
    <t>3/13/2014</t>
  </si>
  <si>
    <t>3/14/2014</t>
  </si>
  <si>
    <t>3/17/2014</t>
  </si>
  <si>
    <t>3/18/2014</t>
  </si>
  <si>
    <t>3/19/2014</t>
  </si>
  <si>
    <t>3/20/2014</t>
  </si>
  <si>
    <t>3/21/2014</t>
  </si>
  <si>
    <t>3/24/2014</t>
  </si>
  <si>
    <t>3/25/2014</t>
  </si>
  <si>
    <t>3/26/2014</t>
  </si>
  <si>
    <t>3/27/2014</t>
  </si>
  <si>
    <t>3/28/2014</t>
  </si>
  <si>
    <t>3/31/2014</t>
  </si>
  <si>
    <t>4/1/2014</t>
  </si>
  <si>
    <t>4/2/2014</t>
  </si>
  <si>
    <t>4/3/2014</t>
  </si>
  <si>
    <t>4/4/2014</t>
  </si>
  <si>
    <t>4/7/2014</t>
  </si>
  <si>
    <t>4/8/2014</t>
  </si>
  <si>
    <t>4/9/2014</t>
  </si>
  <si>
    <t>4/10/2014</t>
  </si>
  <si>
    <t>4/11/2014</t>
  </si>
  <si>
    <t>4/14/2014</t>
  </si>
  <si>
    <t>4/15/2014</t>
  </si>
  <si>
    <t>4/16/2014</t>
  </si>
  <si>
    <t>4/17/2014</t>
  </si>
  <si>
    <t>4/21/2014</t>
  </si>
  <si>
    <t>4/22/2014</t>
  </si>
  <si>
    <t>4/23/2014</t>
  </si>
  <si>
    <t>4/24/2014</t>
  </si>
  <si>
    <t>4/25/2014</t>
  </si>
  <si>
    <t>4/28/2014</t>
  </si>
  <si>
    <t>4/29/2014</t>
  </si>
  <si>
    <t>4/30/2014</t>
  </si>
  <si>
    <t>5/1/2014</t>
  </si>
  <si>
    <t>5/2/2014</t>
  </si>
  <si>
    <t>5/5/2014</t>
  </si>
  <si>
    <t>5/6/2014</t>
  </si>
  <si>
    <t>5/7/2014</t>
  </si>
  <si>
    <t>5/8/2014</t>
  </si>
  <si>
    <t>5/9/2014</t>
  </si>
  <si>
    <t>5/12/2014</t>
  </si>
  <si>
    <t>5/13/2014</t>
  </si>
  <si>
    <t>5/14/2014</t>
  </si>
  <si>
    <t>5/15/2014</t>
  </si>
  <si>
    <t>5/16/2014</t>
  </si>
  <si>
    <t>5/19/2014</t>
  </si>
  <si>
    <t>5/20/2014</t>
  </si>
  <si>
    <t>5/21/2014</t>
  </si>
  <si>
    <t>5/22/2014</t>
  </si>
  <si>
    <t>5/23/2014</t>
  </si>
  <si>
    <t>5/27/2014</t>
  </si>
  <si>
    <t>5/28/2014</t>
  </si>
  <si>
    <t>5/29/2014</t>
  </si>
  <si>
    <t>5/30/2014</t>
  </si>
  <si>
    <t>6/2/2014</t>
  </si>
  <si>
    <t>6/3/2014</t>
  </si>
  <si>
    <t>6/4/2014</t>
  </si>
  <si>
    <t>6/5/2014</t>
  </si>
  <si>
    <t>6/6/2014</t>
  </si>
  <si>
    <t>6/9/2014</t>
  </si>
  <si>
    <t>6/10/2014</t>
  </si>
  <si>
    <t>6/11/2014</t>
  </si>
  <si>
    <t>6/12/2014</t>
  </si>
  <si>
    <t>6/13/2014</t>
  </si>
  <si>
    <t>6/16/2014</t>
  </si>
  <si>
    <t>6/17/2014</t>
  </si>
  <si>
    <t>6/18/2014</t>
  </si>
  <si>
    <t>6/19/2014</t>
  </si>
  <si>
    <t>6/20/2014</t>
  </si>
  <si>
    <t>6/23/2014</t>
  </si>
  <si>
    <t>6/24/2014</t>
  </si>
  <si>
    <t>6/25/2014</t>
  </si>
  <si>
    <t>6/26/2014</t>
  </si>
  <si>
    <t>6/27/2014</t>
  </si>
  <si>
    <t>6/30/2014</t>
  </si>
  <si>
    <t>7/1/2014</t>
  </si>
  <si>
    <t>7/2/2014</t>
  </si>
  <si>
    <t>7/3/2014</t>
  </si>
  <si>
    <t>7/7/2014</t>
  </si>
  <si>
    <t>7/8/2014</t>
  </si>
  <si>
    <t>7/9/2014</t>
  </si>
  <si>
    <t>7/10/2014</t>
  </si>
  <si>
    <t>7/11/2014</t>
  </si>
  <si>
    <t>7/14/2014</t>
  </si>
  <si>
    <t>7/15/2014</t>
  </si>
  <si>
    <t>7/16/2014</t>
  </si>
  <si>
    <t>7/17/2014</t>
  </si>
  <si>
    <t>7/18/2014</t>
  </si>
  <si>
    <t>7/21/2014</t>
  </si>
  <si>
    <t>7/22/2014</t>
  </si>
  <si>
    <t>7/23/2014</t>
  </si>
  <si>
    <t>7/24/2014</t>
  </si>
  <si>
    <t>7/25/2014</t>
  </si>
  <si>
    <t>7/28/2014</t>
  </si>
  <si>
    <t>7/29/2014</t>
  </si>
  <si>
    <t>7/30/2014</t>
  </si>
  <si>
    <t>7/31/2014</t>
  </si>
  <si>
    <t>8/1/2014</t>
  </si>
  <si>
    <t>8/4/2014</t>
  </si>
  <si>
    <t>8/5/2014</t>
  </si>
  <si>
    <t>8/6/2014</t>
  </si>
  <si>
    <t>8/7/2014</t>
  </si>
  <si>
    <t>8/8/2014</t>
  </si>
  <si>
    <t>8/11/2014</t>
  </si>
  <si>
    <t>8/12/2014</t>
  </si>
  <si>
    <t>8/13/2014</t>
  </si>
  <si>
    <t>8/14/2014</t>
  </si>
  <si>
    <t>8/15/2014</t>
  </si>
  <si>
    <t>8/18/2014</t>
  </si>
  <si>
    <t>8/19/2014</t>
  </si>
  <si>
    <t>8/20/2014</t>
  </si>
  <si>
    <t>8/21/2014</t>
  </si>
  <si>
    <t>8/22/2014</t>
  </si>
  <si>
    <t>8/25/2014</t>
  </si>
  <si>
    <t>8/26/2014</t>
  </si>
  <si>
    <t>8/27/2014</t>
  </si>
  <si>
    <t>8/28/2014</t>
  </si>
  <si>
    <t>8/29/2014</t>
  </si>
  <si>
    <t>9/2/2014</t>
  </si>
  <si>
    <t>9/3/2014</t>
  </si>
  <si>
    <t>9/4/2014</t>
  </si>
  <si>
    <t>9/5/2014</t>
  </si>
  <si>
    <t>9/8/2014</t>
  </si>
  <si>
    <t>9/9/2014</t>
  </si>
  <si>
    <t>9/10/2014</t>
  </si>
  <si>
    <t>9/11/2014</t>
  </si>
  <si>
    <t>9/12/2014</t>
  </si>
  <si>
    <t>9/15/2014</t>
  </si>
  <si>
    <t>9/16/2014</t>
  </si>
  <si>
    <t>9/17/2014</t>
  </si>
  <si>
    <t>9/18/2014</t>
  </si>
  <si>
    <t>9/19/2014</t>
  </si>
  <si>
    <t>9/22/2014</t>
  </si>
  <si>
    <t>9/23/2014</t>
  </si>
  <si>
    <t>9/24/2014</t>
  </si>
  <si>
    <t>9/25/2014</t>
  </si>
  <si>
    <t>9/26/2014</t>
  </si>
  <si>
    <t>9/29/2014</t>
  </si>
  <si>
    <t>9/30/2014</t>
  </si>
  <si>
    <t>10/1/2014</t>
  </si>
  <si>
    <t>10/2/2014</t>
  </si>
  <si>
    <t>10/3/2014</t>
  </si>
  <si>
    <t>10/6/2014</t>
  </si>
  <si>
    <t>10/7/2014</t>
  </si>
  <si>
    <t>10/8/2014</t>
  </si>
  <si>
    <t>10/9/2014</t>
  </si>
  <si>
    <t>10/10/2014</t>
  </si>
  <si>
    <t>10/14/2014</t>
  </si>
  <si>
    <t>10/15/2014</t>
  </si>
  <si>
    <t>10/16/2014</t>
  </si>
  <si>
    <t>10/17/2014</t>
  </si>
  <si>
    <t>10/20/2014</t>
  </si>
  <si>
    <t>10/21/2014</t>
  </si>
  <si>
    <t>10/22/2014</t>
  </si>
  <si>
    <t>10/23/2014</t>
  </si>
  <si>
    <t>10/24/2014</t>
  </si>
  <si>
    <t>10/27/2014</t>
  </si>
  <si>
    <t>10/28/2014</t>
  </si>
  <si>
    <t>10/29/2014</t>
  </si>
  <si>
    <t>10/30/2014</t>
  </si>
  <si>
    <t>10/31/2014</t>
  </si>
  <si>
    <t>11/3/2014</t>
  </si>
  <si>
    <t>11/4/2014</t>
  </si>
  <si>
    <t>11/5/2014</t>
  </si>
  <si>
    <t>11/6/2014</t>
  </si>
  <si>
    <t>11/7/2014</t>
  </si>
  <si>
    <t>11/10/2014</t>
  </si>
  <si>
    <t>11/12/2014</t>
  </si>
  <si>
    <t>11/13/2014</t>
  </si>
  <si>
    <t>11/14/2014</t>
  </si>
  <si>
    <t>11/17/2014</t>
  </si>
  <si>
    <t>11/18/2014</t>
  </si>
  <si>
    <t>11/19/2014</t>
  </si>
  <si>
    <t>11/20/2014</t>
  </si>
  <si>
    <t>11/21/2014</t>
  </si>
  <si>
    <t>11/24/2014</t>
  </si>
  <si>
    <t>11/25/2014</t>
  </si>
  <si>
    <t>11/26/2014</t>
  </si>
  <si>
    <t>11/28/2014</t>
  </si>
  <si>
    <t>12/1/2014</t>
  </si>
  <si>
    <t>12/2/2014</t>
  </si>
  <si>
    <t>12/3/2014</t>
  </si>
  <si>
    <t>12/4/2014</t>
  </si>
  <si>
    <t>12/5/2014</t>
  </si>
  <si>
    <t>12/8/2014</t>
  </si>
  <si>
    <t>12/9/2014</t>
  </si>
  <si>
    <t>12/10/2014</t>
  </si>
  <si>
    <t>12/11/2014</t>
  </si>
  <si>
    <t>12/12/2014</t>
  </si>
  <si>
    <t>12/15/2014</t>
  </si>
  <si>
    <t>12/16/2014</t>
  </si>
  <si>
    <t>12/17/2014</t>
  </si>
  <si>
    <t>12/18/2014</t>
  </si>
  <si>
    <t>12/19/2014</t>
  </si>
  <si>
    <t>12/22/2014</t>
  </si>
  <si>
    <t>12/23/2014</t>
  </si>
  <si>
    <t>12/24/2014</t>
  </si>
  <si>
    <t>12/26/2014</t>
  </si>
  <si>
    <t>12/29/2014</t>
  </si>
  <si>
    <t>12/30/2014</t>
  </si>
  <si>
    <t>12/31/2014</t>
  </si>
  <si>
    <t>1/2/2015</t>
  </si>
  <si>
    <t>1/5/2015</t>
  </si>
  <si>
    <t>1/6/2015</t>
  </si>
  <si>
    <t>1/7/2015</t>
  </si>
  <si>
    <t>1/8/2015</t>
  </si>
  <si>
    <t>1/9/2015</t>
  </si>
  <si>
    <t>1/12/2015</t>
  </si>
  <si>
    <t>1/13/2015</t>
  </si>
  <si>
    <t>1/14/2015</t>
  </si>
  <si>
    <t>1/15/2015</t>
  </si>
  <si>
    <t>4.5 2010</t>
  </si>
  <si>
    <t>3.50 2012</t>
  </si>
  <si>
    <t>3 2012</t>
  </si>
  <si>
    <t>30 Year Refinanceable Universe (rhs)</t>
  </si>
  <si>
    <t>MTG[IOS IFN 34010 IO]::OAS</t>
  </si>
  <si>
    <t>asof</t>
  </si>
  <si>
    <t>Daily Refi Universe</t>
  </si>
  <si>
    <t>0</t>
  </si>
  <si>
    <t>Old Barclays OAS</t>
  </si>
  <si>
    <t>fn30.400.10(iox)</t>
  </si>
  <si>
    <t>Price</t>
  </si>
  <si>
    <t>YB OAS</t>
  </si>
  <si>
    <t>YB switch to v21</t>
  </si>
  <si>
    <t>oas (slow)</t>
  </si>
  <si>
    <t>OAS YB hist</t>
  </si>
  <si>
    <t>NA</t>
  </si>
  <si>
    <t>Numbers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</si>
</sst>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yy"/>
    <numFmt numFmtId="165" formatCode="#,##0.000"/>
    <numFmt numFmtId="166" formatCode="0.0%"/>
  </numFmts>
  <fonts count="11" x14ac:knownFonts="1">
    <font>
      <sz val="10"/>
      <name val="Arial"/>
    </font>
    <font>
      <b/>
      <sz val="11"/>
      <name val="Calibri"/>
      <family val="2"/>
    </font>
    <font>
      <sz val="11"/>
      <name val="Calibri"/>
      <family val="2"/>
    </font>
    <font>
      <sz val="10"/>
      <name val="Arial"/>
      <family val="2"/>
    </font>
    <font>
      <sz val="11"/>
      <name val="Calibri"/>
      <family val="2"/>
    </font>
    <font>
      <b/>
      <sz val="11"/>
      <name val="Calibri"/>
      <family val="2"/>
    </font>
    <font>
      <sz val="10"/>
      <name val="Arial"/>
      <family val="2"/>
    </font>
    <font>
      <sz val="10"/>
      <color theme="1"/>
      <name val="Calibri"/>
      <family val="2"/>
      <scheme val="minor"/>
    </font>
    <font>
      <sz val="10"/>
      <name val="Calibri"/>
      <family val="2"/>
      <scheme val="minor"/>
    </font>
    <font>
      <sz val="10"/>
      <name val="Calibri"/>
      <family val="2"/>
    </font>
    <font>
      <sz val="10"/>
      <name val="Calibri"/>
      <family val="2"/>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theme="4"/>
      </left>
      <right/>
      <top style="thin">
        <color theme="4"/>
      </top>
      <bottom/>
      <diagonal/>
    </border>
    <border>
      <left/>
      <right/>
      <top style="thin">
        <color theme="4"/>
      </top>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3" fillId="0" borderId="0" applyNumberFormat="0" applyFont="0" applyFill="0" applyBorder="0" applyAlignment="0" applyProtection="0"/>
    <xf numFmtId="0" fontId="8" fillId="4" borderId="0"/>
  </cellStyleXfs>
  <cellXfs count="43">
    <xf numFmtId="0" fontId="0" fillId="0" borderId="0" xfId="0" applyNumberFormat="1" applyFont="1" applyFill="1" applyBorder="1" applyAlignment="1"/>
    <xf numFmtId="0" fontId="2" fillId="0" borderId="0" xfId="0" applyNumberFormat="1" applyFont="1" applyFill="1" applyBorder="1" applyAlignment="1">
      <alignment horizontal="left" wrapText="1"/>
    </xf>
    <xf numFmtId="0" fontId="2" fillId="0" borderId="0" xfId="0" applyNumberFormat="1" applyFont="1" applyFill="1" applyBorder="1" applyAlignment="1">
      <alignment horizontal="left"/>
    </xf>
    <xf numFmtId="14" fontId="0" fillId="0" borderId="0" xfId="0" applyNumberFormat="1" applyFont="1" applyFill="1" applyBorder="1" applyAlignment="1"/>
    <xf numFmtId="0" fontId="1" fillId="2" borderId="1" xfId="0" applyNumberFormat="1" applyFont="1" applyFill="1" applyBorder="1" applyAlignment="1">
      <alignment horizontal="center"/>
    </xf>
    <xf numFmtId="165" fontId="2" fillId="0" borderId="1" xfId="0" applyNumberFormat="1"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2" xfId="0" applyNumberFormat="1" applyFont="1" applyFill="1" applyBorder="1" applyAlignment="1">
      <alignment horizontal="center"/>
    </xf>
    <xf numFmtId="14" fontId="1" fillId="0" borderId="1" xfId="0" applyNumberFormat="1" applyFont="1" applyFill="1" applyBorder="1" applyAlignment="1">
      <alignment horizontal="center"/>
    </xf>
    <xf numFmtId="0" fontId="3" fillId="0" borderId="0" xfId="0" applyNumberFormat="1" applyFont="1" applyFill="1" applyBorder="1" applyAlignment="1"/>
    <xf numFmtId="9" fontId="3" fillId="0" borderId="0" xfId="0" applyNumberFormat="1" applyFont="1" applyFill="1" applyBorder="1" applyAlignment="1">
      <alignment horizontal="center"/>
    </xf>
    <xf numFmtId="9" fontId="3" fillId="0" borderId="0" xfId="0" applyNumberFormat="1" applyFont="1" applyFill="1" applyAlignment="1">
      <alignment horizontal="center"/>
    </xf>
    <xf numFmtId="0" fontId="3" fillId="0" borderId="0" xfId="0" applyNumberFormat="1" applyFont="1" applyFill="1" applyBorder="1" applyAlignment="1">
      <alignment horizontal="center"/>
    </xf>
    <xf numFmtId="164"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0" fontId="5" fillId="2" borderId="1" xfId="0" applyNumberFormat="1" applyFont="1" applyFill="1" applyBorder="1" applyAlignment="1">
      <alignment horizontal="right"/>
    </xf>
    <xf numFmtId="164" fontId="2" fillId="0" borderId="1" xfId="0" applyNumberFormat="1" applyFont="1" applyFill="1" applyBorder="1" applyAlignment="1">
      <alignment horizontal="left"/>
    </xf>
    <xf numFmtId="165" fontId="2" fillId="0" borderId="1" xfId="0" applyNumberFormat="1" applyFont="1" applyFill="1" applyBorder="1" applyAlignment="1">
      <alignment horizontal="right"/>
    </xf>
    <xf numFmtId="14" fontId="7" fillId="0" borderId="3" xfId="0" applyNumberFormat="1" applyFont="1" applyBorder="1"/>
    <xf numFmtId="10" fontId="7" fillId="0" borderId="4" xfId="1" applyNumberFormat="1" applyFont="1" applyBorder="1"/>
    <xf numFmtId="0" fontId="0" fillId="0" borderId="0" xfId="0"/>
    <xf numFmtId="165" fontId="2" fillId="0" borderId="1" xfId="2" applyNumberFormat="1" applyFont="1" applyFill="1" applyBorder="1" applyAlignment="1">
      <alignment horizontal="right"/>
    </xf>
    <xf numFmtId="0" fontId="8" fillId="0" borderId="0" xfId="0" applyNumberFormat="1" applyFont="1" applyFill="1" applyBorder="1" applyAlignment="1"/>
    <xf numFmtId="164" fontId="4" fillId="3" borderId="1" xfId="0" applyNumberFormat="1" applyFont="1" applyFill="1" applyBorder="1" applyAlignment="1">
      <alignment horizontal="left"/>
    </xf>
    <xf numFmtId="165" fontId="4" fillId="3" borderId="1" xfId="0" applyNumberFormat="1" applyFont="1" applyFill="1" applyBorder="1" applyAlignment="1">
      <alignment horizontal="right"/>
    </xf>
    <xf numFmtId="14" fontId="9" fillId="0" borderId="0" xfId="0" applyNumberFormat="1" applyFont="1" applyFill="1" applyBorder="1" applyAlignment="1"/>
    <xf numFmtId="0" fontId="9" fillId="0" borderId="0" xfId="0" applyNumberFormat="1" applyFont="1" applyFill="1" applyBorder="1" applyAlignment="1"/>
    <xf numFmtId="165" fontId="2" fillId="3" borderId="1" xfId="0" applyNumberFormat="1" applyFont="1" applyFill="1" applyBorder="1" applyAlignment="1">
      <alignment horizontal="right"/>
    </xf>
    <xf numFmtId="2" fontId="1" fillId="0" borderId="0" xfId="0" applyNumberFormat="1" applyFont="1" applyFill="1" applyBorder="1" applyAlignment="1">
      <alignment horizontal="center"/>
    </xf>
    <xf numFmtId="2" fontId="4" fillId="0" borderId="0" xfId="0" applyNumberFormat="1" applyFont="1" applyFill="1" applyBorder="1" applyAlignment="1">
      <alignment horizontal="left"/>
    </xf>
    <xf numFmtId="2" fontId="0" fillId="0" borderId="0" xfId="0" applyNumberFormat="1" applyFont="1" applyFill="1" applyBorder="1" applyAlignment="1">
      <alignment horizontal="center"/>
    </xf>
    <xf numFmtId="2" fontId="0" fillId="0" borderId="0" xfId="0" applyNumberFormat="1" applyFont="1" applyFill="1" applyBorder="1" applyAlignment="1"/>
    <xf numFmtId="0" fontId="3" fillId="3" borderId="0" xfId="0" applyNumberFormat="1" applyFont="1" applyFill="1" applyBorder="1" applyAlignment="1">
      <alignment horizontal="center"/>
    </xf>
    <xf numFmtId="9" fontId="3" fillId="3" borderId="0" xfId="0" applyNumberFormat="1" applyFont="1" applyFill="1" applyBorder="1" applyAlignment="1">
      <alignment horizontal="center"/>
    </xf>
    <xf numFmtId="14" fontId="0" fillId="3" borderId="0" xfId="0" applyNumberFormat="1" applyFont="1" applyFill="1" applyBorder="1" applyAlignment="1"/>
    <xf numFmtId="0" fontId="0" fillId="3" borderId="0" xfId="0" applyNumberFormat="1" applyFont="1" applyFill="1" applyBorder="1" applyAlignment="1"/>
    <xf numFmtId="14" fontId="10" fillId="0" borderId="0" xfId="0" applyNumberFormat="1" applyFont="1" applyFill="1" applyBorder="1" applyAlignment="1"/>
    <xf numFmtId="0" fontId="10" fillId="0" borderId="0" xfId="0" applyNumberFormat="1" applyFont="1" applyFill="1" applyBorder="1" applyAlignment="1"/>
    <xf numFmtId="166" fontId="3" fillId="0" borderId="0" xfId="0" applyNumberFormat="1" applyFont="1" applyFill="1" applyBorder="1" applyAlignment="1"/>
    <xf numFmtId="166" fontId="0" fillId="0" borderId="0" xfId="1" applyNumberFormat="1" applyFont="1" applyFill="1" applyBorder="1" applyAlignment="1"/>
    <xf numFmtId="166" fontId="0" fillId="3" borderId="0" xfId="1" applyNumberFormat="1" applyFont="1" applyFill="1" applyBorder="1" applyAlignment="1"/>
    <xf numFmtId="166" fontId="0" fillId="0" borderId="0" xfId="0" applyNumberFormat="1" applyFont="1" applyFill="1" applyBorder="1" applyAlignment="1"/>
  </cellXfs>
  <cellStyles count="4">
    <cellStyle name="Normal" xfId="0" builtinId="0"/>
    <cellStyle name="Normal 2" xfId="2"/>
    <cellStyle name="Normal 2 7" xfId="3"/>
    <cellStyle name="Percent" xfId="1" builtinId="5"/>
  </cellStyles>
  <dxfs count="4">
    <dxf>
      <font>
        <strike val="0"/>
        <outline val="0"/>
        <shadow val="0"/>
        <u val="none"/>
        <vertAlign val="baseline"/>
        <sz val="10"/>
        <name val="Calibri"/>
        <scheme val="none"/>
      </font>
      <numFmt numFmtId="0" formatCode="General"/>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0"/>
        <name val="Calibri"/>
        <scheme val="none"/>
      </font>
      <numFmt numFmtId="19" formatCode="m/d/yyyy"/>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0"/>
        <name val="Calibri"/>
        <scheme val="none"/>
      </font>
    </dxf>
    <dxf>
      <font>
        <strike val="0"/>
        <outline val="0"/>
        <shadow val="0"/>
        <u val="none"/>
        <vertAlign val="baseline"/>
        <sz val="10"/>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Effect'!$B$1</c:f>
              <c:strCache>
                <c:ptCount val="1"/>
                <c:pt idx="0">
                  <c:v>4.5 2010</c:v>
                </c:pt>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Effect'!$B$2:$B$1259</c:f>
            </c:numRef>
          </c:val>
          <c:smooth val="0"/>
        </c:ser>
        <c:ser>
          <c:idx val="1"/>
          <c:order val="1"/>
          <c:tx>
            <c:strRef>
              <c:f>'OAS and Media Effect'!$C$1</c:f>
              <c:strCache>
                <c:ptCount val="1"/>
                <c:pt idx="0">
                  <c:v>MTG[IOS IFN 34010 IO]::OAS</c:v>
                </c:pt>
              </c:strCache>
            </c:strRef>
          </c:tx>
          <c:spPr>
            <a:ln>
              <a:solidFill>
                <a:schemeClr val="accent1">
                  <a:lumMod val="75000"/>
                </a:schemeClr>
              </a:solidFill>
            </a:ln>
          </c:spPr>
          <c:marker>
            <c:symbol val="none"/>
          </c:marker>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Effect'!$C$2:$C$1259</c:f>
            </c:numRef>
          </c:val>
          <c:smooth val="0"/>
        </c:ser>
        <c:ser>
          <c:idx val="2"/>
          <c:order val="2"/>
          <c:tx>
            <c:strRef>
              <c:f>'OAS and Media Effect'!$D$1</c:f>
              <c:strCache>
                <c:ptCount val="1"/>
                <c:pt idx="0">
                  <c:v>3.50 2012</c:v>
                </c:pt>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Effect'!$D$2:$D$1259</c:f>
            </c:numRef>
          </c:val>
          <c:smooth val="0"/>
        </c:ser>
        <c:ser>
          <c:idx val="3"/>
          <c:order val="3"/>
          <c:tx>
            <c:strRef>
              <c:f>'OAS and Media Effect'!$E$1</c:f>
              <c:strCache>
                <c:ptCount val="1"/>
                <c:pt idx="0">
                  <c:v>3 2012</c:v>
                </c:pt>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Effect'!$E$2:$E$1259</c:f>
            </c:numRef>
          </c:val>
          <c:smooth val="0"/>
        </c:ser>
        <c:ser>
          <c:idx val="4"/>
          <c:order val="4"/>
          <c:tx>
            <c:strRef>
              <c:f>'OAS and Media Effect'!$F$1</c:f>
              <c:strCache>
                <c:ptCount val="1"/>
                <c:pt idx="0">
                  <c:v>Conventional 30y Primary Mort Rate - Production</c:v>
                </c:pt>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Effect'!$F$2:$F$1259</c:f>
            </c:numRef>
          </c:val>
          <c:smooth val="0"/>
        </c:ser>
        <c:ser>
          <c:idx val="5"/>
          <c:order val="5"/>
          <c:tx>
            <c:strRef>
              <c:f>'OAS and Media Effect'!$G$1</c:f>
              <c:strCache>
                <c:ptCount val="1"/>
                <c:pt idx="0">
                  <c:v>30 Year Refinanceable Universe (rhs)</c:v>
                </c:pt>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Effect'!$G$2:$G$1259</c:f>
            </c:numRef>
          </c:val>
          <c:smooth val="0"/>
        </c:ser>
        <c:ser>
          <c:idx val="6"/>
          <c:order val="6"/>
          <c:tx>
            <c:strRef>
              <c:f>'OAS and Media Effect'!$H$1</c:f>
              <c:strCache>
                <c:ptCount val="1"/>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Effect'!$H$2:$H$1259</c:f>
            </c:numRef>
          </c:val>
          <c:smooth val="0"/>
        </c:ser>
        <c:ser>
          <c:idx val="7"/>
          <c:order val="7"/>
          <c:tx>
            <c:strRef>
              <c:f>'OAS and Media Effect'!$I$1</c:f>
              <c:strCache>
                <c:ptCount val="1"/>
              </c:strCache>
            </c:strRef>
          </c:tx>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Effect'!$I$2:$I$1259</c:f>
            </c:numRef>
          </c:val>
          <c:smooth val="0"/>
        </c:ser>
        <c:ser>
          <c:idx val="8"/>
          <c:order val="8"/>
          <c:tx>
            <c:strRef>
              <c:f>'OAS and Media Effect'!$J$1</c:f>
              <c:strCache>
                <c:ptCount val="1"/>
                <c:pt idx="0">
                  <c:v>YB OAS</c:v>
                </c:pt>
              </c:strCache>
            </c:strRef>
          </c:tx>
          <c:marker>
            <c:symbol val="none"/>
          </c:marker>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Effect'!$J$2:$J$1259</c:f>
              <c:numCache>
                <c:formatCode>General</c:formatCode>
                <c:ptCount val="1250"/>
                <c:pt idx="0">
                  <c:v>-46.355499000000002</c:v>
                </c:pt>
                <c:pt idx="1">
                  <c:v>-59.443801999999998</c:v>
                </c:pt>
                <c:pt idx="2">
                  <c:v>-65.651900999999995</c:v>
                </c:pt>
                <c:pt idx="3">
                  <c:v>-47.389000000000003</c:v>
                </c:pt>
                <c:pt idx="4">
                  <c:v>-51.927298999999998</c:v>
                </c:pt>
                <c:pt idx="5">
                  <c:v>-36.043598000000003</c:v>
                </c:pt>
                <c:pt idx="6">
                  <c:v>-40.838698999999998</c:v>
                </c:pt>
                <c:pt idx="7">
                  <c:v>-36.337600999999999</c:v>
                </c:pt>
                <c:pt idx="8">
                  <c:v>-30.010598999999999</c:v>
                </c:pt>
                <c:pt idx="9">
                  <c:v>-27.406798999999999</c:v>
                </c:pt>
                <c:pt idx="10">
                  <c:v>-22.981199</c:v>
                </c:pt>
                <c:pt idx="11">
                  <c:v>-28.412299999999998</c:v>
                </c:pt>
                <c:pt idx="12">
                  <c:v>-50.316001999999997</c:v>
                </c:pt>
                <c:pt idx="13">
                  <c:v>-40.587898000000003</c:v>
                </c:pt>
                <c:pt idx="14">
                  <c:v>-51.506900999999999</c:v>
                </c:pt>
                <c:pt idx="15">
                  <c:v>-59.562099000000003</c:v>
                </c:pt>
                <c:pt idx="16">
                  <c:v>-46.314200999999997</c:v>
                </c:pt>
                <c:pt idx="17">
                  <c:v>-24.422799999999999</c:v>
                </c:pt>
                <c:pt idx="18">
                  <c:v>-21.935101</c:v>
                </c:pt>
                <c:pt idx="19">
                  <c:v>-36.973300999999999</c:v>
                </c:pt>
                <c:pt idx="20">
                  <c:v>-44.364699999999999</c:v>
                </c:pt>
                <c:pt idx="21">
                  <c:v>-28.299199999999999</c:v>
                </c:pt>
                <c:pt idx="22">
                  <c:v>-28.6996</c:v>
                </c:pt>
                <c:pt idx="23">
                  <c:v>-31.032301</c:v>
                </c:pt>
                <c:pt idx="24">
                  <c:v>-39.778098999999997</c:v>
                </c:pt>
                <c:pt idx="25">
                  <c:v>-39.322800000000001</c:v>
                </c:pt>
                <c:pt idx="26">
                  <c:v>-41.5625</c:v>
                </c:pt>
                <c:pt idx="27">
                  <c:v>-49.425499000000002</c:v>
                </c:pt>
                <c:pt idx="28">
                  <c:v>-64.829696999999996</c:v>
                </c:pt>
                <c:pt idx="29">
                  <c:v>-77.691399000000004</c:v>
                </c:pt>
                <c:pt idx="30">
                  <c:v>-85.883797000000001</c:v>
                </c:pt>
                <c:pt idx="31">
                  <c:v>-84.886803</c:v>
                </c:pt>
                <c:pt idx="32">
                  <c:v>-86.372497999999993</c:v>
                </c:pt>
                <c:pt idx="33">
                  <c:v>-92.224402999999995</c:v>
                </c:pt>
                <c:pt idx="34">
                  <c:v>-88.982001999999994</c:v>
                </c:pt>
                <c:pt idx="35">
                  <c:v>-105.489304</c:v>
                </c:pt>
                <c:pt idx="36">
                  <c:v>-121.661102</c:v>
                </c:pt>
                <c:pt idx="37">
                  <c:v>-130.50590500000001</c:v>
                </c:pt>
                <c:pt idx="38">
                  <c:v>-135.06170700000001</c:v>
                </c:pt>
                <c:pt idx="39">
                  <c:v>-141.42529300000001</c:v>
                </c:pt>
                <c:pt idx="40">
                  <c:v>-137.64359999999999</c:v>
                </c:pt>
                <c:pt idx="41">
                  <c:v>-137.808899</c:v>
                </c:pt>
                <c:pt idx="42">
                  <c:v>-137.074997</c:v>
                </c:pt>
                <c:pt idx="43">
                  <c:v>-124.151802</c:v>
                </c:pt>
                <c:pt idx="44">
                  <c:v>115.686897</c:v>
                </c:pt>
                <c:pt idx="45">
                  <c:v>-111.029999</c:v>
                </c:pt>
                <c:pt idx="46">
                  <c:v>-120.20839700000001</c:v>
                </c:pt>
                <c:pt idx="47">
                  <c:v>-119.152901</c:v>
                </c:pt>
                <c:pt idx="48">
                  <c:v>-117.247803</c:v>
                </c:pt>
                <c:pt idx="49">
                  <c:v>-116.952499</c:v>
                </c:pt>
                <c:pt idx="50">
                  <c:v>-117.538498</c:v>
                </c:pt>
                <c:pt idx="51">
                  <c:v>-103.995903</c:v>
                </c:pt>
                <c:pt idx="52">
                  <c:v>-106.533096</c:v>
                </c:pt>
                <c:pt idx="53">
                  <c:v>-108.476501</c:v>
                </c:pt>
                <c:pt idx="54">
                  <c:v>-108.627403</c:v>
                </c:pt>
                <c:pt idx="55">
                  <c:v>-100.710098</c:v>
                </c:pt>
                <c:pt idx="56">
                  <c:v>-93.175597999999994</c:v>
                </c:pt>
                <c:pt idx="57">
                  <c:v>-103.90570099999999</c:v>
                </c:pt>
                <c:pt idx="58">
                  <c:v>-101.403999</c:v>
                </c:pt>
                <c:pt idx="59">
                  <c:v>-114.08669999999999</c:v>
                </c:pt>
                <c:pt idx="60">
                  <c:v>-111.4729</c:v>
                </c:pt>
                <c:pt idx="61">
                  <c:v>-129.59599299999999</c:v>
                </c:pt>
                <c:pt idx="62">
                  <c:v>-121.444801</c:v>
                </c:pt>
                <c:pt idx="63">
                  <c:v>-113.47380099999999</c:v>
                </c:pt>
                <c:pt idx="64">
                  <c:v>-108.28649900000001</c:v>
                </c:pt>
                <c:pt idx="65">
                  <c:v>-122.6054</c:v>
                </c:pt>
                <c:pt idx="66">
                  <c:v>-130.94000199999999</c:v>
                </c:pt>
                <c:pt idx="67">
                  <c:v>-142.17790199999999</c:v>
                </c:pt>
                <c:pt idx="68">
                  <c:v>-151.290604</c:v>
                </c:pt>
                <c:pt idx="69">
                  <c:v>-167.628601</c:v>
                </c:pt>
                <c:pt idx="70">
                  <c:v>-164.972702</c:v>
                </c:pt>
                <c:pt idx="71">
                  <c:v>-144.80439799999999</c:v>
                </c:pt>
                <c:pt idx="72">
                  <c:v>-146.529404</c:v>
                </c:pt>
                <c:pt idx="73">
                  <c:v>-144.807907</c:v>
                </c:pt>
                <c:pt idx="74">
                  <c:v>-129.80059800000001</c:v>
                </c:pt>
                <c:pt idx="75">
                  <c:v>-146.11729399999999</c:v>
                </c:pt>
                <c:pt idx="76">
                  <c:v>-154.878693</c:v>
                </c:pt>
                <c:pt idx="77">
                  <c:v>-167.74659700000001</c:v>
                </c:pt>
                <c:pt idx="78">
                  <c:v>-180.83670000000001</c:v>
                </c:pt>
                <c:pt idx="79">
                  <c:v>-159.42250100000001</c:v>
                </c:pt>
                <c:pt idx="80">
                  <c:v>-165.55149800000001</c:v>
                </c:pt>
                <c:pt idx="81">
                  <c:v>-153.711502</c:v>
                </c:pt>
                <c:pt idx="82">
                  <c:v>-153.46620200000001</c:v>
                </c:pt>
                <c:pt idx="83">
                  <c:v>-184.65269499999999</c:v>
                </c:pt>
                <c:pt idx="84">
                  <c:v>-165.41760300000001</c:v>
                </c:pt>
                <c:pt idx="85">
                  <c:v>-143.43150299999999</c:v>
                </c:pt>
                <c:pt idx="86">
                  <c:v>-152.50889599999999</c:v>
                </c:pt>
                <c:pt idx="87">
                  <c:v>-150.42700199999999</c:v>
                </c:pt>
                <c:pt idx="88">
                  <c:v>-142.10060100000001</c:v>
                </c:pt>
                <c:pt idx="89">
                  <c:v>-147.61360199999999</c:v>
                </c:pt>
                <c:pt idx="90">
                  <c:v>-126.6576</c:v>
                </c:pt>
                <c:pt idx="91">
                  <c:v>-114.576103</c:v>
                </c:pt>
                <c:pt idx="92">
                  <c:v>-126.025299</c:v>
                </c:pt>
                <c:pt idx="93">
                  <c:v>-149.566406</c:v>
                </c:pt>
                <c:pt idx="94">
                  <c:v>-167.92739900000001</c:v>
                </c:pt>
                <c:pt idx="95">
                  <c:v>-184.590103</c:v>
                </c:pt>
                <c:pt idx="96">
                  <c:v>-208.734207</c:v>
                </c:pt>
                <c:pt idx="97">
                  <c:v>-196.01719700000001</c:v>
                </c:pt>
                <c:pt idx="98">
                  <c:v>-190.83180200000001</c:v>
                </c:pt>
                <c:pt idx="99">
                  <c:v>-211.08009300000001</c:v>
                </c:pt>
                <c:pt idx="100">
                  <c:v>-176.598907</c:v>
                </c:pt>
                <c:pt idx="101">
                  <c:v>-161.908997</c:v>
                </c:pt>
                <c:pt idx="102">
                  <c:v>-160.67030299999999</c:v>
                </c:pt>
                <c:pt idx="103">
                  <c:v>-151.01319899999999</c:v>
                </c:pt>
                <c:pt idx="104">
                  <c:v>-155.20249899999999</c:v>
                </c:pt>
                <c:pt idx="105">
                  <c:v>-155.61300700000001</c:v>
                </c:pt>
                <c:pt idx="106">
                  <c:v>-159.14909399999999</c:v>
                </c:pt>
                <c:pt idx="107">
                  <c:v>-157.30169699999999</c:v>
                </c:pt>
                <c:pt idx="108">
                  <c:v>-151.40130600000001</c:v>
                </c:pt>
                <c:pt idx="109">
                  <c:v>-158.899597</c:v>
                </c:pt>
                <c:pt idx="110">
                  <c:v>-150.48599200000001</c:v>
                </c:pt>
                <c:pt idx="111">
                  <c:v>-157.503693</c:v>
                </c:pt>
                <c:pt idx="112">
                  <c:v>-152.16789199999999</c:v>
                </c:pt>
                <c:pt idx="113">
                  <c:v>-169.447205</c:v>
                </c:pt>
                <c:pt idx="114">
                  <c:v>-160.44650300000001</c:v>
                </c:pt>
                <c:pt idx="115">
                  <c:v>-131.04409799999999</c:v>
                </c:pt>
                <c:pt idx="116">
                  <c:v>-117.55500000000001</c:v>
                </c:pt>
                <c:pt idx="117">
                  <c:v>-95.877701000000002</c:v>
                </c:pt>
                <c:pt idx="118">
                  <c:v>-81.612801000000005</c:v>
                </c:pt>
                <c:pt idx="119">
                  <c:v>-30.2742</c:v>
                </c:pt>
                <c:pt idx="120">
                  <c:v>-60.526198999999998</c:v>
                </c:pt>
                <c:pt idx="121">
                  <c:v>-32.468497999999997</c:v>
                </c:pt>
                <c:pt idx="122">
                  <c:v>67.997703999999999</c:v>
                </c:pt>
                <c:pt idx="123">
                  <c:v>212.84480300000001</c:v>
                </c:pt>
                <c:pt idx="124">
                  <c:v>150.24899300000001</c:v>
                </c:pt>
                <c:pt idx="125">
                  <c:v>185.57150300000001</c:v>
                </c:pt>
                <c:pt idx="126">
                  <c:v>165.89149499999999</c:v>
                </c:pt>
                <c:pt idx="127">
                  <c:v>170.404999</c:v>
                </c:pt>
                <c:pt idx="128">
                  <c:v>181.5625</c:v>
                </c:pt>
                <c:pt idx="129">
                  <c:v>201.32539399999999</c:v>
                </c:pt>
                <c:pt idx="130">
                  <c:v>204.99620100000001</c:v>
                </c:pt>
                <c:pt idx="131">
                  <c:v>218.77720600000001</c:v>
                </c:pt>
                <c:pt idx="132">
                  <c:v>207.47309899999999</c:v>
                </c:pt>
                <c:pt idx="133">
                  <c:v>165.69160500000001</c:v>
                </c:pt>
                <c:pt idx="134">
                  <c:v>226.270004</c:v>
                </c:pt>
                <c:pt idx="135">
                  <c:v>208.36329699999999</c:v>
                </c:pt>
                <c:pt idx="136">
                  <c:v>160.53990200000001</c:v>
                </c:pt>
                <c:pt idx="137">
                  <c:v>179.919006</c:v>
                </c:pt>
                <c:pt idx="138">
                  <c:v>141.329803</c:v>
                </c:pt>
                <c:pt idx="139">
                  <c:v>166.545502</c:v>
                </c:pt>
                <c:pt idx="140">
                  <c:v>196.21000699999999</c:v>
                </c:pt>
                <c:pt idx="141">
                  <c:v>219.12429800000001</c:v>
                </c:pt>
                <c:pt idx="142">
                  <c:v>187.603195</c:v>
                </c:pt>
                <c:pt idx="143">
                  <c:v>222.77979999999999</c:v>
                </c:pt>
                <c:pt idx="144">
                  <c:v>198.651398</c:v>
                </c:pt>
                <c:pt idx="145">
                  <c:v>163.085297</c:v>
                </c:pt>
                <c:pt idx="146">
                  <c:v>171.527603</c:v>
                </c:pt>
                <c:pt idx="147">
                  <c:v>182.26840200000001</c:v>
                </c:pt>
                <c:pt idx="148">
                  <c:v>162.280304</c:v>
                </c:pt>
                <c:pt idx="149">
                  <c:v>146.23460399999999</c:v>
                </c:pt>
                <c:pt idx="150">
                  <c:v>209.977203</c:v>
                </c:pt>
                <c:pt idx="151">
                  <c:v>217.34440599999999</c:v>
                </c:pt>
                <c:pt idx="152">
                  <c:v>318.66861</c:v>
                </c:pt>
                <c:pt idx="153">
                  <c:v>506.69229100000001</c:v>
                </c:pt>
                <c:pt idx="154">
                  <c:v>402.06860399999999</c:v>
                </c:pt>
                <c:pt idx="155">
                  <c:v>411.81408699999997</c:v>
                </c:pt>
                <c:pt idx="156">
                  <c:v>362.45700099999999</c:v>
                </c:pt>
                <c:pt idx="157">
                  <c:v>337.88320900000002</c:v>
                </c:pt>
                <c:pt idx="158">
                  <c:v>387.40838600000001</c:v>
                </c:pt>
                <c:pt idx="159">
                  <c:v>402.68069500000001</c:v>
                </c:pt>
                <c:pt idx="160">
                  <c:v>452.123108</c:v>
                </c:pt>
                <c:pt idx="161">
                  <c:v>390.32308999999998</c:v>
                </c:pt>
                <c:pt idx="162">
                  <c:v>346.89920000000001</c:v>
                </c:pt>
                <c:pt idx="163">
                  <c:v>341.91738900000001</c:v>
                </c:pt>
                <c:pt idx="164">
                  <c:v>571.11279300000001</c:v>
                </c:pt>
                <c:pt idx="165">
                  <c:v>558.91272000000004</c:v>
                </c:pt>
                <c:pt idx="166">
                  <c:v>498.21618699999999</c:v>
                </c:pt>
                <c:pt idx="167">
                  <c:v>595.66577099999995</c:v>
                </c:pt>
                <c:pt idx="168">
                  <c:v>554.31030299999998</c:v>
                </c:pt>
                <c:pt idx="169">
                  <c:v>583.54742399999998</c:v>
                </c:pt>
                <c:pt idx="170">
                  <c:v>592.65258800000004</c:v>
                </c:pt>
                <c:pt idx="171">
                  <c:v>571.28790300000003</c:v>
                </c:pt>
                <c:pt idx="172">
                  <c:v>553.003601</c:v>
                </c:pt>
                <c:pt idx="173">
                  <c:v>543.54217500000004</c:v>
                </c:pt>
                <c:pt idx="174">
                  <c:v>504.98129299999999</c:v>
                </c:pt>
                <c:pt idx="175">
                  <c:v>558.97827099999995</c:v>
                </c:pt>
                <c:pt idx="176">
                  <c:v>515.569885</c:v>
                </c:pt>
                <c:pt idx="177">
                  <c:v>386.40411399999999</c:v>
                </c:pt>
                <c:pt idx="178">
                  <c:v>431.65380900000002</c:v>
                </c:pt>
                <c:pt idx="179">
                  <c:v>529.158997</c:v>
                </c:pt>
                <c:pt idx="180">
                  <c:v>616.67901600000005</c:v>
                </c:pt>
                <c:pt idx="181">
                  <c:v>618.67730700000004</c:v>
                </c:pt>
                <c:pt idx="182">
                  <c:v>549.28417999999999</c:v>
                </c:pt>
                <c:pt idx="183">
                  <c:v>572.97912599999995</c:v>
                </c:pt>
                <c:pt idx="184">
                  <c:v>630.30102499999998</c:v>
                </c:pt>
                <c:pt idx="185">
                  <c:v>615.78887899999995</c:v>
                </c:pt>
                <c:pt idx="186">
                  <c:v>641.28967299999999</c:v>
                </c:pt>
                <c:pt idx="187">
                  <c:v>649.35717799999998</c:v>
                </c:pt>
                <c:pt idx="188">
                  <c:v>632.01147500000002</c:v>
                </c:pt>
                <c:pt idx="189">
                  <c:v>634.83471699999996</c:v>
                </c:pt>
                <c:pt idx="190">
                  <c:v>619.89160200000003</c:v>
                </c:pt>
                <c:pt idx="191">
                  <c:v>629.605774</c:v>
                </c:pt>
                <c:pt idx="192">
                  <c:v>575.94122300000004</c:v>
                </c:pt>
                <c:pt idx="193">
                  <c:v>588.51208499999996</c:v>
                </c:pt>
                <c:pt idx="194">
                  <c:v>597.26178000000004</c:v>
                </c:pt>
                <c:pt idx="195">
                  <c:v>562.76147500000002</c:v>
                </c:pt>
                <c:pt idx="196">
                  <c:v>516.54400599999997</c:v>
                </c:pt>
                <c:pt idx="197">
                  <c:v>514.64190699999995</c:v>
                </c:pt>
                <c:pt idx="198">
                  <c:v>520.67559800000004</c:v>
                </c:pt>
                <c:pt idx="199">
                  <c:v>536.75042699999995</c:v>
                </c:pt>
                <c:pt idx="200">
                  <c:v>524.893372</c:v>
                </c:pt>
                <c:pt idx="201">
                  <c:v>536.76800500000002</c:v>
                </c:pt>
                <c:pt idx="202">
                  <c:v>547.01458700000001</c:v>
                </c:pt>
                <c:pt idx="203">
                  <c:v>549.46972700000003</c:v>
                </c:pt>
                <c:pt idx="204">
                  <c:v>571.09692399999994</c:v>
                </c:pt>
                <c:pt idx="205">
                  <c:v>551.06317100000001</c:v>
                </c:pt>
                <c:pt idx="206">
                  <c:v>500.40579200000002</c:v>
                </c:pt>
                <c:pt idx="207">
                  <c:v>510.26629600000001</c:v>
                </c:pt>
                <c:pt idx="208">
                  <c:v>522.46698000000004</c:v>
                </c:pt>
                <c:pt idx="209">
                  <c:v>544.02117899999996</c:v>
                </c:pt>
                <c:pt idx="210">
                  <c:v>536.22497599999997</c:v>
                </c:pt>
                <c:pt idx="211">
                  <c:v>549.69769299999996</c:v>
                </c:pt>
                <c:pt idx="212">
                  <c:v>591.45141599999999</c:v>
                </c:pt>
                <c:pt idx="213">
                  <c:v>542.69537400000002</c:v>
                </c:pt>
                <c:pt idx="214">
                  <c:v>532.91687000000002</c:v>
                </c:pt>
                <c:pt idx="215">
                  <c:v>498.67550699999998</c:v>
                </c:pt>
                <c:pt idx="216">
                  <c:v>456.501801</c:v>
                </c:pt>
                <c:pt idx="217">
                  <c:v>461.38189699999998</c:v>
                </c:pt>
                <c:pt idx="218">
                  <c:v>497.535889</c:v>
                </c:pt>
                <c:pt idx="219">
                  <c:v>511.15978999999999</c:v>
                </c:pt>
                <c:pt idx="220">
                  <c:v>531.68841599999996</c:v>
                </c:pt>
                <c:pt idx="221">
                  <c:v>234.40919500000001</c:v>
                </c:pt>
                <c:pt idx="222">
                  <c:v>220.58659399999999</c:v>
                </c:pt>
                <c:pt idx="223">
                  <c:v>240.911697</c:v>
                </c:pt>
                <c:pt idx="224">
                  <c:v>266.53460699999999</c:v>
                </c:pt>
                <c:pt idx="225">
                  <c:v>270.11138899999997</c:v>
                </c:pt>
                <c:pt idx="226">
                  <c:v>222.23039199999999</c:v>
                </c:pt>
                <c:pt idx="227">
                  <c:v>254.002396</c:v>
                </c:pt>
                <c:pt idx="228">
                  <c:v>252.30360400000001</c:v>
                </c:pt>
                <c:pt idx="229">
                  <c:v>318.09210200000001</c:v>
                </c:pt>
                <c:pt idx="230">
                  <c:v>309.236603</c:v>
                </c:pt>
                <c:pt idx="231">
                  <c:v>279.54901100000001</c:v>
                </c:pt>
                <c:pt idx="232">
                  <c:v>219.23280299999999</c:v>
                </c:pt>
                <c:pt idx="233">
                  <c:v>190.48629800000001</c:v>
                </c:pt>
                <c:pt idx="234">
                  <c:v>178.72200000000001</c:v>
                </c:pt>
                <c:pt idx="235">
                  <c:v>207.017303</c:v>
                </c:pt>
                <c:pt idx="236">
                  <c:v>286.08599900000002</c:v>
                </c:pt>
                <c:pt idx="237">
                  <c:v>377.079498</c:v>
                </c:pt>
                <c:pt idx="238">
                  <c:v>404.96490499999999</c:v>
                </c:pt>
                <c:pt idx="239">
                  <c:v>438.29830900000002</c:v>
                </c:pt>
                <c:pt idx="240">
                  <c:v>457.81469700000002</c:v>
                </c:pt>
                <c:pt idx="241">
                  <c:v>466.91738900000001</c:v>
                </c:pt>
                <c:pt idx="242">
                  <c:v>490.40579200000002</c:v>
                </c:pt>
                <c:pt idx="243">
                  <c:v>365.53659099999999</c:v>
                </c:pt>
                <c:pt idx="244">
                  <c:v>383.16290299999997</c:v>
                </c:pt>
                <c:pt idx="245">
                  <c:v>319.17748999999998</c:v>
                </c:pt>
                <c:pt idx="246">
                  <c:v>313.64639299999999</c:v>
                </c:pt>
                <c:pt idx="247">
                  <c:v>259.65728799999999</c:v>
                </c:pt>
                <c:pt idx="248">
                  <c:v>297.07180799999998</c:v>
                </c:pt>
                <c:pt idx="249">
                  <c:v>247.52720600000001</c:v>
                </c:pt>
                <c:pt idx="250">
                  <c:v>286.90188599999999</c:v>
                </c:pt>
                <c:pt idx="251">
                  <c:v>306.90368699999999</c:v>
                </c:pt>
                <c:pt idx="252">
                  <c:v>238.676804</c:v>
                </c:pt>
                <c:pt idx="253">
                  <c:v>227.82620199999999</c:v>
                </c:pt>
                <c:pt idx="254">
                  <c:v>201.929596</c:v>
                </c:pt>
                <c:pt idx="255">
                  <c:v>242.471802</c:v>
                </c:pt>
                <c:pt idx="256">
                  <c:v>240.480896</c:v>
                </c:pt>
                <c:pt idx="257">
                  <c:v>223.970901</c:v>
                </c:pt>
                <c:pt idx="258">
                  <c:v>236.057602</c:v>
                </c:pt>
                <c:pt idx="259">
                  <c:v>220.4785</c:v>
                </c:pt>
                <c:pt idx="260">
                  <c:v>162.42820699999999</c:v>
                </c:pt>
                <c:pt idx="261">
                  <c:v>129.48699999999999</c:v>
                </c:pt>
                <c:pt idx="262">
                  <c:v>160.42860400000001</c:v>
                </c:pt>
                <c:pt idx="263">
                  <c:v>145.221802</c:v>
                </c:pt>
                <c:pt idx="264">
                  <c:v>163.85519400000001</c:v>
                </c:pt>
                <c:pt idx="265">
                  <c:v>169.16520700000001</c:v>
                </c:pt>
                <c:pt idx="266">
                  <c:v>170.226303</c:v>
                </c:pt>
                <c:pt idx="267">
                  <c:v>154.49949599999999</c:v>
                </c:pt>
                <c:pt idx="268">
                  <c:v>167.63699299999999</c:v>
                </c:pt>
                <c:pt idx="269">
                  <c:v>125.08719600000001</c:v>
                </c:pt>
                <c:pt idx="270">
                  <c:v>56.842799999999997</c:v>
                </c:pt>
                <c:pt idx="271">
                  <c:v>71.837303000000006</c:v>
                </c:pt>
                <c:pt idx="272">
                  <c:v>60.188400000000001</c:v>
                </c:pt>
                <c:pt idx="273">
                  <c:v>-4.1496000000000004</c:v>
                </c:pt>
                <c:pt idx="274">
                  <c:v>-16.381001000000001</c:v>
                </c:pt>
                <c:pt idx="275">
                  <c:v>15.536</c:v>
                </c:pt>
                <c:pt idx="276">
                  <c:v>15.0131</c:v>
                </c:pt>
                <c:pt idx="277">
                  <c:v>16.662399000000001</c:v>
                </c:pt>
                <c:pt idx="278">
                  <c:v>19.258400000000002</c:v>
                </c:pt>
                <c:pt idx="279">
                  <c:v>57.465302000000001</c:v>
                </c:pt>
                <c:pt idx="280">
                  <c:v>47.925700999999997</c:v>
                </c:pt>
                <c:pt idx="281">
                  <c:v>63.045898000000001</c:v>
                </c:pt>
                <c:pt idx="282">
                  <c:v>21.704599000000002</c:v>
                </c:pt>
                <c:pt idx="283">
                  <c:v>26.460999999999999</c:v>
                </c:pt>
                <c:pt idx="284">
                  <c:v>-25.407800999999999</c:v>
                </c:pt>
                <c:pt idx="285">
                  <c:v>-9.9998000000000005</c:v>
                </c:pt>
                <c:pt idx="286">
                  <c:v>13.196199999999999</c:v>
                </c:pt>
                <c:pt idx="287">
                  <c:v>268.24160799999999</c:v>
                </c:pt>
                <c:pt idx="288">
                  <c:v>65.207297999999994</c:v>
                </c:pt>
                <c:pt idx="289">
                  <c:v>86.164398000000006</c:v>
                </c:pt>
                <c:pt idx="290">
                  <c:v>81.158896999999996</c:v>
                </c:pt>
                <c:pt idx="291">
                  <c:v>80.005095999999995</c:v>
                </c:pt>
                <c:pt idx="292">
                  <c:v>102.285202</c:v>
                </c:pt>
                <c:pt idx="293">
                  <c:v>116.2677</c:v>
                </c:pt>
                <c:pt idx="294">
                  <c:v>129.25959800000001</c:v>
                </c:pt>
                <c:pt idx="295">
                  <c:v>156.50619499999999</c:v>
                </c:pt>
                <c:pt idx="296">
                  <c:v>155.35600299999999</c:v>
                </c:pt>
                <c:pt idx="297">
                  <c:v>128.5121</c:v>
                </c:pt>
                <c:pt idx="298">
                  <c:v>142.64700300000001</c:v>
                </c:pt>
                <c:pt idx="299">
                  <c:v>128.158096</c:v>
                </c:pt>
                <c:pt idx="300">
                  <c:v>110.977997</c:v>
                </c:pt>
                <c:pt idx="301">
                  <c:v>119.915398</c:v>
                </c:pt>
                <c:pt idx="302">
                  <c:v>124.584503</c:v>
                </c:pt>
                <c:pt idx="303">
                  <c:v>103.585098</c:v>
                </c:pt>
                <c:pt idx="304">
                  <c:v>71.352203000000003</c:v>
                </c:pt>
                <c:pt idx="305">
                  <c:v>78.429100000000005</c:v>
                </c:pt>
                <c:pt idx="306">
                  <c:v>59.625599000000001</c:v>
                </c:pt>
                <c:pt idx="307">
                  <c:v>62.234698999999999</c:v>
                </c:pt>
                <c:pt idx="308">
                  <c:v>17.575600000000001</c:v>
                </c:pt>
                <c:pt idx="309">
                  <c:v>-2.2479</c:v>
                </c:pt>
                <c:pt idx="310">
                  <c:v>-22.840401</c:v>
                </c:pt>
                <c:pt idx="311">
                  <c:v>-16.379000000000001</c:v>
                </c:pt>
                <c:pt idx="312">
                  <c:v>4.6672000000000002</c:v>
                </c:pt>
                <c:pt idx="313">
                  <c:v>28.029900000000001</c:v>
                </c:pt>
                <c:pt idx="314">
                  <c:v>24.404499000000001</c:v>
                </c:pt>
                <c:pt idx="315">
                  <c:v>67.080901999999995</c:v>
                </c:pt>
                <c:pt idx="316">
                  <c:v>99.404601999999997</c:v>
                </c:pt>
                <c:pt idx="317">
                  <c:v>102.77829699999999</c:v>
                </c:pt>
                <c:pt idx="318">
                  <c:v>145.88859600000001</c:v>
                </c:pt>
                <c:pt idx="319">
                  <c:v>118.70700100000001</c:v>
                </c:pt>
                <c:pt idx="320">
                  <c:v>121.586502</c:v>
                </c:pt>
                <c:pt idx="321">
                  <c:v>136.14830000000001</c:v>
                </c:pt>
                <c:pt idx="322">
                  <c:v>134.78270000000001</c:v>
                </c:pt>
                <c:pt idx="323">
                  <c:v>138.218704</c:v>
                </c:pt>
                <c:pt idx="324">
                  <c:v>210.74279799999999</c:v>
                </c:pt>
                <c:pt idx="325">
                  <c:v>252.547394</c:v>
                </c:pt>
                <c:pt idx="326">
                  <c:v>281.22601300000002</c:v>
                </c:pt>
                <c:pt idx="327">
                  <c:v>237.566406</c:v>
                </c:pt>
                <c:pt idx="328">
                  <c:v>280.08108499999997</c:v>
                </c:pt>
                <c:pt idx="329">
                  <c:v>234.496094</c:v>
                </c:pt>
                <c:pt idx="330">
                  <c:v>222.69180299999999</c:v>
                </c:pt>
                <c:pt idx="331">
                  <c:v>216.009094</c:v>
                </c:pt>
                <c:pt idx="332">
                  <c:v>243.88789399999999</c:v>
                </c:pt>
                <c:pt idx="333">
                  <c:v>207.63220200000001</c:v>
                </c:pt>
                <c:pt idx="334">
                  <c:v>225.23699999999999</c:v>
                </c:pt>
                <c:pt idx="335">
                  <c:v>216.458496</c:v>
                </c:pt>
                <c:pt idx="336">
                  <c:v>244.73980700000001</c:v>
                </c:pt>
                <c:pt idx="337">
                  <c:v>268.31658900000002</c:v>
                </c:pt>
                <c:pt idx="338">
                  <c:v>280.94699100000003</c:v>
                </c:pt>
                <c:pt idx="339">
                  <c:v>231.11309800000001</c:v>
                </c:pt>
                <c:pt idx="340">
                  <c:v>247.57929999999999</c:v>
                </c:pt>
                <c:pt idx="341">
                  <c:v>255.39529400000001</c:v>
                </c:pt>
                <c:pt idx="342">
                  <c:v>283.58480800000001</c:v>
                </c:pt>
                <c:pt idx="343">
                  <c:v>261.72378500000002</c:v>
                </c:pt>
                <c:pt idx="344">
                  <c:v>261.79888899999997</c:v>
                </c:pt>
                <c:pt idx="345">
                  <c:v>271.69628899999998</c:v>
                </c:pt>
                <c:pt idx="346">
                  <c:v>261.36380000000003</c:v>
                </c:pt>
                <c:pt idx="347">
                  <c:v>302.69808999999998</c:v>
                </c:pt>
                <c:pt idx="348">
                  <c:v>290.41229199999998</c:v>
                </c:pt>
                <c:pt idx="349">
                  <c:v>313.41918900000002</c:v>
                </c:pt>
                <c:pt idx="350">
                  <c:v>331.91339099999999</c:v>
                </c:pt>
                <c:pt idx="351">
                  <c:v>324.81710800000002</c:v>
                </c:pt>
                <c:pt idx="352">
                  <c:v>288.075897</c:v>
                </c:pt>
                <c:pt idx="353">
                  <c:v>285.666901</c:v>
                </c:pt>
                <c:pt idx="354">
                  <c:v>287.60751299999998</c:v>
                </c:pt>
                <c:pt idx="355">
                  <c:v>270.31561299999998</c:v>
                </c:pt>
                <c:pt idx="356">
                  <c:v>309.26388500000002</c:v>
                </c:pt>
                <c:pt idx="357">
                  <c:v>293.67010499999998</c:v>
                </c:pt>
                <c:pt idx="358">
                  <c:v>305.90008499999999</c:v>
                </c:pt>
                <c:pt idx="359">
                  <c:v>298.12649499999998</c:v>
                </c:pt>
                <c:pt idx="360">
                  <c:v>303.14209</c:v>
                </c:pt>
                <c:pt idx="361">
                  <c:v>318.377411</c:v>
                </c:pt>
                <c:pt idx="362">
                  <c:v>344.65121499999998</c:v>
                </c:pt>
                <c:pt idx="363">
                  <c:v>339.24349999999998</c:v>
                </c:pt>
                <c:pt idx="364">
                  <c:v>293.882294</c:v>
                </c:pt>
                <c:pt idx="365">
                  <c:v>249.08770799999999</c:v>
                </c:pt>
                <c:pt idx="366">
                  <c:v>236.45889299999999</c:v>
                </c:pt>
                <c:pt idx="367">
                  <c:v>229.97110000000001</c:v>
                </c:pt>
                <c:pt idx="368">
                  <c:v>201.82839999999999</c:v>
                </c:pt>
                <c:pt idx="369">
                  <c:v>200.926605</c:v>
                </c:pt>
                <c:pt idx="370">
                  <c:v>172.87600699999999</c:v>
                </c:pt>
                <c:pt idx="371">
                  <c:v>181.199997</c:v>
                </c:pt>
                <c:pt idx="372">
                  <c:v>173.72740200000001</c:v>
                </c:pt>
                <c:pt idx="373">
                  <c:v>176.588898</c:v>
                </c:pt>
                <c:pt idx="374">
                  <c:v>163.587997</c:v>
                </c:pt>
                <c:pt idx="375">
                  <c:v>171.76010099999999</c:v>
                </c:pt>
                <c:pt idx="376">
                  <c:v>162.964294</c:v>
                </c:pt>
                <c:pt idx="377">
                  <c:v>151.04840100000001</c:v>
                </c:pt>
                <c:pt idx="378">
                  <c:v>139.95199600000001</c:v>
                </c:pt>
                <c:pt idx="379">
                  <c:v>111.673203</c:v>
                </c:pt>
                <c:pt idx="380">
                  <c:v>118.69259599999999</c:v>
                </c:pt>
                <c:pt idx="381">
                  <c:v>125.724403</c:v>
                </c:pt>
                <c:pt idx="382">
                  <c:v>122.78479799999999</c:v>
                </c:pt>
                <c:pt idx="383">
                  <c:v>115.84200300000001</c:v>
                </c:pt>
                <c:pt idx="384">
                  <c:v>131.06759600000001</c:v>
                </c:pt>
                <c:pt idx="385">
                  <c:v>107.89340199999999</c:v>
                </c:pt>
                <c:pt idx="386">
                  <c:v>107.43589799999999</c:v>
                </c:pt>
                <c:pt idx="387">
                  <c:v>92.273598000000007</c:v>
                </c:pt>
                <c:pt idx="388">
                  <c:v>103.21520200000001</c:v>
                </c:pt>
                <c:pt idx="389">
                  <c:v>108.836304</c:v>
                </c:pt>
                <c:pt idx="390">
                  <c:v>126.018501</c:v>
                </c:pt>
                <c:pt idx="391">
                  <c:v>136.16789199999999</c:v>
                </c:pt>
                <c:pt idx="392">
                  <c:v>145.36779799999999</c:v>
                </c:pt>
                <c:pt idx="393">
                  <c:v>136.753906</c:v>
                </c:pt>
                <c:pt idx="394">
                  <c:v>156.40870699999999</c:v>
                </c:pt>
                <c:pt idx="395">
                  <c:v>182.48620600000001</c:v>
                </c:pt>
                <c:pt idx="396">
                  <c:v>186.86039700000001</c:v>
                </c:pt>
                <c:pt idx="397">
                  <c:v>206.483902</c:v>
                </c:pt>
                <c:pt idx="398">
                  <c:v>289.24529999999999</c:v>
                </c:pt>
                <c:pt idx="399">
                  <c:v>299.248108</c:v>
                </c:pt>
                <c:pt idx="400">
                  <c:v>288.83160400000003</c:v>
                </c:pt>
                <c:pt idx="401">
                  <c:v>295.59310900000003</c:v>
                </c:pt>
                <c:pt idx="402">
                  <c:v>305.35391199999998</c:v>
                </c:pt>
                <c:pt idx="403">
                  <c:v>330.882812</c:v>
                </c:pt>
                <c:pt idx="404">
                  <c:v>371.7099</c:v>
                </c:pt>
                <c:pt idx="405">
                  <c:v>447.06280500000003</c:v>
                </c:pt>
                <c:pt idx="406">
                  <c:v>522.47631799999999</c:v>
                </c:pt>
                <c:pt idx="407">
                  <c:v>489.41558800000001</c:v>
                </c:pt>
                <c:pt idx="408">
                  <c:v>447.58441199999999</c:v>
                </c:pt>
                <c:pt idx="409">
                  <c:v>421.34609999999998</c:v>
                </c:pt>
                <c:pt idx="410">
                  <c:v>377.69909699999999</c:v>
                </c:pt>
                <c:pt idx="411">
                  <c:v>367.17541499999999</c:v>
                </c:pt>
                <c:pt idx="412">
                  <c:v>422.14001500000001</c:v>
                </c:pt>
                <c:pt idx="413">
                  <c:v>436.46109000000001</c:v>
                </c:pt>
                <c:pt idx="414">
                  <c:v>457.66830399999998</c:v>
                </c:pt>
                <c:pt idx="415">
                  <c:v>454.518799</c:v>
                </c:pt>
                <c:pt idx="416">
                  <c:v>483.07650799999999</c:v>
                </c:pt>
                <c:pt idx="417">
                  <c:v>490.89419600000002</c:v>
                </c:pt>
                <c:pt idx="418">
                  <c:v>438.64300500000002</c:v>
                </c:pt>
                <c:pt idx="419">
                  <c:v>432.55011000000002</c:v>
                </c:pt>
                <c:pt idx="420">
                  <c:v>446.50650000000002</c:v>
                </c:pt>
                <c:pt idx="421">
                  <c:v>416.60400399999997</c:v>
                </c:pt>
                <c:pt idx="422">
                  <c:v>396.82629400000002</c:v>
                </c:pt>
                <c:pt idx="423">
                  <c:v>421.60379</c:v>
                </c:pt>
                <c:pt idx="424">
                  <c:v>430.64331099999998</c:v>
                </c:pt>
                <c:pt idx="425">
                  <c:v>445.246307</c:v>
                </c:pt>
                <c:pt idx="426">
                  <c:v>434.46371499999998</c:v>
                </c:pt>
                <c:pt idx="427">
                  <c:v>416.21508799999998</c:v>
                </c:pt>
                <c:pt idx="428">
                  <c:v>426.57150300000001</c:v>
                </c:pt>
                <c:pt idx="429">
                  <c:v>397.405396</c:v>
                </c:pt>
                <c:pt idx="430">
                  <c:v>371.07870500000001</c:v>
                </c:pt>
                <c:pt idx="431">
                  <c:v>427.46939099999997</c:v>
                </c:pt>
                <c:pt idx="432">
                  <c:v>422.79849200000001</c:v>
                </c:pt>
                <c:pt idx="433">
                  <c:v>427.817993</c:v>
                </c:pt>
                <c:pt idx="434">
                  <c:v>418.99508700000001</c:v>
                </c:pt>
                <c:pt idx="435">
                  <c:v>406.77829000000003</c:v>
                </c:pt>
                <c:pt idx="436">
                  <c:v>394.187592</c:v>
                </c:pt>
                <c:pt idx="437">
                  <c:v>395.87271099999998</c:v>
                </c:pt>
                <c:pt idx="438">
                  <c:v>408.692993</c:v>
                </c:pt>
                <c:pt idx="439">
                  <c:v>411.519409</c:v>
                </c:pt>
                <c:pt idx="440">
                  <c:v>450.192902</c:v>
                </c:pt>
                <c:pt idx="441">
                  <c:v>450.903503</c:v>
                </c:pt>
                <c:pt idx="442">
                  <c:v>470.38439899999997</c:v>
                </c:pt>
                <c:pt idx="443">
                  <c:v>514.44281000000001</c:v>
                </c:pt>
                <c:pt idx="444">
                  <c:v>486.028503</c:v>
                </c:pt>
                <c:pt idx="445">
                  <c:v>471.62148999999999</c:v>
                </c:pt>
                <c:pt idx="446">
                  <c:v>451.07879600000001</c:v>
                </c:pt>
                <c:pt idx="447">
                  <c:v>428.36749300000002</c:v>
                </c:pt>
                <c:pt idx="448">
                  <c:v>422.72460899999999</c:v>
                </c:pt>
                <c:pt idx="449">
                  <c:v>436.41198700000001</c:v>
                </c:pt>
                <c:pt idx="450">
                  <c:v>446.99420199999997</c:v>
                </c:pt>
                <c:pt idx="451">
                  <c:v>447.60180700000001</c:v>
                </c:pt>
                <c:pt idx="452">
                  <c:v>461.79840100000001</c:v>
                </c:pt>
                <c:pt idx="453">
                  <c:v>509.06100500000002</c:v>
                </c:pt>
                <c:pt idx="454">
                  <c:v>508.70831299999998</c:v>
                </c:pt>
                <c:pt idx="455">
                  <c:v>497.20111100000003</c:v>
                </c:pt>
                <c:pt idx="456">
                  <c:v>487.79708900000003</c:v>
                </c:pt>
                <c:pt idx="457">
                  <c:v>495.26080300000001</c:v>
                </c:pt>
                <c:pt idx="458">
                  <c:v>512.666382</c:v>
                </c:pt>
                <c:pt idx="459">
                  <c:v>496.30120799999997</c:v>
                </c:pt>
                <c:pt idx="460">
                  <c:v>496.901794</c:v>
                </c:pt>
                <c:pt idx="461">
                  <c:v>496.850098</c:v>
                </c:pt>
                <c:pt idx="462">
                  <c:v>499.73190299999999</c:v>
                </c:pt>
                <c:pt idx="463">
                  <c:v>499.44241299999999</c:v>
                </c:pt>
                <c:pt idx="464">
                  <c:v>507.09789999999998</c:v>
                </c:pt>
                <c:pt idx="465">
                  <c:v>525.70159899999999</c:v>
                </c:pt>
                <c:pt idx="466">
                  <c:v>534.29370100000006</c:v>
                </c:pt>
                <c:pt idx="467">
                  <c:v>530.948486</c:v>
                </c:pt>
                <c:pt idx="468">
                  <c:v>537.15277100000003</c:v>
                </c:pt>
                <c:pt idx="469">
                  <c:v>531.53991699999995</c:v>
                </c:pt>
                <c:pt idx="470">
                  <c:v>548.32458499999996</c:v>
                </c:pt>
                <c:pt idx="471">
                  <c:v>537.22491500000001</c:v>
                </c:pt>
                <c:pt idx="472">
                  <c:v>515.91803000000004</c:v>
                </c:pt>
                <c:pt idx="473">
                  <c:v>505.35791</c:v>
                </c:pt>
                <c:pt idx="474">
                  <c:v>506.56811499999998</c:v>
                </c:pt>
                <c:pt idx="475">
                  <c:v>534.92401099999995</c:v>
                </c:pt>
                <c:pt idx="476">
                  <c:v>541.43518099999994</c:v>
                </c:pt>
                <c:pt idx="477">
                  <c:v>533.29400599999997</c:v>
                </c:pt>
                <c:pt idx="478">
                  <c:v>533.34899900000005</c:v>
                </c:pt>
                <c:pt idx="479">
                  <c:v>528.99530000000004</c:v>
                </c:pt>
                <c:pt idx="480">
                  <c:v>546.03057899999999</c:v>
                </c:pt>
                <c:pt idx="481">
                  <c:v>537.03900099999998</c:v>
                </c:pt>
                <c:pt idx="482">
                  <c:v>532.76092500000004</c:v>
                </c:pt>
                <c:pt idx="483">
                  <c:v>523.73211700000002</c:v>
                </c:pt>
                <c:pt idx="484">
                  <c:v>539.84112500000003</c:v>
                </c:pt>
                <c:pt idx="485">
                  <c:v>544.07849099999999</c:v>
                </c:pt>
                <c:pt idx="486">
                  <c:v>538.75329599999998</c:v>
                </c:pt>
                <c:pt idx="487">
                  <c:v>491.72479199999998</c:v>
                </c:pt>
                <c:pt idx="488">
                  <c:v>488.58358800000002</c:v>
                </c:pt>
                <c:pt idx="489">
                  <c:v>490.69641100000001</c:v>
                </c:pt>
                <c:pt idx="490">
                  <c:v>476.41549700000002</c:v>
                </c:pt>
                <c:pt idx="491">
                  <c:v>487.00070199999999</c:v>
                </c:pt>
                <c:pt idx="492">
                  <c:v>486.68618800000002</c:v>
                </c:pt>
                <c:pt idx="493">
                  <c:v>470.776703</c:v>
                </c:pt>
                <c:pt idx="494">
                  <c:v>446.41970800000001</c:v>
                </c:pt>
                <c:pt idx="495">
                  <c:v>448.96319599999998</c:v>
                </c:pt>
                <c:pt idx="496">
                  <c:v>450.426514</c:v>
                </c:pt>
                <c:pt idx="497">
                  <c:v>451.46679699999999</c:v>
                </c:pt>
                <c:pt idx="498">
                  <c:v>478.33621199999999</c:v>
                </c:pt>
                <c:pt idx="499">
                  <c:v>477.54089399999998</c:v>
                </c:pt>
                <c:pt idx="500">
                  <c:v>476.40798999999998</c:v>
                </c:pt>
                <c:pt idx="501">
                  <c:v>479.40008499999999</c:v>
                </c:pt>
                <c:pt idx="502">
                  <c:v>490.98278800000003</c:v>
                </c:pt>
                <c:pt idx="503">
                  <c:v>523.18981900000006</c:v>
                </c:pt>
                <c:pt idx="504">
                  <c:v>523.54882799999996</c:v>
                </c:pt>
                <c:pt idx="505">
                  <c:v>540.18280000000004</c:v>
                </c:pt>
                <c:pt idx="506">
                  <c:v>530.26147500000002</c:v>
                </c:pt>
                <c:pt idx="507">
                  <c:v>544.89648399999999</c:v>
                </c:pt>
                <c:pt idx="508">
                  <c:v>548.72937000000002</c:v>
                </c:pt>
                <c:pt idx="509">
                  <c:v>548.00591999999995</c:v>
                </c:pt>
                <c:pt idx="510">
                  <c:v>517.53558299999997</c:v>
                </c:pt>
                <c:pt idx="511">
                  <c:v>500.531586</c:v>
                </c:pt>
                <c:pt idx="512">
                  <c:v>504.18170199999997</c:v>
                </c:pt>
                <c:pt idx="513">
                  <c:v>470.27270499999997</c:v>
                </c:pt>
                <c:pt idx="514">
                  <c:v>474.43780500000003</c:v>
                </c:pt>
                <c:pt idx="515">
                  <c:v>469.47000100000002</c:v>
                </c:pt>
                <c:pt idx="516">
                  <c:v>442.77890000000002</c:v>
                </c:pt>
                <c:pt idx="517">
                  <c:v>447.121399</c:v>
                </c:pt>
                <c:pt idx="518">
                  <c:v>451.67028800000003</c:v>
                </c:pt>
                <c:pt idx="519">
                  <c:v>444.16000400000001</c:v>
                </c:pt>
                <c:pt idx="520">
                  <c:v>436.50628699999999</c:v>
                </c:pt>
                <c:pt idx="521">
                  <c:v>425.44808999999998</c:v>
                </c:pt>
                <c:pt idx="522">
                  <c:v>439.53921500000001</c:v>
                </c:pt>
                <c:pt idx="523">
                  <c:v>432.89279199999999</c:v>
                </c:pt>
                <c:pt idx="524">
                  <c:v>438.42880200000002</c:v>
                </c:pt>
                <c:pt idx="525">
                  <c:v>433.79119900000001</c:v>
                </c:pt>
                <c:pt idx="526">
                  <c:v>423.377411</c:v>
                </c:pt>
                <c:pt idx="527">
                  <c:v>426.44039900000001</c:v>
                </c:pt>
                <c:pt idx="528">
                  <c:v>426.839294</c:v>
                </c:pt>
                <c:pt idx="529">
                  <c:v>424.76019300000002</c:v>
                </c:pt>
                <c:pt idx="530">
                  <c:v>423.56549100000001</c:v>
                </c:pt>
                <c:pt idx="531">
                  <c:v>423.157196</c:v>
                </c:pt>
                <c:pt idx="532">
                  <c:v>453.75509599999998</c:v>
                </c:pt>
                <c:pt idx="533">
                  <c:v>474.43960600000003</c:v>
                </c:pt>
                <c:pt idx="534">
                  <c:v>507.92480499999999</c:v>
                </c:pt>
                <c:pt idx="535">
                  <c:v>568.78887899999995</c:v>
                </c:pt>
                <c:pt idx="536">
                  <c:v>563.00451699999996</c:v>
                </c:pt>
                <c:pt idx="537">
                  <c:v>563.78057899999999</c:v>
                </c:pt>
                <c:pt idx="538">
                  <c:v>554.84619099999998</c:v>
                </c:pt>
                <c:pt idx="539">
                  <c:v>560.88207999999997</c:v>
                </c:pt>
                <c:pt idx="540">
                  <c:v>554.40118399999994</c:v>
                </c:pt>
                <c:pt idx="541">
                  <c:v>568.81982400000004</c:v>
                </c:pt>
                <c:pt idx="542">
                  <c:v>562.39190699999995</c:v>
                </c:pt>
                <c:pt idx="543">
                  <c:v>565.21832300000005</c:v>
                </c:pt>
                <c:pt idx="544">
                  <c:v>556.05279499999995</c:v>
                </c:pt>
                <c:pt idx="545">
                  <c:v>556.02221699999996</c:v>
                </c:pt>
                <c:pt idx="546">
                  <c:v>559.52459699999997</c:v>
                </c:pt>
                <c:pt idx="547">
                  <c:v>558.00567599999999</c:v>
                </c:pt>
                <c:pt idx="548">
                  <c:v>553.82379200000003</c:v>
                </c:pt>
                <c:pt idx="549">
                  <c:v>571.955872</c:v>
                </c:pt>
                <c:pt idx="550">
                  <c:v>581.40502900000001</c:v>
                </c:pt>
                <c:pt idx="551">
                  <c:v>594.21179199999995</c:v>
                </c:pt>
                <c:pt idx="552">
                  <c:v>617.55328399999996</c:v>
                </c:pt>
                <c:pt idx="553">
                  <c:v>630.77587900000003</c:v>
                </c:pt>
                <c:pt idx="554">
                  <c:v>588.15759300000002</c:v>
                </c:pt>
                <c:pt idx="555">
                  <c:v>563.77081299999998</c:v>
                </c:pt>
                <c:pt idx="556">
                  <c:v>579.62457300000005</c:v>
                </c:pt>
                <c:pt idx="557">
                  <c:v>565.71710199999995</c:v>
                </c:pt>
                <c:pt idx="558">
                  <c:v>585.81347700000003</c:v>
                </c:pt>
                <c:pt idx="559">
                  <c:v>615.71478300000001</c:v>
                </c:pt>
                <c:pt idx="560">
                  <c:v>586.34960899999999</c:v>
                </c:pt>
                <c:pt idx="561">
                  <c:v>559.482483</c:v>
                </c:pt>
                <c:pt idx="562">
                  <c:v>562.56280500000003</c:v>
                </c:pt>
                <c:pt idx="563">
                  <c:v>553.22668499999997</c:v>
                </c:pt>
                <c:pt idx="564">
                  <c:v>576.79821800000002</c:v>
                </c:pt>
                <c:pt idx="565">
                  <c:v>603.03363000000002</c:v>
                </c:pt>
                <c:pt idx="566">
                  <c:v>614.75439500000005</c:v>
                </c:pt>
                <c:pt idx="567">
                  <c:v>622.50628700000004</c:v>
                </c:pt>
                <c:pt idx="568">
                  <c:v>559.74871800000005</c:v>
                </c:pt>
                <c:pt idx="569">
                  <c:v>538.107483</c:v>
                </c:pt>
                <c:pt idx="570">
                  <c:v>535.80688499999997</c:v>
                </c:pt>
                <c:pt idx="571">
                  <c:v>454.04580700000002</c:v>
                </c:pt>
                <c:pt idx="572">
                  <c:v>440.42199699999998</c:v>
                </c:pt>
                <c:pt idx="573">
                  <c:v>456.204407</c:v>
                </c:pt>
                <c:pt idx="574">
                  <c:v>443.104309</c:v>
                </c:pt>
                <c:pt idx="575">
                  <c:v>431.718414</c:v>
                </c:pt>
                <c:pt idx="576">
                  <c:v>446.81021099999998</c:v>
                </c:pt>
                <c:pt idx="577">
                  <c:v>469.95941199999999</c:v>
                </c:pt>
                <c:pt idx="578">
                  <c:v>488.51119999999997</c:v>
                </c:pt>
                <c:pt idx="579">
                  <c:v>444.13970899999998</c:v>
                </c:pt>
                <c:pt idx="580">
                  <c:v>441.66720600000002</c:v>
                </c:pt>
                <c:pt idx="581">
                  <c:v>439.63009599999998</c:v>
                </c:pt>
                <c:pt idx="582">
                  <c:v>425.37008700000001</c:v>
                </c:pt>
                <c:pt idx="583">
                  <c:v>426.44461100000001</c:v>
                </c:pt>
                <c:pt idx="584">
                  <c:v>435.21530200000001</c:v>
                </c:pt>
                <c:pt idx="585">
                  <c:v>427.42440800000003</c:v>
                </c:pt>
                <c:pt idx="586">
                  <c:v>416.66519199999999</c:v>
                </c:pt>
                <c:pt idx="587">
                  <c:v>374.49951199999998</c:v>
                </c:pt>
                <c:pt idx="588">
                  <c:v>348.81408699999997</c:v>
                </c:pt>
                <c:pt idx="589">
                  <c:v>320.869507</c:v>
                </c:pt>
                <c:pt idx="590">
                  <c:v>312.10668900000002</c:v>
                </c:pt>
                <c:pt idx="591">
                  <c:v>318.48089599999997</c:v>
                </c:pt>
                <c:pt idx="592">
                  <c:v>328.15838600000001</c:v>
                </c:pt>
                <c:pt idx="593">
                  <c:v>355.79489100000001</c:v>
                </c:pt>
                <c:pt idx="594">
                  <c:v>347.92450000000002</c:v>
                </c:pt>
                <c:pt idx="595">
                  <c:v>334.00351000000001</c:v>
                </c:pt>
                <c:pt idx="596">
                  <c:v>329.320312</c:v>
                </c:pt>
                <c:pt idx="597">
                  <c:v>320.64331099999998</c:v>
                </c:pt>
                <c:pt idx="598">
                  <c:v>291.90451000000002</c:v>
                </c:pt>
                <c:pt idx="599">
                  <c:v>284.93368500000003</c:v>
                </c:pt>
                <c:pt idx="600">
                  <c:v>274.01681500000001</c:v>
                </c:pt>
                <c:pt idx="601">
                  <c:v>261.736603</c:v>
                </c:pt>
                <c:pt idx="602">
                  <c:v>272.50949100000003</c:v>
                </c:pt>
                <c:pt idx="603">
                  <c:v>282.134705</c:v>
                </c:pt>
                <c:pt idx="604">
                  <c:v>294.97000100000002</c:v>
                </c:pt>
                <c:pt idx="605">
                  <c:v>314.589294</c:v>
                </c:pt>
                <c:pt idx="606">
                  <c:v>325.76669299999998</c:v>
                </c:pt>
                <c:pt idx="607">
                  <c:v>342.47820999999999</c:v>
                </c:pt>
                <c:pt idx="608">
                  <c:v>344.66949499999998</c:v>
                </c:pt>
                <c:pt idx="609">
                  <c:v>352.96661399999999</c:v>
                </c:pt>
                <c:pt idx="610">
                  <c:v>351.70120200000002</c:v>
                </c:pt>
                <c:pt idx="611">
                  <c:v>339.864014</c:v>
                </c:pt>
                <c:pt idx="612">
                  <c:v>346.75589000000002</c:v>
                </c:pt>
                <c:pt idx="613">
                  <c:v>350.84619099999998</c:v>
                </c:pt>
                <c:pt idx="614">
                  <c:v>346.19799799999998</c:v>
                </c:pt>
                <c:pt idx="615">
                  <c:v>316.01409899999999</c:v>
                </c:pt>
                <c:pt idx="616">
                  <c:v>285.19229100000001</c:v>
                </c:pt>
                <c:pt idx="617">
                  <c:v>252.28999300000001</c:v>
                </c:pt>
                <c:pt idx="618">
                  <c:v>270.23141500000003</c:v>
                </c:pt>
                <c:pt idx="619">
                  <c:v>265.58209199999999</c:v>
                </c:pt>
                <c:pt idx="620">
                  <c:v>269.89550800000001</c:v>
                </c:pt>
                <c:pt idx="621">
                  <c:v>295.676086</c:v>
                </c:pt>
                <c:pt idx="622">
                  <c:v>302.75048800000002</c:v>
                </c:pt>
                <c:pt idx="623">
                  <c:v>295.551514</c:v>
                </c:pt>
                <c:pt idx="624">
                  <c:v>282.70190400000001</c:v>
                </c:pt>
                <c:pt idx="625">
                  <c:v>260.91198700000001</c:v>
                </c:pt>
                <c:pt idx="626">
                  <c:v>257.93051100000002</c:v>
                </c:pt>
                <c:pt idx="627">
                  <c:v>252.93469200000001</c:v>
                </c:pt>
                <c:pt idx="628">
                  <c:v>254.877396</c:v>
                </c:pt>
                <c:pt idx="629">
                  <c:v>262.54431199999999</c:v>
                </c:pt>
                <c:pt idx="630">
                  <c:v>263.61129799999998</c:v>
                </c:pt>
                <c:pt idx="631">
                  <c:v>261.68121300000001</c:v>
                </c:pt>
                <c:pt idx="632">
                  <c:v>261.37619000000001</c:v>
                </c:pt>
                <c:pt idx="633">
                  <c:v>254.104004</c:v>
                </c:pt>
                <c:pt idx="634">
                  <c:v>244.16879299999999</c:v>
                </c:pt>
                <c:pt idx="635">
                  <c:v>248.18440200000001</c:v>
                </c:pt>
                <c:pt idx="636">
                  <c:v>248.15089399999999</c:v>
                </c:pt>
                <c:pt idx="637">
                  <c:v>243.17559800000001</c:v>
                </c:pt>
                <c:pt idx="638">
                  <c:v>238.61779799999999</c:v>
                </c:pt>
                <c:pt idx="639">
                  <c:v>229.66279599999999</c:v>
                </c:pt>
                <c:pt idx="640">
                  <c:v>210.88679500000001</c:v>
                </c:pt>
                <c:pt idx="641">
                  <c:v>187.82550000000001</c:v>
                </c:pt>
                <c:pt idx="642">
                  <c:v>194.48039199999999</c:v>
                </c:pt>
                <c:pt idx="643">
                  <c:v>185.213303</c:v>
                </c:pt>
                <c:pt idx="644">
                  <c:v>171.19070400000001</c:v>
                </c:pt>
                <c:pt idx="645">
                  <c:v>182.796997</c:v>
                </c:pt>
                <c:pt idx="646">
                  <c:v>189.65159600000001</c:v>
                </c:pt>
                <c:pt idx="647">
                  <c:v>185.598206</c:v>
                </c:pt>
                <c:pt idx="648">
                  <c:v>197.18730199999999</c:v>
                </c:pt>
                <c:pt idx="649">
                  <c:v>213.77229299999999</c:v>
                </c:pt>
                <c:pt idx="650">
                  <c:v>246.06359900000001</c:v>
                </c:pt>
                <c:pt idx="651">
                  <c:v>268.52539100000001</c:v>
                </c:pt>
                <c:pt idx="652">
                  <c:v>248.65289300000001</c:v>
                </c:pt>
                <c:pt idx="653">
                  <c:v>253.808807</c:v>
                </c:pt>
                <c:pt idx="654">
                  <c:v>250.200897</c:v>
                </c:pt>
                <c:pt idx="655">
                  <c:v>252.321899</c:v>
                </c:pt>
                <c:pt idx="656">
                  <c:v>231.33169599999999</c:v>
                </c:pt>
                <c:pt idx="657">
                  <c:v>224.99020400000001</c:v>
                </c:pt>
                <c:pt idx="658">
                  <c:v>225.22689800000001</c:v>
                </c:pt>
                <c:pt idx="659">
                  <c:v>205.3759</c:v>
                </c:pt>
                <c:pt idx="660">
                  <c:v>210.13580300000001</c:v>
                </c:pt>
                <c:pt idx="661">
                  <c:v>213.38600199999999</c:v>
                </c:pt>
                <c:pt idx="662">
                  <c:v>189.892807</c:v>
                </c:pt>
                <c:pt idx="663">
                  <c:v>162.734207</c:v>
                </c:pt>
                <c:pt idx="664">
                  <c:v>152.837006</c:v>
                </c:pt>
                <c:pt idx="665">
                  <c:v>164.409302</c:v>
                </c:pt>
                <c:pt idx="666">
                  <c:v>164.84120200000001</c:v>
                </c:pt>
                <c:pt idx="667">
                  <c:v>169.58050499999999</c:v>
                </c:pt>
                <c:pt idx="668">
                  <c:v>181.22479200000001</c:v>
                </c:pt>
                <c:pt idx="669">
                  <c:v>184.85380599999999</c:v>
                </c:pt>
                <c:pt idx="670">
                  <c:v>192.06230199999999</c:v>
                </c:pt>
                <c:pt idx="671">
                  <c:v>203.08999600000001</c:v>
                </c:pt>
                <c:pt idx="672">
                  <c:v>200.185303</c:v>
                </c:pt>
                <c:pt idx="673">
                  <c:v>218.078003</c:v>
                </c:pt>
                <c:pt idx="674">
                  <c:v>222.41099500000001</c:v>
                </c:pt>
                <c:pt idx="675">
                  <c:v>223.84419299999999</c:v>
                </c:pt>
                <c:pt idx="676">
                  <c:v>249.04179400000001</c:v>
                </c:pt>
                <c:pt idx="677">
                  <c:v>260.36120599999998</c:v>
                </c:pt>
                <c:pt idx="678">
                  <c:v>261.27999899999998</c:v>
                </c:pt>
                <c:pt idx="679">
                  <c:v>243.733093</c:v>
                </c:pt>
                <c:pt idx="680">
                  <c:v>216.46710200000001</c:v>
                </c:pt>
                <c:pt idx="681">
                  <c:v>214.29789700000001</c:v>
                </c:pt>
                <c:pt idx="682">
                  <c:v>189.39619400000001</c:v>
                </c:pt>
                <c:pt idx="683">
                  <c:v>183.379593</c:v>
                </c:pt>
                <c:pt idx="684">
                  <c:v>166.33230599999999</c:v>
                </c:pt>
                <c:pt idx="685">
                  <c:v>155.75929300000001</c:v>
                </c:pt>
                <c:pt idx="686">
                  <c:v>151.340698</c:v>
                </c:pt>
                <c:pt idx="687">
                  <c:v>164.08369400000001</c:v>
                </c:pt>
                <c:pt idx="688">
                  <c:v>175.72129799999999</c:v>
                </c:pt>
                <c:pt idx="689">
                  <c:v>174.98680100000001</c:v>
                </c:pt>
                <c:pt idx="690">
                  <c:v>179.39070100000001</c:v>
                </c:pt>
                <c:pt idx="691">
                  <c:v>161.823196</c:v>
                </c:pt>
                <c:pt idx="692">
                  <c:v>140.72749300000001</c:v>
                </c:pt>
                <c:pt idx="693">
                  <c:v>164.22970599999999</c:v>
                </c:pt>
                <c:pt idx="694">
                  <c:v>176.21060199999999</c:v>
                </c:pt>
                <c:pt idx="695">
                  <c:v>173.259094</c:v>
                </c:pt>
                <c:pt idx="696">
                  <c:v>174.47349500000001</c:v>
                </c:pt>
                <c:pt idx="697">
                  <c:v>166.94000199999999</c:v>
                </c:pt>
                <c:pt idx="698">
                  <c:v>164.663895</c:v>
                </c:pt>
                <c:pt idx="699">
                  <c:v>146.7724</c:v>
                </c:pt>
                <c:pt idx="700">
                  <c:v>148.858093</c:v>
                </c:pt>
                <c:pt idx="701">
                  <c:v>134.19790599999999</c:v>
                </c:pt>
                <c:pt idx="702">
                  <c:v>130.290604</c:v>
                </c:pt>
                <c:pt idx="703">
                  <c:v>129.48140000000001</c:v>
                </c:pt>
                <c:pt idx="704">
                  <c:v>131.45500200000001</c:v>
                </c:pt>
                <c:pt idx="705">
                  <c:v>113.635597</c:v>
                </c:pt>
                <c:pt idx="706">
                  <c:v>108.554298</c:v>
                </c:pt>
                <c:pt idx="707">
                  <c:v>101.133003</c:v>
                </c:pt>
                <c:pt idx="708">
                  <c:v>99.260101000000006</c:v>
                </c:pt>
                <c:pt idx="709">
                  <c:v>102.64209700000001</c:v>
                </c:pt>
                <c:pt idx="710">
                  <c:v>106.35549899999999</c:v>
                </c:pt>
                <c:pt idx="711">
                  <c:v>103.123299</c:v>
                </c:pt>
                <c:pt idx="712">
                  <c:v>88.593299999999999</c:v>
                </c:pt>
                <c:pt idx="713">
                  <c:v>73.449698999999995</c:v>
                </c:pt>
                <c:pt idx="714">
                  <c:v>101.38249999999999</c:v>
                </c:pt>
                <c:pt idx="715">
                  <c:v>98.914597000000001</c:v>
                </c:pt>
                <c:pt idx="716">
                  <c:v>100.028198</c:v>
                </c:pt>
                <c:pt idx="717">
                  <c:v>101.147301</c:v>
                </c:pt>
                <c:pt idx="718">
                  <c:v>102.30680099999999</c:v>
                </c:pt>
                <c:pt idx="719">
                  <c:v>99.149803000000006</c:v>
                </c:pt>
                <c:pt idx="720">
                  <c:v>148.41549699999999</c:v>
                </c:pt>
                <c:pt idx="721">
                  <c:v>144.07179300000001</c:v>
                </c:pt>
                <c:pt idx="722">
                  <c:v>156.65950000000001</c:v>
                </c:pt>
                <c:pt idx="723">
                  <c:v>164.266098</c:v>
                </c:pt>
                <c:pt idx="724">
                  <c:v>144.24839800000001</c:v>
                </c:pt>
                <c:pt idx="725">
                  <c:v>144.87930299999999</c:v>
                </c:pt>
                <c:pt idx="726">
                  <c:v>170.81379699999999</c:v>
                </c:pt>
                <c:pt idx="727">
                  <c:v>185.204193</c:v>
                </c:pt>
                <c:pt idx="728">
                  <c:v>166.554901</c:v>
                </c:pt>
                <c:pt idx="729">
                  <c:v>160.32299800000001</c:v>
                </c:pt>
                <c:pt idx="730">
                  <c:v>175.641693</c:v>
                </c:pt>
                <c:pt idx="731">
                  <c:v>176.22110000000001</c:v>
                </c:pt>
                <c:pt idx="732">
                  <c:v>178.003693</c:v>
                </c:pt>
                <c:pt idx="733">
                  <c:v>155.98919699999999</c:v>
                </c:pt>
                <c:pt idx="734">
                  <c:v>163.890503</c:v>
                </c:pt>
                <c:pt idx="735">
                  <c:v>177.78770399999999</c:v>
                </c:pt>
                <c:pt idx="736">
                  <c:v>168.842499</c:v>
                </c:pt>
                <c:pt idx="737">
                  <c:v>170.744598</c:v>
                </c:pt>
                <c:pt idx="738">
                  <c:v>185.529495</c:v>
                </c:pt>
                <c:pt idx="739">
                  <c:v>183.409302</c:v>
                </c:pt>
                <c:pt idx="740">
                  <c:v>201.06680299999999</c:v>
                </c:pt>
                <c:pt idx="741">
                  <c:v>231.657104</c:v>
                </c:pt>
                <c:pt idx="742">
                  <c:v>223.265198</c:v>
                </c:pt>
                <c:pt idx="743">
                  <c:v>212.134705</c:v>
                </c:pt>
                <c:pt idx="744">
                  <c:v>199.070099</c:v>
                </c:pt>
                <c:pt idx="745">
                  <c:v>185.89840699999999</c:v>
                </c:pt>
                <c:pt idx="746">
                  <c:v>186.22120699999999</c:v>
                </c:pt>
                <c:pt idx="747">
                  <c:v>178.19700599999999</c:v>
                </c:pt>
                <c:pt idx="748">
                  <c:v>152.1353</c:v>
                </c:pt>
                <c:pt idx="749">
                  <c:v>170.33059700000001</c:v>
                </c:pt>
                <c:pt idx="750">
                  <c:v>166.87579299999999</c:v>
                </c:pt>
                <c:pt idx="751">
                  <c:v>174.818893</c:v>
                </c:pt>
                <c:pt idx="752">
                  <c:v>169.372894</c:v>
                </c:pt>
                <c:pt idx="753">
                  <c:v>165.599197</c:v>
                </c:pt>
                <c:pt idx="754">
                  <c:v>167.013306</c:v>
                </c:pt>
                <c:pt idx="755">
                  <c:v>168.19639599999999</c:v>
                </c:pt>
                <c:pt idx="756">
                  <c:v>179.68130500000001</c:v>
                </c:pt>
                <c:pt idx="757">
                  <c:v>183.130402</c:v>
                </c:pt>
                <c:pt idx="758">
                  <c:v>185.023605</c:v>
                </c:pt>
                <c:pt idx="759">
                  <c:v>172.246094</c:v>
                </c:pt>
                <c:pt idx="760">
                  <c:v>181.33389299999999</c:v>
                </c:pt>
                <c:pt idx="761">
                  <c:v>160.95370500000001</c:v>
                </c:pt>
                <c:pt idx="762">
                  <c:v>158.94639599999999</c:v>
                </c:pt>
                <c:pt idx="763">
                  <c:v>148.15559400000001</c:v>
                </c:pt>
                <c:pt idx="764">
                  <c:v>126.5989</c:v>
                </c:pt>
                <c:pt idx="765">
                  <c:v>127.758301</c:v>
                </c:pt>
                <c:pt idx="766">
                  <c:v>133.98249799999999</c:v>
                </c:pt>
                <c:pt idx="767">
                  <c:v>141.444107</c:v>
                </c:pt>
                <c:pt idx="768">
                  <c:v>160.327698</c:v>
                </c:pt>
                <c:pt idx="769">
                  <c:v>154.445404</c:v>
                </c:pt>
                <c:pt idx="770">
                  <c:v>144.138397</c:v>
                </c:pt>
                <c:pt idx="771">
                  <c:v>149.160202</c:v>
                </c:pt>
                <c:pt idx="772">
                  <c:v>112.370499</c:v>
                </c:pt>
                <c:pt idx="773">
                  <c:v>113.492699</c:v>
                </c:pt>
                <c:pt idx="774">
                  <c:v>119.095901</c:v>
                </c:pt>
                <c:pt idx="775">
                  <c:v>115.954498</c:v>
                </c:pt>
                <c:pt idx="776">
                  <c:v>117.04679899999999</c:v>
                </c:pt>
                <c:pt idx="777">
                  <c:v>128.91890000000001</c:v>
                </c:pt>
                <c:pt idx="778">
                  <c:v>137.85189800000001</c:v>
                </c:pt>
                <c:pt idx="779">
                  <c:v>127.299797</c:v>
                </c:pt>
                <c:pt idx="780">
                  <c:v>130.84669500000001</c:v>
                </c:pt>
                <c:pt idx="781">
                  <c:v>125.02069899999999</c:v>
                </c:pt>
                <c:pt idx="782">
                  <c:v>115.83200100000001</c:v>
                </c:pt>
                <c:pt idx="783">
                  <c:v>119.153702</c:v>
                </c:pt>
                <c:pt idx="784">
                  <c:v>132.46760599999999</c:v>
                </c:pt>
                <c:pt idx="785">
                  <c:v>140.68910199999999</c:v>
                </c:pt>
                <c:pt idx="786">
                  <c:v>142.11779799999999</c:v>
                </c:pt>
                <c:pt idx="787">
                  <c:v>149.74670399999999</c:v>
                </c:pt>
                <c:pt idx="788">
                  <c:v>150.22169500000001</c:v>
                </c:pt>
                <c:pt idx="789">
                  <c:v>153.82470699999999</c:v>
                </c:pt>
                <c:pt idx="790">
                  <c:v>143.62930299999999</c:v>
                </c:pt>
                <c:pt idx="791">
                  <c:v>147.69670099999999</c:v>
                </c:pt>
                <c:pt idx="792">
                  <c:v>144.186905</c:v>
                </c:pt>
                <c:pt idx="793">
                  <c:v>128.823105</c:v>
                </c:pt>
                <c:pt idx="794">
                  <c:v>131.28990200000001</c:v>
                </c:pt>
                <c:pt idx="795">
                  <c:v>124.446602</c:v>
                </c:pt>
                <c:pt idx="796">
                  <c:v>133.062195</c:v>
                </c:pt>
                <c:pt idx="797">
                  <c:v>135.328903</c:v>
                </c:pt>
                <c:pt idx="798">
                  <c:v>134.81359900000001</c:v>
                </c:pt>
                <c:pt idx="799">
                  <c:v>130.26220699999999</c:v>
                </c:pt>
                <c:pt idx="800">
                  <c:v>125.434303</c:v>
                </c:pt>
                <c:pt idx="801">
                  <c:v>129.14549299999999</c:v>
                </c:pt>
                <c:pt idx="802">
                  <c:v>130.38459800000001</c:v>
                </c:pt>
                <c:pt idx="803">
                  <c:v>125.44589999999999</c:v>
                </c:pt>
                <c:pt idx="804">
                  <c:v>126.358597</c:v>
                </c:pt>
                <c:pt idx="805">
                  <c:v>129.080994</c:v>
                </c:pt>
                <c:pt idx="806">
                  <c:v>142.570999</c:v>
                </c:pt>
                <c:pt idx="807">
                  <c:v>147.39210499999999</c:v>
                </c:pt>
                <c:pt idx="808">
                  <c:v>136.36790500000001</c:v>
                </c:pt>
                <c:pt idx="809">
                  <c:v>127.2967</c:v>
                </c:pt>
                <c:pt idx="810">
                  <c:v>129.16589400000001</c:v>
                </c:pt>
                <c:pt idx="811">
                  <c:v>152.926895</c:v>
                </c:pt>
                <c:pt idx="812">
                  <c:v>156.529404</c:v>
                </c:pt>
                <c:pt idx="813">
                  <c:v>138.66949500000001</c:v>
                </c:pt>
                <c:pt idx="814">
                  <c:v>140.74079900000001</c:v>
                </c:pt>
                <c:pt idx="815">
                  <c:v>148.215103</c:v>
                </c:pt>
                <c:pt idx="816">
                  <c:v>137.44610599999999</c:v>
                </c:pt>
                <c:pt idx="817">
                  <c:v>128.88130200000001</c:v>
                </c:pt>
                <c:pt idx="818">
                  <c:v>128.22920199999999</c:v>
                </c:pt>
                <c:pt idx="819">
                  <c:v>132.97650100000001</c:v>
                </c:pt>
                <c:pt idx="820">
                  <c:v>151.01289399999999</c:v>
                </c:pt>
                <c:pt idx="821">
                  <c:v>143.794296</c:v>
                </c:pt>
                <c:pt idx="822">
                  <c:v>143.42219499999999</c:v>
                </c:pt>
                <c:pt idx="823">
                  <c:v>126.949303</c:v>
                </c:pt>
                <c:pt idx="824">
                  <c:v>111.876999</c:v>
                </c:pt>
                <c:pt idx="825">
                  <c:v>106.802803</c:v>
                </c:pt>
                <c:pt idx="826">
                  <c:v>106.527901</c:v>
                </c:pt>
                <c:pt idx="827">
                  <c:v>111.214302</c:v>
                </c:pt>
                <c:pt idx="828">
                  <c:v>103.688599</c:v>
                </c:pt>
                <c:pt idx="829">
                  <c:v>96.963402000000002</c:v>
                </c:pt>
                <c:pt idx="830">
                  <c:v>101.907799</c:v>
                </c:pt>
                <c:pt idx="831">
                  <c:v>96.199898000000005</c:v>
                </c:pt>
                <c:pt idx="832">
                  <c:v>86.405899000000005</c:v>
                </c:pt>
                <c:pt idx="833">
                  <c:v>85.383301000000003</c:v>
                </c:pt>
                <c:pt idx="834">
                  <c:v>70.268096999999997</c:v>
                </c:pt>
                <c:pt idx="835">
                  <c:v>73.155296000000007</c:v>
                </c:pt>
                <c:pt idx="836">
                  <c:v>72.048798000000005</c:v>
                </c:pt>
                <c:pt idx="837">
                  <c:v>63.601799</c:v>
                </c:pt>
                <c:pt idx="838">
                  <c:v>59.483100999999998</c:v>
                </c:pt>
                <c:pt idx="839">
                  <c:v>68.215598999999997</c:v>
                </c:pt>
                <c:pt idx="840">
                  <c:v>75.913803000000001</c:v>
                </c:pt>
                <c:pt idx="841">
                  <c:v>83.527298000000002</c:v>
                </c:pt>
                <c:pt idx="842">
                  <c:v>84.237701000000001</c:v>
                </c:pt>
                <c:pt idx="843">
                  <c:v>81.648803999999998</c:v>
                </c:pt>
                <c:pt idx="844">
                  <c:v>70.264503000000005</c:v>
                </c:pt>
                <c:pt idx="845">
                  <c:v>53.097698000000001</c:v>
                </c:pt>
                <c:pt idx="846">
                  <c:v>40.936599999999999</c:v>
                </c:pt>
                <c:pt idx="847">
                  <c:v>45.825499999999998</c:v>
                </c:pt>
                <c:pt idx="848">
                  <c:v>55.205399</c:v>
                </c:pt>
                <c:pt idx="849">
                  <c:v>56.018599999999999</c:v>
                </c:pt>
                <c:pt idx="850">
                  <c:v>63.434299000000003</c:v>
                </c:pt>
                <c:pt idx="851">
                  <c:v>66.454802999999998</c:v>
                </c:pt>
                <c:pt idx="852">
                  <c:v>61.287601000000002</c:v>
                </c:pt>
                <c:pt idx="853">
                  <c:v>56.322299999999998</c:v>
                </c:pt>
                <c:pt idx="854">
                  <c:v>58.832599999999999</c:v>
                </c:pt>
                <c:pt idx="855">
                  <c:v>70.839798000000002</c:v>
                </c:pt>
                <c:pt idx="856">
                  <c:v>74.985298</c:v>
                </c:pt>
                <c:pt idx="857">
                  <c:v>83.408203</c:v>
                </c:pt>
                <c:pt idx="858">
                  <c:v>92.479301000000007</c:v>
                </c:pt>
                <c:pt idx="859">
                  <c:v>92.267998000000006</c:v>
                </c:pt>
                <c:pt idx="860">
                  <c:v>76.558998000000003</c:v>
                </c:pt>
                <c:pt idx="861">
                  <c:v>82.251403999999994</c:v>
                </c:pt>
                <c:pt idx="862">
                  <c:v>84.445098999999999</c:v>
                </c:pt>
                <c:pt idx="863">
                  <c:v>92.762298999999999</c:v>
                </c:pt>
                <c:pt idx="864">
                  <c:v>67.263603000000003</c:v>
                </c:pt>
                <c:pt idx="865">
                  <c:v>66.714302000000004</c:v>
                </c:pt>
                <c:pt idx="866">
                  <c:v>79.619399999999999</c:v>
                </c:pt>
                <c:pt idx="867">
                  <c:v>87.449698999999995</c:v>
                </c:pt>
                <c:pt idx="868">
                  <c:v>90.461699999999993</c:v>
                </c:pt>
                <c:pt idx="869">
                  <c:v>99.266402999999997</c:v>
                </c:pt>
                <c:pt idx="870">
                  <c:v>99.705803000000003</c:v>
                </c:pt>
                <c:pt idx="871">
                  <c:v>100.34470399999999</c:v>
                </c:pt>
                <c:pt idx="872">
                  <c:v>100.058296</c:v>
                </c:pt>
                <c:pt idx="873">
                  <c:v>104.058403</c:v>
                </c:pt>
                <c:pt idx="874">
                  <c:v>109.106796</c:v>
                </c:pt>
                <c:pt idx="875">
                  <c:v>108.1576</c:v>
                </c:pt>
                <c:pt idx="876">
                  <c:v>116.62979900000001</c:v>
                </c:pt>
                <c:pt idx="877">
                  <c:v>110.25299800000001</c:v>
                </c:pt>
                <c:pt idx="878">
                  <c:v>105.605698</c:v>
                </c:pt>
                <c:pt idx="879">
                  <c:v>88.675597999999994</c:v>
                </c:pt>
                <c:pt idx="880">
                  <c:v>89.909401000000003</c:v>
                </c:pt>
                <c:pt idx="881">
                  <c:v>86.631798000000003</c:v>
                </c:pt>
                <c:pt idx="882">
                  <c:v>95.046599999999998</c:v>
                </c:pt>
                <c:pt idx="883">
                  <c:v>98.602097000000001</c:v>
                </c:pt>
                <c:pt idx="884">
                  <c:v>104.55940200000001</c:v>
                </c:pt>
                <c:pt idx="885">
                  <c:v>103.3377</c:v>
                </c:pt>
                <c:pt idx="886">
                  <c:v>103.197998</c:v>
                </c:pt>
                <c:pt idx="887">
                  <c:v>82.661300999999995</c:v>
                </c:pt>
                <c:pt idx="888">
                  <c:v>75.352303000000006</c:v>
                </c:pt>
                <c:pt idx="889">
                  <c:v>67.133101999999994</c:v>
                </c:pt>
                <c:pt idx="890">
                  <c:v>69.892196999999996</c:v>
                </c:pt>
                <c:pt idx="891">
                  <c:v>61.777000000000001</c:v>
                </c:pt>
                <c:pt idx="892">
                  <c:v>51.615600999999998</c:v>
                </c:pt>
                <c:pt idx="893">
                  <c:v>55.197701000000002</c:v>
                </c:pt>
                <c:pt idx="894">
                  <c:v>59.698002000000002</c:v>
                </c:pt>
                <c:pt idx="895">
                  <c:v>57.912998000000002</c:v>
                </c:pt>
                <c:pt idx="896">
                  <c:v>60.424702000000003</c:v>
                </c:pt>
                <c:pt idx="897">
                  <c:v>65.184402000000006</c:v>
                </c:pt>
                <c:pt idx="898">
                  <c:v>65.024497999999994</c:v>
                </c:pt>
                <c:pt idx="899">
                  <c:v>62.039299</c:v>
                </c:pt>
                <c:pt idx="900">
                  <c:v>61.303199999999997</c:v>
                </c:pt>
                <c:pt idx="901">
                  <c:v>66.966697999999994</c:v>
                </c:pt>
                <c:pt idx="902">
                  <c:v>67.309997999999993</c:v>
                </c:pt>
                <c:pt idx="903">
                  <c:v>55.375098999999999</c:v>
                </c:pt>
                <c:pt idx="904">
                  <c:v>57.530498999999999</c:v>
                </c:pt>
                <c:pt idx="905">
                  <c:v>52.395000000000003</c:v>
                </c:pt>
                <c:pt idx="906">
                  <c:v>54.091301000000001</c:v>
                </c:pt>
                <c:pt idx="907">
                  <c:v>57.844501000000001</c:v>
                </c:pt>
                <c:pt idx="908">
                  <c:v>60.775199999999998</c:v>
                </c:pt>
                <c:pt idx="909">
                  <c:v>57.563499</c:v>
                </c:pt>
                <c:pt idx="910">
                  <c:v>44.713402000000002</c:v>
                </c:pt>
                <c:pt idx="911">
                  <c:v>55.427399000000001</c:v>
                </c:pt>
                <c:pt idx="912">
                  <c:v>66.460601999999994</c:v>
                </c:pt>
                <c:pt idx="913">
                  <c:v>86.840401</c:v>
                </c:pt>
                <c:pt idx="914">
                  <c:v>83.510802999999996</c:v>
                </c:pt>
                <c:pt idx="915">
                  <c:v>91.129897999999997</c:v>
                </c:pt>
                <c:pt idx="916">
                  <c:v>117.275902</c:v>
                </c:pt>
                <c:pt idx="917">
                  <c:v>132.67210399999999</c:v>
                </c:pt>
                <c:pt idx="918">
                  <c:v>136.15679900000001</c:v>
                </c:pt>
                <c:pt idx="919">
                  <c:v>136.03630100000001</c:v>
                </c:pt>
                <c:pt idx="920">
                  <c:v>146.83329800000001</c:v>
                </c:pt>
                <c:pt idx="921">
                  <c:v>151.90010100000001</c:v>
                </c:pt>
                <c:pt idx="922">
                  <c:v>150.26139800000001</c:v>
                </c:pt>
                <c:pt idx="923">
                  <c:v>126.772903</c:v>
                </c:pt>
                <c:pt idx="924">
                  <c:v>113.99430099999999</c:v>
                </c:pt>
                <c:pt idx="925">
                  <c:v>112.231697</c:v>
                </c:pt>
                <c:pt idx="926">
                  <c:v>104.47489899999999</c:v>
                </c:pt>
                <c:pt idx="927">
                  <c:v>87.403503000000001</c:v>
                </c:pt>
                <c:pt idx="928">
                  <c:v>95.142700000000005</c:v>
                </c:pt>
                <c:pt idx="929">
                  <c:v>82.929603999999998</c:v>
                </c:pt>
                <c:pt idx="930">
                  <c:v>74.101898000000006</c:v>
                </c:pt>
                <c:pt idx="931">
                  <c:v>69.754897999999997</c:v>
                </c:pt>
                <c:pt idx="932">
                  <c:v>67.191497999999996</c:v>
                </c:pt>
                <c:pt idx="933">
                  <c:v>65.447800000000001</c:v>
                </c:pt>
                <c:pt idx="934">
                  <c:v>71.225196999999994</c:v>
                </c:pt>
                <c:pt idx="935">
                  <c:v>72.290397999999996</c:v>
                </c:pt>
                <c:pt idx="936">
                  <c:v>72.968802999999994</c:v>
                </c:pt>
                <c:pt idx="937">
                  <c:v>75.784698000000006</c:v>
                </c:pt>
                <c:pt idx="938">
                  <c:v>76.861298000000005</c:v>
                </c:pt>
                <c:pt idx="939">
                  <c:v>78.726799</c:v>
                </c:pt>
                <c:pt idx="940">
                  <c:v>77.652901</c:v>
                </c:pt>
                <c:pt idx="941">
                  <c:v>70.147300999999999</c:v>
                </c:pt>
                <c:pt idx="942">
                  <c:v>75.146202000000002</c:v>
                </c:pt>
                <c:pt idx="943">
                  <c:v>75.839400999999995</c:v>
                </c:pt>
                <c:pt idx="944">
                  <c:v>72.952797000000004</c:v>
                </c:pt>
                <c:pt idx="945">
                  <c:v>77.578299999999999</c:v>
                </c:pt>
                <c:pt idx="946">
                  <c:v>76.941901999999999</c:v>
                </c:pt>
                <c:pt idx="947">
                  <c:v>89.065101999999996</c:v>
                </c:pt>
                <c:pt idx="948">
                  <c:v>94.243401000000006</c:v>
                </c:pt>
                <c:pt idx="949">
                  <c:v>81.714995999999999</c:v>
                </c:pt>
                <c:pt idx="950">
                  <c:v>73.395897000000005</c:v>
                </c:pt>
                <c:pt idx="951">
                  <c:v>72.556702000000001</c:v>
                </c:pt>
                <c:pt idx="952">
                  <c:v>39.470798000000002</c:v>
                </c:pt>
                <c:pt idx="953">
                  <c:v>42.537601000000002</c:v>
                </c:pt>
                <c:pt idx="954">
                  <c:v>54.443699000000002</c:v>
                </c:pt>
                <c:pt idx="955">
                  <c:v>63.375301</c:v>
                </c:pt>
                <c:pt idx="956">
                  <c:v>62.807098000000003</c:v>
                </c:pt>
                <c:pt idx="957">
                  <c:v>72.946701000000004</c:v>
                </c:pt>
                <c:pt idx="958">
                  <c:v>74.986298000000005</c:v>
                </c:pt>
                <c:pt idx="959">
                  <c:v>88.887100000000004</c:v>
                </c:pt>
                <c:pt idx="960">
                  <c:v>88.132103000000001</c:v>
                </c:pt>
                <c:pt idx="961">
                  <c:v>70.679603999999998</c:v>
                </c:pt>
                <c:pt idx="962">
                  <c:v>60.971499999999999</c:v>
                </c:pt>
                <c:pt idx="963">
                  <c:v>58.037998000000002</c:v>
                </c:pt>
                <c:pt idx="964">
                  <c:v>65.367103999999998</c:v>
                </c:pt>
                <c:pt idx="965">
                  <c:v>54.571399999999997</c:v>
                </c:pt>
                <c:pt idx="966">
                  <c:v>51.006802</c:v>
                </c:pt>
                <c:pt idx="967">
                  <c:v>51.181099000000003</c:v>
                </c:pt>
                <c:pt idx="968">
                  <c:v>56.730801</c:v>
                </c:pt>
                <c:pt idx="969">
                  <c:v>60.460299999999997</c:v>
                </c:pt>
                <c:pt idx="970">
                  <c:v>55.322102000000001</c:v>
                </c:pt>
                <c:pt idx="971">
                  <c:v>59.036498999999999</c:v>
                </c:pt>
                <c:pt idx="972">
                  <c:v>72.939400000000006</c:v>
                </c:pt>
                <c:pt idx="973">
                  <c:v>83.752296000000001</c:v>
                </c:pt>
                <c:pt idx="974">
                  <c:v>96.111999999999995</c:v>
                </c:pt>
                <c:pt idx="975">
                  <c:v>113.276802</c:v>
                </c:pt>
                <c:pt idx="976">
                  <c:v>146.342804</c:v>
                </c:pt>
                <c:pt idx="977">
                  <c:v>174.15280200000001</c:v>
                </c:pt>
                <c:pt idx="978">
                  <c:v>184.27740499999999</c:v>
                </c:pt>
                <c:pt idx="979">
                  <c:v>215.29179400000001</c:v>
                </c:pt>
                <c:pt idx="980">
                  <c:v>187.47669999999999</c:v>
                </c:pt>
                <c:pt idx="981">
                  <c:v>200.56449900000001</c:v>
                </c:pt>
                <c:pt idx="982">
                  <c:v>218.52499399999999</c:v>
                </c:pt>
                <c:pt idx="983">
                  <c:v>213.32179300000001</c:v>
                </c:pt>
                <c:pt idx="984">
                  <c:v>236.92919900000001</c:v>
                </c:pt>
                <c:pt idx="985">
                  <c:v>244.51870700000001</c:v>
                </c:pt>
                <c:pt idx="986">
                  <c:v>251.349197</c:v>
                </c:pt>
                <c:pt idx="987">
                  <c:v>279.388306</c:v>
                </c:pt>
                <c:pt idx="988">
                  <c:v>256.26721199999997</c:v>
                </c:pt>
                <c:pt idx="989">
                  <c:v>278.56900000000002</c:v>
                </c:pt>
                <c:pt idx="990">
                  <c:v>267.829407</c:v>
                </c:pt>
                <c:pt idx="991">
                  <c:v>207.76040599999999</c:v>
                </c:pt>
                <c:pt idx="992">
                  <c:v>189.963593</c:v>
                </c:pt>
                <c:pt idx="993">
                  <c:v>171.50309799999999</c:v>
                </c:pt>
                <c:pt idx="994">
                  <c:v>102.80239899999999</c:v>
                </c:pt>
                <c:pt idx="995">
                  <c:v>106.9328</c:v>
                </c:pt>
                <c:pt idx="996">
                  <c:v>99.339202999999998</c:v>
                </c:pt>
                <c:pt idx="997">
                  <c:v>100.193298</c:v>
                </c:pt>
                <c:pt idx="998">
                  <c:v>121.028702</c:v>
                </c:pt>
                <c:pt idx="999">
                  <c:v>110.01460299999999</c:v>
                </c:pt>
                <c:pt idx="1000">
                  <c:v>65.315804</c:v>
                </c:pt>
                <c:pt idx="1001">
                  <c:v>88.631302000000005</c:v>
                </c:pt>
                <c:pt idx="1002">
                  <c:v>64.126700999999997</c:v>
                </c:pt>
                <c:pt idx="1003">
                  <c:v>59.553500999999997</c:v>
                </c:pt>
                <c:pt idx="1004">
                  <c:v>69.043700999999999</c:v>
                </c:pt>
                <c:pt idx="1005">
                  <c:v>97.909301999999997</c:v>
                </c:pt>
                <c:pt idx="1006">
                  <c:v>92.138603000000003</c:v>
                </c:pt>
                <c:pt idx="1007">
                  <c:v>73.909103000000002</c:v>
                </c:pt>
                <c:pt idx="1008">
                  <c:v>68.107399000000001</c:v>
                </c:pt>
                <c:pt idx="1009">
                  <c:v>53.752200999999999</c:v>
                </c:pt>
                <c:pt idx="1010">
                  <c:v>53.718899</c:v>
                </c:pt>
                <c:pt idx="1011">
                  <c:v>58.178398000000001</c:v>
                </c:pt>
                <c:pt idx="1012">
                  <c:v>64.478202999999993</c:v>
                </c:pt>
                <c:pt idx="1013">
                  <c:v>49.298800999999997</c:v>
                </c:pt>
                <c:pt idx="1014">
                  <c:v>45.909301999999997</c:v>
                </c:pt>
                <c:pt idx="1015">
                  <c:v>51.913502000000001</c:v>
                </c:pt>
                <c:pt idx="1016">
                  <c:v>52.766201000000002</c:v>
                </c:pt>
                <c:pt idx="1017">
                  <c:v>50.824798999999999</c:v>
                </c:pt>
                <c:pt idx="1018">
                  <c:v>48.744498999999998</c:v>
                </c:pt>
                <c:pt idx="1019">
                  <c:v>57.888598999999999</c:v>
                </c:pt>
                <c:pt idx="1020">
                  <c:v>52.278998999999999</c:v>
                </c:pt>
                <c:pt idx="1021">
                  <c:v>103.45320100000001</c:v>
                </c:pt>
                <c:pt idx="1022">
                  <c:v>82.913596999999996</c:v>
                </c:pt>
                <c:pt idx="1023">
                  <c:v>85.858704000000003</c:v>
                </c:pt>
                <c:pt idx="1024">
                  <c:v>89.513496000000004</c:v>
                </c:pt>
                <c:pt idx="1025">
                  <c:v>88.927100999999993</c:v>
                </c:pt>
                <c:pt idx="1026">
                  <c:v>85.953902999999997</c:v>
                </c:pt>
                <c:pt idx="1027">
                  <c:v>80.209198000000001</c:v>
                </c:pt>
                <c:pt idx="1028">
                  <c:v>71.301201000000006</c:v>
                </c:pt>
                <c:pt idx="1029">
                  <c:v>76.362899999999996</c:v>
                </c:pt>
                <c:pt idx="1030">
                  <c:v>90.348999000000006</c:v>
                </c:pt>
                <c:pt idx="1031">
                  <c:v>92.643600000000006</c:v>
                </c:pt>
                <c:pt idx="1032">
                  <c:v>87.216797</c:v>
                </c:pt>
                <c:pt idx="1033">
                  <c:v>109.006897</c:v>
                </c:pt>
                <c:pt idx="1034">
                  <c:v>109.935699</c:v>
                </c:pt>
                <c:pt idx="1035">
                  <c:v>110.19699900000001</c:v>
                </c:pt>
                <c:pt idx="1036">
                  <c:v>106.461197</c:v>
                </c:pt>
                <c:pt idx="1037">
                  <c:v>109.697998</c:v>
                </c:pt>
                <c:pt idx="1038">
                  <c:v>127.093498</c:v>
                </c:pt>
                <c:pt idx="1039">
                  <c:v>130.75559999999999</c:v>
                </c:pt>
                <c:pt idx="1040">
                  <c:v>138.28869599999999</c:v>
                </c:pt>
                <c:pt idx="1041">
                  <c:v>136.074905</c:v>
                </c:pt>
                <c:pt idx="1042">
                  <c:v>139.176895</c:v>
                </c:pt>
                <c:pt idx="1043">
                  <c:v>125.310097</c:v>
                </c:pt>
                <c:pt idx="1044">
                  <c:v>115.679703</c:v>
                </c:pt>
                <c:pt idx="1045">
                  <c:v>107.4842</c:v>
                </c:pt>
                <c:pt idx="1046">
                  <c:v>99.495795999999999</c:v>
                </c:pt>
                <c:pt idx="1047">
                  <c:v>99.143401999999995</c:v>
                </c:pt>
                <c:pt idx="1048">
                  <c:v>100.383301</c:v>
                </c:pt>
                <c:pt idx="1049">
                  <c:v>97.072700999999995</c:v>
                </c:pt>
                <c:pt idx="1050">
                  <c:v>81.623901000000004</c:v>
                </c:pt>
                <c:pt idx="1051">
                  <c:v>74.139899999999997</c:v>
                </c:pt>
                <c:pt idx="1052">
                  <c:v>70.966599000000002</c:v>
                </c:pt>
                <c:pt idx="1053">
                  <c:v>63.666697999999997</c:v>
                </c:pt>
                <c:pt idx="1054">
                  <c:v>60.739798999999998</c:v>
                </c:pt>
                <c:pt idx="1055">
                  <c:v>43.620499000000002</c:v>
                </c:pt>
                <c:pt idx="1056">
                  <c:v>40.097800999999997</c:v>
                </c:pt>
                <c:pt idx="1057">
                  <c:v>41.355998999999997</c:v>
                </c:pt>
                <c:pt idx="1058">
                  <c:v>56.278801000000001</c:v>
                </c:pt>
                <c:pt idx="1059">
                  <c:v>44.369900000000001</c:v>
                </c:pt>
                <c:pt idx="1060">
                  <c:v>45.197600999999999</c:v>
                </c:pt>
                <c:pt idx="1061">
                  <c:v>54.435501000000002</c:v>
                </c:pt>
                <c:pt idx="1062">
                  <c:v>67.711303999999998</c:v>
                </c:pt>
                <c:pt idx="1063">
                  <c:v>66.403503000000001</c:v>
                </c:pt>
                <c:pt idx="1064">
                  <c:v>61.451698</c:v>
                </c:pt>
                <c:pt idx="1065">
                  <c:v>51.1721</c:v>
                </c:pt>
                <c:pt idx="1066">
                  <c:v>55.920399000000003</c:v>
                </c:pt>
                <c:pt idx="1067">
                  <c:v>65.277901</c:v>
                </c:pt>
                <c:pt idx="1068">
                  <c:v>47.527000000000001</c:v>
                </c:pt>
                <c:pt idx="1069">
                  <c:v>59.977699000000001</c:v>
                </c:pt>
                <c:pt idx="1070">
                  <c:v>59.118099000000001</c:v>
                </c:pt>
                <c:pt idx="1071">
                  <c:v>63.244598000000003</c:v>
                </c:pt>
                <c:pt idx="1072">
                  <c:v>61.723098999999998</c:v>
                </c:pt>
                <c:pt idx="1073">
                  <c:v>55.639999000000003</c:v>
                </c:pt>
                <c:pt idx="1074">
                  <c:v>49.394699000000003</c:v>
                </c:pt>
                <c:pt idx="1075">
                  <c:v>42.030399000000003</c:v>
                </c:pt>
                <c:pt idx="1076">
                  <c:v>45.790599999999998</c:v>
                </c:pt>
                <c:pt idx="1077">
                  <c:v>32.251399999999997</c:v>
                </c:pt>
                <c:pt idx="1078">
                  <c:v>36.173000000000002</c:v>
                </c:pt>
                <c:pt idx="1079">
                  <c:v>37.133499</c:v>
                </c:pt>
                <c:pt idx="1080">
                  <c:v>32.290100000000002</c:v>
                </c:pt>
                <c:pt idx="1081">
                  <c:v>40.877701000000002</c:v>
                </c:pt>
                <c:pt idx="1082">
                  <c:v>40.369801000000002</c:v>
                </c:pt>
                <c:pt idx="1083">
                  <c:v>40.040999999999997</c:v>
                </c:pt>
                <c:pt idx="1084">
                  <c:v>39.193297999999999</c:v>
                </c:pt>
                <c:pt idx="1085">
                  <c:v>41.273499000000001</c:v>
                </c:pt>
                <c:pt idx="1086">
                  <c:v>38.582099999999997</c:v>
                </c:pt>
                <c:pt idx="1087">
                  <c:v>34.370499000000002</c:v>
                </c:pt>
                <c:pt idx="1088">
                  <c:v>32.802298999999998</c:v>
                </c:pt>
                <c:pt idx="1089">
                  <c:v>32.325001</c:v>
                </c:pt>
                <c:pt idx="1090">
                  <c:v>35.141399</c:v>
                </c:pt>
                <c:pt idx="1091">
                  <c:v>35.195098999999999</c:v>
                </c:pt>
                <c:pt idx="1092">
                  <c:v>34.680900999999999</c:v>
                </c:pt>
                <c:pt idx="1093">
                  <c:v>37.764400000000002</c:v>
                </c:pt>
                <c:pt idx="1094">
                  <c:v>41.394599999999997</c:v>
                </c:pt>
                <c:pt idx="1095">
                  <c:v>43.230801</c:v>
                </c:pt>
                <c:pt idx="1096">
                  <c:v>39.493198</c:v>
                </c:pt>
                <c:pt idx="1097">
                  <c:v>38.337299000000002</c:v>
                </c:pt>
                <c:pt idx="1098">
                  <c:v>38.754798999999998</c:v>
                </c:pt>
                <c:pt idx="1099">
                  <c:v>39.565300000000001</c:v>
                </c:pt>
                <c:pt idx="1100">
                  <c:v>36.898997999999999</c:v>
                </c:pt>
                <c:pt idx="1101">
                  <c:v>42.467799999999997</c:v>
                </c:pt>
                <c:pt idx="1102">
                  <c:v>38.671398000000003</c:v>
                </c:pt>
                <c:pt idx="1103">
                  <c:v>46.182200999999999</c:v>
                </c:pt>
                <c:pt idx="1104">
                  <c:v>48.624198999999997</c:v>
                </c:pt>
                <c:pt idx="1105">
                  <c:v>48.332099999999997</c:v>
                </c:pt>
                <c:pt idx="1106">
                  <c:v>47.820202000000002</c:v>
                </c:pt>
                <c:pt idx="1107">
                  <c:v>45.566502</c:v>
                </c:pt>
                <c:pt idx="1108">
                  <c:v>44.955897999999998</c:v>
                </c:pt>
                <c:pt idx="1109">
                  <c:v>39.336899000000003</c:v>
                </c:pt>
                <c:pt idx="1110">
                  <c:v>35.850700000000003</c:v>
                </c:pt>
                <c:pt idx="1111">
                  <c:v>35.290100000000002</c:v>
                </c:pt>
                <c:pt idx="1112">
                  <c:v>45.665698999999996</c:v>
                </c:pt>
                <c:pt idx="1113">
                  <c:v>44.048000000000002</c:v>
                </c:pt>
                <c:pt idx="1114">
                  <c:v>52.541901000000003</c:v>
                </c:pt>
                <c:pt idx="1115">
                  <c:v>56.813701999999999</c:v>
                </c:pt>
                <c:pt idx="1116">
                  <c:v>55.182701000000002</c:v>
                </c:pt>
                <c:pt idx="1117">
                  <c:v>53.487900000000003</c:v>
                </c:pt>
                <c:pt idx="1118">
                  <c:v>54.321201000000002</c:v>
                </c:pt>
                <c:pt idx="1119">
                  <c:v>55.3979</c:v>
                </c:pt>
                <c:pt idx="1120">
                  <c:v>52.941502</c:v>
                </c:pt>
                <c:pt idx="1121">
                  <c:v>47.944901000000002</c:v>
                </c:pt>
                <c:pt idx="1122">
                  <c:v>48.788798999999997</c:v>
                </c:pt>
                <c:pt idx="1123">
                  <c:v>49.109797999999998</c:v>
                </c:pt>
                <c:pt idx="1124">
                  <c:v>49.711399</c:v>
                </c:pt>
                <c:pt idx="1125">
                  <c:v>49.487000000000002</c:v>
                </c:pt>
                <c:pt idx="1126">
                  <c:v>46.8979</c:v>
                </c:pt>
                <c:pt idx="1127">
                  <c:v>51.718497999999997</c:v>
                </c:pt>
                <c:pt idx="1128">
                  <c:v>55.388302000000003</c:v>
                </c:pt>
                <c:pt idx="1129">
                  <c:v>65.387801999999994</c:v>
                </c:pt>
                <c:pt idx="1130">
                  <c:v>63.930401000000003</c:v>
                </c:pt>
                <c:pt idx="1131">
                  <c:v>66.918296999999995</c:v>
                </c:pt>
                <c:pt idx="1132">
                  <c:v>73.872001999999995</c:v>
                </c:pt>
                <c:pt idx="1133">
                  <c:v>73.705200000000005</c:v>
                </c:pt>
                <c:pt idx="1134">
                  <c:v>75.466797</c:v>
                </c:pt>
                <c:pt idx="1135">
                  <c:v>75.684402000000006</c:v>
                </c:pt>
                <c:pt idx="1136">
                  <c:v>64.847504000000001</c:v>
                </c:pt>
                <c:pt idx="1137">
                  <c:v>69.105103</c:v>
                </c:pt>
                <c:pt idx="1138">
                  <c:v>71.987701000000001</c:v>
                </c:pt>
                <c:pt idx="1139">
                  <c:v>76.873099999999994</c:v>
                </c:pt>
                <c:pt idx="1140">
                  <c:v>85.278801000000001</c:v>
                </c:pt>
                <c:pt idx="1141">
                  <c:v>80.154297</c:v>
                </c:pt>
                <c:pt idx="1142">
                  <c:v>75.223099000000005</c:v>
                </c:pt>
                <c:pt idx="1143">
                  <c:v>73.505500999999995</c:v>
                </c:pt>
                <c:pt idx="1144">
                  <c:v>73.217903000000007</c:v>
                </c:pt>
                <c:pt idx="1145">
                  <c:v>73.873703000000006</c:v>
                </c:pt>
                <c:pt idx="1146">
                  <c:v>73.320999</c:v>
                </c:pt>
                <c:pt idx="1147">
                  <c:v>74.177902000000003</c:v>
                </c:pt>
                <c:pt idx="1148">
                  <c:v>76.993401000000006</c:v>
                </c:pt>
                <c:pt idx="1149">
                  <c:v>88.775702999999993</c:v>
                </c:pt>
                <c:pt idx="1150">
                  <c:v>90.847801000000004</c:v>
                </c:pt>
                <c:pt idx="1151">
                  <c:v>92.118103000000005</c:v>
                </c:pt>
                <c:pt idx="1152">
                  <c:v>91.347603000000007</c:v>
                </c:pt>
                <c:pt idx="1153">
                  <c:v>93.388901000000004</c:v>
                </c:pt>
                <c:pt idx="1154">
                  <c:v>94.691901999999999</c:v>
                </c:pt>
                <c:pt idx="1155">
                  <c:v>92.216003000000001</c:v>
                </c:pt>
                <c:pt idx="1156">
                  <c:v>95.076401000000004</c:v>
                </c:pt>
                <c:pt idx="1157">
                  <c:v>93.705498000000006</c:v>
                </c:pt>
                <c:pt idx="1158">
                  <c:v>99.454498000000001</c:v>
                </c:pt>
                <c:pt idx="1159">
                  <c:v>109.387199</c:v>
                </c:pt>
                <c:pt idx="1160">
                  <c:v>128.826706</c:v>
                </c:pt>
                <c:pt idx="1161">
                  <c:v>129.79480000000001</c:v>
                </c:pt>
                <c:pt idx="1162">
                  <c:v>128.95159899999999</c:v>
                </c:pt>
                <c:pt idx="1163">
                  <c:v>127.693901</c:v>
                </c:pt>
                <c:pt idx="1164">
                  <c:v>131.168701</c:v>
                </c:pt>
                <c:pt idx="1165">
                  <c:v>128.14529400000001</c:v>
                </c:pt>
                <c:pt idx="1166">
                  <c:v>136.1987</c:v>
                </c:pt>
                <c:pt idx="1167">
                  <c:v>136.86979700000001</c:v>
                </c:pt>
                <c:pt idx="1168">
                  <c:v>136.18150299999999</c:v>
                </c:pt>
                <c:pt idx="1169">
                  <c:v>133.98539700000001</c:v>
                </c:pt>
                <c:pt idx="1170">
                  <c:v>139.81500199999999</c:v>
                </c:pt>
                <c:pt idx="1171">
                  <c:v>137.84599299999999</c:v>
                </c:pt>
                <c:pt idx="1172">
                  <c:v>139.73890700000001</c:v>
                </c:pt>
                <c:pt idx="1173">
                  <c:v>139.04269400000001</c:v>
                </c:pt>
                <c:pt idx="1174">
                  <c:v>128.54040499999999</c:v>
                </c:pt>
                <c:pt idx="1175">
                  <c:v>126.251999</c:v>
                </c:pt>
                <c:pt idx="1176">
                  <c:v>125.121002</c:v>
                </c:pt>
                <c:pt idx="1177">
                  <c:v>114.82759900000001</c:v>
                </c:pt>
                <c:pt idx="1178">
                  <c:v>111.132103</c:v>
                </c:pt>
                <c:pt idx="1179">
                  <c:v>99.487503000000004</c:v>
                </c:pt>
                <c:pt idx="1180">
                  <c:v>96.958397000000005</c:v>
                </c:pt>
                <c:pt idx="1181">
                  <c:v>92.429496999999998</c:v>
                </c:pt>
                <c:pt idx="1182">
                  <c:v>84.497703999999999</c:v>
                </c:pt>
                <c:pt idx="1183">
                  <c:v>89.150902000000002</c:v>
                </c:pt>
                <c:pt idx="1184">
                  <c:v>77.278701999999996</c:v>
                </c:pt>
                <c:pt idx="1185">
                  <c:v>79.424499999999995</c:v>
                </c:pt>
                <c:pt idx="1186">
                  <c:v>99.684997999999993</c:v>
                </c:pt>
                <c:pt idx="1187">
                  <c:v>91.113097999999994</c:v>
                </c:pt>
                <c:pt idx="1188">
                  <c:v>87.482902999999993</c:v>
                </c:pt>
                <c:pt idx="1189">
                  <c:v>90.169098000000005</c:v>
                </c:pt>
                <c:pt idx="1190">
                  <c:v>88.009804000000003</c:v>
                </c:pt>
                <c:pt idx="1191">
                  <c:v>80.545303000000004</c:v>
                </c:pt>
                <c:pt idx="1192">
                  <c:v>80.391502000000003</c:v>
                </c:pt>
                <c:pt idx="1193">
                  <c:v>69.588500999999994</c:v>
                </c:pt>
                <c:pt idx="1194">
                  <c:v>62.042000000000002</c:v>
                </c:pt>
                <c:pt idx="1195">
                  <c:v>67.215401</c:v>
                </c:pt>
                <c:pt idx="1196">
                  <c:v>61.817298999999998</c:v>
                </c:pt>
                <c:pt idx="1197">
                  <c:v>58.950600000000001</c:v>
                </c:pt>
                <c:pt idx="1198">
                  <c:v>54.895099999999999</c:v>
                </c:pt>
                <c:pt idx="1199">
                  <c:v>55.493000000000002</c:v>
                </c:pt>
                <c:pt idx="1200">
                  <c:v>47.985298</c:v>
                </c:pt>
                <c:pt idx="1201">
                  <c:v>43.203097999999997</c:v>
                </c:pt>
                <c:pt idx="1202">
                  <c:v>40.6096</c:v>
                </c:pt>
                <c:pt idx="1203">
                  <c:v>33.585799999999999</c:v>
                </c:pt>
                <c:pt idx="1204">
                  <c:v>33.116599999999998</c:v>
                </c:pt>
                <c:pt idx="1205">
                  <c:v>29.989799000000001</c:v>
                </c:pt>
                <c:pt idx="1206">
                  <c:v>37.681099000000003</c:v>
                </c:pt>
                <c:pt idx="1207">
                  <c:v>53.887000999999998</c:v>
                </c:pt>
                <c:pt idx="1208">
                  <c:v>46.580502000000003</c:v>
                </c:pt>
                <c:pt idx="1209">
                  <c:v>47.284801000000002</c:v>
                </c:pt>
                <c:pt idx="1210">
                  <c:v>52.166901000000003</c:v>
                </c:pt>
                <c:pt idx="1211">
                  <c:v>51.793900000000001</c:v>
                </c:pt>
                <c:pt idx="1212">
                  <c:v>54.888401000000002</c:v>
                </c:pt>
                <c:pt idx="1213">
                  <c:v>58.032902</c:v>
                </c:pt>
                <c:pt idx="1214">
                  <c:v>62.460498999999999</c:v>
                </c:pt>
                <c:pt idx="1215">
                  <c:v>71.828102000000001</c:v>
                </c:pt>
                <c:pt idx="1216">
                  <c:v>64.733597000000003</c:v>
                </c:pt>
                <c:pt idx="1217">
                  <c:v>65.139602999999994</c:v>
                </c:pt>
                <c:pt idx="1218">
                  <c:v>62.847000000000001</c:v>
                </c:pt>
                <c:pt idx="1219">
                  <c:v>65.155602000000002</c:v>
                </c:pt>
                <c:pt idx="1220">
                  <c:v>61.520901000000002</c:v>
                </c:pt>
                <c:pt idx="1221">
                  <c:v>70.119399999999999</c:v>
                </c:pt>
                <c:pt idx="1222">
                  <c:v>71.838500999999994</c:v>
                </c:pt>
                <c:pt idx="1223">
                  <c:v>79.472603000000007</c:v>
                </c:pt>
                <c:pt idx="1224">
                  <c:v>84.571999000000005</c:v>
                </c:pt>
                <c:pt idx="1225">
                  <c:v>92.742797999999993</c:v>
                </c:pt>
                <c:pt idx="1226">
                  <c:v>95.882401000000002</c:v>
                </c:pt>
                <c:pt idx="1227">
                  <c:v>95.195899999999995</c:v>
                </c:pt>
                <c:pt idx="1228">
                  <c:v>98.239699999999999</c:v>
                </c:pt>
                <c:pt idx="1229">
                  <c:v>112.55789900000001</c:v>
                </c:pt>
                <c:pt idx="1230">
                  <c:v>117.712898</c:v>
                </c:pt>
                <c:pt idx="1231">
                  <c:v>111.930099</c:v>
                </c:pt>
                <c:pt idx="1232">
                  <c:v>116.53040300000001</c:v>
                </c:pt>
                <c:pt idx="1233">
                  <c:v>121.905602</c:v>
                </c:pt>
                <c:pt idx="1234">
                  <c:v>106.214798</c:v>
                </c:pt>
                <c:pt idx="1235">
                  <c:v>106.173897</c:v>
                </c:pt>
                <c:pt idx="1236">
                  <c:v>101.172997</c:v>
                </c:pt>
                <c:pt idx="1237">
                  <c:v>105.427696</c:v>
                </c:pt>
                <c:pt idx="1238">
                  <c:v>106.987801</c:v>
                </c:pt>
                <c:pt idx="1239">
                  <c:v>99.289199999999994</c:v>
                </c:pt>
                <c:pt idx="1240">
                  <c:v>103.93650100000001</c:v>
                </c:pt>
                <c:pt idx="1241">
                  <c:v>102.911903</c:v>
                </c:pt>
                <c:pt idx="1242">
                  <c:v>100.86799600000001</c:v>
                </c:pt>
                <c:pt idx="1243">
                  <c:v>103.809303</c:v>
                </c:pt>
                <c:pt idx="1244">
                  <c:v>100.627701</c:v>
                </c:pt>
                <c:pt idx="1245">
                  <c:v>83.695396000000002</c:v>
                </c:pt>
                <c:pt idx="1246">
                  <c:v>80.942902000000004</c:v>
                </c:pt>
                <c:pt idx="1247">
                  <c:v>87.731399999999994</c:v>
                </c:pt>
                <c:pt idx="1248">
                  <c:v>76.545997999999997</c:v>
                </c:pt>
                <c:pt idx="1249">
                  <c:v>85.475898999999998</c:v>
                </c:pt>
              </c:numCache>
            </c:numRef>
          </c:val>
          <c:smooth val="0"/>
        </c:ser>
        <c:dLbls>
          <c:showLegendKey val="0"/>
          <c:showVal val="0"/>
          <c:showCatName val="0"/>
          <c:showSerName val="0"/>
          <c:showPercent val="0"/>
          <c:showBubbleSize val="0"/>
        </c:dLbls>
        <c:marker val="1"/>
        <c:smooth val="0"/>
        <c:axId val="231207296"/>
        <c:axId val="231208832"/>
      </c:lineChart>
      <c:lineChart>
        <c:grouping val="standard"/>
        <c:varyColors val="0"/>
        <c:ser>
          <c:idx val="9"/>
          <c:order val="9"/>
          <c:tx>
            <c:strRef>
              <c:f>'OAS and Media Effect'!$K$1</c:f>
              <c:strCache>
                <c:ptCount val="1"/>
                <c:pt idx="0">
                  <c:v>Daily Refi Universe</c:v>
                </c:pt>
              </c:strCache>
            </c:strRef>
          </c:tx>
          <c:marker>
            <c:symbol val="none"/>
          </c:marker>
          <c:cat>
            <c:numRef>
              <c:f>'OAS and Media Effect'!$A$2:$A$1259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Effect'!$K$2:$K$1259</c:f>
              <c:numCache>
                <c:formatCode>0.0%</c:formatCode>
                <c:ptCount val="1250"/>
                <c:pt idx="0">
                  <c:v>0.51758932000000002</c:v>
                </c:pt>
                <c:pt idx="1">
                  <c:v>0.52073837999999995</c:v>
                </c:pt>
                <c:pt idx="2">
                  <c:v>0.54280907</c:v>
                </c:pt>
                <c:pt idx="3">
                  <c:v>0.57526359999999999</c:v>
                </c:pt>
                <c:pt idx="4">
                  <c:v>0.56400059000000002</c:v>
                </c:pt>
                <c:pt idx="5">
                  <c:v>0.60264123999999997</c:v>
                </c:pt>
                <c:pt idx="6">
                  <c:v>0.59292308999999999</c:v>
                </c:pt>
                <c:pt idx="7">
                  <c:v>0.60476841999999997</c:v>
                </c:pt>
                <c:pt idx="8">
                  <c:v>0.60606985000000002</c:v>
                </c:pt>
                <c:pt idx="9">
                  <c:v>0.61003046000000005</c:v>
                </c:pt>
                <c:pt idx="10">
                  <c:v>0.59558513000000002</c:v>
                </c:pt>
                <c:pt idx="11">
                  <c:v>0.58351578000000004</c:v>
                </c:pt>
                <c:pt idx="12">
                  <c:v>0.53234148000000003</c:v>
                </c:pt>
                <c:pt idx="13">
                  <c:v>0.59023831000000004</c:v>
                </c:pt>
                <c:pt idx="14">
                  <c:v>0.58586853000000005</c:v>
                </c:pt>
                <c:pt idx="15">
                  <c:v>0.56167012999999999</c:v>
                </c:pt>
                <c:pt idx="16">
                  <c:v>0.59508150000000004</c:v>
                </c:pt>
                <c:pt idx="17">
                  <c:v>0.60077108000000001</c:v>
                </c:pt>
                <c:pt idx="18">
                  <c:v>0.60004701999999999</c:v>
                </c:pt>
                <c:pt idx="19">
                  <c:v>0.60217085000000004</c:v>
                </c:pt>
                <c:pt idx="20">
                  <c:v>0.60247856</c:v>
                </c:pt>
                <c:pt idx="21">
                  <c:v>0.61038948999999998</c:v>
                </c:pt>
                <c:pt idx="22">
                  <c:v>0.60804641999999998</c:v>
                </c:pt>
                <c:pt idx="23">
                  <c:v>0.60703149000000001</c:v>
                </c:pt>
                <c:pt idx="24">
                  <c:v>0.60312644999999998</c:v>
                </c:pt>
                <c:pt idx="25">
                  <c:v>0.60101419</c:v>
                </c:pt>
                <c:pt idx="26">
                  <c:v>0.59292115999999995</c:v>
                </c:pt>
                <c:pt idx="27">
                  <c:v>0.59047442999999999</c:v>
                </c:pt>
                <c:pt idx="28">
                  <c:v>0.57229280000000005</c:v>
                </c:pt>
                <c:pt idx="29">
                  <c:v>0.57025108000000002</c:v>
                </c:pt>
                <c:pt idx="30">
                  <c:v>0.54296453</c:v>
                </c:pt>
                <c:pt idx="31">
                  <c:v>0.59292115999999995</c:v>
                </c:pt>
                <c:pt idx="32">
                  <c:v>0.59330693000000001</c:v>
                </c:pt>
                <c:pt idx="33">
                  <c:v>0.58564293999999995</c:v>
                </c:pt>
                <c:pt idx="34">
                  <c:v>0.58600547000000003</c:v>
                </c:pt>
                <c:pt idx="35">
                  <c:v>0.56064663999999997</c:v>
                </c:pt>
                <c:pt idx="36">
                  <c:v>0.55462959000000001</c:v>
                </c:pt>
                <c:pt idx="37">
                  <c:v>0.55713210000000002</c:v>
                </c:pt>
                <c:pt idx="38">
                  <c:v>0.55076780000000003</c:v>
                </c:pt>
                <c:pt idx="39">
                  <c:v>0.55462959000000001</c:v>
                </c:pt>
                <c:pt idx="40">
                  <c:v>0.58436579</c:v>
                </c:pt>
                <c:pt idx="41">
                  <c:v>0.58820517000000005</c:v>
                </c:pt>
                <c:pt idx="42">
                  <c:v>0.58773812999999997</c:v>
                </c:pt>
                <c:pt idx="43">
                  <c:v>0.59459154000000003</c:v>
                </c:pt>
                <c:pt idx="44">
                  <c:v>0.59752002000000004</c:v>
                </c:pt>
                <c:pt idx="45">
                  <c:v>0.59807111999999996</c:v>
                </c:pt>
                <c:pt idx="46">
                  <c:v>0.59394553000000005</c:v>
                </c:pt>
                <c:pt idx="47">
                  <c:v>0.59386766000000002</c:v>
                </c:pt>
                <c:pt idx="48">
                  <c:v>0.59596400999999999</c:v>
                </c:pt>
                <c:pt idx="49">
                  <c:v>0.59816915999999998</c:v>
                </c:pt>
                <c:pt idx="50">
                  <c:v>0.59476454999999995</c:v>
                </c:pt>
                <c:pt idx="51">
                  <c:v>0.59958840999999996</c:v>
                </c:pt>
                <c:pt idx="52">
                  <c:v>0.60214741999999999</c:v>
                </c:pt>
                <c:pt idx="53">
                  <c:v>0.59420903000000003</c:v>
                </c:pt>
                <c:pt idx="54">
                  <c:v>0.59809005999999998</c:v>
                </c:pt>
                <c:pt idx="55">
                  <c:v>0.59849596999999999</c:v>
                </c:pt>
                <c:pt idx="56">
                  <c:v>0.60970157999999997</c:v>
                </c:pt>
                <c:pt idx="57">
                  <c:v>0.61279925000000002</c:v>
                </c:pt>
                <c:pt idx="58">
                  <c:v>0.61802575999999998</c:v>
                </c:pt>
                <c:pt idx="59">
                  <c:v>0.60476870999999999</c:v>
                </c:pt>
                <c:pt idx="60">
                  <c:v>0.60725342000000004</c:v>
                </c:pt>
                <c:pt idx="61">
                  <c:v>0.60131517999999995</c:v>
                </c:pt>
                <c:pt idx="62">
                  <c:v>0.60620629999999998</c:v>
                </c:pt>
                <c:pt idx="63">
                  <c:v>0.61009265000000001</c:v>
                </c:pt>
                <c:pt idx="64">
                  <c:v>0.61572481999999995</c:v>
                </c:pt>
                <c:pt idx="65">
                  <c:v>0.60756730999999997</c:v>
                </c:pt>
                <c:pt idx="66">
                  <c:v>0.60650216000000001</c:v>
                </c:pt>
                <c:pt idx="67">
                  <c:v>0.60913379999999995</c:v>
                </c:pt>
                <c:pt idx="68">
                  <c:v>0.60791371999999999</c:v>
                </c:pt>
                <c:pt idx="69">
                  <c:v>0.61190235000000004</c:v>
                </c:pt>
                <c:pt idx="70">
                  <c:v>0.61919310000000005</c:v>
                </c:pt>
                <c:pt idx="71">
                  <c:v>0.67825385000000005</c:v>
                </c:pt>
                <c:pt idx="72">
                  <c:v>0.64911578000000003</c:v>
                </c:pt>
                <c:pt idx="73">
                  <c:v>0.64966367000000003</c:v>
                </c:pt>
                <c:pt idx="74">
                  <c:v>0.75998626000000002</c:v>
                </c:pt>
                <c:pt idx="75">
                  <c:v>0.65772775999999999</c:v>
                </c:pt>
                <c:pt idx="76">
                  <c:v>0.69546646999999995</c:v>
                </c:pt>
                <c:pt idx="77">
                  <c:v>0.68036317000000002</c:v>
                </c:pt>
                <c:pt idx="78">
                  <c:v>0.68885443999999996</c:v>
                </c:pt>
                <c:pt idx="79">
                  <c:v>0.79623065000000004</c:v>
                </c:pt>
                <c:pt idx="80">
                  <c:v>0.74020900999999995</c:v>
                </c:pt>
                <c:pt idx="81">
                  <c:v>0.73871514999999999</c:v>
                </c:pt>
                <c:pt idx="82">
                  <c:v>0.70826939</c:v>
                </c:pt>
                <c:pt idx="83">
                  <c:v>0.62299667999999997</c:v>
                </c:pt>
                <c:pt idx="84">
                  <c:v>0.74517188999999995</c:v>
                </c:pt>
                <c:pt idx="85">
                  <c:v>0.77727851000000003</c:v>
                </c:pt>
                <c:pt idx="86">
                  <c:v>0.74517188999999995</c:v>
                </c:pt>
                <c:pt idx="87">
                  <c:v>0.69050447000000004</c:v>
                </c:pt>
                <c:pt idx="88">
                  <c:v>0.67585764999999998</c:v>
                </c:pt>
                <c:pt idx="89">
                  <c:v>0.66686383999999999</c:v>
                </c:pt>
                <c:pt idx="90">
                  <c:v>0.79592470000000004</c:v>
                </c:pt>
                <c:pt idx="91">
                  <c:v>0.79623065000000004</c:v>
                </c:pt>
                <c:pt idx="92">
                  <c:v>0.72719493999999996</c:v>
                </c:pt>
                <c:pt idx="93">
                  <c:v>0.62099919000000003</c:v>
                </c:pt>
                <c:pt idx="94">
                  <c:v>0.61234429999999995</c:v>
                </c:pt>
                <c:pt idx="95">
                  <c:v>0.60136347999999995</c:v>
                </c:pt>
                <c:pt idx="96">
                  <c:v>0.58820852000000001</c:v>
                </c:pt>
                <c:pt idx="97">
                  <c:v>0.59769616999999997</c:v>
                </c:pt>
                <c:pt idx="98">
                  <c:v>0.61325107999999995</c:v>
                </c:pt>
                <c:pt idx="99">
                  <c:v>0.59328561000000002</c:v>
                </c:pt>
                <c:pt idx="100">
                  <c:v>0.64318423000000002</c:v>
                </c:pt>
                <c:pt idx="101">
                  <c:v>0.73745605000000003</c:v>
                </c:pt>
                <c:pt idx="102">
                  <c:v>0.75550598999999996</c:v>
                </c:pt>
                <c:pt idx="103">
                  <c:v>0.81113716999999996</c:v>
                </c:pt>
                <c:pt idx="104">
                  <c:v>0.76763572000000002</c:v>
                </c:pt>
                <c:pt idx="105">
                  <c:v>0.79244053999999997</c:v>
                </c:pt>
                <c:pt idx="106">
                  <c:v>0.74490188999999996</c:v>
                </c:pt>
                <c:pt idx="107">
                  <c:v>0.76129506000000002</c:v>
                </c:pt>
                <c:pt idx="108">
                  <c:v>0.64717546999999997</c:v>
                </c:pt>
                <c:pt idx="109">
                  <c:v>0.62002716000000002</c:v>
                </c:pt>
                <c:pt idx="110">
                  <c:v>0.63756215999999999</c:v>
                </c:pt>
                <c:pt idx="111">
                  <c:v>0.61502153000000004</c:v>
                </c:pt>
                <c:pt idx="112">
                  <c:v>0.63153959999999998</c:v>
                </c:pt>
                <c:pt idx="113">
                  <c:v>0.60373120999999996</c:v>
                </c:pt>
                <c:pt idx="114">
                  <c:v>0.62533603999999998</c:v>
                </c:pt>
                <c:pt idx="115">
                  <c:v>0.81158019000000003</c:v>
                </c:pt>
                <c:pt idx="116">
                  <c:v>0.82326312000000001</c:v>
                </c:pt>
                <c:pt idx="117">
                  <c:v>0.83759457000000004</c:v>
                </c:pt>
                <c:pt idx="118">
                  <c:v>0.83842037000000003</c:v>
                </c:pt>
                <c:pt idx="119">
                  <c:v>0.86172420000000005</c:v>
                </c:pt>
                <c:pt idx="120">
                  <c:v>0.83473637999999994</c:v>
                </c:pt>
                <c:pt idx="121">
                  <c:v>0.85290482000000001</c:v>
                </c:pt>
                <c:pt idx="122">
                  <c:v>0.94222729999999999</c:v>
                </c:pt>
                <c:pt idx="123">
                  <c:v>0.89709355000000002</c:v>
                </c:pt>
                <c:pt idx="124">
                  <c:v>0.84420832000000001</c:v>
                </c:pt>
                <c:pt idx="125">
                  <c:v>0.85297997000000003</c:v>
                </c:pt>
                <c:pt idx="126">
                  <c:v>0.84267753999999995</c:v>
                </c:pt>
                <c:pt idx="127">
                  <c:v>0.85342719</c:v>
                </c:pt>
                <c:pt idx="128">
                  <c:v>0.90548150000000005</c:v>
                </c:pt>
                <c:pt idx="129">
                  <c:v>0.91565848999999999</c:v>
                </c:pt>
                <c:pt idx="130">
                  <c:v>0.89684797999999999</c:v>
                </c:pt>
                <c:pt idx="131">
                  <c:v>0.88061953999999998</c:v>
                </c:pt>
                <c:pt idx="132">
                  <c:v>0.85332171000000001</c:v>
                </c:pt>
                <c:pt idx="133">
                  <c:v>0.84607922999999996</c:v>
                </c:pt>
                <c:pt idx="134">
                  <c:v>0.83470208999999995</c:v>
                </c:pt>
                <c:pt idx="135">
                  <c:v>0.83931259999999996</c:v>
                </c:pt>
                <c:pt idx="136">
                  <c:v>0.82673280999999998</c:v>
                </c:pt>
                <c:pt idx="137">
                  <c:v>0.83828232000000003</c:v>
                </c:pt>
                <c:pt idx="138">
                  <c:v>0.84239131</c:v>
                </c:pt>
                <c:pt idx="139">
                  <c:v>0.84721122000000004</c:v>
                </c:pt>
                <c:pt idx="140">
                  <c:v>0.90242288999999998</c:v>
                </c:pt>
                <c:pt idx="141">
                  <c:v>0.90259902999999997</c:v>
                </c:pt>
                <c:pt idx="142">
                  <c:v>0.86973243</c:v>
                </c:pt>
                <c:pt idx="143">
                  <c:v>0.89313180000000003</c:v>
                </c:pt>
                <c:pt idx="144">
                  <c:v>0.93021054999999997</c:v>
                </c:pt>
                <c:pt idx="145">
                  <c:v>0.90497623000000005</c:v>
                </c:pt>
                <c:pt idx="146">
                  <c:v>0.87859103000000005</c:v>
                </c:pt>
                <c:pt idx="147">
                  <c:v>0.88148886000000004</c:v>
                </c:pt>
                <c:pt idx="148">
                  <c:v>0.85233175999999999</c:v>
                </c:pt>
                <c:pt idx="149">
                  <c:v>0.85253478000000005</c:v>
                </c:pt>
                <c:pt idx="150">
                  <c:v>0.91915827999999999</c:v>
                </c:pt>
                <c:pt idx="151">
                  <c:v>0.90939444999999997</c:v>
                </c:pt>
                <c:pt idx="152">
                  <c:v>0.98438846000000002</c:v>
                </c:pt>
                <c:pt idx="153">
                  <c:v>0.98718243000000006</c:v>
                </c:pt>
                <c:pt idx="154">
                  <c:v>0.98557090000000003</c:v>
                </c:pt>
                <c:pt idx="155">
                  <c:v>0.98181251999999997</c:v>
                </c:pt>
                <c:pt idx="156">
                  <c:v>0.92916330000000003</c:v>
                </c:pt>
                <c:pt idx="157">
                  <c:v>0.87701468999999999</c:v>
                </c:pt>
                <c:pt idx="158">
                  <c:v>0.92916330000000003</c:v>
                </c:pt>
                <c:pt idx="159">
                  <c:v>0.95732165999999996</c:v>
                </c:pt>
                <c:pt idx="160">
                  <c:v>0.97810912000000005</c:v>
                </c:pt>
                <c:pt idx="161">
                  <c:v>0.94663377999999998</c:v>
                </c:pt>
                <c:pt idx="162">
                  <c:v>0.92342051999999997</c:v>
                </c:pt>
                <c:pt idx="163">
                  <c:v>0.88478330999999999</c:v>
                </c:pt>
                <c:pt idx="164">
                  <c:v>0.83613196000000001</c:v>
                </c:pt>
                <c:pt idx="165">
                  <c:v>0.82950210999999996</c:v>
                </c:pt>
                <c:pt idx="166">
                  <c:v>0.83542744999999996</c:v>
                </c:pt>
                <c:pt idx="167">
                  <c:v>0.84078129000000001</c:v>
                </c:pt>
                <c:pt idx="168">
                  <c:v>0.83013197000000005</c:v>
                </c:pt>
                <c:pt idx="169">
                  <c:v>0.84306073000000004</c:v>
                </c:pt>
                <c:pt idx="170">
                  <c:v>0.84441679000000003</c:v>
                </c:pt>
                <c:pt idx="171">
                  <c:v>0.86681474000000003</c:v>
                </c:pt>
                <c:pt idx="172">
                  <c:v>0.84735875999999999</c:v>
                </c:pt>
                <c:pt idx="173">
                  <c:v>0.8463716</c:v>
                </c:pt>
                <c:pt idx="174">
                  <c:v>0.83822136000000003</c:v>
                </c:pt>
                <c:pt idx="175">
                  <c:v>0.89465903000000002</c:v>
                </c:pt>
                <c:pt idx="176">
                  <c:v>0.86459914999999998</c:v>
                </c:pt>
                <c:pt idx="177">
                  <c:v>0.82771581000000005</c:v>
                </c:pt>
                <c:pt idx="178">
                  <c:v>0.84286576999999996</c:v>
                </c:pt>
                <c:pt idx="179">
                  <c:v>0.91081164000000003</c:v>
                </c:pt>
                <c:pt idx="180">
                  <c:v>0.97060621000000002</c:v>
                </c:pt>
                <c:pt idx="181">
                  <c:v>0.97461584000000001</c:v>
                </c:pt>
                <c:pt idx="182">
                  <c:v>0.97161434999999996</c:v>
                </c:pt>
                <c:pt idx="183">
                  <c:v>0.97438150000000001</c:v>
                </c:pt>
                <c:pt idx="184">
                  <c:v>0.97592325999999996</c:v>
                </c:pt>
                <c:pt idx="185">
                  <c:v>0.97103322000000003</c:v>
                </c:pt>
                <c:pt idx="186">
                  <c:v>0.95279994000000001</c:v>
                </c:pt>
                <c:pt idx="187">
                  <c:v>0.91368415000000003</c:v>
                </c:pt>
                <c:pt idx="188">
                  <c:v>0.91741673999999995</c:v>
                </c:pt>
                <c:pt idx="189">
                  <c:v>0.89809116</c:v>
                </c:pt>
                <c:pt idx="190">
                  <c:v>0.93630206999999999</c:v>
                </c:pt>
                <c:pt idx="191">
                  <c:v>0.95968770000000003</c:v>
                </c:pt>
                <c:pt idx="192">
                  <c:v>0.92694175999999995</c:v>
                </c:pt>
                <c:pt idx="193">
                  <c:v>0.95301842999999997</c:v>
                </c:pt>
                <c:pt idx="194">
                  <c:v>0.96795673000000004</c:v>
                </c:pt>
                <c:pt idx="195">
                  <c:v>0.96192434999999998</c:v>
                </c:pt>
                <c:pt idx="196">
                  <c:v>0.91044426999999994</c:v>
                </c:pt>
                <c:pt idx="197">
                  <c:v>0.93485322999999998</c:v>
                </c:pt>
                <c:pt idx="198">
                  <c:v>0.94248140999999996</c:v>
                </c:pt>
                <c:pt idx="199">
                  <c:v>0.94713698999999996</c:v>
                </c:pt>
                <c:pt idx="200">
                  <c:v>0.90299746999999997</c:v>
                </c:pt>
                <c:pt idx="201">
                  <c:v>0.94642669999999995</c:v>
                </c:pt>
                <c:pt idx="202">
                  <c:v>0.94007459000000004</c:v>
                </c:pt>
                <c:pt idx="203">
                  <c:v>0.93255030000000005</c:v>
                </c:pt>
                <c:pt idx="204">
                  <c:v>0.95843502000000003</c:v>
                </c:pt>
                <c:pt idx="205">
                  <c:v>0.96150404</c:v>
                </c:pt>
                <c:pt idx="206">
                  <c:v>0.93509511000000001</c:v>
                </c:pt>
                <c:pt idx="207">
                  <c:v>0.94007459000000004</c:v>
                </c:pt>
                <c:pt idx="208">
                  <c:v>0.95934121999999999</c:v>
                </c:pt>
                <c:pt idx="209">
                  <c:v>0.96184685999999997</c:v>
                </c:pt>
                <c:pt idx="210">
                  <c:v>0.95734724999999998</c:v>
                </c:pt>
                <c:pt idx="211">
                  <c:v>0.96201596</c:v>
                </c:pt>
                <c:pt idx="212">
                  <c:v>0.96248904999999996</c:v>
                </c:pt>
                <c:pt idx="213">
                  <c:v>0.94762259999999998</c:v>
                </c:pt>
                <c:pt idx="214">
                  <c:v>0.93509511000000001</c:v>
                </c:pt>
                <c:pt idx="215">
                  <c:v>0.94145855000000001</c:v>
                </c:pt>
                <c:pt idx="216">
                  <c:v>0.88768075999999996</c:v>
                </c:pt>
                <c:pt idx="217">
                  <c:v>0.90153247000000003</c:v>
                </c:pt>
                <c:pt idx="218">
                  <c:v>0.96203097000000004</c:v>
                </c:pt>
                <c:pt idx="219">
                  <c:v>0.96316809000000003</c:v>
                </c:pt>
                <c:pt idx="220">
                  <c:v>0.96357256000000002</c:v>
                </c:pt>
                <c:pt idx="221">
                  <c:v>0.95525888999999997</c:v>
                </c:pt>
                <c:pt idx="222">
                  <c:v>0.94976475000000005</c:v>
                </c:pt>
                <c:pt idx="223">
                  <c:v>0.95518174</c:v>
                </c:pt>
                <c:pt idx="224">
                  <c:v>0.95598488999999998</c:v>
                </c:pt>
                <c:pt idx="225">
                  <c:v>0.95587529999999998</c:v>
                </c:pt>
                <c:pt idx="226">
                  <c:v>0.95494785000000004</c:v>
                </c:pt>
                <c:pt idx="227">
                  <c:v>0.95327545000000002</c:v>
                </c:pt>
                <c:pt idx="228">
                  <c:v>0.95488927999999995</c:v>
                </c:pt>
                <c:pt idx="229">
                  <c:v>0.95582394000000004</c:v>
                </c:pt>
                <c:pt idx="230">
                  <c:v>0.95436023999999997</c:v>
                </c:pt>
                <c:pt idx="231">
                  <c:v>0.93659367999999998</c:v>
                </c:pt>
                <c:pt idx="232">
                  <c:v>0.89227334999999997</c:v>
                </c:pt>
                <c:pt idx="233">
                  <c:v>0.88538640000000002</c:v>
                </c:pt>
                <c:pt idx="234">
                  <c:v>0.88732091000000002</c:v>
                </c:pt>
                <c:pt idx="235">
                  <c:v>0.89611079000000005</c:v>
                </c:pt>
                <c:pt idx="236">
                  <c:v>0.94870708999999998</c:v>
                </c:pt>
                <c:pt idx="237">
                  <c:v>0.95396824999999996</c:v>
                </c:pt>
                <c:pt idx="238">
                  <c:v>0.95520771000000004</c:v>
                </c:pt>
                <c:pt idx="239">
                  <c:v>0.95519228</c:v>
                </c:pt>
                <c:pt idx="240">
                  <c:v>0.95587728000000005</c:v>
                </c:pt>
                <c:pt idx="241">
                  <c:v>0.94277608000000002</c:v>
                </c:pt>
                <c:pt idx="242">
                  <c:v>0.94442683999999999</c:v>
                </c:pt>
                <c:pt idx="243">
                  <c:v>0.94026103000000005</c:v>
                </c:pt>
                <c:pt idx="244">
                  <c:v>0.94331547000000004</c:v>
                </c:pt>
                <c:pt idx="245">
                  <c:v>0.94164957999999999</c:v>
                </c:pt>
                <c:pt idx="246">
                  <c:v>0.94154565999999995</c:v>
                </c:pt>
                <c:pt idx="247">
                  <c:v>0.91185605000000003</c:v>
                </c:pt>
                <c:pt idx="248">
                  <c:v>0.93276685999999998</c:v>
                </c:pt>
                <c:pt idx="249">
                  <c:v>0.92851982</c:v>
                </c:pt>
                <c:pt idx="250">
                  <c:v>0.94156269999999997</c:v>
                </c:pt>
                <c:pt idx="251">
                  <c:v>0.94226847000000002</c:v>
                </c:pt>
                <c:pt idx="252">
                  <c:v>0.93815767000000005</c:v>
                </c:pt>
                <c:pt idx="253">
                  <c:v>0.91906602999999998</c:v>
                </c:pt>
                <c:pt idx="254">
                  <c:v>0.87658771000000002</c:v>
                </c:pt>
                <c:pt idx="255">
                  <c:v>0.90921328999999995</c:v>
                </c:pt>
                <c:pt idx="256">
                  <c:v>0.93221748000000004</c:v>
                </c:pt>
                <c:pt idx="257">
                  <c:v>0.92626867999999996</c:v>
                </c:pt>
                <c:pt idx="258">
                  <c:v>0.93817786999999997</c:v>
                </c:pt>
                <c:pt idx="259">
                  <c:v>0.93960624999999998</c:v>
                </c:pt>
                <c:pt idx="260">
                  <c:v>0.91287035999999999</c:v>
                </c:pt>
                <c:pt idx="261">
                  <c:v>0.85102255000000004</c:v>
                </c:pt>
                <c:pt idx="262">
                  <c:v>0.88433985999999998</c:v>
                </c:pt>
                <c:pt idx="263">
                  <c:v>0.87754933999999996</c:v>
                </c:pt>
                <c:pt idx="264">
                  <c:v>0.90010062000000002</c:v>
                </c:pt>
                <c:pt idx="265">
                  <c:v>0.91867080999999995</c:v>
                </c:pt>
                <c:pt idx="266">
                  <c:v>0.90661466999999996</c:v>
                </c:pt>
                <c:pt idx="267">
                  <c:v>0.91488800000000003</c:v>
                </c:pt>
                <c:pt idx="268">
                  <c:v>0.91615384</c:v>
                </c:pt>
                <c:pt idx="269">
                  <c:v>0.86420087999999995</c:v>
                </c:pt>
                <c:pt idx="270">
                  <c:v>0.77113012000000003</c:v>
                </c:pt>
                <c:pt idx="271">
                  <c:v>0.77902583999999997</c:v>
                </c:pt>
                <c:pt idx="272">
                  <c:v>0.80057159</c:v>
                </c:pt>
                <c:pt idx="273">
                  <c:v>0.74698810999999998</c:v>
                </c:pt>
                <c:pt idx="274">
                  <c:v>0.74634694000000001</c:v>
                </c:pt>
                <c:pt idx="275">
                  <c:v>0.80795808999999996</c:v>
                </c:pt>
                <c:pt idx="276">
                  <c:v>0.80795808999999996</c:v>
                </c:pt>
                <c:pt idx="277">
                  <c:v>0.8216253</c:v>
                </c:pt>
                <c:pt idx="278">
                  <c:v>0.83154335000000001</c:v>
                </c:pt>
                <c:pt idx="279">
                  <c:v>0.89567198000000003</c:v>
                </c:pt>
                <c:pt idx="280">
                  <c:v>0.90486840999999996</c:v>
                </c:pt>
                <c:pt idx="281">
                  <c:v>0.91831567999999997</c:v>
                </c:pt>
                <c:pt idx="282">
                  <c:v>0.89832186999999997</c:v>
                </c:pt>
                <c:pt idx="283">
                  <c:v>0.89829537000000004</c:v>
                </c:pt>
                <c:pt idx="284">
                  <c:v>0.80623690999999997</c:v>
                </c:pt>
                <c:pt idx="285">
                  <c:v>0.84304774000000005</c:v>
                </c:pt>
                <c:pt idx="286">
                  <c:v>0.88736484000000004</c:v>
                </c:pt>
                <c:pt idx="287">
                  <c:v>0.9104373</c:v>
                </c:pt>
                <c:pt idx="288">
                  <c:v>0.91119961999999999</c:v>
                </c:pt>
                <c:pt idx="289">
                  <c:v>0.91121001999999995</c:v>
                </c:pt>
                <c:pt idx="290">
                  <c:v>0.90933637</c:v>
                </c:pt>
                <c:pt idx="291">
                  <c:v>0.90710064000000001</c:v>
                </c:pt>
                <c:pt idx="292">
                  <c:v>0.90933154999999999</c:v>
                </c:pt>
                <c:pt idx="293">
                  <c:v>0.90998736000000002</c:v>
                </c:pt>
                <c:pt idx="294">
                  <c:v>0.90800420000000004</c:v>
                </c:pt>
                <c:pt idx="295">
                  <c:v>0.90536366999999995</c:v>
                </c:pt>
                <c:pt idx="296">
                  <c:v>0.90885141000000003</c:v>
                </c:pt>
                <c:pt idx="297">
                  <c:v>0.90806520999999996</c:v>
                </c:pt>
                <c:pt idx="298">
                  <c:v>0.90994850999999999</c:v>
                </c:pt>
                <c:pt idx="299">
                  <c:v>0.90828774000000001</c:v>
                </c:pt>
                <c:pt idx="300">
                  <c:v>0.90652851000000001</c:v>
                </c:pt>
                <c:pt idx="301">
                  <c:v>0.90862149000000003</c:v>
                </c:pt>
                <c:pt idx="302">
                  <c:v>0.90994850999999999</c:v>
                </c:pt>
                <c:pt idx="303">
                  <c:v>0.91020621000000002</c:v>
                </c:pt>
                <c:pt idx="304">
                  <c:v>0.89172037999999998</c:v>
                </c:pt>
                <c:pt idx="305">
                  <c:v>0.89242913999999995</c:v>
                </c:pt>
                <c:pt idx="306">
                  <c:v>0.89178466999999995</c:v>
                </c:pt>
                <c:pt idx="307">
                  <c:v>0.89320864</c:v>
                </c:pt>
                <c:pt idx="308">
                  <c:v>0.89293347999999995</c:v>
                </c:pt>
                <c:pt idx="309">
                  <c:v>0.89332922000000003</c:v>
                </c:pt>
                <c:pt idx="310">
                  <c:v>0.89434619999999998</c:v>
                </c:pt>
                <c:pt idx="311">
                  <c:v>0.89447244000000004</c:v>
                </c:pt>
                <c:pt idx="312">
                  <c:v>0.89503811</c:v>
                </c:pt>
                <c:pt idx="313">
                  <c:v>0.89630202000000003</c:v>
                </c:pt>
                <c:pt idx="314">
                  <c:v>0.89656175000000005</c:v>
                </c:pt>
                <c:pt idx="315">
                  <c:v>0.89645978000000004</c:v>
                </c:pt>
                <c:pt idx="316">
                  <c:v>0.90122015</c:v>
                </c:pt>
                <c:pt idx="317">
                  <c:v>0.90049995000000005</c:v>
                </c:pt>
                <c:pt idx="318">
                  <c:v>0.89692227999999996</c:v>
                </c:pt>
                <c:pt idx="319">
                  <c:v>0.89508783999999997</c:v>
                </c:pt>
                <c:pt idx="320">
                  <c:v>0.89398533999999996</c:v>
                </c:pt>
                <c:pt idx="321">
                  <c:v>0.89292742000000003</c:v>
                </c:pt>
                <c:pt idx="322">
                  <c:v>0.89290855000000002</c:v>
                </c:pt>
                <c:pt idx="323">
                  <c:v>0.89258269999999995</c:v>
                </c:pt>
                <c:pt idx="324">
                  <c:v>0.89845090000000005</c:v>
                </c:pt>
                <c:pt idx="325">
                  <c:v>0.90149771000000001</c:v>
                </c:pt>
                <c:pt idx="326">
                  <c:v>0.95412836999999995</c:v>
                </c:pt>
                <c:pt idx="327">
                  <c:v>0.89625674</c:v>
                </c:pt>
                <c:pt idx="328">
                  <c:v>0.88786379000000004</c:v>
                </c:pt>
                <c:pt idx="329">
                  <c:v>0.88432498999999998</c:v>
                </c:pt>
                <c:pt idx="330">
                  <c:v>0.88658915999999999</c:v>
                </c:pt>
                <c:pt idx="331">
                  <c:v>0.88642206999999995</c:v>
                </c:pt>
                <c:pt idx="332">
                  <c:v>0.89143002999999998</c:v>
                </c:pt>
                <c:pt idx="333">
                  <c:v>0.88507773000000001</c:v>
                </c:pt>
                <c:pt idx="334">
                  <c:v>0.88955698999999999</c:v>
                </c:pt>
                <c:pt idx="335">
                  <c:v>0.89171836999999998</c:v>
                </c:pt>
                <c:pt idx="336">
                  <c:v>0.89594238999999998</c:v>
                </c:pt>
                <c:pt idx="337">
                  <c:v>0.90129705000000004</c:v>
                </c:pt>
                <c:pt idx="338">
                  <c:v>0.90024616000000002</c:v>
                </c:pt>
                <c:pt idx="339">
                  <c:v>0.89007672000000004</c:v>
                </c:pt>
                <c:pt idx="340">
                  <c:v>0.89465777999999996</c:v>
                </c:pt>
                <c:pt idx="341">
                  <c:v>0.88643691000000002</c:v>
                </c:pt>
                <c:pt idx="342">
                  <c:v>0.90621494000000002</c:v>
                </c:pt>
                <c:pt idx="343">
                  <c:v>0.89395577999999998</c:v>
                </c:pt>
                <c:pt idx="344">
                  <c:v>0.90152438999999995</c:v>
                </c:pt>
                <c:pt idx="345">
                  <c:v>0.91764312000000003</c:v>
                </c:pt>
                <c:pt idx="346">
                  <c:v>0.89196945999999999</c:v>
                </c:pt>
                <c:pt idx="347">
                  <c:v>0.90455958999999997</c:v>
                </c:pt>
                <c:pt idx="348">
                  <c:v>0.87981558999999998</c:v>
                </c:pt>
                <c:pt idx="349">
                  <c:v>0.88929053000000002</c:v>
                </c:pt>
                <c:pt idx="350">
                  <c:v>0.95815527</c:v>
                </c:pt>
                <c:pt idx="351">
                  <c:v>0.97662514</c:v>
                </c:pt>
                <c:pt idx="352">
                  <c:v>0.98419075</c:v>
                </c:pt>
                <c:pt idx="353">
                  <c:v>0.97879925999999995</c:v>
                </c:pt>
                <c:pt idx="354">
                  <c:v>0.98075705000000002</c:v>
                </c:pt>
                <c:pt idx="355">
                  <c:v>0.95144748999999995</c:v>
                </c:pt>
                <c:pt idx="356">
                  <c:v>0.98415346000000004</c:v>
                </c:pt>
                <c:pt idx="357">
                  <c:v>0.97010662999999997</c:v>
                </c:pt>
                <c:pt idx="358">
                  <c:v>0.98441588000000002</c:v>
                </c:pt>
                <c:pt idx="359">
                  <c:v>0.97879925999999995</c:v>
                </c:pt>
                <c:pt idx="360">
                  <c:v>0.98785926000000002</c:v>
                </c:pt>
                <c:pt idx="361">
                  <c:v>0.98850773000000003</c:v>
                </c:pt>
                <c:pt idx="362">
                  <c:v>0.98959233999999996</c:v>
                </c:pt>
                <c:pt idx="363">
                  <c:v>0.98728897999999998</c:v>
                </c:pt>
                <c:pt idx="364">
                  <c:v>0.98586468999999999</c:v>
                </c:pt>
                <c:pt idx="365">
                  <c:v>0.87809594999999996</c:v>
                </c:pt>
                <c:pt idx="366">
                  <c:v>0.97455305999999997</c:v>
                </c:pt>
                <c:pt idx="367">
                  <c:v>0.98007849999999996</c:v>
                </c:pt>
                <c:pt idx="368">
                  <c:v>0.92603561999999995</c:v>
                </c:pt>
                <c:pt idx="369">
                  <c:v>0.95403947</c:v>
                </c:pt>
                <c:pt idx="370">
                  <c:v>0.87064797000000005</c:v>
                </c:pt>
                <c:pt idx="371">
                  <c:v>0.87914780000000003</c:v>
                </c:pt>
                <c:pt idx="372">
                  <c:v>0.85676613000000001</c:v>
                </c:pt>
                <c:pt idx="373">
                  <c:v>0.88188845000000005</c:v>
                </c:pt>
                <c:pt idx="374">
                  <c:v>0.87997017</c:v>
                </c:pt>
                <c:pt idx="375">
                  <c:v>0.90059957999999996</c:v>
                </c:pt>
                <c:pt idx="376">
                  <c:v>0.90519167</c:v>
                </c:pt>
                <c:pt idx="377">
                  <c:v>0.85987332000000005</c:v>
                </c:pt>
                <c:pt idx="378">
                  <c:v>0.84554792000000001</c:v>
                </c:pt>
                <c:pt idx="379">
                  <c:v>0.84291780999999999</c:v>
                </c:pt>
                <c:pt idx="380">
                  <c:v>0.84552031000000005</c:v>
                </c:pt>
                <c:pt idx="381">
                  <c:v>0.84702736999999995</c:v>
                </c:pt>
                <c:pt idx="382">
                  <c:v>0.84653082999999996</c:v>
                </c:pt>
                <c:pt idx="383">
                  <c:v>0.92849970000000004</c:v>
                </c:pt>
                <c:pt idx="384">
                  <c:v>0.97284862999999999</c:v>
                </c:pt>
                <c:pt idx="385">
                  <c:v>0.96075451000000001</c:v>
                </c:pt>
                <c:pt idx="386">
                  <c:v>0.97332927999999996</c:v>
                </c:pt>
                <c:pt idx="387">
                  <c:v>0.97623548000000004</c:v>
                </c:pt>
                <c:pt idx="388">
                  <c:v>0.89613767</c:v>
                </c:pt>
                <c:pt idx="389">
                  <c:v>0.93752537999999996</c:v>
                </c:pt>
                <c:pt idx="390">
                  <c:v>0.97362866999999997</c:v>
                </c:pt>
                <c:pt idx="391">
                  <c:v>0.95103079999999995</c:v>
                </c:pt>
                <c:pt idx="392">
                  <c:v>0.91761037000000001</c:v>
                </c:pt>
                <c:pt idx="393">
                  <c:v>0.85375016000000004</c:v>
                </c:pt>
                <c:pt idx="394">
                  <c:v>0.93681486000000003</c:v>
                </c:pt>
                <c:pt idx="395">
                  <c:v>0.93394480999999996</c:v>
                </c:pt>
                <c:pt idx="396">
                  <c:v>0.91912300000000002</c:v>
                </c:pt>
                <c:pt idx="397">
                  <c:v>0.91912300000000002</c:v>
                </c:pt>
                <c:pt idx="398">
                  <c:v>0.96609250999999996</c:v>
                </c:pt>
                <c:pt idx="399">
                  <c:v>0.96376908999999999</c:v>
                </c:pt>
                <c:pt idx="400">
                  <c:v>0.96360314999999996</c:v>
                </c:pt>
                <c:pt idx="401">
                  <c:v>0.96375869999999997</c:v>
                </c:pt>
                <c:pt idx="402">
                  <c:v>0.96309924999999996</c:v>
                </c:pt>
                <c:pt idx="403">
                  <c:v>0.96376908999999999</c:v>
                </c:pt>
                <c:pt idx="404">
                  <c:v>0.96624732000000002</c:v>
                </c:pt>
                <c:pt idx="405">
                  <c:v>0.97373162000000002</c:v>
                </c:pt>
                <c:pt idx="406">
                  <c:v>0.98245824000000004</c:v>
                </c:pt>
                <c:pt idx="407">
                  <c:v>0.96777427999999999</c:v>
                </c:pt>
                <c:pt idx="408">
                  <c:v>0.96460067999999999</c:v>
                </c:pt>
                <c:pt idx="409">
                  <c:v>0.96488792999999995</c:v>
                </c:pt>
                <c:pt idx="410">
                  <c:v>0.95609193999999997</c:v>
                </c:pt>
                <c:pt idx="411">
                  <c:v>0.97003647000000004</c:v>
                </c:pt>
                <c:pt idx="412">
                  <c:v>0.95493826999999998</c:v>
                </c:pt>
                <c:pt idx="413">
                  <c:v>0.95072444</c:v>
                </c:pt>
                <c:pt idx="414">
                  <c:v>0.94919237000000001</c:v>
                </c:pt>
                <c:pt idx="415">
                  <c:v>0.94675193999999996</c:v>
                </c:pt>
                <c:pt idx="416">
                  <c:v>0.95291117000000003</c:v>
                </c:pt>
                <c:pt idx="417">
                  <c:v>0.95398616999999997</c:v>
                </c:pt>
                <c:pt idx="418">
                  <c:v>0.95492847000000003</c:v>
                </c:pt>
                <c:pt idx="419">
                  <c:v>0.95308886000000004</c:v>
                </c:pt>
                <c:pt idx="420">
                  <c:v>0.95139426999999999</c:v>
                </c:pt>
                <c:pt idx="421">
                  <c:v>0.93914913</c:v>
                </c:pt>
                <c:pt idx="422">
                  <c:v>0.91462215999999996</c:v>
                </c:pt>
                <c:pt idx="423">
                  <c:v>0.94491190999999997</c:v>
                </c:pt>
                <c:pt idx="424">
                  <c:v>0.93645276</c:v>
                </c:pt>
                <c:pt idx="425">
                  <c:v>0.94267858999999998</c:v>
                </c:pt>
                <c:pt idx="426">
                  <c:v>0.95035082999999998</c:v>
                </c:pt>
                <c:pt idx="427">
                  <c:v>0.94293229999999995</c:v>
                </c:pt>
                <c:pt idx="428">
                  <c:v>0.95078607000000004</c:v>
                </c:pt>
                <c:pt idx="429">
                  <c:v>0.95225641000000005</c:v>
                </c:pt>
                <c:pt idx="430">
                  <c:v>0.95372451000000003</c:v>
                </c:pt>
                <c:pt idx="431">
                  <c:v>0.92433999</c:v>
                </c:pt>
                <c:pt idx="432">
                  <c:v>0.92607404999999998</c:v>
                </c:pt>
                <c:pt idx="433">
                  <c:v>0.92775901999999999</c:v>
                </c:pt>
                <c:pt idx="434">
                  <c:v>0.92380282000000002</c:v>
                </c:pt>
                <c:pt idx="435">
                  <c:v>0.93010998</c:v>
                </c:pt>
                <c:pt idx="436">
                  <c:v>0.93733515999999995</c:v>
                </c:pt>
                <c:pt idx="437">
                  <c:v>0.93539373000000003</c:v>
                </c:pt>
                <c:pt idx="438">
                  <c:v>0.93089803000000004</c:v>
                </c:pt>
                <c:pt idx="439">
                  <c:v>0.92562493000000001</c:v>
                </c:pt>
                <c:pt idx="440">
                  <c:v>0.92732130000000002</c:v>
                </c:pt>
                <c:pt idx="441">
                  <c:v>0.93163985000000005</c:v>
                </c:pt>
                <c:pt idx="442">
                  <c:v>0.92854455999999996</c:v>
                </c:pt>
                <c:pt idx="443">
                  <c:v>0.92526991000000003</c:v>
                </c:pt>
                <c:pt idx="444">
                  <c:v>0.92549680000000001</c:v>
                </c:pt>
                <c:pt idx="445">
                  <c:v>0.92490912999999997</c:v>
                </c:pt>
                <c:pt idx="446">
                  <c:v>0.92791716999999996</c:v>
                </c:pt>
                <c:pt idx="447">
                  <c:v>0.94132097000000003</c:v>
                </c:pt>
                <c:pt idx="448">
                  <c:v>0.93272887999999998</c:v>
                </c:pt>
                <c:pt idx="449">
                  <c:v>0.92988565999999995</c:v>
                </c:pt>
                <c:pt idx="450">
                  <c:v>0.92988565999999995</c:v>
                </c:pt>
                <c:pt idx="451">
                  <c:v>0.91182074000000002</c:v>
                </c:pt>
                <c:pt idx="452">
                  <c:v>0.91340927999999999</c:v>
                </c:pt>
                <c:pt idx="453">
                  <c:v>0.91038313999999998</c:v>
                </c:pt>
                <c:pt idx="454">
                  <c:v>0.90949672000000004</c:v>
                </c:pt>
                <c:pt idx="455">
                  <c:v>0.90648165999999997</c:v>
                </c:pt>
                <c:pt idx="456">
                  <c:v>0.90822765000000005</c:v>
                </c:pt>
                <c:pt idx="457">
                  <c:v>0.90824320000000003</c:v>
                </c:pt>
                <c:pt idx="458">
                  <c:v>0.91013454000000005</c:v>
                </c:pt>
                <c:pt idx="459">
                  <c:v>0.90995208000000005</c:v>
                </c:pt>
                <c:pt idx="460">
                  <c:v>0.91004114000000003</c:v>
                </c:pt>
                <c:pt idx="461">
                  <c:v>0.90980081999999995</c:v>
                </c:pt>
                <c:pt idx="462">
                  <c:v>0.90632723999999998</c:v>
                </c:pt>
                <c:pt idx="463">
                  <c:v>0.90929634999999998</c:v>
                </c:pt>
                <c:pt idx="464">
                  <c:v>0.90996273999999999</c:v>
                </c:pt>
                <c:pt idx="465">
                  <c:v>0.91263181000000004</c:v>
                </c:pt>
                <c:pt idx="466">
                  <c:v>0.91023827000000002</c:v>
                </c:pt>
                <c:pt idx="467">
                  <c:v>0.91054997000000004</c:v>
                </c:pt>
                <c:pt idx="468">
                  <c:v>0.91356859000000001</c:v>
                </c:pt>
                <c:pt idx="469">
                  <c:v>0.91245498999999997</c:v>
                </c:pt>
                <c:pt idx="470">
                  <c:v>0.91103829999999997</c:v>
                </c:pt>
                <c:pt idx="471">
                  <c:v>0.88507237000000005</c:v>
                </c:pt>
                <c:pt idx="472">
                  <c:v>0.85458392999999999</c:v>
                </c:pt>
                <c:pt idx="473">
                  <c:v>0.83571636000000005</c:v>
                </c:pt>
                <c:pt idx="474">
                  <c:v>0.86736603000000001</c:v>
                </c:pt>
                <c:pt idx="475">
                  <c:v>0.87519625000000001</c:v>
                </c:pt>
                <c:pt idx="476">
                  <c:v>0.88797930000000003</c:v>
                </c:pt>
                <c:pt idx="477">
                  <c:v>0.88539641000000002</c:v>
                </c:pt>
                <c:pt idx="478">
                  <c:v>0.88689883999999997</c:v>
                </c:pt>
                <c:pt idx="479">
                  <c:v>0.88696178000000003</c:v>
                </c:pt>
                <c:pt idx="480">
                  <c:v>0.88589474999999995</c:v>
                </c:pt>
                <c:pt idx="481">
                  <c:v>0.88589474999999995</c:v>
                </c:pt>
                <c:pt idx="482">
                  <c:v>0.87804391999999998</c:v>
                </c:pt>
                <c:pt idx="483">
                  <c:v>0.88249445999999998</c:v>
                </c:pt>
                <c:pt idx="484">
                  <c:v>0.88215476000000004</c:v>
                </c:pt>
                <c:pt idx="485">
                  <c:v>0.88439003000000005</c:v>
                </c:pt>
                <c:pt idx="486">
                  <c:v>0.88296931999999995</c:v>
                </c:pt>
                <c:pt idx="487">
                  <c:v>0.80504880000000001</c:v>
                </c:pt>
                <c:pt idx="488">
                  <c:v>0.76767467</c:v>
                </c:pt>
                <c:pt idx="489">
                  <c:v>0.75705208999999996</c:v>
                </c:pt>
                <c:pt idx="490">
                  <c:v>0.77275377999999995</c:v>
                </c:pt>
                <c:pt idx="491">
                  <c:v>0.77474962999999997</c:v>
                </c:pt>
                <c:pt idx="492">
                  <c:v>0.74042772999999995</c:v>
                </c:pt>
                <c:pt idx="493">
                  <c:v>0.77338823999999995</c:v>
                </c:pt>
                <c:pt idx="494">
                  <c:v>0.73569048000000004</c:v>
                </c:pt>
                <c:pt idx="495">
                  <c:v>0.81304865000000004</c:v>
                </c:pt>
                <c:pt idx="496">
                  <c:v>0.82222097000000005</c:v>
                </c:pt>
                <c:pt idx="497">
                  <c:v>0.79899058000000001</c:v>
                </c:pt>
                <c:pt idx="498">
                  <c:v>0.80855876999999998</c:v>
                </c:pt>
                <c:pt idx="499">
                  <c:v>0.75767121000000004</c:v>
                </c:pt>
                <c:pt idx="500">
                  <c:v>0.73648318000000002</c:v>
                </c:pt>
                <c:pt idx="501">
                  <c:v>0.77547370000000004</c:v>
                </c:pt>
                <c:pt idx="502">
                  <c:v>0.75767121000000004</c:v>
                </c:pt>
                <c:pt idx="503">
                  <c:v>0.74506516</c:v>
                </c:pt>
                <c:pt idx="504">
                  <c:v>0.74910363000000002</c:v>
                </c:pt>
                <c:pt idx="505">
                  <c:v>0.75956073000000002</c:v>
                </c:pt>
                <c:pt idx="506">
                  <c:v>0.76181047000000002</c:v>
                </c:pt>
                <c:pt idx="507">
                  <c:v>0.83204617000000003</c:v>
                </c:pt>
                <c:pt idx="508">
                  <c:v>0.84215019999999996</c:v>
                </c:pt>
                <c:pt idx="509">
                  <c:v>0.82756768000000003</c:v>
                </c:pt>
                <c:pt idx="510">
                  <c:v>0.84309752999999998</c:v>
                </c:pt>
                <c:pt idx="511">
                  <c:v>0.83067533000000005</c:v>
                </c:pt>
                <c:pt idx="512">
                  <c:v>0.82448531000000003</c:v>
                </c:pt>
                <c:pt idx="513">
                  <c:v>0.81743252</c:v>
                </c:pt>
                <c:pt idx="514">
                  <c:v>0.75669235000000001</c:v>
                </c:pt>
                <c:pt idx="515">
                  <c:v>0.71013143999999995</c:v>
                </c:pt>
                <c:pt idx="516">
                  <c:v>0.68844536999999995</c:v>
                </c:pt>
                <c:pt idx="517">
                  <c:v>0.69041534999999998</c:v>
                </c:pt>
                <c:pt idx="518">
                  <c:v>0.69888139000000005</c:v>
                </c:pt>
                <c:pt idx="519">
                  <c:v>0.70688881999999997</c:v>
                </c:pt>
                <c:pt idx="520">
                  <c:v>0.70558498000000003</c:v>
                </c:pt>
                <c:pt idx="521">
                  <c:v>0.72532763</c:v>
                </c:pt>
                <c:pt idx="522">
                  <c:v>0.76202199999999998</c:v>
                </c:pt>
                <c:pt idx="523">
                  <c:v>0.78695435999999996</c:v>
                </c:pt>
                <c:pt idx="524">
                  <c:v>0.77084069</c:v>
                </c:pt>
                <c:pt idx="525">
                  <c:v>0.73465606999999999</c:v>
                </c:pt>
                <c:pt idx="526">
                  <c:v>0.77786171000000004</c:v>
                </c:pt>
                <c:pt idx="527">
                  <c:v>0.77926318999999999</c:v>
                </c:pt>
                <c:pt idx="528">
                  <c:v>0.77702022999999998</c:v>
                </c:pt>
                <c:pt idx="529">
                  <c:v>0.77084069</c:v>
                </c:pt>
                <c:pt idx="530">
                  <c:v>0.76515105000000005</c:v>
                </c:pt>
                <c:pt idx="531">
                  <c:v>0.76571301000000003</c:v>
                </c:pt>
                <c:pt idx="532">
                  <c:v>0.74944891000000002</c:v>
                </c:pt>
                <c:pt idx="533">
                  <c:v>0.77887764000000004</c:v>
                </c:pt>
                <c:pt idx="534">
                  <c:v>0.81980116999999997</c:v>
                </c:pt>
                <c:pt idx="535">
                  <c:v>0.82856768000000003</c:v>
                </c:pt>
                <c:pt idx="536">
                  <c:v>0.82265425999999997</c:v>
                </c:pt>
                <c:pt idx="537">
                  <c:v>0.81850336999999995</c:v>
                </c:pt>
                <c:pt idx="538">
                  <c:v>0.79452882999999996</c:v>
                </c:pt>
                <c:pt idx="539">
                  <c:v>0.80849727999999998</c:v>
                </c:pt>
                <c:pt idx="540">
                  <c:v>0.82477339000000005</c:v>
                </c:pt>
                <c:pt idx="541">
                  <c:v>0.82715181999999998</c:v>
                </c:pt>
                <c:pt idx="542">
                  <c:v>0.82470003999999997</c:v>
                </c:pt>
                <c:pt idx="543">
                  <c:v>0.82774426000000001</c:v>
                </c:pt>
                <c:pt idx="544">
                  <c:v>0.82956596000000005</c:v>
                </c:pt>
                <c:pt idx="545">
                  <c:v>0.82800551</c:v>
                </c:pt>
                <c:pt idx="546">
                  <c:v>0.82804226999999997</c:v>
                </c:pt>
                <c:pt idx="547">
                  <c:v>0.82856768000000003</c:v>
                </c:pt>
                <c:pt idx="548">
                  <c:v>0.82574130999999995</c:v>
                </c:pt>
                <c:pt idx="549">
                  <c:v>0.82574130999999995</c:v>
                </c:pt>
                <c:pt idx="550">
                  <c:v>0.83113250999999999</c:v>
                </c:pt>
                <c:pt idx="551">
                  <c:v>0.83156322999999999</c:v>
                </c:pt>
                <c:pt idx="552">
                  <c:v>0.83356730999999995</c:v>
                </c:pt>
                <c:pt idx="553">
                  <c:v>0.82752897000000003</c:v>
                </c:pt>
                <c:pt idx="554">
                  <c:v>0.82159804000000003</c:v>
                </c:pt>
                <c:pt idx="555">
                  <c:v>0.80593608999999999</c:v>
                </c:pt>
                <c:pt idx="556">
                  <c:v>0.80165001999999996</c:v>
                </c:pt>
                <c:pt idx="557">
                  <c:v>0.79431673999999997</c:v>
                </c:pt>
                <c:pt idx="558">
                  <c:v>0.80403139000000001</c:v>
                </c:pt>
                <c:pt idx="559">
                  <c:v>0.79380801000000001</c:v>
                </c:pt>
                <c:pt idx="560">
                  <c:v>0.73210434000000002</c:v>
                </c:pt>
                <c:pt idx="561">
                  <c:v>0.69142342000000001</c:v>
                </c:pt>
                <c:pt idx="562">
                  <c:v>0.66956373000000002</c:v>
                </c:pt>
                <c:pt idx="563">
                  <c:v>0.72537130999999999</c:v>
                </c:pt>
                <c:pt idx="564">
                  <c:v>0.79431673999999997</c:v>
                </c:pt>
                <c:pt idx="565">
                  <c:v>0.69528027999999997</c:v>
                </c:pt>
                <c:pt idx="566">
                  <c:v>0.67816416000000002</c:v>
                </c:pt>
                <c:pt idx="567">
                  <c:v>0.72319169000000005</c:v>
                </c:pt>
                <c:pt idx="568">
                  <c:v>0.65091405000000002</c:v>
                </c:pt>
                <c:pt idx="569">
                  <c:v>0.64488252000000001</c:v>
                </c:pt>
                <c:pt idx="570">
                  <c:v>0.64577068999999998</c:v>
                </c:pt>
                <c:pt idx="571">
                  <c:v>0.63160108999999998</c:v>
                </c:pt>
                <c:pt idx="572">
                  <c:v>0.62947549999999997</c:v>
                </c:pt>
                <c:pt idx="573">
                  <c:v>0.63071074000000005</c:v>
                </c:pt>
                <c:pt idx="574">
                  <c:v>0.62532821000000005</c:v>
                </c:pt>
                <c:pt idx="575">
                  <c:v>0.60388423000000002</c:v>
                </c:pt>
                <c:pt idx="576">
                  <c:v>0.59229140999999996</c:v>
                </c:pt>
                <c:pt idx="577">
                  <c:v>0.60259748000000002</c:v>
                </c:pt>
                <c:pt idx="578">
                  <c:v>0.60807341999999998</c:v>
                </c:pt>
                <c:pt idx="579">
                  <c:v>0.59389106999999997</c:v>
                </c:pt>
                <c:pt idx="580">
                  <c:v>0.57834057000000005</c:v>
                </c:pt>
                <c:pt idx="581">
                  <c:v>0.59643793000000001</c:v>
                </c:pt>
                <c:pt idx="582">
                  <c:v>0.55153556000000004</c:v>
                </c:pt>
                <c:pt idx="583">
                  <c:v>0.58616818000000004</c:v>
                </c:pt>
                <c:pt idx="584">
                  <c:v>0.60357554000000002</c:v>
                </c:pt>
                <c:pt idx="585">
                  <c:v>0.57679937999999997</c:v>
                </c:pt>
                <c:pt idx="586">
                  <c:v>0.57834057000000005</c:v>
                </c:pt>
                <c:pt idx="587">
                  <c:v>0.50423591999999995</c:v>
                </c:pt>
                <c:pt idx="588">
                  <c:v>0.45672223000000001</c:v>
                </c:pt>
                <c:pt idx="589">
                  <c:v>0.44323100999999998</c:v>
                </c:pt>
                <c:pt idx="590">
                  <c:v>0.42893935</c:v>
                </c:pt>
                <c:pt idx="591">
                  <c:v>0.41918834999999999</c:v>
                </c:pt>
                <c:pt idx="592">
                  <c:v>0.36913066</c:v>
                </c:pt>
                <c:pt idx="593">
                  <c:v>0.44367911999999998</c:v>
                </c:pt>
                <c:pt idx="594">
                  <c:v>0.44439106</c:v>
                </c:pt>
                <c:pt idx="595">
                  <c:v>0.42692645000000001</c:v>
                </c:pt>
                <c:pt idx="596">
                  <c:v>0.42614523999999998</c:v>
                </c:pt>
                <c:pt idx="597">
                  <c:v>0.42879772999999999</c:v>
                </c:pt>
                <c:pt idx="598">
                  <c:v>0.28872759999999997</c:v>
                </c:pt>
                <c:pt idx="599">
                  <c:v>0.33666590000000002</c:v>
                </c:pt>
                <c:pt idx="600">
                  <c:v>0.39961025999999999</c:v>
                </c:pt>
                <c:pt idx="601">
                  <c:v>0.31225017999999999</c:v>
                </c:pt>
                <c:pt idx="602">
                  <c:v>0.41506283999999999</c:v>
                </c:pt>
                <c:pt idx="603">
                  <c:v>0.41215266</c:v>
                </c:pt>
                <c:pt idx="604">
                  <c:v>0.42632069</c:v>
                </c:pt>
                <c:pt idx="605">
                  <c:v>0.42713065</c:v>
                </c:pt>
                <c:pt idx="606">
                  <c:v>0.43264901</c:v>
                </c:pt>
                <c:pt idx="607">
                  <c:v>0.42837238</c:v>
                </c:pt>
                <c:pt idx="608">
                  <c:v>0.43340129999999999</c:v>
                </c:pt>
                <c:pt idx="609">
                  <c:v>0.43375761000000002</c:v>
                </c:pt>
                <c:pt idx="610">
                  <c:v>0.43127566000000001</c:v>
                </c:pt>
                <c:pt idx="611">
                  <c:v>0.42334037000000002</c:v>
                </c:pt>
                <c:pt idx="612">
                  <c:v>0.42186098999999999</c:v>
                </c:pt>
                <c:pt idx="613">
                  <c:v>0.42646224999999999</c:v>
                </c:pt>
                <c:pt idx="614">
                  <c:v>0.42603953</c:v>
                </c:pt>
                <c:pt idx="615">
                  <c:v>0.42348314999999997</c:v>
                </c:pt>
                <c:pt idx="616">
                  <c:v>0.42516652999999999</c:v>
                </c:pt>
                <c:pt idx="617">
                  <c:v>0.33232054999999999</c:v>
                </c:pt>
                <c:pt idx="618">
                  <c:v>0.41078564000000001</c:v>
                </c:pt>
                <c:pt idx="619">
                  <c:v>0.40903135000000002</c:v>
                </c:pt>
                <c:pt idx="620">
                  <c:v>0.40437019000000002</c:v>
                </c:pt>
                <c:pt idx="621">
                  <c:v>0.41115397999999997</c:v>
                </c:pt>
                <c:pt idx="622">
                  <c:v>0.41331764999999998</c:v>
                </c:pt>
                <c:pt idx="623">
                  <c:v>0.41576205999999999</c:v>
                </c:pt>
                <c:pt idx="624">
                  <c:v>0.41321912</c:v>
                </c:pt>
                <c:pt idx="625">
                  <c:v>0.39312795</c:v>
                </c:pt>
                <c:pt idx="626">
                  <c:v>0.37743947</c:v>
                </c:pt>
                <c:pt idx="627">
                  <c:v>0.31455759999999999</c:v>
                </c:pt>
                <c:pt idx="628">
                  <c:v>0.28031014999999998</c:v>
                </c:pt>
                <c:pt idx="629">
                  <c:v>0.27263881000000001</c:v>
                </c:pt>
                <c:pt idx="630">
                  <c:v>0.28096123000000001</c:v>
                </c:pt>
                <c:pt idx="631">
                  <c:v>0.27644807999999998</c:v>
                </c:pt>
                <c:pt idx="632">
                  <c:v>0.27358157</c:v>
                </c:pt>
                <c:pt idx="633">
                  <c:v>0.29198242000000002</c:v>
                </c:pt>
                <c:pt idx="634">
                  <c:v>0.30800234999999998</c:v>
                </c:pt>
                <c:pt idx="635">
                  <c:v>0.38014408</c:v>
                </c:pt>
                <c:pt idx="636">
                  <c:v>0.35578878000000003</c:v>
                </c:pt>
                <c:pt idx="637">
                  <c:v>0.39563315999999998</c:v>
                </c:pt>
                <c:pt idx="638">
                  <c:v>0.39522167000000002</c:v>
                </c:pt>
                <c:pt idx="639">
                  <c:v>0.29002791</c:v>
                </c:pt>
                <c:pt idx="640">
                  <c:v>0.26443326</c:v>
                </c:pt>
                <c:pt idx="641">
                  <c:v>0.25826391999999998</c:v>
                </c:pt>
                <c:pt idx="642">
                  <c:v>0.26194300999999998</c:v>
                </c:pt>
                <c:pt idx="643">
                  <c:v>0.26769354000000001</c:v>
                </c:pt>
                <c:pt idx="644">
                  <c:v>0.26296286000000002</c:v>
                </c:pt>
                <c:pt idx="645">
                  <c:v>0.28595882</c:v>
                </c:pt>
                <c:pt idx="646">
                  <c:v>0.28637426999999999</c:v>
                </c:pt>
                <c:pt idx="647">
                  <c:v>0.2925217</c:v>
                </c:pt>
                <c:pt idx="648">
                  <c:v>0.33935362000000002</c:v>
                </c:pt>
                <c:pt idx="649">
                  <c:v>0.35600051999999999</c:v>
                </c:pt>
                <c:pt idx="650">
                  <c:v>0.40430395000000002</c:v>
                </c:pt>
                <c:pt idx="651">
                  <c:v>0.40169234999999998</c:v>
                </c:pt>
                <c:pt idx="652">
                  <c:v>0.40062763000000001</c:v>
                </c:pt>
                <c:pt idx="653">
                  <c:v>0.40442292000000002</c:v>
                </c:pt>
                <c:pt idx="654">
                  <c:v>0.40942932999999998</c:v>
                </c:pt>
                <c:pt idx="655">
                  <c:v>0.41205318000000002</c:v>
                </c:pt>
                <c:pt idx="656">
                  <c:v>0.40892709999999999</c:v>
                </c:pt>
                <c:pt idx="657">
                  <c:v>0.41228937999999998</c:v>
                </c:pt>
                <c:pt idx="658">
                  <c:v>0.41213623999999999</c:v>
                </c:pt>
                <c:pt idx="659">
                  <c:v>0.40735265999999998</c:v>
                </c:pt>
                <c:pt idx="660">
                  <c:v>0.41492382</c:v>
                </c:pt>
                <c:pt idx="661">
                  <c:v>0.42005614000000002</c:v>
                </c:pt>
                <c:pt idx="662">
                  <c:v>0.41384989999999999</c:v>
                </c:pt>
                <c:pt idx="663">
                  <c:v>0.41384989999999999</c:v>
                </c:pt>
                <c:pt idx="664">
                  <c:v>0.40977889000000001</c:v>
                </c:pt>
                <c:pt idx="665">
                  <c:v>0.40868282</c:v>
                </c:pt>
                <c:pt idx="666">
                  <c:v>0.40641392999999998</c:v>
                </c:pt>
                <c:pt idx="667">
                  <c:v>0.40564359</c:v>
                </c:pt>
                <c:pt idx="668">
                  <c:v>0.39927588000000003</c:v>
                </c:pt>
                <c:pt idx="669">
                  <c:v>0.40419688999999998</c:v>
                </c:pt>
                <c:pt idx="670">
                  <c:v>0.42440229000000002</c:v>
                </c:pt>
                <c:pt idx="671">
                  <c:v>0.42308899</c:v>
                </c:pt>
                <c:pt idx="672">
                  <c:v>0.41834654999999998</c:v>
                </c:pt>
                <c:pt idx="673">
                  <c:v>0.45559037000000002</c:v>
                </c:pt>
                <c:pt idx="674">
                  <c:v>0.47251102</c:v>
                </c:pt>
                <c:pt idx="675">
                  <c:v>0.45620115</c:v>
                </c:pt>
                <c:pt idx="676">
                  <c:v>0.47004080999999998</c:v>
                </c:pt>
                <c:pt idx="677">
                  <c:v>0.47251102</c:v>
                </c:pt>
                <c:pt idx="678">
                  <c:v>0.46022834000000001</c:v>
                </c:pt>
                <c:pt idx="679">
                  <c:v>0.44816967000000002</c:v>
                </c:pt>
                <c:pt idx="680">
                  <c:v>0.41875307000000001</c:v>
                </c:pt>
                <c:pt idx="681">
                  <c:v>0.42327273999999998</c:v>
                </c:pt>
                <c:pt idx="682">
                  <c:v>0.40444497000000001</c:v>
                </c:pt>
                <c:pt idx="683">
                  <c:v>0.41274392999999998</c:v>
                </c:pt>
                <c:pt idx="684">
                  <c:v>0.41435673000000001</c:v>
                </c:pt>
                <c:pt idx="685">
                  <c:v>0.38823085000000002</c:v>
                </c:pt>
                <c:pt idx="686">
                  <c:v>0.38747167999999999</c:v>
                </c:pt>
                <c:pt idx="687">
                  <c:v>0.38690331</c:v>
                </c:pt>
                <c:pt idx="688">
                  <c:v>0.39450030000000003</c:v>
                </c:pt>
                <c:pt idx="689">
                  <c:v>0.39599199000000002</c:v>
                </c:pt>
                <c:pt idx="690">
                  <c:v>0.40298490999999997</c:v>
                </c:pt>
                <c:pt idx="691">
                  <c:v>0.39630022999999998</c:v>
                </c:pt>
                <c:pt idx="692">
                  <c:v>0.39806186999999998</c:v>
                </c:pt>
                <c:pt idx="693">
                  <c:v>0.39857682999999999</c:v>
                </c:pt>
                <c:pt idx="694">
                  <c:v>0.40216698000000001</c:v>
                </c:pt>
                <c:pt idx="695">
                  <c:v>0.40159792999999999</c:v>
                </c:pt>
                <c:pt idx="696">
                  <c:v>0.40444497000000001</c:v>
                </c:pt>
                <c:pt idx="697">
                  <c:v>0.39288242000000001</c:v>
                </c:pt>
                <c:pt idx="698">
                  <c:v>0.39248038000000002</c:v>
                </c:pt>
                <c:pt idx="699">
                  <c:v>0.37676027000000001</c:v>
                </c:pt>
                <c:pt idx="700">
                  <c:v>0.37704095999999998</c:v>
                </c:pt>
                <c:pt idx="701">
                  <c:v>0.34044994000000001</c:v>
                </c:pt>
                <c:pt idx="702">
                  <c:v>0.32814632999999999</c:v>
                </c:pt>
                <c:pt idx="703">
                  <c:v>0.34216846000000001</c:v>
                </c:pt>
                <c:pt idx="704">
                  <c:v>0.36453579000000003</c:v>
                </c:pt>
                <c:pt idx="705">
                  <c:v>0.37537373000000002</c:v>
                </c:pt>
                <c:pt idx="706">
                  <c:v>0.37034011999999999</c:v>
                </c:pt>
                <c:pt idx="707">
                  <c:v>0.35777890000000001</c:v>
                </c:pt>
                <c:pt idx="708">
                  <c:v>0.36453579000000003</c:v>
                </c:pt>
                <c:pt idx="709">
                  <c:v>0.36327559999999998</c:v>
                </c:pt>
                <c:pt idx="710">
                  <c:v>0.37416398000000001</c:v>
                </c:pt>
                <c:pt idx="711">
                  <c:v>0.32708043999999997</c:v>
                </c:pt>
                <c:pt idx="712">
                  <c:v>0.27857630999999999</c:v>
                </c:pt>
                <c:pt idx="713">
                  <c:v>0.34672830999999998</c:v>
                </c:pt>
                <c:pt idx="714">
                  <c:v>0.32708043999999997</c:v>
                </c:pt>
                <c:pt idx="715">
                  <c:v>0.28242096999999999</c:v>
                </c:pt>
                <c:pt idx="716">
                  <c:v>0.28170294000000001</c:v>
                </c:pt>
                <c:pt idx="717">
                  <c:v>0.28295542000000001</c:v>
                </c:pt>
                <c:pt idx="718">
                  <c:v>0.32171274</c:v>
                </c:pt>
                <c:pt idx="719">
                  <c:v>0.26847971999999998</c:v>
                </c:pt>
                <c:pt idx="720">
                  <c:v>0.26125130000000002</c:v>
                </c:pt>
                <c:pt idx="721">
                  <c:v>0.25966006000000003</c:v>
                </c:pt>
                <c:pt idx="722">
                  <c:v>0.27050189000000002</c:v>
                </c:pt>
                <c:pt idx="723">
                  <c:v>0.30341024</c:v>
                </c:pt>
                <c:pt idx="724">
                  <c:v>0.27876012999999999</c:v>
                </c:pt>
                <c:pt idx="725">
                  <c:v>0.30155963000000002</c:v>
                </c:pt>
                <c:pt idx="726">
                  <c:v>0.36933837000000003</c:v>
                </c:pt>
                <c:pt idx="727">
                  <c:v>0.37578397000000002</c:v>
                </c:pt>
                <c:pt idx="728">
                  <c:v>0.36774881999999998</c:v>
                </c:pt>
                <c:pt idx="729">
                  <c:v>0.36667421</c:v>
                </c:pt>
                <c:pt idx="730">
                  <c:v>0.37351021000000001</c:v>
                </c:pt>
                <c:pt idx="731">
                  <c:v>0.37537902000000001</c:v>
                </c:pt>
                <c:pt idx="732">
                  <c:v>0.375996</c:v>
                </c:pt>
                <c:pt idx="733">
                  <c:v>0.36503538000000002</c:v>
                </c:pt>
                <c:pt idx="734">
                  <c:v>0.37453638</c:v>
                </c:pt>
                <c:pt idx="735">
                  <c:v>0.38154102000000001</c:v>
                </c:pt>
                <c:pt idx="736">
                  <c:v>0.37460282</c:v>
                </c:pt>
                <c:pt idx="737">
                  <c:v>0.37568222000000001</c:v>
                </c:pt>
                <c:pt idx="738">
                  <c:v>0.38811614</c:v>
                </c:pt>
                <c:pt idx="739">
                  <c:v>0.38669977</c:v>
                </c:pt>
                <c:pt idx="740">
                  <c:v>0.39414626000000003</c:v>
                </c:pt>
                <c:pt idx="741">
                  <c:v>0.41262241999999999</c:v>
                </c:pt>
                <c:pt idx="742">
                  <c:v>0.40068102999999999</c:v>
                </c:pt>
                <c:pt idx="743">
                  <c:v>0.39173230999999997</c:v>
                </c:pt>
                <c:pt idx="744">
                  <c:v>0.38532630000000001</c:v>
                </c:pt>
                <c:pt idx="745">
                  <c:v>0.39589350000000001</c:v>
                </c:pt>
                <c:pt idx="746">
                  <c:v>0.39378672999999997</c:v>
                </c:pt>
                <c:pt idx="747">
                  <c:v>0.38426450000000001</c:v>
                </c:pt>
                <c:pt idx="748">
                  <c:v>0.37451881999999997</c:v>
                </c:pt>
                <c:pt idx="749">
                  <c:v>0.38252577999999998</c:v>
                </c:pt>
                <c:pt idx="750">
                  <c:v>0.37644865</c:v>
                </c:pt>
                <c:pt idx="751">
                  <c:v>0.38072624999999999</c:v>
                </c:pt>
                <c:pt idx="752">
                  <c:v>0.37407465000000001</c:v>
                </c:pt>
                <c:pt idx="753">
                  <c:v>0.37039466999999998</c:v>
                </c:pt>
                <c:pt idx="754">
                  <c:v>0.3734152</c:v>
                </c:pt>
                <c:pt idx="755">
                  <c:v>0.37197777999999998</c:v>
                </c:pt>
                <c:pt idx="756">
                  <c:v>0.38281317999999998</c:v>
                </c:pt>
                <c:pt idx="757">
                  <c:v>0.37644865</c:v>
                </c:pt>
                <c:pt idx="758">
                  <c:v>0.38166811</c:v>
                </c:pt>
                <c:pt idx="759">
                  <c:v>0.37864172000000001</c:v>
                </c:pt>
                <c:pt idx="760">
                  <c:v>0.38146136000000003</c:v>
                </c:pt>
                <c:pt idx="761">
                  <c:v>0.36705627000000002</c:v>
                </c:pt>
                <c:pt idx="762">
                  <c:v>0.37511482000000002</c:v>
                </c:pt>
                <c:pt idx="763">
                  <c:v>0.37076211999999997</c:v>
                </c:pt>
                <c:pt idx="764">
                  <c:v>0.36521861</c:v>
                </c:pt>
                <c:pt idx="765">
                  <c:v>0.36689958</c:v>
                </c:pt>
                <c:pt idx="766">
                  <c:v>0.36705627000000002</c:v>
                </c:pt>
                <c:pt idx="767">
                  <c:v>0.37541637</c:v>
                </c:pt>
                <c:pt idx="768">
                  <c:v>0.39003900000000002</c:v>
                </c:pt>
                <c:pt idx="769">
                  <c:v>0.38471656999999998</c:v>
                </c:pt>
                <c:pt idx="770">
                  <c:v>0.37328842000000001</c:v>
                </c:pt>
                <c:pt idx="771">
                  <c:v>0.37829073000000002</c:v>
                </c:pt>
                <c:pt idx="772">
                  <c:v>0.36629566000000002</c:v>
                </c:pt>
                <c:pt idx="773">
                  <c:v>0.36442224000000001</c:v>
                </c:pt>
                <c:pt idx="774">
                  <c:v>0.36875239999999998</c:v>
                </c:pt>
                <c:pt idx="775">
                  <c:v>0.36875239999999998</c:v>
                </c:pt>
                <c:pt idx="776">
                  <c:v>0.36900695</c:v>
                </c:pt>
                <c:pt idx="777">
                  <c:v>0.36965078000000001</c:v>
                </c:pt>
                <c:pt idx="778">
                  <c:v>0.372867</c:v>
                </c:pt>
                <c:pt idx="779">
                  <c:v>0.36821619999999999</c:v>
                </c:pt>
                <c:pt idx="780">
                  <c:v>0.36629566000000002</c:v>
                </c:pt>
                <c:pt idx="781">
                  <c:v>0.35763015999999997</c:v>
                </c:pt>
                <c:pt idx="782">
                  <c:v>0.32510613999999999</c:v>
                </c:pt>
                <c:pt idx="783">
                  <c:v>0.34278551000000002</c:v>
                </c:pt>
                <c:pt idx="784">
                  <c:v>0.35888523</c:v>
                </c:pt>
                <c:pt idx="785">
                  <c:v>0.36410197</c:v>
                </c:pt>
                <c:pt idx="786">
                  <c:v>0.36809291999999999</c:v>
                </c:pt>
                <c:pt idx="787">
                  <c:v>0.37418036999999998</c:v>
                </c:pt>
                <c:pt idx="788">
                  <c:v>0.39074209999999998</c:v>
                </c:pt>
                <c:pt idx="789">
                  <c:v>0.39074209999999998</c:v>
                </c:pt>
                <c:pt idx="790">
                  <c:v>0.38166971999999999</c:v>
                </c:pt>
                <c:pt idx="791">
                  <c:v>0.38310160999999998</c:v>
                </c:pt>
                <c:pt idx="792">
                  <c:v>0.37764312999999999</c:v>
                </c:pt>
                <c:pt idx="793">
                  <c:v>0.36524489999999998</c:v>
                </c:pt>
                <c:pt idx="794">
                  <c:v>0.36314741</c:v>
                </c:pt>
                <c:pt idx="795">
                  <c:v>0.36404024000000001</c:v>
                </c:pt>
                <c:pt idx="796">
                  <c:v>0.38124049999999998</c:v>
                </c:pt>
                <c:pt idx="797">
                  <c:v>0.38310160999999998</c:v>
                </c:pt>
                <c:pt idx="798">
                  <c:v>0.39074209999999998</c:v>
                </c:pt>
                <c:pt idx="799">
                  <c:v>0.38804882000000002</c:v>
                </c:pt>
                <c:pt idx="800">
                  <c:v>0.38065389999999999</c:v>
                </c:pt>
                <c:pt idx="801">
                  <c:v>0.38362900999999999</c:v>
                </c:pt>
                <c:pt idx="802">
                  <c:v>0.39536387000000001</c:v>
                </c:pt>
                <c:pt idx="803">
                  <c:v>0.40005795999999999</c:v>
                </c:pt>
                <c:pt idx="804">
                  <c:v>0.39494004999999999</c:v>
                </c:pt>
                <c:pt idx="805">
                  <c:v>0.40250726999999997</c:v>
                </c:pt>
                <c:pt idx="806">
                  <c:v>0.42496286</c:v>
                </c:pt>
                <c:pt idx="807">
                  <c:v>0.42930450999999997</c:v>
                </c:pt>
                <c:pt idx="808">
                  <c:v>0.41122847000000001</c:v>
                </c:pt>
                <c:pt idx="809">
                  <c:v>0.40149435999999999</c:v>
                </c:pt>
                <c:pt idx="810">
                  <c:v>0.40866859999999999</c:v>
                </c:pt>
                <c:pt idx="811">
                  <c:v>0.44368063000000002</c:v>
                </c:pt>
                <c:pt idx="812">
                  <c:v>0.45737897</c:v>
                </c:pt>
                <c:pt idx="813">
                  <c:v>0.43683117999999999</c:v>
                </c:pt>
                <c:pt idx="814">
                  <c:v>0.42645669000000003</c:v>
                </c:pt>
                <c:pt idx="815">
                  <c:v>0.44898321000000002</c:v>
                </c:pt>
                <c:pt idx="816">
                  <c:v>0.44799454</c:v>
                </c:pt>
                <c:pt idx="817">
                  <c:v>0.43740635</c:v>
                </c:pt>
                <c:pt idx="818">
                  <c:v>0.44289145000000002</c:v>
                </c:pt>
                <c:pt idx="819">
                  <c:v>0.45865688999999998</c:v>
                </c:pt>
                <c:pt idx="820">
                  <c:v>0.52091710000000002</c:v>
                </c:pt>
                <c:pt idx="821">
                  <c:v>0.50196399000000003</c:v>
                </c:pt>
                <c:pt idx="822">
                  <c:v>0.49500455999999998</c:v>
                </c:pt>
                <c:pt idx="823">
                  <c:v>0.43706715000000002</c:v>
                </c:pt>
                <c:pt idx="824">
                  <c:v>0.41014107999999999</c:v>
                </c:pt>
                <c:pt idx="825">
                  <c:v>0.42071955</c:v>
                </c:pt>
                <c:pt idx="826">
                  <c:v>0.43452885000000002</c:v>
                </c:pt>
                <c:pt idx="827">
                  <c:v>0.42843293999999998</c:v>
                </c:pt>
                <c:pt idx="828">
                  <c:v>0.42031565999999998</c:v>
                </c:pt>
                <c:pt idx="829">
                  <c:v>0.41014107999999999</c:v>
                </c:pt>
                <c:pt idx="830">
                  <c:v>0.40406526999999998</c:v>
                </c:pt>
                <c:pt idx="831">
                  <c:v>0.42476902</c:v>
                </c:pt>
                <c:pt idx="832">
                  <c:v>0.41768483000000001</c:v>
                </c:pt>
                <c:pt idx="833">
                  <c:v>0.42322926999999999</c:v>
                </c:pt>
                <c:pt idx="834">
                  <c:v>0.39932106000000001</c:v>
                </c:pt>
                <c:pt idx="835">
                  <c:v>0.42635938000000001</c:v>
                </c:pt>
                <c:pt idx="836">
                  <c:v>0.43522570999999999</c:v>
                </c:pt>
                <c:pt idx="837">
                  <c:v>0.43655733000000002</c:v>
                </c:pt>
                <c:pt idx="838">
                  <c:v>0.43452885000000002</c:v>
                </c:pt>
                <c:pt idx="839">
                  <c:v>0.45198268000000003</c:v>
                </c:pt>
                <c:pt idx="840">
                  <c:v>0.49225047999999999</c:v>
                </c:pt>
                <c:pt idx="841">
                  <c:v>0.51066940999999999</c:v>
                </c:pt>
                <c:pt idx="842">
                  <c:v>0.50844522999999997</c:v>
                </c:pt>
                <c:pt idx="843">
                  <c:v>0.51776922999999997</c:v>
                </c:pt>
                <c:pt idx="844">
                  <c:v>0.47824238000000002</c:v>
                </c:pt>
                <c:pt idx="845">
                  <c:v>0.43030836</c:v>
                </c:pt>
                <c:pt idx="846">
                  <c:v>0.41770215999999999</c:v>
                </c:pt>
                <c:pt idx="847">
                  <c:v>0.42606885999999999</c:v>
                </c:pt>
                <c:pt idx="848">
                  <c:v>0.44795372</c:v>
                </c:pt>
                <c:pt idx="849">
                  <c:v>0.44063657000000001</c:v>
                </c:pt>
                <c:pt idx="850">
                  <c:v>0.45347109000000002</c:v>
                </c:pt>
                <c:pt idx="851">
                  <c:v>0.46728881999999999</c:v>
                </c:pt>
                <c:pt idx="852">
                  <c:v>0.43683656999999998</c:v>
                </c:pt>
                <c:pt idx="853">
                  <c:v>0.43107715000000002</c:v>
                </c:pt>
                <c:pt idx="854">
                  <c:v>0.43663878</c:v>
                </c:pt>
                <c:pt idx="855">
                  <c:v>0.47910324999999998</c:v>
                </c:pt>
                <c:pt idx="856">
                  <c:v>0.47910324999999998</c:v>
                </c:pt>
                <c:pt idx="857">
                  <c:v>0.48273333000000002</c:v>
                </c:pt>
                <c:pt idx="858">
                  <c:v>0.48811768</c:v>
                </c:pt>
                <c:pt idx="859">
                  <c:v>0.44795372</c:v>
                </c:pt>
                <c:pt idx="860">
                  <c:v>0.41588460999999999</c:v>
                </c:pt>
                <c:pt idx="861">
                  <c:v>0.44317708</c:v>
                </c:pt>
                <c:pt idx="862">
                  <c:v>0.43261189</c:v>
                </c:pt>
                <c:pt idx="863">
                  <c:v>0.44959285999999998</c:v>
                </c:pt>
                <c:pt idx="864">
                  <c:v>0.42414057999999999</c:v>
                </c:pt>
                <c:pt idx="865">
                  <c:v>0.41925241000000002</c:v>
                </c:pt>
                <c:pt idx="866">
                  <c:v>0.44509471</c:v>
                </c:pt>
                <c:pt idx="867">
                  <c:v>0.45464160999999997</c:v>
                </c:pt>
                <c:pt idx="868">
                  <c:v>0.45575253999999998</c:v>
                </c:pt>
                <c:pt idx="869">
                  <c:v>0.43155733000000002</c:v>
                </c:pt>
                <c:pt idx="870">
                  <c:v>0.46029262999999998</c:v>
                </c:pt>
                <c:pt idx="871">
                  <c:v>0.46856598999999999</c:v>
                </c:pt>
                <c:pt idx="872">
                  <c:v>0.45912554999999999</c:v>
                </c:pt>
                <c:pt idx="873">
                  <c:v>0.44966915000000002</c:v>
                </c:pt>
                <c:pt idx="874">
                  <c:v>0.47060174999999999</c:v>
                </c:pt>
                <c:pt idx="875">
                  <c:v>0.48660392000000002</c:v>
                </c:pt>
                <c:pt idx="876">
                  <c:v>0.52088334000000003</c:v>
                </c:pt>
                <c:pt idx="877">
                  <c:v>0.48660392000000002</c:v>
                </c:pt>
                <c:pt idx="878">
                  <c:v>0.46856598999999999</c:v>
                </c:pt>
                <c:pt idx="879">
                  <c:v>0.46301792000000003</c:v>
                </c:pt>
                <c:pt idx="880">
                  <c:v>0.48298119</c:v>
                </c:pt>
                <c:pt idx="881">
                  <c:v>0.48718482000000002</c:v>
                </c:pt>
                <c:pt idx="882">
                  <c:v>0.49504305999999998</c:v>
                </c:pt>
                <c:pt idx="883">
                  <c:v>0.50171093</c:v>
                </c:pt>
                <c:pt idx="884">
                  <c:v>0.51857653999999997</c:v>
                </c:pt>
                <c:pt idx="885">
                  <c:v>0.53780130000000004</c:v>
                </c:pt>
                <c:pt idx="886">
                  <c:v>0.53590711999999996</c:v>
                </c:pt>
                <c:pt idx="887">
                  <c:v>0.48863521999999998</c:v>
                </c:pt>
                <c:pt idx="888">
                  <c:v>0.47231786999999997</c:v>
                </c:pt>
                <c:pt idx="889">
                  <c:v>0.44790039999999998</c:v>
                </c:pt>
                <c:pt idx="890">
                  <c:v>0.43695918</c:v>
                </c:pt>
                <c:pt idx="891">
                  <c:v>0.43049915999999999</c:v>
                </c:pt>
                <c:pt idx="892">
                  <c:v>0.4137323</c:v>
                </c:pt>
                <c:pt idx="893">
                  <c:v>0.43049915999999999</c:v>
                </c:pt>
                <c:pt idx="894">
                  <c:v>0.43119647999999999</c:v>
                </c:pt>
                <c:pt idx="895">
                  <c:v>0.39612236000000001</c:v>
                </c:pt>
                <c:pt idx="896">
                  <c:v>0.40726297</c:v>
                </c:pt>
                <c:pt idx="897">
                  <c:v>0.40479328999999997</c:v>
                </c:pt>
                <c:pt idx="898">
                  <c:v>0.39334992000000002</c:v>
                </c:pt>
                <c:pt idx="899">
                  <c:v>0.38833265</c:v>
                </c:pt>
                <c:pt idx="900">
                  <c:v>0.40994187999999998</c:v>
                </c:pt>
                <c:pt idx="901">
                  <c:v>0.41911308000000003</c:v>
                </c:pt>
                <c:pt idx="902">
                  <c:v>0.43566015000000002</c:v>
                </c:pt>
                <c:pt idx="903">
                  <c:v>0.41973912000000002</c:v>
                </c:pt>
                <c:pt idx="904">
                  <c:v>0.45034148000000002</c:v>
                </c:pt>
                <c:pt idx="905">
                  <c:v>0.43658808999999998</c:v>
                </c:pt>
                <c:pt idx="906">
                  <c:v>0.45435885999999998</c:v>
                </c:pt>
                <c:pt idx="907">
                  <c:v>0.44080891</c:v>
                </c:pt>
                <c:pt idx="908">
                  <c:v>0.48681100999999999</c:v>
                </c:pt>
                <c:pt idx="909">
                  <c:v>0.47555366999999998</c:v>
                </c:pt>
                <c:pt idx="910">
                  <c:v>0.47165448999999998</c:v>
                </c:pt>
                <c:pt idx="911">
                  <c:v>0.48395365000000001</c:v>
                </c:pt>
                <c:pt idx="912">
                  <c:v>0.53872109999999995</c:v>
                </c:pt>
                <c:pt idx="913">
                  <c:v>0.53950783999999996</c:v>
                </c:pt>
                <c:pt idx="914">
                  <c:v>0.53786215000000004</c:v>
                </c:pt>
                <c:pt idx="915">
                  <c:v>0.54040732000000002</c:v>
                </c:pt>
                <c:pt idx="916">
                  <c:v>0.58185359999999997</c:v>
                </c:pt>
                <c:pt idx="917">
                  <c:v>0.61046866</c:v>
                </c:pt>
                <c:pt idx="918">
                  <c:v>0.58581174999999996</c:v>
                </c:pt>
                <c:pt idx="919">
                  <c:v>0.5809723</c:v>
                </c:pt>
                <c:pt idx="920">
                  <c:v>0.58745733</c:v>
                </c:pt>
                <c:pt idx="921">
                  <c:v>0.58248991000000006</c:v>
                </c:pt>
                <c:pt idx="922">
                  <c:v>0.58371083000000001</c:v>
                </c:pt>
                <c:pt idx="923">
                  <c:v>0.57350184999999998</c:v>
                </c:pt>
                <c:pt idx="924">
                  <c:v>0.56916891000000003</c:v>
                </c:pt>
                <c:pt idx="925">
                  <c:v>0.57517284000000002</c:v>
                </c:pt>
                <c:pt idx="926">
                  <c:v>0.56621257999999997</c:v>
                </c:pt>
                <c:pt idx="927">
                  <c:v>0.55231045999999995</c:v>
                </c:pt>
                <c:pt idx="928">
                  <c:v>0.56428913000000003</c:v>
                </c:pt>
                <c:pt idx="929">
                  <c:v>0.55191319999999999</c:v>
                </c:pt>
                <c:pt idx="930">
                  <c:v>0.51669485000000004</c:v>
                </c:pt>
                <c:pt idx="931">
                  <c:v>0.52073263000000003</c:v>
                </c:pt>
                <c:pt idx="932">
                  <c:v>0.53403869000000004</c:v>
                </c:pt>
                <c:pt idx="933">
                  <c:v>0.52681778999999995</c:v>
                </c:pt>
                <c:pt idx="934">
                  <c:v>0.56332722000000002</c:v>
                </c:pt>
                <c:pt idx="935">
                  <c:v>0.54089107999999997</c:v>
                </c:pt>
                <c:pt idx="936">
                  <c:v>0.55171208000000005</c:v>
                </c:pt>
                <c:pt idx="937">
                  <c:v>0.55857886000000001</c:v>
                </c:pt>
                <c:pt idx="938">
                  <c:v>0.57386685999999998</c:v>
                </c:pt>
                <c:pt idx="939">
                  <c:v>0.57256868000000005</c:v>
                </c:pt>
                <c:pt idx="940">
                  <c:v>0.57506597999999998</c:v>
                </c:pt>
                <c:pt idx="941">
                  <c:v>0.56281760999999997</c:v>
                </c:pt>
                <c:pt idx="942">
                  <c:v>0.57240922999999999</c:v>
                </c:pt>
                <c:pt idx="943">
                  <c:v>0.57608892</c:v>
                </c:pt>
                <c:pt idx="944">
                  <c:v>0.57921135000000001</c:v>
                </c:pt>
                <c:pt idx="945">
                  <c:v>0.59653157000000001</c:v>
                </c:pt>
                <c:pt idx="946">
                  <c:v>0.58658396999999995</c:v>
                </c:pt>
                <c:pt idx="947">
                  <c:v>0.60133714000000005</c:v>
                </c:pt>
                <c:pt idx="948">
                  <c:v>0.59072795</c:v>
                </c:pt>
                <c:pt idx="949">
                  <c:v>0.57114505000000004</c:v>
                </c:pt>
                <c:pt idx="950">
                  <c:v>0.57867104999999996</c:v>
                </c:pt>
                <c:pt idx="951">
                  <c:v>0.58835028</c:v>
                </c:pt>
                <c:pt idx="952">
                  <c:v>0.57239673000000002</c:v>
                </c:pt>
                <c:pt idx="953">
                  <c:v>0.58594712999999998</c:v>
                </c:pt>
                <c:pt idx="954">
                  <c:v>0.59463946999999995</c:v>
                </c:pt>
                <c:pt idx="955">
                  <c:v>0.59762468000000002</c:v>
                </c:pt>
                <c:pt idx="956">
                  <c:v>0.59234335000000005</c:v>
                </c:pt>
                <c:pt idx="957">
                  <c:v>0.61318455999999999</c:v>
                </c:pt>
                <c:pt idx="958">
                  <c:v>0.60500788999999999</c:v>
                </c:pt>
                <c:pt idx="959">
                  <c:v>0.61851102999999996</c:v>
                </c:pt>
                <c:pt idx="960">
                  <c:v>0.60999000999999997</c:v>
                </c:pt>
                <c:pt idx="961">
                  <c:v>0.60467766000000001</c:v>
                </c:pt>
                <c:pt idx="962">
                  <c:v>0.61106543000000002</c:v>
                </c:pt>
                <c:pt idx="963">
                  <c:v>0.61490803999999999</c:v>
                </c:pt>
                <c:pt idx="964">
                  <c:v>0.58426213999999999</c:v>
                </c:pt>
                <c:pt idx="965">
                  <c:v>0.59024577</c:v>
                </c:pt>
                <c:pt idx="966">
                  <c:v>0.59844739000000002</c:v>
                </c:pt>
                <c:pt idx="967">
                  <c:v>0.60730706999999995</c:v>
                </c:pt>
                <c:pt idx="968">
                  <c:v>0.60957428000000002</c:v>
                </c:pt>
                <c:pt idx="969">
                  <c:v>0.60249396</c:v>
                </c:pt>
                <c:pt idx="970">
                  <c:v>0.61630004999999999</c:v>
                </c:pt>
                <c:pt idx="971">
                  <c:v>0.64440816999999995</c:v>
                </c:pt>
                <c:pt idx="972">
                  <c:v>0.67838461999999999</c:v>
                </c:pt>
                <c:pt idx="973">
                  <c:v>0.65653189999999995</c:v>
                </c:pt>
                <c:pt idx="974">
                  <c:v>0.63669825000000002</c:v>
                </c:pt>
                <c:pt idx="975">
                  <c:v>0.64879244000000003</c:v>
                </c:pt>
                <c:pt idx="976">
                  <c:v>0.66995446999999997</c:v>
                </c:pt>
                <c:pt idx="977">
                  <c:v>0.67716757999999999</c:v>
                </c:pt>
                <c:pt idx="978">
                  <c:v>0.75092638</c:v>
                </c:pt>
                <c:pt idx="979">
                  <c:v>0.77820301999999997</c:v>
                </c:pt>
                <c:pt idx="980">
                  <c:v>0.69078755999999997</c:v>
                </c:pt>
                <c:pt idx="981">
                  <c:v>0.68268572999999999</c:v>
                </c:pt>
                <c:pt idx="982">
                  <c:v>0.63813522</c:v>
                </c:pt>
                <c:pt idx="983">
                  <c:v>0.63573738000000002</c:v>
                </c:pt>
                <c:pt idx="984">
                  <c:v>0.65375899999999998</c:v>
                </c:pt>
                <c:pt idx="985">
                  <c:v>0.64299956000000003</c:v>
                </c:pt>
                <c:pt idx="986">
                  <c:v>0.64752867000000003</c:v>
                </c:pt>
                <c:pt idx="987">
                  <c:v>0.70869574000000002</c:v>
                </c:pt>
                <c:pt idx="988">
                  <c:v>0.70072699999999999</c:v>
                </c:pt>
                <c:pt idx="989">
                  <c:v>0.76666900999999998</c:v>
                </c:pt>
                <c:pt idx="990">
                  <c:v>0.76793736999999995</c:v>
                </c:pt>
                <c:pt idx="991">
                  <c:v>0.67780158999999995</c:v>
                </c:pt>
                <c:pt idx="992">
                  <c:v>0.65356482999999999</c:v>
                </c:pt>
                <c:pt idx="993">
                  <c:v>0.65571170999999995</c:v>
                </c:pt>
                <c:pt idx="994">
                  <c:v>0.61649233999999997</c:v>
                </c:pt>
                <c:pt idx="995">
                  <c:v>0.61306892999999996</c:v>
                </c:pt>
                <c:pt idx="996">
                  <c:v>0.58853548</c:v>
                </c:pt>
                <c:pt idx="997">
                  <c:v>0.62854273999999999</c:v>
                </c:pt>
                <c:pt idx="998">
                  <c:v>0.63304419999999995</c:v>
                </c:pt>
                <c:pt idx="999">
                  <c:v>0.62768749999999995</c:v>
                </c:pt>
                <c:pt idx="1000">
                  <c:v>0.57876243000000005</c:v>
                </c:pt>
                <c:pt idx="1001">
                  <c:v>0.61774534000000003</c:v>
                </c:pt>
                <c:pt idx="1002">
                  <c:v>0.60779223000000004</c:v>
                </c:pt>
                <c:pt idx="1003">
                  <c:v>0.60118245999999997</c:v>
                </c:pt>
                <c:pt idx="1004">
                  <c:v>0.61867640999999995</c:v>
                </c:pt>
                <c:pt idx="1005">
                  <c:v>0.63591737999999998</c:v>
                </c:pt>
                <c:pt idx="1006">
                  <c:v>0.63216313999999996</c:v>
                </c:pt>
                <c:pt idx="1007">
                  <c:v>0.62146232000000001</c:v>
                </c:pt>
                <c:pt idx="1008">
                  <c:v>0.62925392000000002</c:v>
                </c:pt>
                <c:pt idx="1009">
                  <c:v>0.60068379999999999</c:v>
                </c:pt>
                <c:pt idx="1010">
                  <c:v>0.58614091000000001</c:v>
                </c:pt>
                <c:pt idx="1011">
                  <c:v>0.60724995999999998</c:v>
                </c:pt>
                <c:pt idx="1012">
                  <c:v>0.61056266000000003</c:v>
                </c:pt>
                <c:pt idx="1013">
                  <c:v>0.5608168</c:v>
                </c:pt>
                <c:pt idx="1014">
                  <c:v>0.5745268</c:v>
                </c:pt>
                <c:pt idx="1015">
                  <c:v>0.59759189999999995</c:v>
                </c:pt>
                <c:pt idx="1016">
                  <c:v>0.59157618999999995</c:v>
                </c:pt>
                <c:pt idx="1017">
                  <c:v>0.59610173</c:v>
                </c:pt>
                <c:pt idx="1018">
                  <c:v>0.59032121000000004</c:v>
                </c:pt>
                <c:pt idx="1019">
                  <c:v>0.59252170000000004</c:v>
                </c:pt>
                <c:pt idx="1020">
                  <c:v>0.60466905000000004</c:v>
                </c:pt>
                <c:pt idx="1021">
                  <c:v>0.64537546000000001</c:v>
                </c:pt>
                <c:pt idx="1022">
                  <c:v>0.63880055000000002</c:v>
                </c:pt>
                <c:pt idx="1023">
                  <c:v>0.65412296000000003</c:v>
                </c:pt>
                <c:pt idx="1024">
                  <c:v>0.66015654000000001</c:v>
                </c:pt>
                <c:pt idx="1025">
                  <c:v>0.69357480999999999</c:v>
                </c:pt>
                <c:pt idx="1026">
                  <c:v>0.64140439000000005</c:v>
                </c:pt>
                <c:pt idx="1027">
                  <c:v>0.60937196000000005</c:v>
                </c:pt>
                <c:pt idx="1028">
                  <c:v>0.62801742999999999</c:v>
                </c:pt>
                <c:pt idx="1029">
                  <c:v>0.62881770999999997</c:v>
                </c:pt>
                <c:pt idx="1030">
                  <c:v>0.64278259999999998</c:v>
                </c:pt>
                <c:pt idx="1031">
                  <c:v>0.66718633000000005</c:v>
                </c:pt>
                <c:pt idx="1032">
                  <c:v>0.63871856000000005</c:v>
                </c:pt>
                <c:pt idx="1033">
                  <c:v>0.67304171000000002</c:v>
                </c:pt>
                <c:pt idx="1034">
                  <c:v>0.64741552000000002</c:v>
                </c:pt>
                <c:pt idx="1035">
                  <c:v>0.64951369999999997</c:v>
                </c:pt>
                <c:pt idx="1036">
                  <c:v>0.64690194999999995</c:v>
                </c:pt>
                <c:pt idx="1037">
                  <c:v>0.63509870000000002</c:v>
                </c:pt>
                <c:pt idx="1038">
                  <c:v>0.62711605000000004</c:v>
                </c:pt>
                <c:pt idx="1039">
                  <c:v>0.63732171999999998</c:v>
                </c:pt>
                <c:pt idx="1040">
                  <c:v>0.66014222</c:v>
                </c:pt>
                <c:pt idx="1041">
                  <c:v>0.64826311000000003</c:v>
                </c:pt>
                <c:pt idx="1042">
                  <c:v>0.65379001000000003</c:v>
                </c:pt>
                <c:pt idx="1043">
                  <c:v>0.65890435000000003</c:v>
                </c:pt>
                <c:pt idx="1044">
                  <c:v>0.64190619000000004</c:v>
                </c:pt>
                <c:pt idx="1045">
                  <c:v>0.63233556000000002</c:v>
                </c:pt>
                <c:pt idx="1046">
                  <c:v>0.61916736999999999</c:v>
                </c:pt>
                <c:pt idx="1047">
                  <c:v>0.62872844000000006</c:v>
                </c:pt>
                <c:pt idx="1048">
                  <c:v>0.63907605999999995</c:v>
                </c:pt>
                <c:pt idx="1049">
                  <c:v>0.63426943000000002</c:v>
                </c:pt>
                <c:pt idx="1050">
                  <c:v>0.6113807</c:v>
                </c:pt>
                <c:pt idx="1051">
                  <c:v>0.60890275999999999</c:v>
                </c:pt>
                <c:pt idx="1052">
                  <c:v>0.60856288999999997</c:v>
                </c:pt>
                <c:pt idx="1053">
                  <c:v>0.57527417999999997</c:v>
                </c:pt>
                <c:pt idx="1054">
                  <c:v>0.56343195999999995</c:v>
                </c:pt>
                <c:pt idx="1055">
                  <c:v>0.54434817000000002</c:v>
                </c:pt>
                <c:pt idx="1056">
                  <c:v>0.54383247000000001</c:v>
                </c:pt>
                <c:pt idx="1057">
                  <c:v>0.57105379999999994</c:v>
                </c:pt>
                <c:pt idx="1058">
                  <c:v>0.59227565999999998</c:v>
                </c:pt>
                <c:pt idx="1059">
                  <c:v>0.54383247000000001</c:v>
                </c:pt>
                <c:pt idx="1060">
                  <c:v>0.53697927999999995</c:v>
                </c:pt>
                <c:pt idx="1061">
                  <c:v>0.53282945000000004</c:v>
                </c:pt>
                <c:pt idx="1062">
                  <c:v>0.55462948999999995</c:v>
                </c:pt>
                <c:pt idx="1063">
                  <c:v>0.58997149000000004</c:v>
                </c:pt>
                <c:pt idx="1064">
                  <c:v>0.56506259999999997</c:v>
                </c:pt>
                <c:pt idx="1065">
                  <c:v>0.54660865999999997</c:v>
                </c:pt>
                <c:pt idx="1066">
                  <c:v>0.54219410999999995</c:v>
                </c:pt>
                <c:pt idx="1067">
                  <c:v>0.56754351999999997</c:v>
                </c:pt>
                <c:pt idx="1068">
                  <c:v>0.55246136000000001</c:v>
                </c:pt>
                <c:pt idx="1069">
                  <c:v>0.57070580999999998</c:v>
                </c:pt>
                <c:pt idx="1070">
                  <c:v>0.55839386999999996</c:v>
                </c:pt>
                <c:pt idx="1071">
                  <c:v>0.56120232000000003</c:v>
                </c:pt>
                <c:pt idx="1072">
                  <c:v>0.57203724</c:v>
                </c:pt>
                <c:pt idx="1073">
                  <c:v>0.52927780000000002</c:v>
                </c:pt>
                <c:pt idx="1074">
                  <c:v>0.50560183999999997</c:v>
                </c:pt>
                <c:pt idx="1075">
                  <c:v>0.46091277000000003</c:v>
                </c:pt>
                <c:pt idx="1076">
                  <c:v>0.49867202999999999</c:v>
                </c:pt>
                <c:pt idx="1077">
                  <c:v>0.43004924</c:v>
                </c:pt>
                <c:pt idx="1078">
                  <c:v>0.45300783</c:v>
                </c:pt>
                <c:pt idx="1079">
                  <c:v>0.42406532000000002</c:v>
                </c:pt>
                <c:pt idx="1080">
                  <c:v>0.40268363000000001</c:v>
                </c:pt>
                <c:pt idx="1081">
                  <c:v>0.47962304</c:v>
                </c:pt>
                <c:pt idx="1082">
                  <c:v>0.46608720999999997</c:v>
                </c:pt>
                <c:pt idx="1083">
                  <c:v>0.47166384</c:v>
                </c:pt>
                <c:pt idx="1084">
                  <c:v>0.49552404999999999</c:v>
                </c:pt>
                <c:pt idx="1085">
                  <c:v>0.49291583999999999</c:v>
                </c:pt>
                <c:pt idx="1086">
                  <c:v>0.48320742999999999</c:v>
                </c:pt>
                <c:pt idx="1087">
                  <c:v>0.51637186999999996</c:v>
                </c:pt>
                <c:pt idx="1088">
                  <c:v>0.45692780999999999</c:v>
                </c:pt>
                <c:pt idx="1089">
                  <c:v>0.42691006999999997</c:v>
                </c:pt>
                <c:pt idx="1090">
                  <c:v>0.43110091</c:v>
                </c:pt>
                <c:pt idx="1091">
                  <c:v>0.41325156000000002</c:v>
                </c:pt>
                <c:pt idx="1092">
                  <c:v>0.35438286000000002</c:v>
                </c:pt>
                <c:pt idx="1093">
                  <c:v>0.43423267999999998</c:v>
                </c:pt>
                <c:pt idx="1094">
                  <c:v>0.4424227</c:v>
                </c:pt>
                <c:pt idx="1095">
                  <c:v>0.39231037000000002</c:v>
                </c:pt>
                <c:pt idx="1096">
                  <c:v>0.41464839999999997</c:v>
                </c:pt>
                <c:pt idx="1097">
                  <c:v>0.48204760000000002</c:v>
                </c:pt>
                <c:pt idx="1098">
                  <c:v>0.50027485000000005</c:v>
                </c:pt>
                <c:pt idx="1099">
                  <c:v>0.49109761000000002</c:v>
                </c:pt>
                <c:pt idx="1100">
                  <c:v>0.43686424000000001</c:v>
                </c:pt>
                <c:pt idx="1101">
                  <c:v>0.36671435000000002</c:v>
                </c:pt>
                <c:pt idx="1102">
                  <c:v>0.36916188</c:v>
                </c:pt>
                <c:pt idx="1103">
                  <c:v>0.39714528999999998</c:v>
                </c:pt>
                <c:pt idx="1104">
                  <c:v>0.43686424000000001</c:v>
                </c:pt>
                <c:pt idx="1105">
                  <c:v>0.43721469000000002</c:v>
                </c:pt>
                <c:pt idx="1106">
                  <c:v>0.44583529999999999</c:v>
                </c:pt>
                <c:pt idx="1107">
                  <c:v>0.43253349000000002</c:v>
                </c:pt>
                <c:pt idx="1108">
                  <c:v>0.45450624000000001</c:v>
                </c:pt>
                <c:pt idx="1109">
                  <c:v>0.46379726999999998</c:v>
                </c:pt>
                <c:pt idx="1110">
                  <c:v>0.48346902000000003</c:v>
                </c:pt>
                <c:pt idx="1111">
                  <c:v>0.47806061999999999</c:v>
                </c:pt>
                <c:pt idx="1112">
                  <c:v>0.49836355999999998</c:v>
                </c:pt>
                <c:pt idx="1113">
                  <c:v>0.50078915000000002</c:v>
                </c:pt>
                <c:pt idx="1114">
                  <c:v>0.48791089999999998</c:v>
                </c:pt>
                <c:pt idx="1115">
                  <c:v>0.48860219999999999</c:v>
                </c:pt>
                <c:pt idx="1116">
                  <c:v>0.51760958999999995</c:v>
                </c:pt>
                <c:pt idx="1117">
                  <c:v>0.52361420000000003</c:v>
                </c:pt>
                <c:pt idx="1118">
                  <c:v>0.49985484000000002</c:v>
                </c:pt>
                <c:pt idx="1119">
                  <c:v>0.49262108999999998</c:v>
                </c:pt>
                <c:pt idx="1120">
                  <c:v>0.50436276000000002</c:v>
                </c:pt>
                <c:pt idx="1121">
                  <c:v>0.52122531999999999</c:v>
                </c:pt>
                <c:pt idx="1122">
                  <c:v>0.50362235</c:v>
                </c:pt>
                <c:pt idx="1123">
                  <c:v>0.54047655999999999</c:v>
                </c:pt>
                <c:pt idx="1124">
                  <c:v>0.51406275000000001</c:v>
                </c:pt>
                <c:pt idx="1125">
                  <c:v>0.49770785000000001</c:v>
                </c:pt>
                <c:pt idx="1126">
                  <c:v>0.48956336</c:v>
                </c:pt>
                <c:pt idx="1127">
                  <c:v>0.50021404999999997</c:v>
                </c:pt>
                <c:pt idx="1128">
                  <c:v>0.49077204000000002</c:v>
                </c:pt>
                <c:pt idx="1129">
                  <c:v>0.52031886000000005</c:v>
                </c:pt>
                <c:pt idx="1130">
                  <c:v>0.53631419999999996</c:v>
                </c:pt>
                <c:pt idx="1131">
                  <c:v>0.54741704999999996</c:v>
                </c:pt>
                <c:pt idx="1132">
                  <c:v>0.56736513</c:v>
                </c:pt>
                <c:pt idx="1133">
                  <c:v>0.51305791999999995</c:v>
                </c:pt>
                <c:pt idx="1134">
                  <c:v>0.51647642000000005</c:v>
                </c:pt>
                <c:pt idx="1135">
                  <c:v>0.51793573000000004</c:v>
                </c:pt>
                <c:pt idx="1136">
                  <c:v>0.51574027</c:v>
                </c:pt>
                <c:pt idx="1137">
                  <c:v>0.50869439000000005</c:v>
                </c:pt>
                <c:pt idx="1138">
                  <c:v>0.51178652000000002</c:v>
                </c:pt>
                <c:pt idx="1139">
                  <c:v>0.50599921999999997</c:v>
                </c:pt>
                <c:pt idx="1140">
                  <c:v>0.51889669999999999</c:v>
                </c:pt>
                <c:pt idx="1141">
                  <c:v>0.53448357999999996</c:v>
                </c:pt>
                <c:pt idx="1142">
                  <c:v>0.51178652000000002</c:v>
                </c:pt>
                <c:pt idx="1143">
                  <c:v>0.50698535</c:v>
                </c:pt>
                <c:pt idx="1144">
                  <c:v>0.49792618999999999</c:v>
                </c:pt>
                <c:pt idx="1145">
                  <c:v>0.50244840000000002</c:v>
                </c:pt>
                <c:pt idx="1146">
                  <c:v>0.50553360999999997</c:v>
                </c:pt>
                <c:pt idx="1147">
                  <c:v>0.47261544999999999</c:v>
                </c:pt>
                <c:pt idx="1148">
                  <c:v>0.49091327000000001</c:v>
                </c:pt>
                <c:pt idx="1149">
                  <c:v>0.52915392000000006</c:v>
                </c:pt>
                <c:pt idx="1150">
                  <c:v>0.55836633000000002</c:v>
                </c:pt>
                <c:pt idx="1151">
                  <c:v>0.51756157999999997</c:v>
                </c:pt>
                <c:pt idx="1152">
                  <c:v>0.54699834000000003</c:v>
                </c:pt>
                <c:pt idx="1153">
                  <c:v>0.51456749000000002</c:v>
                </c:pt>
                <c:pt idx="1154">
                  <c:v>0.51546252000000004</c:v>
                </c:pt>
                <c:pt idx="1155">
                  <c:v>0.50470086000000003</c:v>
                </c:pt>
                <c:pt idx="1156">
                  <c:v>0.52561398999999998</c:v>
                </c:pt>
                <c:pt idx="1157">
                  <c:v>0.54699834000000003</c:v>
                </c:pt>
                <c:pt idx="1158">
                  <c:v>0.55419123999999997</c:v>
                </c:pt>
                <c:pt idx="1159">
                  <c:v>0.56462911000000005</c:v>
                </c:pt>
                <c:pt idx="1160">
                  <c:v>0.59206276000000002</c:v>
                </c:pt>
                <c:pt idx="1161">
                  <c:v>0.56743953999999996</c:v>
                </c:pt>
                <c:pt idx="1162">
                  <c:v>0.57890863999999997</c:v>
                </c:pt>
                <c:pt idx="1163">
                  <c:v>0.57359285000000004</c:v>
                </c:pt>
                <c:pt idx="1164">
                  <c:v>0.54491213000000005</c:v>
                </c:pt>
                <c:pt idx="1165">
                  <c:v>0.54440880999999997</c:v>
                </c:pt>
                <c:pt idx="1166">
                  <c:v>0.56100377000000001</c:v>
                </c:pt>
                <c:pt idx="1167">
                  <c:v>0.58353460999999995</c:v>
                </c:pt>
                <c:pt idx="1168">
                  <c:v>0.57359285000000004</c:v>
                </c:pt>
                <c:pt idx="1169">
                  <c:v>0.57089999999999996</c:v>
                </c:pt>
                <c:pt idx="1170">
                  <c:v>0.56985229999999998</c:v>
                </c:pt>
                <c:pt idx="1171">
                  <c:v>0.54682167000000004</c:v>
                </c:pt>
                <c:pt idx="1172">
                  <c:v>0.55860147999999998</c:v>
                </c:pt>
                <c:pt idx="1173">
                  <c:v>0.57587261000000001</c:v>
                </c:pt>
                <c:pt idx="1174">
                  <c:v>0.54362469000000002</c:v>
                </c:pt>
                <c:pt idx="1175">
                  <c:v>0.55113287</c:v>
                </c:pt>
                <c:pt idx="1176">
                  <c:v>0.57160407999999996</c:v>
                </c:pt>
                <c:pt idx="1177">
                  <c:v>0.55113287</c:v>
                </c:pt>
                <c:pt idx="1178">
                  <c:v>0.50746528000000002</c:v>
                </c:pt>
                <c:pt idx="1179">
                  <c:v>0.52637942999999998</c:v>
                </c:pt>
                <c:pt idx="1180">
                  <c:v>0.50891735999999999</c:v>
                </c:pt>
                <c:pt idx="1181">
                  <c:v>0.49479933999999998</c:v>
                </c:pt>
                <c:pt idx="1182">
                  <c:v>0.48993692</c:v>
                </c:pt>
                <c:pt idx="1183">
                  <c:v>0.48840109999999998</c:v>
                </c:pt>
                <c:pt idx="1184">
                  <c:v>0.45491517999999997</c:v>
                </c:pt>
                <c:pt idx="1185">
                  <c:v>0.43414174</c:v>
                </c:pt>
                <c:pt idx="1186">
                  <c:v>0.45419498000000003</c:v>
                </c:pt>
                <c:pt idx="1187">
                  <c:v>0.44028864000000001</c:v>
                </c:pt>
                <c:pt idx="1188">
                  <c:v>0.46793132999999998</c:v>
                </c:pt>
                <c:pt idx="1189">
                  <c:v>0.47244762000000001</c:v>
                </c:pt>
                <c:pt idx="1190">
                  <c:v>0.47802441000000001</c:v>
                </c:pt>
                <c:pt idx="1191">
                  <c:v>0.48255048</c:v>
                </c:pt>
                <c:pt idx="1192">
                  <c:v>0.48797668999999999</c:v>
                </c:pt>
                <c:pt idx="1193">
                  <c:v>0.48276687000000001</c:v>
                </c:pt>
                <c:pt idx="1194">
                  <c:v>0.48276687000000001</c:v>
                </c:pt>
                <c:pt idx="1195">
                  <c:v>0.48422739999999997</c:v>
                </c:pt>
                <c:pt idx="1196">
                  <c:v>0.47208881000000003</c:v>
                </c:pt>
                <c:pt idx="1197">
                  <c:v>0.47558492000000002</c:v>
                </c:pt>
                <c:pt idx="1198">
                  <c:v>0.48084427000000002</c:v>
                </c:pt>
                <c:pt idx="1199">
                  <c:v>0.56660074000000005</c:v>
                </c:pt>
                <c:pt idx="1200">
                  <c:v>0.48488554</c:v>
                </c:pt>
                <c:pt idx="1201">
                  <c:v>0.40747510999999997</c:v>
                </c:pt>
                <c:pt idx="1202">
                  <c:v>0.4507641</c:v>
                </c:pt>
                <c:pt idx="1203">
                  <c:v>0.47633645000000002</c:v>
                </c:pt>
                <c:pt idx="1204">
                  <c:v>0.46573657000000002</c:v>
                </c:pt>
                <c:pt idx="1205">
                  <c:v>0.48373664</c:v>
                </c:pt>
                <c:pt idx="1206">
                  <c:v>0.47195742000000002</c:v>
                </c:pt>
                <c:pt idx="1207">
                  <c:v>0.49263546000000003</c:v>
                </c:pt>
                <c:pt idx="1208">
                  <c:v>0.47264946000000002</c:v>
                </c:pt>
                <c:pt idx="1209">
                  <c:v>0.45523454000000002</c:v>
                </c:pt>
                <c:pt idx="1210">
                  <c:v>0.44349123000000001</c:v>
                </c:pt>
                <c:pt idx="1211">
                  <c:v>0.4698406</c:v>
                </c:pt>
                <c:pt idx="1212">
                  <c:v>0.47921917000000003</c:v>
                </c:pt>
                <c:pt idx="1213">
                  <c:v>0.47717956</c:v>
                </c:pt>
                <c:pt idx="1214">
                  <c:v>0.45523454000000002</c:v>
                </c:pt>
                <c:pt idx="1215">
                  <c:v>0.44537185000000001</c:v>
                </c:pt>
                <c:pt idx="1216">
                  <c:v>0.45615067999999998</c:v>
                </c:pt>
                <c:pt idx="1217">
                  <c:v>0.47089364</c:v>
                </c:pt>
                <c:pt idx="1218">
                  <c:v>0.43395194999999998</c:v>
                </c:pt>
                <c:pt idx="1219">
                  <c:v>0.42925727000000002</c:v>
                </c:pt>
                <c:pt idx="1220">
                  <c:v>0.46126540999999999</c:v>
                </c:pt>
                <c:pt idx="1221">
                  <c:v>0.46317427999999999</c:v>
                </c:pt>
                <c:pt idx="1222">
                  <c:v>0.46228602000000002</c:v>
                </c:pt>
                <c:pt idx="1223">
                  <c:v>0.47847035999999998</c:v>
                </c:pt>
                <c:pt idx="1224">
                  <c:v>0.48494499000000002</c:v>
                </c:pt>
                <c:pt idx="1225">
                  <c:v>0.49696595999999998</c:v>
                </c:pt>
                <c:pt idx="1226">
                  <c:v>0.49069705000000002</c:v>
                </c:pt>
                <c:pt idx="1227">
                  <c:v>0.52167472000000004</c:v>
                </c:pt>
                <c:pt idx="1228">
                  <c:v>0.50384284000000001</c:v>
                </c:pt>
                <c:pt idx="1229">
                  <c:v>0.49594749999999999</c:v>
                </c:pt>
                <c:pt idx="1230">
                  <c:v>0.52107168000000004</c:v>
                </c:pt>
                <c:pt idx="1231">
                  <c:v>0.51856720000000001</c:v>
                </c:pt>
                <c:pt idx="1232">
                  <c:v>0.51737109000000003</c:v>
                </c:pt>
                <c:pt idx="1233">
                  <c:v>0.54936136999999996</c:v>
                </c:pt>
                <c:pt idx="1234">
                  <c:v>0.53387094000000002</c:v>
                </c:pt>
                <c:pt idx="1235">
                  <c:v>0.54513613000000005</c:v>
                </c:pt>
                <c:pt idx="1236">
                  <c:v>0.56985235999999995</c:v>
                </c:pt>
                <c:pt idx="1237">
                  <c:v>0.56800748999999995</c:v>
                </c:pt>
                <c:pt idx="1238">
                  <c:v>0.57711681000000004</c:v>
                </c:pt>
                <c:pt idx="1239">
                  <c:v>0.62325063999999997</c:v>
                </c:pt>
                <c:pt idx="1240">
                  <c:v>0.57364006000000001</c:v>
                </c:pt>
                <c:pt idx="1241">
                  <c:v>0.64022367000000002</c:v>
                </c:pt>
                <c:pt idx="1242">
                  <c:v>0.64134849999999999</c:v>
                </c:pt>
                <c:pt idx="1243">
                  <c:v>0.62090383000000005</c:v>
                </c:pt>
                <c:pt idx="1244">
                  <c:v>0.62575740000000002</c:v>
                </c:pt>
                <c:pt idx="1245">
                  <c:v>0.68939402999999999</c:v>
                </c:pt>
                <c:pt idx="1246">
                  <c:v>0.72648203</c:v>
                </c:pt>
                <c:pt idx="1247">
                  <c:v>0.74538501999999995</c:v>
                </c:pt>
                <c:pt idx="1248">
                  <c:v>0.74538501999999995</c:v>
                </c:pt>
                <c:pt idx="1249">
                  <c:v>0.65222623000000002</c:v>
                </c:pt>
              </c:numCache>
            </c:numRef>
          </c:val>
          <c:smooth val="0"/>
        </c:ser>
        <c:dLbls>
          <c:showLegendKey val="0"/>
          <c:showVal val="0"/>
          <c:showCatName val="0"/>
          <c:showSerName val="0"/>
          <c:showPercent val="0"/>
          <c:showBubbleSize val="0"/>
        </c:dLbls>
        <c:marker val="1"/>
        <c:smooth val="0"/>
        <c:axId val="232072704"/>
        <c:axId val="231210368"/>
      </c:lineChart>
      <c:dateAx>
        <c:axId val="231207296"/>
        <c:scaling>
          <c:orientation val="minMax"/>
        </c:scaling>
        <c:delete val="0"/>
        <c:axPos val="b"/>
        <c:numFmt formatCode="mm/dd/yyyy" sourceLinked="1"/>
        <c:majorTickMark val="out"/>
        <c:minorTickMark val="none"/>
        <c:tickLblPos val="nextTo"/>
        <c:crossAx val="231208832"/>
        <c:crosses val="autoZero"/>
        <c:auto val="1"/>
        <c:lblOffset val="100"/>
        <c:baseTimeUnit val="days"/>
      </c:dateAx>
      <c:valAx>
        <c:axId val="231208832"/>
        <c:scaling>
          <c:orientation val="minMax"/>
        </c:scaling>
        <c:delete val="0"/>
        <c:axPos val="l"/>
        <c:majorGridlines/>
        <c:numFmt formatCode="#,##0" sourceLinked="0"/>
        <c:majorTickMark val="out"/>
        <c:minorTickMark val="none"/>
        <c:tickLblPos val="nextTo"/>
        <c:crossAx val="231207296"/>
        <c:crosses val="autoZero"/>
        <c:crossBetween val="between"/>
      </c:valAx>
      <c:valAx>
        <c:axId val="231210368"/>
        <c:scaling>
          <c:orientation val="minMax"/>
        </c:scaling>
        <c:delete val="0"/>
        <c:axPos val="r"/>
        <c:numFmt formatCode="0.0%" sourceLinked="1"/>
        <c:majorTickMark val="out"/>
        <c:minorTickMark val="none"/>
        <c:tickLblPos val="nextTo"/>
        <c:crossAx val="232072704"/>
        <c:crosses val="max"/>
        <c:crossBetween val="between"/>
      </c:valAx>
      <c:dateAx>
        <c:axId val="232072704"/>
        <c:scaling>
          <c:orientation val="minMax"/>
        </c:scaling>
        <c:delete val="1"/>
        <c:axPos val="b"/>
        <c:numFmt formatCode="mm/dd/yyyy" sourceLinked="1"/>
        <c:majorTickMark val="out"/>
        <c:minorTickMark val="none"/>
        <c:tickLblPos val="nextTo"/>
        <c:crossAx val="231210368"/>
        <c:crosses val="autoZero"/>
        <c:auto val="1"/>
        <c:lblOffset val="100"/>
        <c:baseTimeUnit val="days"/>
      </c:dateAx>
    </c:plotArea>
    <c:legend>
      <c:legendPos val="b"/>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lineChart>
        <c:grouping val="standard"/>
        <c:varyColors val="0"/>
        <c:ser>
          <c:idx val="0"/>
          <c:order val="0"/>
          <c:tx>
            <c:strRef>
              <c:f>'OAS and Media Effect'!$B$1:$B$9</c:f>
              <c:strCache>
                <c:ptCount val="1"/>
                <c:pt idx="0">
                  <c:v>4.5 2010 314.000 311.000 283.000 282.000 267.000 286.000 285.000 374.000</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Effect'!$B$10:$B$1259</c:f>
            </c:numRef>
          </c:val>
          <c:smooth val="0"/>
        </c:ser>
        <c:ser>
          <c:idx val="1"/>
          <c:order val="1"/>
          <c:tx>
            <c:v>Barcap OAS</c:v>
          </c:tx>
          <c:marker>
            <c:symbol val="none"/>
          </c:marker>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Effect'!$C$10:$C$1259</c:f>
            </c:numRef>
          </c:val>
          <c:smooth val="0"/>
        </c:ser>
        <c:ser>
          <c:idx val="2"/>
          <c:order val="2"/>
          <c:tx>
            <c:strRef>
              <c:f>'OAS and Media Effect'!$D$1:$D$9</c:f>
              <c:strCache>
                <c:ptCount val="1"/>
                <c:pt idx="0">
                  <c:v>3.50 2012</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Effect'!$D$10:$D$1259</c:f>
            </c:numRef>
          </c:val>
          <c:smooth val="0"/>
        </c:ser>
        <c:ser>
          <c:idx val="3"/>
          <c:order val="3"/>
          <c:tx>
            <c:strRef>
              <c:f>'OAS and Media Effect'!$E$1:$E$9</c:f>
              <c:strCache>
                <c:ptCount val="1"/>
                <c:pt idx="0">
                  <c:v>3 2012</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Effect'!$E$10:$E$1259</c:f>
            </c:numRef>
          </c:val>
          <c:smooth val="0"/>
        </c:ser>
        <c:ser>
          <c:idx val="4"/>
          <c:order val="4"/>
          <c:tx>
            <c:strRef>
              <c:f>'OAS and Media Effect'!$F$1:$F$9</c:f>
              <c:strCache>
                <c:ptCount val="1"/>
                <c:pt idx="0">
                  <c:v>Conventional 30y Primary Mort Rate - Production 4.983 5.013 5.060 5.073 5.133 5.107 5.146 5.089</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Effect'!$F$10:$F$1259</c:f>
            </c:numRef>
          </c:val>
          <c:smooth val="0"/>
        </c:ser>
        <c:ser>
          <c:idx val="5"/>
          <c:order val="5"/>
          <c:tx>
            <c:strRef>
              <c:f>'OAS and Media Effect'!$G$1:$G$9</c:f>
              <c:strCache>
                <c:ptCount val="1"/>
                <c:pt idx="0">
                  <c:v>30 Year Refinanceable Universe (rhs) 61% 61% 61% 61% 61% 61% 51% 51%</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Effect'!$G$10:$G$1259</c:f>
            </c:numRef>
          </c:val>
          <c:smooth val="0"/>
        </c:ser>
        <c:ser>
          <c:idx val="6"/>
          <c:order val="6"/>
          <c:tx>
            <c:strRef>
              <c:f>'OAS and Media Effect'!$H$1:$H$9</c:f>
              <c:strCache>
                <c:ptCount val="1"/>
                <c:pt idx="0">
                  <c:v>30 Year Refinanceable Universe (rhs) 4/2/2012 4/3/2012 4/4/2012 4/5/2012 4/6/2012 4/9/2012 4/10/2012 4/11/2012</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Effect'!$H$10:$H$1259</c:f>
            </c:numRef>
          </c:val>
          <c:smooth val="0"/>
        </c:ser>
        <c:ser>
          <c:idx val="7"/>
          <c:order val="7"/>
          <c:tx>
            <c:strRef>
              <c:f>'OAS and Media Effect'!$I$1:$I$9</c:f>
              <c:strCache>
                <c:ptCount val="1"/>
                <c:pt idx="0">
                  <c:v>30 Year Refinanceable Universe (rhs) 0.860851962 0.860851962 0.860851962 0.869287455 0.869287455 0.869287455 0.869287455 0.869287455</c:v>
                </c:pt>
              </c:strCache>
            </c:strRef>
          </c:tx>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Effect'!$I$10:$I$1259</c:f>
            </c:numRef>
          </c:val>
          <c:smooth val="0"/>
        </c:ser>
        <c:ser>
          <c:idx val="8"/>
          <c:order val="8"/>
          <c:tx>
            <c:v>YB OAS</c:v>
          </c:tx>
          <c:marker>
            <c:symbol val="none"/>
          </c:marker>
          <c:cat>
            <c:numRef>
              <c:f>'OAS and Media Effect'!$A$10:$A$1259</c:f>
              <c:numCache>
                <c:formatCode>mm/dd/yyyy</c:formatCode>
                <c:ptCount val="1250"/>
                <c:pt idx="0">
                  <c:v>40588</c:v>
                </c:pt>
                <c:pt idx="1">
                  <c:v>40589</c:v>
                </c:pt>
                <c:pt idx="2">
                  <c:v>40590</c:v>
                </c:pt>
                <c:pt idx="3">
                  <c:v>40591</c:v>
                </c:pt>
                <c:pt idx="4">
                  <c:v>40592</c:v>
                </c:pt>
                <c:pt idx="5">
                  <c:v>40596</c:v>
                </c:pt>
                <c:pt idx="6">
                  <c:v>40597</c:v>
                </c:pt>
                <c:pt idx="7">
                  <c:v>40598</c:v>
                </c:pt>
                <c:pt idx="8">
                  <c:v>40599</c:v>
                </c:pt>
                <c:pt idx="9">
                  <c:v>40602</c:v>
                </c:pt>
                <c:pt idx="10">
                  <c:v>40603</c:v>
                </c:pt>
                <c:pt idx="11">
                  <c:v>40604</c:v>
                </c:pt>
                <c:pt idx="12">
                  <c:v>40605</c:v>
                </c:pt>
                <c:pt idx="13">
                  <c:v>40606</c:v>
                </c:pt>
                <c:pt idx="14">
                  <c:v>40609</c:v>
                </c:pt>
                <c:pt idx="15">
                  <c:v>40610</c:v>
                </c:pt>
                <c:pt idx="16">
                  <c:v>40611</c:v>
                </c:pt>
                <c:pt idx="17">
                  <c:v>40612</c:v>
                </c:pt>
                <c:pt idx="18">
                  <c:v>40613</c:v>
                </c:pt>
                <c:pt idx="19">
                  <c:v>40616</c:v>
                </c:pt>
                <c:pt idx="20">
                  <c:v>40617</c:v>
                </c:pt>
                <c:pt idx="21">
                  <c:v>40618</c:v>
                </c:pt>
                <c:pt idx="22">
                  <c:v>40619</c:v>
                </c:pt>
                <c:pt idx="23">
                  <c:v>40620</c:v>
                </c:pt>
                <c:pt idx="24">
                  <c:v>40623</c:v>
                </c:pt>
                <c:pt idx="25">
                  <c:v>40624</c:v>
                </c:pt>
                <c:pt idx="26">
                  <c:v>40625</c:v>
                </c:pt>
                <c:pt idx="27">
                  <c:v>40626</c:v>
                </c:pt>
                <c:pt idx="28">
                  <c:v>40627</c:v>
                </c:pt>
                <c:pt idx="29">
                  <c:v>40630</c:v>
                </c:pt>
                <c:pt idx="30">
                  <c:v>40631</c:v>
                </c:pt>
                <c:pt idx="31">
                  <c:v>40632</c:v>
                </c:pt>
                <c:pt idx="32">
                  <c:v>40633</c:v>
                </c:pt>
                <c:pt idx="33">
                  <c:v>40634</c:v>
                </c:pt>
                <c:pt idx="34">
                  <c:v>40637</c:v>
                </c:pt>
                <c:pt idx="35">
                  <c:v>40638</c:v>
                </c:pt>
                <c:pt idx="36">
                  <c:v>40639</c:v>
                </c:pt>
                <c:pt idx="37">
                  <c:v>40640</c:v>
                </c:pt>
                <c:pt idx="38">
                  <c:v>40641</c:v>
                </c:pt>
                <c:pt idx="39">
                  <c:v>40644</c:v>
                </c:pt>
                <c:pt idx="40">
                  <c:v>40645</c:v>
                </c:pt>
                <c:pt idx="41">
                  <c:v>40646</c:v>
                </c:pt>
                <c:pt idx="42">
                  <c:v>40647</c:v>
                </c:pt>
                <c:pt idx="43">
                  <c:v>40648</c:v>
                </c:pt>
                <c:pt idx="44">
                  <c:v>40651</c:v>
                </c:pt>
                <c:pt idx="45">
                  <c:v>40652</c:v>
                </c:pt>
                <c:pt idx="46">
                  <c:v>40653</c:v>
                </c:pt>
                <c:pt idx="47">
                  <c:v>40654</c:v>
                </c:pt>
                <c:pt idx="48">
                  <c:v>40658</c:v>
                </c:pt>
                <c:pt idx="49">
                  <c:v>40659</c:v>
                </c:pt>
                <c:pt idx="50">
                  <c:v>40660</c:v>
                </c:pt>
                <c:pt idx="51">
                  <c:v>40661</c:v>
                </c:pt>
                <c:pt idx="52">
                  <c:v>40662</c:v>
                </c:pt>
                <c:pt idx="53">
                  <c:v>40665</c:v>
                </c:pt>
                <c:pt idx="54">
                  <c:v>40666</c:v>
                </c:pt>
                <c:pt idx="55">
                  <c:v>40667</c:v>
                </c:pt>
                <c:pt idx="56">
                  <c:v>40668</c:v>
                </c:pt>
                <c:pt idx="57">
                  <c:v>40669</c:v>
                </c:pt>
                <c:pt idx="58">
                  <c:v>40672</c:v>
                </c:pt>
                <c:pt idx="59">
                  <c:v>40673</c:v>
                </c:pt>
                <c:pt idx="60">
                  <c:v>40674</c:v>
                </c:pt>
                <c:pt idx="61">
                  <c:v>40675</c:v>
                </c:pt>
                <c:pt idx="62">
                  <c:v>40676</c:v>
                </c:pt>
                <c:pt idx="63">
                  <c:v>40679</c:v>
                </c:pt>
                <c:pt idx="64">
                  <c:v>40680</c:v>
                </c:pt>
                <c:pt idx="65">
                  <c:v>40681</c:v>
                </c:pt>
                <c:pt idx="66">
                  <c:v>40682</c:v>
                </c:pt>
                <c:pt idx="67">
                  <c:v>40683</c:v>
                </c:pt>
                <c:pt idx="68">
                  <c:v>40686</c:v>
                </c:pt>
                <c:pt idx="69">
                  <c:v>40687</c:v>
                </c:pt>
                <c:pt idx="70">
                  <c:v>40688</c:v>
                </c:pt>
                <c:pt idx="71">
                  <c:v>40689</c:v>
                </c:pt>
                <c:pt idx="72">
                  <c:v>40690</c:v>
                </c:pt>
                <c:pt idx="73">
                  <c:v>40694</c:v>
                </c:pt>
                <c:pt idx="74">
                  <c:v>40695</c:v>
                </c:pt>
                <c:pt idx="75">
                  <c:v>40696</c:v>
                </c:pt>
                <c:pt idx="76">
                  <c:v>40697</c:v>
                </c:pt>
                <c:pt idx="77">
                  <c:v>40700</c:v>
                </c:pt>
                <c:pt idx="78">
                  <c:v>40701</c:v>
                </c:pt>
                <c:pt idx="79">
                  <c:v>40702</c:v>
                </c:pt>
                <c:pt idx="80">
                  <c:v>40703</c:v>
                </c:pt>
                <c:pt idx="81">
                  <c:v>40704</c:v>
                </c:pt>
                <c:pt idx="82">
                  <c:v>40707</c:v>
                </c:pt>
                <c:pt idx="83">
                  <c:v>40708</c:v>
                </c:pt>
                <c:pt idx="84">
                  <c:v>40709</c:v>
                </c:pt>
                <c:pt idx="85">
                  <c:v>40710</c:v>
                </c:pt>
                <c:pt idx="86">
                  <c:v>40711</c:v>
                </c:pt>
                <c:pt idx="87">
                  <c:v>40714</c:v>
                </c:pt>
                <c:pt idx="88">
                  <c:v>40715</c:v>
                </c:pt>
                <c:pt idx="89">
                  <c:v>40716</c:v>
                </c:pt>
                <c:pt idx="90">
                  <c:v>40717</c:v>
                </c:pt>
                <c:pt idx="91">
                  <c:v>40718</c:v>
                </c:pt>
                <c:pt idx="92">
                  <c:v>40721</c:v>
                </c:pt>
                <c:pt idx="93">
                  <c:v>40722</c:v>
                </c:pt>
                <c:pt idx="94">
                  <c:v>40723</c:v>
                </c:pt>
                <c:pt idx="95">
                  <c:v>40724</c:v>
                </c:pt>
                <c:pt idx="96">
                  <c:v>40725</c:v>
                </c:pt>
                <c:pt idx="97">
                  <c:v>40729</c:v>
                </c:pt>
                <c:pt idx="98">
                  <c:v>40730</c:v>
                </c:pt>
                <c:pt idx="99">
                  <c:v>40731</c:v>
                </c:pt>
                <c:pt idx="100">
                  <c:v>40732</c:v>
                </c:pt>
                <c:pt idx="101">
                  <c:v>40735</c:v>
                </c:pt>
                <c:pt idx="102">
                  <c:v>40736</c:v>
                </c:pt>
                <c:pt idx="103">
                  <c:v>40737</c:v>
                </c:pt>
                <c:pt idx="104">
                  <c:v>40738</c:v>
                </c:pt>
                <c:pt idx="105">
                  <c:v>40739</c:v>
                </c:pt>
                <c:pt idx="106">
                  <c:v>40742</c:v>
                </c:pt>
                <c:pt idx="107">
                  <c:v>40743</c:v>
                </c:pt>
                <c:pt idx="108">
                  <c:v>40744</c:v>
                </c:pt>
                <c:pt idx="109">
                  <c:v>40745</c:v>
                </c:pt>
                <c:pt idx="110">
                  <c:v>40746</c:v>
                </c:pt>
                <c:pt idx="111">
                  <c:v>40749</c:v>
                </c:pt>
                <c:pt idx="112">
                  <c:v>40750</c:v>
                </c:pt>
                <c:pt idx="113">
                  <c:v>40751</c:v>
                </c:pt>
                <c:pt idx="114">
                  <c:v>40752</c:v>
                </c:pt>
                <c:pt idx="115">
                  <c:v>40753</c:v>
                </c:pt>
                <c:pt idx="116">
                  <c:v>40756</c:v>
                </c:pt>
                <c:pt idx="117">
                  <c:v>40757</c:v>
                </c:pt>
                <c:pt idx="118">
                  <c:v>40758</c:v>
                </c:pt>
                <c:pt idx="119">
                  <c:v>40759</c:v>
                </c:pt>
                <c:pt idx="120">
                  <c:v>40760</c:v>
                </c:pt>
                <c:pt idx="121">
                  <c:v>40763</c:v>
                </c:pt>
                <c:pt idx="122">
                  <c:v>40764</c:v>
                </c:pt>
                <c:pt idx="123">
                  <c:v>40765</c:v>
                </c:pt>
                <c:pt idx="124">
                  <c:v>40766</c:v>
                </c:pt>
                <c:pt idx="125">
                  <c:v>40767</c:v>
                </c:pt>
                <c:pt idx="126">
                  <c:v>40770</c:v>
                </c:pt>
                <c:pt idx="127">
                  <c:v>40771</c:v>
                </c:pt>
                <c:pt idx="128">
                  <c:v>40772</c:v>
                </c:pt>
                <c:pt idx="129">
                  <c:v>40773</c:v>
                </c:pt>
                <c:pt idx="130">
                  <c:v>40774</c:v>
                </c:pt>
                <c:pt idx="131">
                  <c:v>40777</c:v>
                </c:pt>
                <c:pt idx="132">
                  <c:v>40778</c:v>
                </c:pt>
                <c:pt idx="133">
                  <c:v>40779</c:v>
                </c:pt>
                <c:pt idx="134">
                  <c:v>40780</c:v>
                </c:pt>
                <c:pt idx="135">
                  <c:v>40781</c:v>
                </c:pt>
                <c:pt idx="136">
                  <c:v>40784</c:v>
                </c:pt>
                <c:pt idx="137">
                  <c:v>40785</c:v>
                </c:pt>
                <c:pt idx="138">
                  <c:v>40786</c:v>
                </c:pt>
                <c:pt idx="139">
                  <c:v>40787</c:v>
                </c:pt>
                <c:pt idx="140">
                  <c:v>40788</c:v>
                </c:pt>
                <c:pt idx="141">
                  <c:v>40792</c:v>
                </c:pt>
                <c:pt idx="142">
                  <c:v>40793</c:v>
                </c:pt>
                <c:pt idx="143">
                  <c:v>40794</c:v>
                </c:pt>
                <c:pt idx="144">
                  <c:v>40795</c:v>
                </c:pt>
                <c:pt idx="145">
                  <c:v>40798</c:v>
                </c:pt>
                <c:pt idx="146">
                  <c:v>40799</c:v>
                </c:pt>
                <c:pt idx="147">
                  <c:v>40800</c:v>
                </c:pt>
                <c:pt idx="148">
                  <c:v>40801</c:v>
                </c:pt>
                <c:pt idx="149">
                  <c:v>40802</c:v>
                </c:pt>
                <c:pt idx="150">
                  <c:v>40805</c:v>
                </c:pt>
                <c:pt idx="151">
                  <c:v>40806</c:v>
                </c:pt>
                <c:pt idx="152">
                  <c:v>40807</c:v>
                </c:pt>
                <c:pt idx="153">
                  <c:v>40808</c:v>
                </c:pt>
                <c:pt idx="154">
                  <c:v>40809</c:v>
                </c:pt>
                <c:pt idx="155">
                  <c:v>40812</c:v>
                </c:pt>
                <c:pt idx="156">
                  <c:v>40813</c:v>
                </c:pt>
                <c:pt idx="157">
                  <c:v>40814</c:v>
                </c:pt>
                <c:pt idx="158">
                  <c:v>40815</c:v>
                </c:pt>
                <c:pt idx="159">
                  <c:v>40816</c:v>
                </c:pt>
                <c:pt idx="160">
                  <c:v>40819</c:v>
                </c:pt>
                <c:pt idx="161">
                  <c:v>40820</c:v>
                </c:pt>
                <c:pt idx="162">
                  <c:v>40821</c:v>
                </c:pt>
                <c:pt idx="163">
                  <c:v>40822</c:v>
                </c:pt>
                <c:pt idx="164">
                  <c:v>40823</c:v>
                </c:pt>
                <c:pt idx="165">
                  <c:v>40827</c:v>
                </c:pt>
                <c:pt idx="166">
                  <c:v>40828</c:v>
                </c:pt>
                <c:pt idx="167">
                  <c:v>40829</c:v>
                </c:pt>
                <c:pt idx="168">
                  <c:v>40830</c:v>
                </c:pt>
                <c:pt idx="169">
                  <c:v>40833</c:v>
                </c:pt>
                <c:pt idx="170">
                  <c:v>40834</c:v>
                </c:pt>
                <c:pt idx="171">
                  <c:v>40835</c:v>
                </c:pt>
                <c:pt idx="172">
                  <c:v>40836</c:v>
                </c:pt>
                <c:pt idx="173">
                  <c:v>40837</c:v>
                </c:pt>
                <c:pt idx="174">
                  <c:v>40840</c:v>
                </c:pt>
                <c:pt idx="175">
                  <c:v>40841</c:v>
                </c:pt>
                <c:pt idx="176">
                  <c:v>40842</c:v>
                </c:pt>
                <c:pt idx="177">
                  <c:v>40843</c:v>
                </c:pt>
                <c:pt idx="178">
                  <c:v>40844</c:v>
                </c:pt>
                <c:pt idx="179">
                  <c:v>40847</c:v>
                </c:pt>
                <c:pt idx="180">
                  <c:v>40848</c:v>
                </c:pt>
                <c:pt idx="181">
                  <c:v>40849</c:v>
                </c:pt>
                <c:pt idx="182">
                  <c:v>40850</c:v>
                </c:pt>
                <c:pt idx="183">
                  <c:v>40851</c:v>
                </c:pt>
                <c:pt idx="184">
                  <c:v>40854</c:v>
                </c:pt>
                <c:pt idx="185">
                  <c:v>40855</c:v>
                </c:pt>
                <c:pt idx="186">
                  <c:v>40856</c:v>
                </c:pt>
                <c:pt idx="187">
                  <c:v>40857</c:v>
                </c:pt>
                <c:pt idx="188">
                  <c:v>40861</c:v>
                </c:pt>
                <c:pt idx="189">
                  <c:v>40862</c:v>
                </c:pt>
                <c:pt idx="190">
                  <c:v>40863</c:v>
                </c:pt>
                <c:pt idx="191">
                  <c:v>40864</c:v>
                </c:pt>
                <c:pt idx="192">
                  <c:v>40865</c:v>
                </c:pt>
                <c:pt idx="193">
                  <c:v>40868</c:v>
                </c:pt>
                <c:pt idx="194">
                  <c:v>40869</c:v>
                </c:pt>
                <c:pt idx="195">
                  <c:v>40870</c:v>
                </c:pt>
                <c:pt idx="196">
                  <c:v>40872</c:v>
                </c:pt>
                <c:pt idx="197">
                  <c:v>40875</c:v>
                </c:pt>
                <c:pt idx="198">
                  <c:v>40876</c:v>
                </c:pt>
                <c:pt idx="199">
                  <c:v>40877</c:v>
                </c:pt>
                <c:pt idx="200">
                  <c:v>40878</c:v>
                </c:pt>
                <c:pt idx="201">
                  <c:v>40879</c:v>
                </c:pt>
                <c:pt idx="202">
                  <c:v>40882</c:v>
                </c:pt>
                <c:pt idx="203">
                  <c:v>40883</c:v>
                </c:pt>
                <c:pt idx="204">
                  <c:v>40884</c:v>
                </c:pt>
                <c:pt idx="205">
                  <c:v>40885</c:v>
                </c:pt>
                <c:pt idx="206">
                  <c:v>40886</c:v>
                </c:pt>
                <c:pt idx="207">
                  <c:v>40889</c:v>
                </c:pt>
                <c:pt idx="208">
                  <c:v>40890</c:v>
                </c:pt>
                <c:pt idx="209">
                  <c:v>40891</c:v>
                </c:pt>
                <c:pt idx="210">
                  <c:v>40892</c:v>
                </c:pt>
                <c:pt idx="211">
                  <c:v>40893</c:v>
                </c:pt>
                <c:pt idx="212">
                  <c:v>40896</c:v>
                </c:pt>
                <c:pt idx="213">
                  <c:v>40897</c:v>
                </c:pt>
                <c:pt idx="214">
                  <c:v>40898</c:v>
                </c:pt>
                <c:pt idx="215">
                  <c:v>40899</c:v>
                </c:pt>
                <c:pt idx="216">
                  <c:v>40900</c:v>
                </c:pt>
                <c:pt idx="217">
                  <c:v>40904</c:v>
                </c:pt>
                <c:pt idx="218">
                  <c:v>40905</c:v>
                </c:pt>
                <c:pt idx="219">
                  <c:v>40906</c:v>
                </c:pt>
                <c:pt idx="220">
                  <c:v>40907</c:v>
                </c:pt>
                <c:pt idx="221">
                  <c:v>40911</c:v>
                </c:pt>
                <c:pt idx="222">
                  <c:v>40912</c:v>
                </c:pt>
                <c:pt idx="223">
                  <c:v>40913</c:v>
                </c:pt>
                <c:pt idx="224">
                  <c:v>40914</c:v>
                </c:pt>
                <c:pt idx="225">
                  <c:v>40917</c:v>
                </c:pt>
                <c:pt idx="226">
                  <c:v>40918</c:v>
                </c:pt>
                <c:pt idx="227">
                  <c:v>40919</c:v>
                </c:pt>
                <c:pt idx="228">
                  <c:v>40920</c:v>
                </c:pt>
                <c:pt idx="229">
                  <c:v>40921</c:v>
                </c:pt>
                <c:pt idx="230">
                  <c:v>40925</c:v>
                </c:pt>
                <c:pt idx="231">
                  <c:v>40926</c:v>
                </c:pt>
                <c:pt idx="232">
                  <c:v>40927</c:v>
                </c:pt>
                <c:pt idx="233">
                  <c:v>40928</c:v>
                </c:pt>
                <c:pt idx="234">
                  <c:v>40931</c:v>
                </c:pt>
                <c:pt idx="235">
                  <c:v>40932</c:v>
                </c:pt>
                <c:pt idx="236">
                  <c:v>40933</c:v>
                </c:pt>
                <c:pt idx="237">
                  <c:v>40934</c:v>
                </c:pt>
                <c:pt idx="238">
                  <c:v>40935</c:v>
                </c:pt>
                <c:pt idx="239">
                  <c:v>40938</c:v>
                </c:pt>
                <c:pt idx="240">
                  <c:v>40939</c:v>
                </c:pt>
                <c:pt idx="241">
                  <c:v>40940</c:v>
                </c:pt>
                <c:pt idx="242">
                  <c:v>40941</c:v>
                </c:pt>
                <c:pt idx="243">
                  <c:v>40942</c:v>
                </c:pt>
                <c:pt idx="244">
                  <c:v>40945</c:v>
                </c:pt>
                <c:pt idx="245">
                  <c:v>40946</c:v>
                </c:pt>
                <c:pt idx="246">
                  <c:v>40947</c:v>
                </c:pt>
                <c:pt idx="247">
                  <c:v>40948</c:v>
                </c:pt>
                <c:pt idx="248">
                  <c:v>40949</c:v>
                </c:pt>
                <c:pt idx="249">
                  <c:v>40952</c:v>
                </c:pt>
                <c:pt idx="250">
                  <c:v>40953</c:v>
                </c:pt>
                <c:pt idx="251">
                  <c:v>40954</c:v>
                </c:pt>
                <c:pt idx="252">
                  <c:v>40955</c:v>
                </c:pt>
                <c:pt idx="253">
                  <c:v>40956</c:v>
                </c:pt>
                <c:pt idx="254">
                  <c:v>40960</c:v>
                </c:pt>
                <c:pt idx="255">
                  <c:v>40961</c:v>
                </c:pt>
                <c:pt idx="256">
                  <c:v>40962</c:v>
                </c:pt>
                <c:pt idx="257">
                  <c:v>40963</c:v>
                </c:pt>
                <c:pt idx="258">
                  <c:v>40966</c:v>
                </c:pt>
                <c:pt idx="259">
                  <c:v>40967</c:v>
                </c:pt>
                <c:pt idx="260">
                  <c:v>40968</c:v>
                </c:pt>
                <c:pt idx="261">
                  <c:v>40969</c:v>
                </c:pt>
                <c:pt idx="262">
                  <c:v>40970</c:v>
                </c:pt>
                <c:pt idx="263">
                  <c:v>40973</c:v>
                </c:pt>
                <c:pt idx="264">
                  <c:v>40974</c:v>
                </c:pt>
                <c:pt idx="265">
                  <c:v>40975</c:v>
                </c:pt>
                <c:pt idx="266">
                  <c:v>40976</c:v>
                </c:pt>
                <c:pt idx="267">
                  <c:v>40977</c:v>
                </c:pt>
                <c:pt idx="268">
                  <c:v>40980</c:v>
                </c:pt>
                <c:pt idx="269">
                  <c:v>40981</c:v>
                </c:pt>
                <c:pt idx="270">
                  <c:v>40982</c:v>
                </c:pt>
                <c:pt idx="271">
                  <c:v>40983</c:v>
                </c:pt>
                <c:pt idx="272">
                  <c:v>40984</c:v>
                </c:pt>
                <c:pt idx="273">
                  <c:v>40987</c:v>
                </c:pt>
                <c:pt idx="274">
                  <c:v>40988</c:v>
                </c:pt>
                <c:pt idx="275">
                  <c:v>40989</c:v>
                </c:pt>
                <c:pt idx="276">
                  <c:v>40990</c:v>
                </c:pt>
                <c:pt idx="277">
                  <c:v>40991</c:v>
                </c:pt>
                <c:pt idx="278">
                  <c:v>40994</c:v>
                </c:pt>
                <c:pt idx="279">
                  <c:v>40995</c:v>
                </c:pt>
                <c:pt idx="280">
                  <c:v>40996</c:v>
                </c:pt>
                <c:pt idx="281">
                  <c:v>40997</c:v>
                </c:pt>
                <c:pt idx="282">
                  <c:v>40998</c:v>
                </c:pt>
                <c:pt idx="283">
                  <c:v>41001</c:v>
                </c:pt>
                <c:pt idx="284">
                  <c:v>41002</c:v>
                </c:pt>
                <c:pt idx="285">
                  <c:v>41003</c:v>
                </c:pt>
                <c:pt idx="286">
                  <c:v>41004</c:v>
                </c:pt>
                <c:pt idx="287">
                  <c:v>41005</c:v>
                </c:pt>
                <c:pt idx="288">
                  <c:v>41008</c:v>
                </c:pt>
                <c:pt idx="289">
                  <c:v>41009</c:v>
                </c:pt>
                <c:pt idx="290">
                  <c:v>41010</c:v>
                </c:pt>
                <c:pt idx="291">
                  <c:v>41011</c:v>
                </c:pt>
                <c:pt idx="292">
                  <c:v>41012</c:v>
                </c:pt>
                <c:pt idx="293">
                  <c:v>41015</c:v>
                </c:pt>
                <c:pt idx="294">
                  <c:v>41016</c:v>
                </c:pt>
                <c:pt idx="295">
                  <c:v>41017</c:v>
                </c:pt>
                <c:pt idx="296">
                  <c:v>41018</c:v>
                </c:pt>
                <c:pt idx="297">
                  <c:v>41019</c:v>
                </c:pt>
                <c:pt idx="298">
                  <c:v>41022</c:v>
                </c:pt>
                <c:pt idx="299">
                  <c:v>41023</c:v>
                </c:pt>
                <c:pt idx="300">
                  <c:v>41024</c:v>
                </c:pt>
                <c:pt idx="301">
                  <c:v>41025</c:v>
                </c:pt>
                <c:pt idx="302">
                  <c:v>41026</c:v>
                </c:pt>
                <c:pt idx="303">
                  <c:v>41029</c:v>
                </c:pt>
                <c:pt idx="304">
                  <c:v>41030</c:v>
                </c:pt>
                <c:pt idx="305">
                  <c:v>41031</c:v>
                </c:pt>
                <c:pt idx="306">
                  <c:v>41032</c:v>
                </c:pt>
                <c:pt idx="307">
                  <c:v>41033</c:v>
                </c:pt>
                <c:pt idx="308">
                  <c:v>41036</c:v>
                </c:pt>
                <c:pt idx="309">
                  <c:v>41037</c:v>
                </c:pt>
                <c:pt idx="310">
                  <c:v>41038</c:v>
                </c:pt>
                <c:pt idx="311">
                  <c:v>41039</c:v>
                </c:pt>
                <c:pt idx="312">
                  <c:v>41040</c:v>
                </c:pt>
                <c:pt idx="313">
                  <c:v>41043</c:v>
                </c:pt>
                <c:pt idx="314">
                  <c:v>41044</c:v>
                </c:pt>
                <c:pt idx="315">
                  <c:v>41045</c:v>
                </c:pt>
                <c:pt idx="316">
                  <c:v>41046</c:v>
                </c:pt>
                <c:pt idx="317">
                  <c:v>41047</c:v>
                </c:pt>
                <c:pt idx="318">
                  <c:v>41050</c:v>
                </c:pt>
                <c:pt idx="319">
                  <c:v>41051</c:v>
                </c:pt>
                <c:pt idx="320">
                  <c:v>41052</c:v>
                </c:pt>
                <c:pt idx="321">
                  <c:v>41053</c:v>
                </c:pt>
                <c:pt idx="322">
                  <c:v>41054</c:v>
                </c:pt>
                <c:pt idx="323">
                  <c:v>41058</c:v>
                </c:pt>
                <c:pt idx="324">
                  <c:v>41059</c:v>
                </c:pt>
                <c:pt idx="325">
                  <c:v>41060</c:v>
                </c:pt>
                <c:pt idx="326">
                  <c:v>41061</c:v>
                </c:pt>
                <c:pt idx="327">
                  <c:v>41064</c:v>
                </c:pt>
                <c:pt idx="328">
                  <c:v>41065</c:v>
                </c:pt>
                <c:pt idx="329">
                  <c:v>41066</c:v>
                </c:pt>
                <c:pt idx="330">
                  <c:v>41067</c:v>
                </c:pt>
                <c:pt idx="331">
                  <c:v>41068</c:v>
                </c:pt>
                <c:pt idx="332">
                  <c:v>41071</c:v>
                </c:pt>
                <c:pt idx="333">
                  <c:v>41072</c:v>
                </c:pt>
                <c:pt idx="334">
                  <c:v>41073</c:v>
                </c:pt>
                <c:pt idx="335">
                  <c:v>41074</c:v>
                </c:pt>
                <c:pt idx="336">
                  <c:v>41075</c:v>
                </c:pt>
                <c:pt idx="337">
                  <c:v>41078</c:v>
                </c:pt>
                <c:pt idx="338">
                  <c:v>41079</c:v>
                </c:pt>
                <c:pt idx="339">
                  <c:v>41080</c:v>
                </c:pt>
                <c:pt idx="340">
                  <c:v>41081</c:v>
                </c:pt>
                <c:pt idx="341">
                  <c:v>41082</c:v>
                </c:pt>
                <c:pt idx="342">
                  <c:v>41085</c:v>
                </c:pt>
                <c:pt idx="343">
                  <c:v>41086</c:v>
                </c:pt>
                <c:pt idx="344">
                  <c:v>41087</c:v>
                </c:pt>
                <c:pt idx="345">
                  <c:v>41088</c:v>
                </c:pt>
                <c:pt idx="346">
                  <c:v>41089</c:v>
                </c:pt>
                <c:pt idx="347">
                  <c:v>41092</c:v>
                </c:pt>
                <c:pt idx="348">
                  <c:v>41093</c:v>
                </c:pt>
                <c:pt idx="349">
                  <c:v>41095</c:v>
                </c:pt>
                <c:pt idx="350">
                  <c:v>41096</c:v>
                </c:pt>
                <c:pt idx="351">
                  <c:v>41099</c:v>
                </c:pt>
                <c:pt idx="352">
                  <c:v>41100</c:v>
                </c:pt>
                <c:pt idx="353">
                  <c:v>41101</c:v>
                </c:pt>
                <c:pt idx="354">
                  <c:v>41102</c:v>
                </c:pt>
                <c:pt idx="355">
                  <c:v>41103</c:v>
                </c:pt>
                <c:pt idx="356">
                  <c:v>41106</c:v>
                </c:pt>
                <c:pt idx="357">
                  <c:v>41107</c:v>
                </c:pt>
                <c:pt idx="358">
                  <c:v>41108</c:v>
                </c:pt>
                <c:pt idx="359">
                  <c:v>41109</c:v>
                </c:pt>
                <c:pt idx="360">
                  <c:v>41110</c:v>
                </c:pt>
                <c:pt idx="361">
                  <c:v>41113</c:v>
                </c:pt>
                <c:pt idx="362">
                  <c:v>41114</c:v>
                </c:pt>
                <c:pt idx="363">
                  <c:v>41115</c:v>
                </c:pt>
                <c:pt idx="364">
                  <c:v>41116</c:v>
                </c:pt>
                <c:pt idx="365">
                  <c:v>41117</c:v>
                </c:pt>
                <c:pt idx="366">
                  <c:v>41120</c:v>
                </c:pt>
                <c:pt idx="367">
                  <c:v>41121</c:v>
                </c:pt>
                <c:pt idx="368">
                  <c:v>41122</c:v>
                </c:pt>
                <c:pt idx="369">
                  <c:v>41123</c:v>
                </c:pt>
                <c:pt idx="370">
                  <c:v>41124</c:v>
                </c:pt>
                <c:pt idx="371">
                  <c:v>41127</c:v>
                </c:pt>
                <c:pt idx="372">
                  <c:v>41128</c:v>
                </c:pt>
                <c:pt idx="373">
                  <c:v>41129</c:v>
                </c:pt>
                <c:pt idx="374">
                  <c:v>41130</c:v>
                </c:pt>
                <c:pt idx="375">
                  <c:v>41131</c:v>
                </c:pt>
                <c:pt idx="376">
                  <c:v>41134</c:v>
                </c:pt>
                <c:pt idx="377">
                  <c:v>41135</c:v>
                </c:pt>
                <c:pt idx="378">
                  <c:v>41136</c:v>
                </c:pt>
                <c:pt idx="379">
                  <c:v>41137</c:v>
                </c:pt>
                <c:pt idx="380">
                  <c:v>41138</c:v>
                </c:pt>
                <c:pt idx="381">
                  <c:v>41141</c:v>
                </c:pt>
                <c:pt idx="382">
                  <c:v>41142</c:v>
                </c:pt>
                <c:pt idx="383">
                  <c:v>41143</c:v>
                </c:pt>
                <c:pt idx="384">
                  <c:v>41144</c:v>
                </c:pt>
                <c:pt idx="385">
                  <c:v>41145</c:v>
                </c:pt>
                <c:pt idx="386">
                  <c:v>41148</c:v>
                </c:pt>
                <c:pt idx="387">
                  <c:v>41149</c:v>
                </c:pt>
                <c:pt idx="388">
                  <c:v>41150</c:v>
                </c:pt>
                <c:pt idx="389">
                  <c:v>41151</c:v>
                </c:pt>
                <c:pt idx="390">
                  <c:v>41152</c:v>
                </c:pt>
                <c:pt idx="391">
                  <c:v>41156</c:v>
                </c:pt>
                <c:pt idx="392">
                  <c:v>41157</c:v>
                </c:pt>
                <c:pt idx="393">
                  <c:v>41158</c:v>
                </c:pt>
                <c:pt idx="394">
                  <c:v>41159</c:v>
                </c:pt>
                <c:pt idx="395">
                  <c:v>41162</c:v>
                </c:pt>
                <c:pt idx="396">
                  <c:v>41163</c:v>
                </c:pt>
                <c:pt idx="397">
                  <c:v>41164</c:v>
                </c:pt>
                <c:pt idx="398">
                  <c:v>41165</c:v>
                </c:pt>
                <c:pt idx="399">
                  <c:v>41166</c:v>
                </c:pt>
                <c:pt idx="400">
                  <c:v>41169</c:v>
                </c:pt>
                <c:pt idx="401">
                  <c:v>41170</c:v>
                </c:pt>
                <c:pt idx="402">
                  <c:v>41171</c:v>
                </c:pt>
                <c:pt idx="403">
                  <c:v>41172</c:v>
                </c:pt>
                <c:pt idx="404">
                  <c:v>41173</c:v>
                </c:pt>
                <c:pt idx="405">
                  <c:v>41176</c:v>
                </c:pt>
                <c:pt idx="406">
                  <c:v>41177</c:v>
                </c:pt>
                <c:pt idx="407">
                  <c:v>41178</c:v>
                </c:pt>
                <c:pt idx="408">
                  <c:v>41179</c:v>
                </c:pt>
                <c:pt idx="409">
                  <c:v>41180</c:v>
                </c:pt>
                <c:pt idx="410">
                  <c:v>41183</c:v>
                </c:pt>
                <c:pt idx="411">
                  <c:v>41184</c:v>
                </c:pt>
                <c:pt idx="412">
                  <c:v>41185</c:v>
                </c:pt>
                <c:pt idx="413">
                  <c:v>41186</c:v>
                </c:pt>
                <c:pt idx="414">
                  <c:v>41187</c:v>
                </c:pt>
                <c:pt idx="415">
                  <c:v>41191</c:v>
                </c:pt>
                <c:pt idx="416">
                  <c:v>41192</c:v>
                </c:pt>
                <c:pt idx="417">
                  <c:v>41193</c:v>
                </c:pt>
                <c:pt idx="418">
                  <c:v>41194</c:v>
                </c:pt>
                <c:pt idx="419">
                  <c:v>41197</c:v>
                </c:pt>
                <c:pt idx="420">
                  <c:v>41198</c:v>
                </c:pt>
                <c:pt idx="421">
                  <c:v>41199</c:v>
                </c:pt>
                <c:pt idx="422">
                  <c:v>41200</c:v>
                </c:pt>
                <c:pt idx="423">
                  <c:v>41201</c:v>
                </c:pt>
                <c:pt idx="424">
                  <c:v>41204</c:v>
                </c:pt>
                <c:pt idx="425">
                  <c:v>41205</c:v>
                </c:pt>
                <c:pt idx="426">
                  <c:v>41206</c:v>
                </c:pt>
                <c:pt idx="427">
                  <c:v>41207</c:v>
                </c:pt>
                <c:pt idx="428">
                  <c:v>41208</c:v>
                </c:pt>
                <c:pt idx="429">
                  <c:v>41211</c:v>
                </c:pt>
                <c:pt idx="430">
                  <c:v>41213</c:v>
                </c:pt>
                <c:pt idx="431">
                  <c:v>41214</c:v>
                </c:pt>
                <c:pt idx="432">
                  <c:v>41215</c:v>
                </c:pt>
                <c:pt idx="433">
                  <c:v>41218</c:v>
                </c:pt>
                <c:pt idx="434">
                  <c:v>41219</c:v>
                </c:pt>
                <c:pt idx="435">
                  <c:v>41220</c:v>
                </c:pt>
                <c:pt idx="436">
                  <c:v>41221</c:v>
                </c:pt>
                <c:pt idx="437">
                  <c:v>41222</c:v>
                </c:pt>
                <c:pt idx="438">
                  <c:v>41226</c:v>
                </c:pt>
                <c:pt idx="439">
                  <c:v>41227</c:v>
                </c:pt>
                <c:pt idx="440">
                  <c:v>41228</c:v>
                </c:pt>
                <c:pt idx="441">
                  <c:v>41229</c:v>
                </c:pt>
                <c:pt idx="442">
                  <c:v>41232</c:v>
                </c:pt>
                <c:pt idx="443">
                  <c:v>41233</c:v>
                </c:pt>
                <c:pt idx="444">
                  <c:v>41234</c:v>
                </c:pt>
                <c:pt idx="445">
                  <c:v>41236</c:v>
                </c:pt>
                <c:pt idx="446">
                  <c:v>41239</c:v>
                </c:pt>
                <c:pt idx="447">
                  <c:v>41240</c:v>
                </c:pt>
                <c:pt idx="448">
                  <c:v>41241</c:v>
                </c:pt>
                <c:pt idx="449">
                  <c:v>41242</c:v>
                </c:pt>
                <c:pt idx="450">
                  <c:v>41243</c:v>
                </c:pt>
                <c:pt idx="451">
                  <c:v>41246</c:v>
                </c:pt>
                <c:pt idx="452">
                  <c:v>41247</c:v>
                </c:pt>
                <c:pt idx="453">
                  <c:v>41248</c:v>
                </c:pt>
                <c:pt idx="454">
                  <c:v>41249</c:v>
                </c:pt>
                <c:pt idx="455">
                  <c:v>41250</c:v>
                </c:pt>
                <c:pt idx="456">
                  <c:v>41253</c:v>
                </c:pt>
                <c:pt idx="457">
                  <c:v>41254</c:v>
                </c:pt>
                <c:pt idx="458">
                  <c:v>41255</c:v>
                </c:pt>
                <c:pt idx="459">
                  <c:v>41256</c:v>
                </c:pt>
                <c:pt idx="460">
                  <c:v>41257</c:v>
                </c:pt>
                <c:pt idx="461">
                  <c:v>41260</c:v>
                </c:pt>
                <c:pt idx="462">
                  <c:v>41261</c:v>
                </c:pt>
                <c:pt idx="463">
                  <c:v>41262</c:v>
                </c:pt>
                <c:pt idx="464">
                  <c:v>41263</c:v>
                </c:pt>
                <c:pt idx="465">
                  <c:v>41264</c:v>
                </c:pt>
                <c:pt idx="466">
                  <c:v>41267</c:v>
                </c:pt>
                <c:pt idx="467">
                  <c:v>41269</c:v>
                </c:pt>
                <c:pt idx="468">
                  <c:v>41270</c:v>
                </c:pt>
                <c:pt idx="469">
                  <c:v>41271</c:v>
                </c:pt>
                <c:pt idx="470">
                  <c:v>41274</c:v>
                </c:pt>
                <c:pt idx="471">
                  <c:v>41276</c:v>
                </c:pt>
                <c:pt idx="472">
                  <c:v>41277</c:v>
                </c:pt>
                <c:pt idx="473">
                  <c:v>41278</c:v>
                </c:pt>
                <c:pt idx="474">
                  <c:v>41281</c:v>
                </c:pt>
                <c:pt idx="475">
                  <c:v>41282</c:v>
                </c:pt>
                <c:pt idx="476">
                  <c:v>41283</c:v>
                </c:pt>
                <c:pt idx="477">
                  <c:v>41284</c:v>
                </c:pt>
                <c:pt idx="478">
                  <c:v>41285</c:v>
                </c:pt>
                <c:pt idx="479">
                  <c:v>41288</c:v>
                </c:pt>
                <c:pt idx="480">
                  <c:v>41289</c:v>
                </c:pt>
                <c:pt idx="481">
                  <c:v>41290</c:v>
                </c:pt>
                <c:pt idx="482">
                  <c:v>41291</c:v>
                </c:pt>
                <c:pt idx="483">
                  <c:v>41292</c:v>
                </c:pt>
                <c:pt idx="484">
                  <c:v>41296</c:v>
                </c:pt>
                <c:pt idx="485">
                  <c:v>41297</c:v>
                </c:pt>
                <c:pt idx="486">
                  <c:v>41298</c:v>
                </c:pt>
                <c:pt idx="487">
                  <c:v>41299</c:v>
                </c:pt>
                <c:pt idx="488">
                  <c:v>41302</c:v>
                </c:pt>
                <c:pt idx="489">
                  <c:v>41303</c:v>
                </c:pt>
                <c:pt idx="490">
                  <c:v>41304</c:v>
                </c:pt>
                <c:pt idx="491">
                  <c:v>41305</c:v>
                </c:pt>
                <c:pt idx="492">
                  <c:v>41306</c:v>
                </c:pt>
                <c:pt idx="493">
                  <c:v>41309</c:v>
                </c:pt>
                <c:pt idx="494">
                  <c:v>41310</c:v>
                </c:pt>
                <c:pt idx="495">
                  <c:v>41311</c:v>
                </c:pt>
                <c:pt idx="496">
                  <c:v>41312</c:v>
                </c:pt>
                <c:pt idx="497">
                  <c:v>41313</c:v>
                </c:pt>
                <c:pt idx="498">
                  <c:v>41316</c:v>
                </c:pt>
                <c:pt idx="499">
                  <c:v>41317</c:v>
                </c:pt>
                <c:pt idx="500">
                  <c:v>41318</c:v>
                </c:pt>
                <c:pt idx="501">
                  <c:v>41319</c:v>
                </c:pt>
                <c:pt idx="502">
                  <c:v>41320</c:v>
                </c:pt>
                <c:pt idx="503">
                  <c:v>41324</c:v>
                </c:pt>
                <c:pt idx="504">
                  <c:v>41325</c:v>
                </c:pt>
                <c:pt idx="505">
                  <c:v>41326</c:v>
                </c:pt>
                <c:pt idx="506">
                  <c:v>41327</c:v>
                </c:pt>
                <c:pt idx="507">
                  <c:v>41330</c:v>
                </c:pt>
                <c:pt idx="508">
                  <c:v>41331</c:v>
                </c:pt>
                <c:pt idx="509">
                  <c:v>41332</c:v>
                </c:pt>
                <c:pt idx="510">
                  <c:v>41333</c:v>
                </c:pt>
                <c:pt idx="511">
                  <c:v>41334</c:v>
                </c:pt>
                <c:pt idx="512">
                  <c:v>41337</c:v>
                </c:pt>
                <c:pt idx="513">
                  <c:v>41338</c:v>
                </c:pt>
                <c:pt idx="514">
                  <c:v>41339</c:v>
                </c:pt>
                <c:pt idx="515">
                  <c:v>41340</c:v>
                </c:pt>
                <c:pt idx="516">
                  <c:v>41341</c:v>
                </c:pt>
                <c:pt idx="517">
                  <c:v>41344</c:v>
                </c:pt>
                <c:pt idx="518">
                  <c:v>41345</c:v>
                </c:pt>
                <c:pt idx="519">
                  <c:v>41346</c:v>
                </c:pt>
                <c:pt idx="520">
                  <c:v>41347</c:v>
                </c:pt>
                <c:pt idx="521">
                  <c:v>41348</c:v>
                </c:pt>
                <c:pt idx="522">
                  <c:v>41351</c:v>
                </c:pt>
                <c:pt idx="523">
                  <c:v>41352</c:v>
                </c:pt>
                <c:pt idx="524">
                  <c:v>41353</c:v>
                </c:pt>
                <c:pt idx="525">
                  <c:v>41354</c:v>
                </c:pt>
                <c:pt idx="526">
                  <c:v>41355</c:v>
                </c:pt>
                <c:pt idx="527">
                  <c:v>41358</c:v>
                </c:pt>
                <c:pt idx="528">
                  <c:v>41359</c:v>
                </c:pt>
                <c:pt idx="529">
                  <c:v>41360</c:v>
                </c:pt>
                <c:pt idx="530">
                  <c:v>41361</c:v>
                </c:pt>
                <c:pt idx="531">
                  <c:v>41365</c:v>
                </c:pt>
                <c:pt idx="532">
                  <c:v>41366</c:v>
                </c:pt>
                <c:pt idx="533">
                  <c:v>41367</c:v>
                </c:pt>
                <c:pt idx="534">
                  <c:v>41368</c:v>
                </c:pt>
                <c:pt idx="535">
                  <c:v>41369</c:v>
                </c:pt>
                <c:pt idx="536">
                  <c:v>41372</c:v>
                </c:pt>
                <c:pt idx="537">
                  <c:v>41373</c:v>
                </c:pt>
                <c:pt idx="538">
                  <c:v>41374</c:v>
                </c:pt>
                <c:pt idx="539">
                  <c:v>41375</c:v>
                </c:pt>
                <c:pt idx="540">
                  <c:v>41376</c:v>
                </c:pt>
                <c:pt idx="541">
                  <c:v>41379</c:v>
                </c:pt>
                <c:pt idx="542">
                  <c:v>41380</c:v>
                </c:pt>
                <c:pt idx="543">
                  <c:v>41381</c:v>
                </c:pt>
                <c:pt idx="544">
                  <c:v>41382</c:v>
                </c:pt>
                <c:pt idx="545">
                  <c:v>41383</c:v>
                </c:pt>
                <c:pt idx="546">
                  <c:v>41386</c:v>
                </c:pt>
                <c:pt idx="547">
                  <c:v>41387</c:v>
                </c:pt>
                <c:pt idx="548">
                  <c:v>41388</c:v>
                </c:pt>
                <c:pt idx="549">
                  <c:v>41389</c:v>
                </c:pt>
                <c:pt idx="550">
                  <c:v>41390</c:v>
                </c:pt>
                <c:pt idx="551">
                  <c:v>41393</c:v>
                </c:pt>
                <c:pt idx="552">
                  <c:v>41394</c:v>
                </c:pt>
                <c:pt idx="553">
                  <c:v>41395</c:v>
                </c:pt>
                <c:pt idx="554">
                  <c:v>41396</c:v>
                </c:pt>
                <c:pt idx="555">
                  <c:v>41397</c:v>
                </c:pt>
                <c:pt idx="556">
                  <c:v>41400</c:v>
                </c:pt>
                <c:pt idx="557">
                  <c:v>41401</c:v>
                </c:pt>
                <c:pt idx="558">
                  <c:v>41402</c:v>
                </c:pt>
                <c:pt idx="559">
                  <c:v>41403</c:v>
                </c:pt>
                <c:pt idx="560">
                  <c:v>41404</c:v>
                </c:pt>
                <c:pt idx="561">
                  <c:v>41407</c:v>
                </c:pt>
                <c:pt idx="562">
                  <c:v>41408</c:v>
                </c:pt>
                <c:pt idx="563">
                  <c:v>41409</c:v>
                </c:pt>
                <c:pt idx="564">
                  <c:v>41410</c:v>
                </c:pt>
                <c:pt idx="565">
                  <c:v>41411</c:v>
                </c:pt>
                <c:pt idx="566">
                  <c:v>41414</c:v>
                </c:pt>
                <c:pt idx="567">
                  <c:v>41415</c:v>
                </c:pt>
                <c:pt idx="568">
                  <c:v>41416</c:v>
                </c:pt>
                <c:pt idx="569">
                  <c:v>41417</c:v>
                </c:pt>
                <c:pt idx="570">
                  <c:v>41418</c:v>
                </c:pt>
                <c:pt idx="571">
                  <c:v>41422</c:v>
                </c:pt>
                <c:pt idx="572">
                  <c:v>41423</c:v>
                </c:pt>
                <c:pt idx="573">
                  <c:v>41424</c:v>
                </c:pt>
                <c:pt idx="574">
                  <c:v>41425</c:v>
                </c:pt>
                <c:pt idx="575">
                  <c:v>41428</c:v>
                </c:pt>
                <c:pt idx="576">
                  <c:v>41429</c:v>
                </c:pt>
                <c:pt idx="577">
                  <c:v>41430</c:v>
                </c:pt>
                <c:pt idx="578">
                  <c:v>41431</c:v>
                </c:pt>
                <c:pt idx="579">
                  <c:v>41432</c:v>
                </c:pt>
                <c:pt idx="580">
                  <c:v>41435</c:v>
                </c:pt>
                <c:pt idx="581">
                  <c:v>41436</c:v>
                </c:pt>
                <c:pt idx="582">
                  <c:v>41437</c:v>
                </c:pt>
                <c:pt idx="583">
                  <c:v>41438</c:v>
                </c:pt>
                <c:pt idx="584">
                  <c:v>41439</c:v>
                </c:pt>
                <c:pt idx="585">
                  <c:v>41442</c:v>
                </c:pt>
                <c:pt idx="586">
                  <c:v>41443</c:v>
                </c:pt>
                <c:pt idx="587">
                  <c:v>41444</c:v>
                </c:pt>
                <c:pt idx="588">
                  <c:v>41445</c:v>
                </c:pt>
                <c:pt idx="589">
                  <c:v>41446</c:v>
                </c:pt>
                <c:pt idx="590">
                  <c:v>41449</c:v>
                </c:pt>
                <c:pt idx="591">
                  <c:v>41450</c:v>
                </c:pt>
                <c:pt idx="592">
                  <c:v>41451</c:v>
                </c:pt>
                <c:pt idx="593">
                  <c:v>41452</c:v>
                </c:pt>
                <c:pt idx="594">
                  <c:v>41453</c:v>
                </c:pt>
                <c:pt idx="595">
                  <c:v>41456</c:v>
                </c:pt>
                <c:pt idx="596">
                  <c:v>41457</c:v>
                </c:pt>
                <c:pt idx="597">
                  <c:v>41458</c:v>
                </c:pt>
                <c:pt idx="598">
                  <c:v>41460</c:v>
                </c:pt>
                <c:pt idx="599">
                  <c:v>41463</c:v>
                </c:pt>
                <c:pt idx="600">
                  <c:v>41464</c:v>
                </c:pt>
                <c:pt idx="601">
                  <c:v>41465</c:v>
                </c:pt>
                <c:pt idx="602">
                  <c:v>41466</c:v>
                </c:pt>
                <c:pt idx="603">
                  <c:v>41467</c:v>
                </c:pt>
                <c:pt idx="604">
                  <c:v>41470</c:v>
                </c:pt>
                <c:pt idx="605">
                  <c:v>41471</c:v>
                </c:pt>
                <c:pt idx="606">
                  <c:v>41472</c:v>
                </c:pt>
                <c:pt idx="607">
                  <c:v>41473</c:v>
                </c:pt>
                <c:pt idx="608">
                  <c:v>41474</c:v>
                </c:pt>
                <c:pt idx="609">
                  <c:v>41477</c:v>
                </c:pt>
                <c:pt idx="610">
                  <c:v>41478</c:v>
                </c:pt>
                <c:pt idx="611">
                  <c:v>41479</c:v>
                </c:pt>
                <c:pt idx="612">
                  <c:v>41480</c:v>
                </c:pt>
                <c:pt idx="613">
                  <c:v>41481</c:v>
                </c:pt>
                <c:pt idx="614">
                  <c:v>41484</c:v>
                </c:pt>
                <c:pt idx="615">
                  <c:v>41485</c:v>
                </c:pt>
                <c:pt idx="616">
                  <c:v>41486</c:v>
                </c:pt>
                <c:pt idx="617">
                  <c:v>41487</c:v>
                </c:pt>
                <c:pt idx="618">
                  <c:v>41488</c:v>
                </c:pt>
                <c:pt idx="619">
                  <c:v>41491</c:v>
                </c:pt>
                <c:pt idx="620">
                  <c:v>41492</c:v>
                </c:pt>
                <c:pt idx="621">
                  <c:v>41493</c:v>
                </c:pt>
                <c:pt idx="622">
                  <c:v>41494</c:v>
                </c:pt>
                <c:pt idx="623">
                  <c:v>41495</c:v>
                </c:pt>
                <c:pt idx="624">
                  <c:v>41498</c:v>
                </c:pt>
                <c:pt idx="625">
                  <c:v>41499</c:v>
                </c:pt>
                <c:pt idx="626">
                  <c:v>41500</c:v>
                </c:pt>
                <c:pt idx="627">
                  <c:v>41501</c:v>
                </c:pt>
                <c:pt idx="628">
                  <c:v>41502</c:v>
                </c:pt>
                <c:pt idx="629">
                  <c:v>41505</c:v>
                </c:pt>
                <c:pt idx="630">
                  <c:v>41506</c:v>
                </c:pt>
                <c:pt idx="631">
                  <c:v>41507</c:v>
                </c:pt>
                <c:pt idx="632">
                  <c:v>41508</c:v>
                </c:pt>
                <c:pt idx="633">
                  <c:v>41509</c:v>
                </c:pt>
                <c:pt idx="634">
                  <c:v>41512</c:v>
                </c:pt>
                <c:pt idx="635">
                  <c:v>41513</c:v>
                </c:pt>
                <c:pt idx="636">
                  <c:v>41514</c:v>
                </c:pt>
                <c:pt idx="637">
                  <c:v>41515</c:v>
                </c:pt>
                <c:pt idx="638">
                  <c:v>41516</c:v>
                </c:pt>
                <c:pt idx="639">
                  <c:v>41520</c:v>
                </c:pt>
                <c:pt idx="640">
                  <c:v>41521</c:v>
                </c:pt>
                <c:pt idx="641">
                  <c:v>41522</c:v>
                </c:pt>
                <c:pt idx="642">
                  <c:v>41523</c:v>
                </c:pt>
                <c:pt idx="643">
                  <c:v>41526</c:v>
                </c:pt>
                <c:pt idx="644">
                  <c:v>41527</c:v>
                </c:pt>
                <c:pt idx="645">
                  <c:v>41528</c:v>
                </c:pt>
                <c:pt idx="646">
                  <c:v>41529</c:v>
                </c:pt>
                <c:pt idx="647">
                  <c:v>41530</c:v>
                </c:pt>
                <c:pt idx="648">
                  <c:v>41533</c:v>
                </c:pt>
                <c:pt idx="649">
                  <c:v>41534</c:v>
                </c:pt>
                <c:pt idx="650">
                  <c:v>41535</c:v>
                </c:pt>
                <c:pt idx="651">
                  <c:v>41536</c:v>
                </c:pt>
                <c:pt idx="652">
                  <c:v>41537</c:v>
                </c:pt>
                <c:pt idx="653">
                  <c:v>41540</c:v>
                </c:pt>
                <c:pt idx="654">
                  <c:v>41541</c:v>
                </c:pt>
                <c:pt idx="655">
                  <c:v>41542</c:v>
                </c:pt>
                <c:pt idx="656">
                  <c:v>41543</c:v>
                </c:pt>
                <c:pt idx="657">
                  <c:v>41544</c:v>
                </c:pt>
                <c:pt idx="658">
                  <c:v>41547</c:v>
                </c:pt>
                <c:pt idx="659">
                  <c:v>41548</c:v>
                </c:pt>
                <c:pt idx="660">
                  <c:v>41549</c:v>
                </c:pt>
                <c:pt idx="661">
                  <c:v>41550</c:v>
                </c:pt>
                <c:pt idx="662">
                  <c:v>41551</c:v>
                </c:pt>
                <c:pt idx="663">
                  <c:v>41554</c:v>
                </c:pt>
                <c:pt idx="664">
                  <c:v>41555</c:v>
                </c:pt>
                <c:pt idx="665">
                  <c:v>41556</c:v>
                </c:pt>
                <c:pt idx="666">
                  <c:v>41557</c:v>
                </c:pt>
                <c:pt idx="667">
                  <c:v>41558</c:v>
                </c:pt>
                <c:pt idx="668">
                  <c:v>41562</c:v>
                </c:pt>
                <c:pt idx="669">
                  <c:v>41563</c:v>
                </c:pt>
                <c:pt idx="670">
                  <c:v>41564</c:v>
                </c:pt>
                <c:pt idx="671">
                  <c:v>41565</c:v>
                </c:pt>
                <c:pt idx="672">
                  <c:v>41568</c:v>
                </c:pt>
                <c:pt idx="673">
                  <c:v>41569</c:v>
                </c:pt>
                <c:pt idx="674">
                  <c:v>41570</c:v>
                </c:pt>
                <c:pt idx="675">
                  <c:v>41571</c:v>
                </c:pt>
                <c:pt idx="676">
                  <c:v>41575</c:v>
                </c:pt>
                <c:pt idx="677">
                  <c:v>41576</c:v>
                </c:pt>
                <c:pt idx="678">
                  <c:v>41577</c:v>
                </c:pt>
                <c:pt idx="679">
                  <c:v>41578</c:v>
                </c:pt>
                <c:pt idx="680">
                  <c:v>41579</c:v>
                </c:pt>
                <c:pt idx="681">
                  <c:v>41582</c:v>
                </c:pt>
                <c:pt idx="682">
                  <c:v>41583</c:v>
                </c:pt>
                <c:pt idx="683">
                  <c:v>41584</c:v>
                </c:pt>
                <c:pt idx="684">
                  <c:v>41585</c:v>
                </c:pt>
                <c:pt idx="685">
                  <c:v>41586</c:v>
                </c:pt>
                <c:pt idx="686">
                  <c:v>41590</c:v>
                </c:pt>
                <c:pt idx="687">
                  <c:v>41591</c:v>
                </c:pt>
                <c:pt idx="688">
                  <c:v>41592</c:v>
                </c:pt>
                <c:pt idx="689">
                  <c:v>41593</c:v>
                </c:pt>
                <c:pt idx="690">
                  <c:v>41596</c:v>
                </c:pt>
                <c:pt idx="691">
                  <c:v>41597</c:v>
                </c:pt>
                <c:pt idx="692">
                  <c:v>41598</c:v>
                </c:pt>
                <c:pt idx="693">
                  <c:v>41599</c:v>
                </c:pt>
                <c:pt idx="694">
                  <c:v>41600</c:v>
                </c:pt>
                <c:pt idx="695">
                  <c:v>41603</c:v>
                </c:pt>
                <c:pt idx="696">
                  <c:v>41604</c:v>
                </c:pt>
                <c:pt idx="697">
                  <c:v>41605</c:v>
                </c:pt>
                <c:pt idx="698">
                  <c:v>41607</c:v>
                </c:pt>
                <c:pt idx="699">
                  <c:v>41610</c:v>
                </c:pt>
                <c:pt idx="700">
                  <c:v>41611</c:v>
                </c:pt>
                <c:pt idx="701">
                  <c:v>41612</c:v>
                </c:pt>
                <c:pt idx="702">
                  <c:v>41613</c:v>
                </c:pt>
                <c:pt idx="703">
                  <c:v>41614</c:v>
                </c:pt>
                <c:pt idx="704">
                  <c:v>41617</c:v>
                </c:pt>
                <c:pt idx="705">
                  <c:v>41618</c:v>
                </c:pt>
                <c:pt idx="706">
                  <c:v>41619</c:v>
                </c:pt>
                <c:pt idx="707">
                  <c:v>41620</c:v>
                </c:pt>
                <c:pt idx="708">
                  <c:v>41621</c:v>
                </c:pt>
                <c:pt idx="709">
                  <c:v>41624</c:v>
                </c:pt>
                <c:pt idx="710">
                  <c:v>41625</c:v>
                </c:pt>
                <c:pt idx="711">
                  <c:v>41626</c:v>
                </c:pt>
                <c:pt idx="712">
                  <c:v>41627</c:v>
                </c:pt>
                <c:pt idx="713">
                  <c:v>41628</c:v>
                </c:pt>
                <c:pt idx="714">
                  <c:v>41631</c:v>
                </c:pt>
                <c:pt idx="715">
                  <c:v>41632</c:v>
                </c:pt>
                <c:pt idx="716">
                  <c:v>41634</c:v>
                </c:pt>
                <c:pt idx="717">
                  <c:v>41635</c:v>
                </c:pt>
                <c:pt idx="718">
                  <c:v>41638</c:v>
                </c:pt>
                <c:pt idx="719">
                  <c:v>41639</c:v>
                </c:pt>
                <c:pt idx="720">
                  <c:v>41641</c:v>
                </c:pt>
                <c:pt idx="721">
                  <c:v>41642</c:v>
                </c:pt>
                <c:pt idx="722">
                  <c:v>41645</c:v>
                </c:pt>
                <c:pt idx="723">
                  <c:v>41646</c:v>
                </c:pt>
                <c:pt idx="724">
                  <c:v>41647</c:v>
                </c:pt>
                <c:pt idx="725">
                  <c:v>41648</c:v>
                </c:pt>
                <c:pt idx="726">
                  <c:v>41649</c:v>
                </c:pt>
                <c:pt idx="727">
                  <c:v>41652</c:v>
                </c:pt>
                <c:pt idx="728">
                  <c:v>41653</c:v>
                </c:pt>
                <c:pt idx="729">
                  <c:v>41654</c:v>
                </c:pt>
                <c:pt idx="730">
                  <c:v>41655</c:v>
                </c:pt>
                <c:pt idx="731">
                  <c:v>41656</c:v>
                </c:pt>
                <c:pt idx="732">
                  <c:v>41660</c:v>
                </c:pt>
                <c:pt idx="733">
                  <c:v>41661</c:v>
                </c:pt>
                <c:pt idx="734">
                  <c:v>41662</c:v>
                </c:pt>
                <c:pt idx="735">
                  <c:v>41663</c:v>
                </c:pt>
                <c:pt idx="736">
                  <c:v>41666</c:v>
                </c:pt>
                <c:pt idx="737">
                  <c:v>41667</c:v>
                </c:pt>
                <c:pt idx="738">
                  <c:v>41668</c:v>
                </c:pt>
                <c:pt idx="739">
                  <c:v>41669</c:v>
                </c:pt>
                <c:pt idx="740">
                  <c:v>41670</c:v>
                </c:pt>
                <c:pt idx="741">
                  <c:v>41673</c:v>
                </c:pt>
                <c:pt idx="742">
                  <c:v>41674</c:v>
                </c:pt>
                <c:pt idx="743">
                  <c:v>41675</c:v>
                </c:pt>
                <c:pt idx="744">
                  <c:v>41676</c:v>
                </c:pt>
                <c:pt idx="745">
                  <c:v>41677</c:v>
                </c:pt>
                <c:pt idx="746">
                  <c:v>41680</c:v>
                </c:pt>
                <c:pt idx="747">
                  <c:v>41681</c:v>
                </c:pt>
                <c:pt idx="748">
                  <c:v>41682</c:v>
                </c:pt>
                <c:pt idx="749">
                  <c:v>41683</c:v>
                </c:pt>
                <c:pt idx="750">
                  <c:v>41684</c:v>
                </c:pt>
                <c:pt idx="751">
                  <c:v>41688</c:v>
                </c:pt>
                <c:pt idx="752">
                  <c:v>41689</c:v>
                </c:pt>
                <c:pt idx="753">
                  <c:v>41690</c:v>
                </c:pt>
                <c:pt idx="754">
                  <c:v>41691</c:v>
                </c:pt>
                <c:pt idx="755">
                  <c:v>41694</c:v>
                </c:pt>
                <c:pt idx="756">
                  <c:v>41695</c:v>
                </c:pt>
                <c:pt idx="757">
                  <c:v>41696</c:v>
                </c:pt>
                <c:pt idx="758">
                  <c:v>41697</c:v>
                </c:pt>
                <c:pt idx="759">
                  <c:v>41698</c:v>
                </c:pt>
                <c:pt idx="760">
                  <c:v>41701</c:v>
                </c:pt>
                <c:pt idx="761">
                  <c:v>41702</c:v>
                </c:pt>
                <c:pt idx="762">
                  <c:v>41703</c:v>
                </c:pt>
                <c:pt idx="763">
                  <c:v>41704</c:v>
                </c:pt>
                <c:pt idx="764">
                  <c:v>41705</c:v>
                </c:pt>
                <c:pt idx="765">
                  <c:v>41708</c:v>
                </c:pt>
                <c:pt idx="766">
                  <c:v>41709</c:v>
                </c:pt>
                <c:pt idx="767">
                  <c:v>41710</c:v>
                </c:pt>
                <c:pt idx="768">
                  <c:v>41711</c:v>
                </c:pt>
                <c:pt idx="769">
                  <c:v>41712</c:v>
                </c:pt>
                <c:pt idx="770">
                  <c:v>41715</c:v>
                </c:pt>
                <c:pt idx="771">
                  <c:v>41716</c:v>
                </c:pt>
                <c:pt idx="772">
                  <c:v>41717</c:v>
                </c:pt>
                <c:pt idx="773">
                  <c:v>41718</c:v>
                </c:pt>
                <c:pt idx="774">
                  <c:v>41719</c:v>
                </c:pt>
                <c:pt idx="775">
                  <c:v>41722</c:v>
                </c:pt>
                <c:pt idx="776">
                  <c:v>41723</c:v>
                </c:pt>
                <c:pt idx="777">
                  <c:v>41724</c:v>
                </c:pt>
                <c:pt idx="778">
                  <c:v>41725</c:v>
                </c:pt>
                <c:pt idx="779">
                  <c:v>41726</c:v>
                </c:pt>
                <c:pt idx="780">
                  <c:v>41729</c:v>
                </c:pt>
                <c:pt idx="781">
                  <c:v>41730</c:v>
                </c:pt>
                <c:pt idx="782">
                  <c:v>41731</c:v>
                </c:pt>
                <c:pt idx="783">
                  <c:v>41732</c:v>
                </c:pt>
                <c:pt idx="784">
                  <c:v>41733</c:v>
                </c:pt>
                <c:pt idx="785">
                  <c:v>41736</c:v>
                </c:pt>
                <c:pt idx="786">
                  <c:v>41737</c:v>
                </c:pt>
                <c:pt idx="787">
                  <c:v>41738</c:v>
                </c:pt>
                <c:pt idx="788">
                  <c:v>41739</c:v>
                </c:pt>
                <c:pt idx="789">
                  <c:v>41740</c:v>
                </c:pt>
                <c:pt idx="790">
                  <c:v>41743</c:v>
                </c:pt>
                <c:pt idx="791">
                  <c:v>41744</c:v>
                </c:pt>
                <c:pt idx="792">
                  <c:v>41745</c:v>
                </c:pt>
                <c:pt idx="793">
                  <c:v>41746</c:v>
                </c:pt>
                <c:pt idx="794">
                  <c:v>41750</c:v>
                </c:pt>
                <c:pt idx="795">
                  <c:v>41751</c:v>
                </c:pt>
                <c:pt idx="796">
                  <c:v>41752</c:v>
                </c:pt>
                <c:pt idx="797">
                  <c:v>41753</c:v>
                </c:pt>
                <c:pt idx="798">
                  <c:v>41754</c:v>
                </c:pt>
                <c:pt idx="799">
                  <c:v>41757</c:v>
                </c:pt>
                <c:pt idx="800">
                  <c:v>41758</c:v>
                </c:pt>
                <c:pt idx="801">
                  <c:v>41759</c:v>
                </c:pt>
                <c:pt idx="802">
                  <c:v>41760</c:v>
                </c:pt>
                <c:pt idx="803">
                  <c:v>41761</c:v>
                </c:pt>
                <c:pt idx="804">
                  <c:v>41764</c:v>
                </c:pt>
                <c:pt idx="805">
                  <c:v>41765</c:v>
                </c:pt>
                <c:pt idx="806">
                  <c:v>41766</c:v>
                </c:pt>
                <c:pt idx="807">
                  <c:v>41767</c:v>
                </c:pt>
                <c:pt idx="808">
                  <c:v>41768</c:v>
                </c:pt>
                <c:pt idx="809">
                  <c:v>41771</c:v>
                </c:pt>
                <c:pt idx="810">
                  <c:v>41772</c:v>
                </c:pt>
                <c:pt idx="811">
                  <c:v>41773</c:v>
                </c:pt>
                <c:pt idx="812">
                  <c:v>41774</c:v>
                </c:pt>
                <c:pt idx="813">
                  <c:v>41775</c:v>
                </c:pt>
                <c:pt idx="814">
                  <c:v>41778</c:v>
                </c:pt>
                <c:pt idx="815">
                  <c:v>41779</c:v>
                </c:pt>
                <c:pt idx="816">
                  <c:v>41780</c:v>
                </c:pt>
                <c:pt idx="817">
                  <c:v>41781</c:v>
                </c:pt>
                <c:pt idx="818">
                  <c:v>41782</c:v>
                </c:pt>
                <c:pt idx="819">
                  <c:v>41786</c:v>
                </c:pt>
                <c:pt idx="820">
                  <c:v>41787</c:v>
                </c:pt>
                <c:pt idx="821">
                  <c:v>41788</c:v>
                </c:pt>
                <c:pt idx="822">
                  <c:v>41789</c:v>
                </c:pt>
                <c:pt idx="823">
                  <c:v>41792</c:v>
                </c:pt>
                <c:pt idx="824">
                  <c:v>41793</c:v>
                </c:pt>
                <c:pt idx="825">
                  <c:v>41794</c:v>
                </c:pt>
                <c:pt idx="826">
                  <c:v>41795</c:v>
                </c:pt>
                <c:pt idx="827">
                  <c:v>41796</c:v>
                </c:pt>
                <c:pt idx="828">
                  <c:v>41799</c:v>
                </c:pt>
                <c:pt idx="829">
                  <c:v>41800</c:v>
                </c:pt>
                <c:pt idx="830">
                  <c:v>41801</c:v>
                </c:pt>
                <c:pt idx="831">
                  <c:v>41802</c:v>
                </c:pt>
                <c:pt idx="832">
                  <c:v>41803</c:v>
                </c:pt>
                <c:pt idx="833">
                  <c:v>41806</c:v>
                </c:pt>
                <c:pt idx="834">
                  <c:v>41807</c:v>
                </c:pt>
                <c:pt idx="835">
                  <c:v>41808</c:v>
                </c:pt>
                <c:pt idx="836">
                  <c:v>41809</c:v>
                </c:pt>
                <c:pt idx="837">
                  <c:v>41810</c:v>
                </c:pt>
                <c:pt idx="838">
                  <c:v>41813</c:v>
                </c:pt>
                <c:pt idx="839">
                  <c:v>41814</c:v>
                </c:pt>
                <c:pt idx="840">
                  <c:v>41815</c:v>
                </c:pt>
                <c:pt idx="841">
                  <c:v>41816</c:v>
                </c:pt>
                <c:pt idx="842">
                  <c:v>41817</c:v>
                </c:pt>
                <c:pt idx="843">
                  <c:v>41820</c:v>
                </c:pt>
                <c:pt idx="844">
                  <c:v>41821</c:v>
                </c:pt>
                <c:pt idx="845">
                  <c:v>41822</c:v>
                </c:pt>
                <c:pt idx="846">
                  <c:v>41823</c:v>
                </c:pt>
                <c:pt idx="847">
                  <c:v>41827</c:v>
                </c:pt>
                <c:pt idx="848">
                  <c:v>41828</c:v>
                </c:pt>
                <c:pt idx="849">
                  <c:v>41829</c:v>
                </c:pt>
                <c:pt idx="850">
                  <c:v>41830</c:v>
                </c:pt>
                <c:pt idx="851">
                  <c:v>41831</c:v>
                </c:pt>
                <c:pt idx="852">
                  <c:v>41834</c:v>
                </c:pt>
                <c:pt idx="853">
                  <c:v>41835</c:v>
                </c:pt>
                <c:pt idx="854">
                  <c:v>41836</c:v>
                </c:pt>
                <c:pt idx="855">
                  <c:v>41837</c:v>
                </c:pt>
                <c:pt idx="856">
                  <c:v>41838</c:v>
                </c:pt>
                <c:pt idx="857">
                  <c:v>41841</c:v>
                </c:pt>
                <c:pt idx="858">
                  <c:v>41842</c:v>
                </c:pt>
                <c:pt idx="859">
                  <c:v>41843</c:v>
                </c:pt>
                <c:pt idx="860">
                  <c:v>41844</c:v>
                </c:pt>
                <c:pt idx="861">
                  <c:v>41845</c:v>
                </c:pt>
                <c:pt idx="862">
                  <c:v>41848</c:v>
                </c:pt>
                <c:pt idx="863">
                  <c:v>41849</c:v>
                </c:pt>
                <c:pt idx="864">
                  <c:v>41850</c:v>
                </c:pt>
                <c:pt idx="865">
                  <c:v>41851</c:v>
                </c:pt>
                <c:pt idx="866">
                  <c:v>41852</c:v>
                </c:pt>
                <c:pt idx="867">
                  <c:v>41855</c:v>
                </c:pt>
                <c:pt idx="868">
                  <c:v>41856</c:v>
                </c:pt>
                <c:pt idx="869">
                  <c:v>41857</c:v>
                </c:pt>
                <c:pt idx="870">
                  <c:v>41858</c:v>
                </c:pt>
                <c:pt idx="871">
                  <c:v>41859</c:v>
                </c:pt>
                <c:pt idx="872">
                  <c:v>41862</c:v>
                </c:pt>
                <c:pt idx="873">
                  <c:v>41863</c:v>
                </c:pt>
                <c:pt idx="874">
                  <c:v>41864</c:v>
                </c:pt>
                <c:pt idx="875">
                  <c:v>41865</c:v>
                </c:pt>
                <c:pt idx="876">
                  <c:v>41866</c:v>
                </c:pt>
                <c:pt idx="877">
                  <c:v>41869</c:v>
                </c:pt>
                <c:pt idx="878">
                  <c:v>41870</c:v>
                </c:pt>
                <c:pt idx="879">
                  <c:v>41871</c:v>
                </c:pt>
                <c:pt idx="880">
                  <c:v>41872</c:v>
                </c:pt>
                <c:pt idx="881">
                  <c:v>41873</c:v>
                </c:pt>
                <c:pt idx="882">
                  <c:v>41876</c:v>
                </c:pt>
                <c:pt idx="883">
                  <c:v>41877</c:v>
                </c:pt>
                <c:pt idx="884">
                  <c:v>41878</c:v>
                </c:pt>
                <c:pt idx="885">
                  <c:v>41879</c:v>
                </c:pt>
                <c:pt idx="886">
                  <c:v>41880</c:v>
                </c:pt>
                <c:pt idx="887">
                  <c:v>41884</c:v>
                </c:pt>
                <c:pt idx="888">
                  <c:v>41885</c:v>
                </c:pt>
                <c:pt idx="889">
                  <c:v>41886</c:v>
                </c:pt>
                <c:pt idx="890">
                  <c:v>41887</c:v>
                </c:pt>
                <c:pt idx="891">
                  <c:v>41890</c:v>
                </c:pt>
                <c:pt idx="892">
                  <c:v>41891</c:v>
                </c:pt>
                <c:pt idx="893">
                  <c:v>41892</c:v>
                </c:pt>
                <c:pt idx="894">
                  <c:v>41893</c:v>
                </c:pt>
                <c:pt idx="895">
                  <c:v>41894</c:v>
                </c:pt>
                <c:pt idx="896">
                  <c:v>41897</c:v>
                </c:pt>
                <c:pt idx="897">
                  <c:v>41898</c:v>
                </c:pt>
                <c:pt idx="898">
                  <c:v>41899</c:v>
                </c:pt>
                <c:pt idx="899">
                  <c:v>41900</c:v>
                </c:pt>
                <c:pt idx="900">
                  <c:v>41901</c:v>
                </c:pt>
                <c:pt idx="901">
                  <c:v>41904</c:v>
                </c:pt>
                <c:pt idx="902">
                  <c:v>41905</c:v>
                </c:pt>
                <c:pt idx="903">
                  <c:v>41906</c:v>
                </c:pt>
                <c:pt idx="904">
                  <c:v>41907</c:v>
                </c:pt>
                <c:pt idx="905">
                  <c:v>41908</c:v>
                </c:pt>
                <c:pt idx="906">
                  <c:v>41911</c:v>
                </c:pt>
                <c:pt idx="907">
                  <c:v>41912</c:v>
                </c:pt>
                <c:pt idx="908">
                  <c:v>41913</c:v>
                </c:pt>
                <c:pt idx="909">
                  <c:v>41914</c:v>
                </c:pt>
                <c:pt idx="910">
                  <c:v>41915</c:v>
                </c:pt>
                <c:pt idx="911">
                  <c:v>41918</c:v>
                </c:pt>
                <c:pt idx="912">
                  <c:v>41919</c:v>
                </c:pt>
                <c:pt idx="913">
                  <c:v>41920</c:v>
                </c:pt>
                <c:pt idx="914">
                  <c:v>41921</c:v>
                </c:pt>
                <c:pt idx="915">
                  <c:v>41922</c:v>
                </c:pt>
                <c:pt idx="916">
                  <c:v>41926</c:v>
                </c:pt>
                <c:pt idx="917">
                  <c:v>41927</c:v>
                </c:pt>
                <c:pt idx="918">
                  <c:v>41928</c:v>
                </c:pt>
                <c:pt idx="919">
                  <c:v>41929</c:v>
                </c:pt>
                <c:pt idx="920">
                  <c:v>41932</c:v>
                </c:pt>
                <c:pt idx="921">
                  <c:v>41933</c:v>
                </c:pt>
                <c:pt idx="922">
                  <c:v>41934</c:v>
                </c:pt>
                <c:pt idx="923">
                  <c:v>41935</c:v>
                </c:pt>
                <c:pt idx="924">
                  <c:v>41936</c:v>
                </c:pt>
                <c:pt idx="925">
                  <c:v>41939</c:v>
                </c:pt>
                <c:pt idx="926">
                  <c:v>41940</c:v>
                </c:pt>
                <c:pt idx="927">
                  <c:v>41941</c:v>
                </c:pt>
                <c:pt idx="928">
                  <c:v>41942</c:v>
                </c:pt>
                <c:pt idx="929">
                  <c:v>41943</c:v>
                </c:pt>
                <c:pt idx="930">
                  <c:v>41946</c:v>
                </c:pt>
                <c:pt idx="931">
                  <c:v>41947</c:v>
                </c:pt>
                <c:pt idx="932">
                  <c:v>41948</c:v>
                </c:pt>
                <c:pt idx="933">
                  <c:v>41949</c:v>
                </c:pt>
                <c:pt idx="934">
                  <c:v>41950</c:v>
                </c:pt>
                <c:pt idx="935">
                  <c:v>41953</c:v>
                </c:pt>
                <c:pt idx="936">
                  <c:v>41955</c:v>
                </c:pt>
                <c:pt idx="937">
                  <c:v>41956</c:v>
                </c:pt>
                <c:pt idx="938">
                  <c:v>41957</c:v>
                </c:pt>
                <c:pt idx="939">
                  <c:v>41960</c:v>
                </c:pt>
                <c:pt idx="940">
                  <c:v>41961</c:v>
                </c:pt>
                <c:pt idx="941">
                  <c:v>41962</c:v>
                </c:pt>
                <c:pt idx="942">
                  <c:v>41963</c:v>
                </c:pt>
                <c:pt idx="943">
                  <c:v>41964</c:v>
                </c:pt>
                <c:pt idx="944">
                  <c:v>41967</c:v>
                </c:pt>
                <c:pt idx="945">
                  <c:v>41968</c:v>
                </c:pt>
                <c:pt idx="946">
                  <c:v>41969</c:v>
                </c:pt>
                <c:pt idx="947">
                  <c:v>41971</c:v>
                </c:pt>
                <c:pt idx="948">
                  <c:v>41974</c:v>
                </c:pt>
                <c:pt idx="949">
                  <c:v>41975</c:v>
                </c:pt>
                <c:pt idx="950">
                  <c:v>41976</c:v>
                </c:pt>
                <c:pt idx="951">
                  <c:v>41977</c:v>
                </c:pt>
                <c:pt idx="952">
                  <c:v>41978</c:v>
                </c:pt>
                <c:pt idx="953">
                  <c:v>41981</c:v>
                </c:pt>
                <c:pt idx="954">
                  <c:v>41982</c:v>
                </c:pt>
                <c:pt idx="955">
                  <c:v>41983</c:v>
                </c:pt>
                <c:pt idx="956">
                  <c:v>41984</c:v>
                </c:pt>
                <c:pt idx="957">
                  <c:v>41985</c:v>
                </c:pt>
                <c:pt idx="958">
                  <c:v>41988</c:v>
                </c:pt>
                <c:pt idx="959">
                  <c:v>41989</c:v>
                </c:pt>
                <c:pt idx="960">
                  <c:v>41990</c:v>
                </c:pt>
                <c:pt idx="961">
                  <c:v>41991</c:v>
                </c:pt>
                <c:pt idx="962">
                  <c:v>41992</c:v>
                </c:pt>
                <c:pt idx="963">
                  <c:v>41995</c:v>
                </c:pt>
                <c:pt idx="964">
                  <c:v>41996</c:v>
                </c:pt>
                <c:pt idx="965">
                  <c:v>41997</c:v>
                </c:pt>
                <c:pt idx="966">
                  <c:v>41999</c:v>
                </c:pt>
                <c:pt idx="967">
                  <c:v>42002</c:v>
                </c:pt>
                <c:pt idx="968">
                  <c:v>42003</c:v>
                </c:pt>
                <c:pt idx="969">
                  <c:v>42004</c:v>
                </c:pt>
                <c:pt idx="970">
                  <c:v>42006</c:v>
                </c:pt>
                <c:pt idx="971">
                  <c:v>42009</c:v>
                </c:pt>
                <c:pt idx="972">
                  <c:v>42010</c:v>
                </c:pt>
                <c:pt idx="973">
                  <c:v>42011</c:v>
                </c:pt>
                <c:pt idx="974">
                  <c:v>42012</c:v>
                </c:pt>
                <c:pt idx="975">
                  <c:v>42013</c:v>
                </c:pt>
                <c:pt idx="976">
                  <c:v>42016</c:v>
                </c:pt>
                <c:pt idx="977">
                  <c:v>42017</c:v>
                </c:pt>
                <c:pt idx="978">
                  <c:v>42018</c:v>
                </c:pt>
                <c:pt idx="979">
                  <c:v>42019</c:v>
                </c:pt>
                <c:pt idx="980">
                  <c:v>42020</c:v>
                </c:pt>
                <c:pt idx="981">
                  <c:v>42024</c:v>
                </c:pt>
                <c:pt idx="982">
                  <c:v>42025</c:v>
                </c:pt>
                <c:pt idx="983">
                  <c:v>42026</c:v>
                </c:pt>
                <c:pt idx="984">
                  <c:v>42027</c:v>
                </c:pt>
                <c:pt idx="985">
                  <c:v>42030</c:v>
                </c:pt>
                <c:pt idx="986">
                  <c:v>42031</c:v>
                </c:pt>
                <c:pt idx="987">
                  <c:v>42032</c:v>
                </c:pt>
                <c:pt idx="988">
                  <c:v>42033</c:v>
                </c:pt>
                <c:pt idx="989">
                  <c:v>42034</c:v>
                </c:pt>
                <c:pt idx="990">
                  <c:v>42037</c:v>
                </c:pt>
                <c:pt idx="991">
                  <c:v>42038</c:v>
                </c:pt>
                <c:pt idx="992">
                  <c:v>42039</c:v>
                </c:pt>
                <c:pt idx="993">
                  <c:v>42040</c:v>
                </c:pt>
                <c:pt idx="994">
                  <c:v>42041</c:v>
                </c:pt>
                <c:pt idx="995">
                  <c:v>42044</c:v>
                </c:pt>
                <c:pt idx="996">
                  <c:v>42045</c:v>
                </c:pt>
                <c:pt idx="997">
                  <c:v>42046</c:v>
                </c:pt>
                <c:pt idx="998">
                  <c:v>42047</c:v>
                </c:pt>
                <c:pt idx="999">
                  <c:v>42048</c:v>
                </c:pt>
                <c:pt idx="1000">
                  <c:v>42052</c:v>
                </c:pt>
                <c:pt idx="1001">
                  <c:v>42053</c:v>
                </c:pt>
                <c:pt idx="1002">
                  <c:v>42054</c:v>
                </c:pt>
                <c:pt idx="1003">
                  <c:v>42055</c:v>
                </c:pt>
                <c:pt idx="1004">
                  <c:v>42058</c:v>
                </c:pt>
                <c:pt idx="1005">
                  <c:v>42059</c:v>
                </c:pt>
                <c:pt idx="1006">
                  <c:v>42060</c:v>
                </c:pt>
                <c:pt idx="1007">
                  <c:v>42061</c:v>
                </c:pt>
                <c:pt idx="1008">
                  <c:v>42062</c:v>
                </c:pt>
                <c:pt idx="1009">
                  <c:v>42065</c:v>
                </c:pt>
                <c:pt idx="1010">
                  <c:v>42066</c:v>
                </c:pt>
                <c:pt idx="1011">
                  <c:v>42067</c:v>
                </c:pt>
                <c:pt idx="1012">
                  <c:v>42068</c:v>
                </c:pt>
                <c:pt idx="1013">
                  <c:v>42069</c:v>
                </c:pt>
                <c:pt idx="1014">
                  <c:v>42072</c:v>
                </c:pt>
                <c:pt idx="1015">
                  <c:v>42073</c:v>
                </c:pt>
                <c:pt idx="1016">
                  <c:v>42074</c:v>
                </c:pt>
                <c:pt idx="1017">
                  <c:v>42075</c:v>
                </c:pt>
                <c:pt idx="1018">
                  <c:v>42076</c:v>
                </c:pt>
                <c:pt idx="1019">
                  <c:v>42079</c:v>
                </c:pt>
                <c:pt idx="1020">
                  <c:v>42080</c:v>
                </c:pt>
                <c:pt idx="1021">
                  <c:v>42081</c:v>
                </c:pt>
                <c:pt idx="1022">
                  <c:v>42082</c:v>
                </c:pt>
                <c:pt idx="1023">
                  <c:v>42083</c:v>
                </c:pt>
                <c:pt idx="1024">
                  <c:v>42086</c:v>
                </c:pt>
                <c:pt idx="1025">
                  <c:v>42087</c:v>
                </c:pt>
                <c:pt idx="1026">
                  <c:v>42088</c:v>
                </c:pt>
                <c:pt idx="1027">
                  <c:v>42089</c:v>
                </c:pt>
                <c:pt idx="1028">
                  <c:v>42090</c:v>
                </c:pt>
                <c:pt idx="1029">
                  <c:v>42093</c:v>
                </c:pt>
                <c:pt idx="1030">
                  <c:v>42094</c:v>
                </c:pt>
                <c:pt idx="1031">
                  <c:v>42095</c:v>
                </c:pt>
                <c:pt idx="1032">
                  <c:v>42096</c:v>
                </c:pt>
                <c:pt idx="1033">
                  <c:v>42097</c:v>
                </c:pt>
                <c:pt idx="1034">
                  <c:v>42100</c:v>
                </c:pt>
                <c:pt idx="1035">
                  <c:v>42101</c:v>
                </c:pt>
                <c:pt idx="1036">
                  <c:v>42102</c:v>
                </c:pt>
                <c:pt idx="1037">
                  <c:v>42103</c:v>
                </c:pt>
                <c:pt idx="1038">
                  <c:v>42104</c:v>
                </c:pt>
                <c:pt idx="1039">
                  <c:v>42107</c:v>
                </c:pt>
                <c:pt idx="1040">
                  <c:v>42108</c:v>
                </c:pt>
                <c:pt idx="1041">
                  <c:v>42109</c:v>
                </c:pt>
                <c:pt idx="1042">
                  <c:v>42110</c:v>
                </c:pt>
                <c:pt idx="1043">
                  <c:v>42111</c:v>
                </c:pt>
                <c:pt idx="1044">
                  <c:v>42114</c:v>
                </c:pt>
                <c:pt idx="1045">
                  <c:v>42115</c:v>
                </c:pt>
                <c:pt idx="1046">
                  <c:v>42116</c:v>
                </c:pt>
                <c:pt idx="1047">
                  <c:v>42117</c:v>
                </c:pt>
                <c:pt idx="1048">
                  <c:v>42118</c:v>
                </c:pt>
                <c:pt idx="1049">
                  <c:v>42121</c:v>
                </c:pt>
                <c:pt idx="1050">
                  <c:v>42122</c:v>
                </c:pt>
                <c:pt idx="1051">
                  <c:v>42123</c:v>
                </c:pt>
                <c:pt idx="1052">
                  <c:v>42124</c:v>
                </c:pt>
                <c:pt idx="1053">
                  <c:v>42125</c:v>
                </c:pt>
                <c:pt idx="1054">
                  <c:v>42128</c:v>
                </c:pt>
                <c:pt idx="1055">
                  <c:v>42129</c:v>
                </c:pt>
                <c:pt idx="1056">
                  <c:v>42130</c:v>
                </c:pt>
                <c:pt idx="1057">
                  <c:v>42131</c:v>
                </c:pt>
                <c:pt idx="1058">
                  <c:v>42132</c:v>
                </c:pt>
                <c:pt idx="1059">
                  <c:v>42135</c:v>
                </c:pt>
                <c:pt idx="1060">
                  <c:v>42136</c:v>
                </c:pt>
                <c:pt idx="1061">
                  <c:v>42137</c:v>
                </c:pt>
                <c:pt idx="1062">
                  <c:v>42138</c:v>
                </c:pt>
                <c:pt idx="1063">
                  <c:v>42139</c:v>
                </c:pt>
                <c:pt idx="1064">
                  <c:v>42142</c:v>
                </c:pt>
                <c:pt idx="1065">
                  <c:v>42143</c:v>
                </c:pt>
                <c:pt idx="1066">
                  <c:v>42144</c:v>
                </c:pt>
                <c:pt idx="1067">
                  <c:v>42145</c:v>
                </c:pt>
                <c:pt idx="1068">
                  <c:v>42146</c:v>
                </c:pt>
                <c:pt idx="1069">
                  <c:v>42150</c:v>
                </c:pt>
                <c:pt idx="1070">
                  <c:v>42151</c:v>
                </c:pt>
                <c:pt idx="1071">
                  <c:v>42152</c:v>
                </c:pt>
                <c:pt idx="1072">
                  <c:v>42153</c:v>
                </c:pt>
                <c:pt idx="1073">
                  <c:v>42156</c:v>
                </c:pt>
                <c:pt idx="1074">
                  <c:v>42157</c:v>
                </c:pt>
                <c:pt idx="1075">
                  <c:v>42158</c:v>
                </c:pt>
                <c:pt idx="1076">
                  <c:v>42159</c:v>
                </c:pt>
                <c:pt idx="1077">
                  <c:v>42160</c:v>
                </c:pt>
                <c:pt idx="1078">
                  <c:v>42163</c:v>
                </c:pt>
                <c:pt idx="1079">
                  <c:v>42164</c:v>
                </c:pt>
                <c:pt idx="1080">
                  <c:v>42165</c:v>
                </c:pt>
                <c:pt idx="1081">
                  <c:v>42166</c:v>
                </c:pt>
                <c:pt idx="1082">
                  <c:v>42167</c:v>
                </c:pt>
                <c:pt idx="1083">
                  <c:v>42170</c:v>
                </c:pt>
                <c:pt idx="1084">
                  <c:v>42171</c:v>
                </c:pt>
                <c:pt idx="1085">
                  <c:v>42172</c:v>
                </c:pt>
                <c:pt idx="1086">
                  <c:v>42173</c:v>
                </c:pt>
                <c:pt idx="1087">
                  <c:v>42174</c:v>
                </c:pt>
                <c:pt idx="1088">
                  <c:v>42177</c:v>
                </c:pt>
                <c:pt idx="1089">
                  <c:v>42178</c:v>
                </c:pt>
                <c:pt idx="1090">
                  <c:v>42179</c:v>
                </c:pt>
                <c:pt idx="1091">
                  <c:v>42180</c:v>
                </c:pt>
                <c:pt idx="1092">
                  <c:v>42181</c:v>
                </c:pt>
                <c:pt idx="1093">
                  <c:v>42184</c:v>
                </c:pt>
                <c:pt idx="1094">
                  <c:v>42185</c:v>
                </c:pt>
                <c:pt idx="1095">
                  <c:v>42186</c:v>
                </c:pt>
                <c:pt idx="1096">
                  <c:v>42187</c:v>
                </c:pt>
                <c:pt idx="1097">
                  <c:v>42191</c:v>
                </c:pt>
                <c:pt idx="1098">
                  <c:v>42192</c:v>
                </c:pt>
                <c:pt idx="1099">
                  <c:v>42193</c:v>
                </c:pt>
                <c:pt idx="1100">
                  <c:v>42194</c:v>
                </c:pt>
                <c:pt idx="1101">
                  <c:v>42195</c:v>
                </c:pt>
                <c:pt idx="1102">
                  <c:v>42198</c:v>
                </c:pt>
                <c:pt idx="1103">
                  <c:v>42199</c:v>
                </c:pt>
                <c:pt idx="1104">
                  <c:v>42200</c:v>
                </c:pt>
                <c:pt idx="1105">
                  <c:v>42201</c:v>
                </c:pt>
                <c:pt idx="1106">
                  <c:v>42202</c:v>
                </c:pt>
                <c:pt idx="1107">
                  <c:v>42205</c:v>
                </c:pt>
                <c:pt idx="1108">
                  <c:v>42206</c:v>
                </c:pt>
                <c:pt idx="1109">
                  <c:v>42207</c:v>
                </c:pt>
                <c:pt idx="1110">
                  <c:v>42208</c:v>
                </c:pt>
                <c:pt idx="1111">
                  <c:v>42209</c:v>
                </c:pt>
                <c:pt idx="1112">
                  <c:v>42212</c:v>
                </c:pt>
                <c:pt idx="1113">
                  <c:v>42213</c:v>
                </c:pt>
                <c:pt idx="1114">
                  <c:v>42214</c:v>
                </c:pt>
                <c:pt idx="1115">
                  <c:v>42215</c:v>
                </c:pt>
                <c:pt idx="1116">
                  <c:v>42216</c:v>
                </c:pt>
                <c:pt idx="1117">
                  <c:v>42219</c:v>
                </c:pt>
                <c:pt idx="1118">
                  <c:v>42220</c:v>
                </c:pt>
                <c:pt idx="1119">
                  <c:v>42221</c:v>
                </c:pt>
                <c:pt idx="1120">
                  <c:v>42222</c:v>
                </c:pt>
                <c:pt idx="1121">
                  <c:v>42223</c:v>
                </c:pt>
                <c:pt idx="1122">
                  <c:v>42226</c:v>
                </c:pt>
                <c:pt idx="1123">
                  <c:v>42227</c:v>
                </c:pt>
                <c:pt idx="1124">
                  <c:v>42228</c:v>
                </c:pt>
                <c:pt idx="1125">
                  <c:v>42229</c:v>
                </c:pt>
                <c:pt idx="1126">
                  <c:v>42230</c:v>
                </c:pt>
                <c:pt idx="1127">
                  <c:v>42233</c:v>
                </c:pt>
                <c:pt idx="1128">
                  <c:v>42234</c:v>
                </c:pt>
                <c:pt idx="1129">
                  <c:v>42235</c:v>
                </c:pt>
                <c:pt idx="1130">
                  <c:v>42236</c:v>
                </c:pt>
                <c:pt idx="1131">
                  <c:v>42237</c:v>
                </c:pt>
                <c:pt idx="1132">
                  <c:v>42240</c:v>
                </c:pt>
                <c:pt idx="1133">
                  <c:v>42241</c:v>
                </c:pt>
                <c:pt idx="1134">
                  <c:v>42242</c:v>
                </c:pt>
                <c:pt idx="1135">
                  <c:v>42243</c:v>
                </c:pt>
                <c:pt idx="1136">
                  <c:v>42244</c:v>
                </c:pt>
                <c:pt idx="1137">
                  <c:v>42247</c:v>
                </c:pt>
                <c:pt idx="1138">
                  <c:v>42248</c:v>
                </c:pt>
                <c:pt idx="1139">
                  <c:v>42249</c:v>
                </c:pt>
                <c:pt idx="1140">
                  <c:v>42250</c:v>
                </c:pt>
                <c:pt idx="1141">
                  <c:v>42251</c:v>
                </c:pt>
                <c:pt idx="1142">
                  <c:v>42255</c:v>
                </c:pt>
                <c:pt idx="1143">
                  <c:v>42256</c:v>
                </c:pt>
                <c:pt idx="1144">
                  <c:v>42257</c:v>
                </c:pt>
                <c:pt idx="1145">
                  <c:v>42258</c:v>
                </c:pt>
                <c:pt idx="1146">
                  <c:v>42261</c:v>
                </c:pt>
                <c:pt idx="1147">
                  <c:v>42262</c:v>
                </c:pt>
                <c:pt idx="1148">
                  <c:v>42263</c:v>
                </c:pt>
                <c:pt idx="1149">
                  <c:v>42264</c:v>
                </c:pt>
                <c:pt idx="1150">
                  <c:v>42265</c:v>
                </c:pt>
                <c:pt idx="1151">
                  <c:v>42268</c:v>
                </c:pt>
                <c:pt idx="1152">
                  <c:v>42269</c:v>
                </c:pt>
                <c:pt idx="1153">
                  <c:v>42270</c:v>
                </c:pt>
                <c:pt idx="1154">
                  <c:v>42271</c:v>
                </c:pt>
                <c:pt idx="1155">
                  <c:v>42272</c:v>
                </c:pt>
                <c:pt idx="1156">
                  <c:v>42275</c:v>
                </c:pt>
                <c:pt idx="1157">
                  <c:v>42276</c:v>
                </c:pt>
                <c:pt idx="1158">
                  <c:v>42277</c:v>
                </c:pt>
                <c:pt idx="1159">
                  <c:v>42278</c:v>
                </c:pt>
                <c:pt idx="1160">
                  <c:v>42279</c:v>
                </c:pt>
                <c:pt idx="1161">
                  <c:v>42282</c:v>
                </c:pt>
                <c:pt idx="1162">
                  <c:v>42283</c:v>
                </c:pt>
                <c:pt idx="1163">
                  <c:v>42284</c:v>
                </c:pt>
                <c:pt idx="1164">
                  <c:v>42285</c:v>
                </c:pt>
                <c:pt idx="1165">
                  <c:v>42286</c:v>
                </c:pt>
                <c:pt idx="1166">
                  <c:v>42290</c:v>
                </c:pt>
                <c:pt idx="1167">
                  <c:v>42291</c:v>
                </c:pt>
                <c:pt idx="1168">
                  <c:v>42292</c:v>
                </c:pt>
                <c:pt idx="1169">
                  <c:v>42293</c:v>
                </c:pt>
                <c:pt idx="1170">
                  <c:v>42296</c:v>
                </c:pt>
                <c:pt idx="1171">
                  <c:v>42297</c:v>
                </c:pt>
                <c:pt idx="1172">
                  <c:v>42298</c:v>
                </c:pt>
                <c:pt idx="1173">
                  <c:v>42299</c:v>
                </c:pt>
                <c:pt idx="1174">
                  <c:v>42300</c:v>
                </c:pt>
                <c:pt idx="1175">
                  <c:v>42303</c:v>
                </c:pt>
                <c:pt idx="1176">
                  <c:v>42304</c:v>
                </c:pt>
                <c:pt idx="1177">
                  <c:v>42305</c:v>
                </c:pt>
                <c:pt idx="1178">
                  <c:v>42306</c:v>
                </c:pt>
                <c:pt idx="1179">
                  <c:v>42307</c:v>
                </c:pt>
                <c:pt idx="1180">
                  <c:v>42310</c:v>
                </c:pt>
                <c:pt idx="1181">
                  <c:v>42311</c:v>
                </c:pt>
                <c:pt idx="1182">
                  <c:v>42312</c:v>
                </c:pt>
                <c:pt idx="1183">
                  <c:v>42313</c:v>
                </c:pt>
                <c:pt idx="1184">
                  <c:v>42314</c:v>
                </c:pt>
                <c:pt idx="1185">
                  <c:v>42317</c:v>
                </c:pt>
                <c:pt idx="1186">
                  <c:v>42318</c:v>
                </c:pt>
                <c:pt idx="1187">
                  <c:v>42320</c:v>
                </c:pt>
                <c:pt idx="1188">
                  <c:v>42321</c:v>
                </c:pt>
                <c:pt idx="1189">
                  <c:v>42324</c:v>
                </c:pt>
                <c:pt idx="1190">
                  <c:v>42325</c:v>
                </c:pt>
                <c:pt idx="1191">
                  <c:v>42326</c:v>
                </c:pt>
                <c:pt idx="1192">
                  <c:v>42327</c:v>
                </c:pt>
                <c:pt idx="1193">
                  <c:v>42328</c:v>
                </c:pt>
                <c:pt idx="1194">
                  <c:v>42331</c:v>
                </c:pt>
                <c:pt idx="1195">
                  <c:v>42332</c:v>
                </c:pt>
                <c:pt idx="1196">
                  <c:v>42333</c:v>
                </c:pt>
                <c:pt idx="1197">
                  <c:v>42335</c:v>
                </c:pt>
                <c:pt idx="1198">
                  <c:v>42338</c:v>
                </c:pt>
                <c:pt idx="1199">
                  <c:v>42339</c:v>
                </c:pt>
                <c:pt idx="1200">
                  <c:v>42340</c:v>
                </c:pt>
                <c:pt idx="1201">
                  <c:v>42341</c:v>
                </c:pt>
                <c:pt idx="1202">
                  <c:v>42342</c:v>
                </c:pt>
                <c:pt idx="1203">
                  <c:v>42345</c:v>
                </c:pt>
                <c:pt idx="1204">
                  <c:v>42346</c:v>
                </c:pt>
                <c:pt idx="1205">
                  <c:v>42347</c:v>
                </c:pt>
                <c:pt idx="1206">
                  <c:v>42348</c:v>
                </c:pt>
                <c:pt idx="1207">
                  <c:v>42349</c:v>
                </c:pt>
                <c:pt idx="1208">
                  <c:v>42352</c:v>
                </c:pt>
                <c:pt idx="1209">
                  <c:v>42353</c:v>
                </c:pt>
                <c:pt idx="1210">
                  <c:v>42354</c:v>
                </c:pt>
                <c:pt idx="1211">
                  <c:v>42355</c:v>
                </c:pt>
                <c:pt idx="1212">
                  <c:v>42356</c:v>
                </c:pt>
                <c:pt idx="1213">
                  <c:v>42359</c:v>
                </c:pt>
                <c:pt idx="1214">
                  <c:v>42360</c:v>
                </c:pt>
                <c:pt idx="1215">
                  <c:v>42361</c:v>
                </c:pt>
                <c:pt idx="1216">
                  <c:v>42362</c:v>
                </c:pt>
                <c:pt idx="1217">
                  <c:v>42366</c:v>
                </c:pt>
                <c:pt idx="1218">
                  <c:v>42367</c:v>
                </c:pt>
                <c:pt idx="1219">
                  <c:v>42368</c:v>
                </c:pt>
                <c:pt idx="1220">
                  <c:v>42369</c:v>
                </c:pt>
                <c:pt idx="1221">
                  <c:v>42373</c:v>
                </c:pt>
                <c:pt idx="1222">
                  <c:v>42374</c:v>
                </c:pt>
                <c:pt idx="1223">
                  <c:v>42375</c:v>
                </c:pt>
                <c:pt idx="1224">
                  <c:v>42376</c:v>
                </c:pt>
                <c:pt idx="1225">
                  <c:v>42377</c:v>
                </c:pt>
                <c:pt idx="1226">
                  <c:v>42380</c:v>
                </c:pt>
                <c:pt idx="1227">
                  <c:v>42381</c:v>
                </c:pt>
                <c:pt idx="1228">
                  <c:v>42382</c:v>
                </c:pt>
                <c:pt idx="1229">
                  <c:v>42383</c:v>
                </c:pt>
                <c:pt idx="1230">
                  <c:v>42384</c:v>
                </c:pt>
                <c:pt idx="1231">
                  <c:v>42388</c:v>
                </c:pt>
                <c:pt idx="1232">
                  <c:v>42389</c:v>
                </c:pt>
                <c:pt idx="1233">
                  <c:v>42390</c:v>
                </c:pt>
                <c:pt idx="1234">
                  <c:v>42391</c:v>
                </c:pt>
                <c:pt idx="1235">
                  <c:v>42394</c:v>
                </c:pt>
                <c:pt idx="1236">
                  <c:v>42395</c:v>
                </c:pt>
                <c:pt idx="1237">
                  <c:v>42396</c:v>
                </c:pt>
                <c:pt idx="1238">
                  <c:v>42397</c:v>
                </c:pt>
                <c:pt idx="1239">
                  <c:v>42398</c:v>
                </c:pt>
                <c:pt idx="1240">
                  <c:v>42401</c:v>
                </c:pt>
                <c:pt idx="1241">
                  <c:v>42402</c:v>
                </c:pt>
                <c:pt idx="1242">
                  <c:v>42403</c:v>
                </c:pt>
                <c:pt idx="1243">
                  <c:v>42404</c:v>
                </c:pt>
                <c:pt idx="1244">
                  <c:v>42405</c:v>
                </c:pt>
                <c:pt idx="1245">
                  <c:v>42408</c:v>
                </c:pt>
                <c:pt idx="1246">
                  <c:v>42409</c:v>
                </c:pt>
                <c:pt idx="1247">
                  <c:v>42410</c:v>
                </c:pt>
                <c:pt idx="1248">
                  <c:v>42411</c:v>
                </c:pt>
                <c:pt idx="1249">
                  <c:v>42412</c:v>
                </c:pt>
              </c:numCache>
            </c:numRef>
          </c:cat>
          <c:val>
            <c:numRef>
              <c:f>'OAS and Media Effect'!$J$10:$J$1259</c:f>
              <c:numCache>
                <c:formatCode>General</c:formatCode>
                <c:ptCount val="1250"/>
                <c:pt idx="0">
                  <c:v>-46.355499000000002</c:v>
                </c:pt>
                <c:pt idx="1">
                  <c:v>-59.443801999999998</c:v>
                </c:pt>
                <c:pt idx="2">
                  <c:v>-65.651900999999995</c:v>
                </c:pt>
                <c:pt idx="3">
                  <c:v>-47.389000000000003</c:v>
                </c:pt>
                <c:pt idx="4">
                  <c:v>-51.927298999999998</c:v>
                </c:pt>
                <c:pt idx="5">
                  <c:v>-36.043598000000003</c:v>
                </c:pt>
                <c:pt idx="6">
                  <c:v>-40.838698999999998</c:v>
                </c:pt>
                <c:pt idx="7">
                  <c:v>-36.337600999999999</c:v>
                </c:pt>
                <c:pt idx="8">
                  <c:v>-30.010598999999999</c:v>
                </c:pt>
                <c:pt idx="9">
                  <c:v>-27.406798999999999</c:v>
                </c:pt>
                <c:pt idx="10">
                  <c:v>-22.981199</c:v>
                </c:pt>
                <c:pt idx="11">
                  <c:v>-28.412299999999998</c:v>
                </c:pt>
                <c:pt idx="12">
                  <c:v>-50.316001999999997</c:v>
                </c:pt>
                <c:pt idx="13">
                  <c:v>-40.587898000000003</c:v>
                </c:pt>
                <c:pt idx="14">
                  <c:v>-51.506900999999999</c:v>
                </c:pt>
                <c:pt idx="15">
                  <c:v>-59.562099000000003</c:v>
                </c:pt>
                <c:pt idx="16">
                  <c:v>-46.314200999999997</c:v>
                </c:pt>
                <c:pt idx="17">
                  <c:v>-24.422799999999999</c:v>
                </c:pt>
                <c:pt idx="18">
                  <c:v>-21.935101</c:v>
                </c:pt>
                <c:pt idx="19">
                  <c:v>-36.973300999999999</c:v>
                </c:pt>
                <c:pt idx="20">
                  <c:v>-44.364699999999999</c:v>
                </c:pt>
                <c:pt idx="21">
                  <c:v>-28.299199999999999</c:v>
                </c:pt>
                <c:pt idx="22">
                  <c:v>-28.6996</c:v>
                </c:pt>
                <c:pt idx="23">
                  <c:v>-31.032301</c:v>
                </c:pt>
                <c:pt idx="24">
                  <c:v>-39.778098999999997</c:v>
                </c:pt>
                <c:pt idx="25">
                  <c:v>-39.322800000000001</c:v>
                </c:pt>
                <c:pt idx="26">
                  <c:v>-41.5625</c:v>
                </c:pt>
                <c:pt idx="27">
                  <c:v>-49.425499000000002</c:v>
                </c:pt>
                <c:pt idx="28">
                  <c:v>-64.829696999999996</c:v>
                </c:pt>
                <c:pt idx="29">
                  <c:v>-77.691399000000004</c:v>
                </c:pt>
                <c:pt idx="30">
                  <c:v>-85.883797000000001</c:v>
                </c:pt>
                <c:pt idx="31">
                  <c:v>-84.886803</c:v>
                </c:pt>
                <c:pt idx="32">
                  <c:v>-86.372497999999993</c:v>
                </c:pt>
                <c:pt idx="33">
                  <c:v>-92.224402999999995</c:v>
                </c:pt>
                <c:pt idx="34">
                  <c:v>-88.982001999999994</c:v>
                </c:pt>
                <c:pt idx="35">
                  <c:v>-105.489304</c:v>
                </c:pt>
                <c:pt idx="36">
                  <c:v>-121.661102</c:v>
                </c:pt>
                <c:pt idx="37">
                  <c:v>-130.50590500000001</c:v>
                </c:pt>
                <c:pt idx="38">
                  <c:v>-135.06170700000001</c:v>
                </c:pt>
                <c:pt idx="39">
                  <c:v>-141.42529300000001</c:v>
                </c:pt>
                <c:pt idx="40">
                  <c:v>-137.64359999999999</c:v>
                </c:pt>
                <c:pt idx="41">
                  <c:v>-137.808899</c:v>
                </c:pt>
                <c:pt idx="42">
                  <c:v>-137.074997</c:v>
                </c:pt>
                <c:pt idx="43">
                  <c:v>-124.151802</c:v>
                </c:pt>
                <c:pt idx="44">
                  <c:v>115.686897</c:v>
                </c:pt>
                <c:pt idx="45">
                  <c:v>-111.029999</c:v>
                </c:pt>
                <c:pt idx="46">
                  <c:v>-120.20839700000001</c:v>
                </c:pt>
                <c:pt idx="47">
                  <c:v>-119.152901</c:v>
                </c:pt>
                <c:pt idx="48">
                  <c:v>-117.247803</c:v>
                </c:pt>
                <c:pt idx="49">
                  <c:v>-116.952499</c:v>
                </c:pt>
                <c:pt idx="50">
                  <c:v>-117.538498</c:v>
                </c:pt>
                <c:pt idx="51">
                  <c:v>-103.995903</c:v>
                </c:pt>
                <c:pt idx="52">
                  <c:v>-106.533096</c:v>
                </c:pt>
                <c:pt idx="53">
                  <c:v>-108.476501</c:v>
                </c:pt>
                <c:pt idx="54">
                  <c:v>-108.627403</c:v>
                </c:pt>
                <c:pt idx="55">
                  <c:v>-100.710098</c:v>
                </c:pt>
                <c:pt idx="56">
                  <c:v>-93.175597999999994</c:v>
                </c:pt>
                <c:pt idx="57">
                  <c:v>-103.90570099999999</c:v>
                </c:pt>
                <c:pt idx="58">
                  <c:v>-101.403999</c:v>
                </c:pt>
                <c:pt idx="59">
                  <c:v>-114.08669999999999</c:v>
                </c:pt>
                <c:pt idx="60">
                  <c:v>-111.4729</c:v>
                </c:pt>
                <c:pt idx="61">
                  <c:v>-129.59599299999999</c:v>
                </c:pt>
                <c:pt idx="62">
                  <c:v>-121.444801</c:v>
                </c:pt>
                <c:pt idx="63">
                  <c:v>-113.47380099999999</c:v>
                </c:pt>
                <c:pt idx="64">
                  <c:v>-108.28649900000001</c:v>
                </c:pt>
                <c:pt idx="65">
                  <c:v>-122.6054</c:v>
                </c:pt>
                <c:pt idx="66">
                  <c:v>-130.94000199999999</c:v>
                </c:pt>
                <c:pt idx="67">
                  <c:v>-142.17790199999999</c:v>
                </c:pt>
                <c:pt idx="68">
                  <c:v>-151.290604</c:v>
                </c:pt>
                <c:pt idx="69">
                  <c:v>-167.628601</c:v>
                </c:pt>
                <c:pt idx="70">
                  <c:v>-164.972702</c:v>
                </c:pt>
                <c:pt idx="71">
                  <c:v>-144.80439799999999</c:v>
                </c:pt>
                <c:pt idx="72">
                  <c:v>-146.529404</c:v>
                </c:pt>
                <c:pt idx="73">
                  <c:v>-144.807907</c:v>
                </c:pt>
                <c:pt idx="74">
                  <c:v>-129.80059800000001</c:v>
                </c:pt>
                <c:pt idx="75">
                  <c:v>-146.11729399999999</c:v>
                </c:pt>
                <c:pt idx="76">
                  <c:v>-154.878693</c:v>
                </c:pt>
                <c:pt idx="77">
                  <c:v>-167.74659700000001</c:v>
                </c:pt>
                <c:pt idx="78">
                  <c:v>-180.83670000000001</c:v>
                </c:pt>
                <c:pt idx="79">
                  <c:v>-159.42250100000001</c:v>
                </c:pt>
                <c:pt idx="80">
                  <c:v>-165.55149800000001</c:v>
                </c:pt>
                <c:pt idx="81">
                  <c:v>-153.711502</c:v>
                </c:pt>
                <c:pt idx="82">
                  <c:v>-153.46620200000001</c:v>
                </c:pt>
                <c:pt idx="83">
                  <c:v>-184.65269499999999</c:v>
                </c:pt>
                <c:pt idx="84">
                  <c:v>-165.41760300000001</c:v>
                </c:pt>
                <c:pt idx="85">
                  <c:v>-143.43150299999999</c:v>
                </c:pt>
                <c:pt idx="86">
                  <c:v>-152.50889599999999</c:v>
                </c:pt>
                <c:pt idx="87">
                  <c:v>-150.42700199999999</c:v>
                </c:pt>
                <c:pt idx="88">
                  <c:v>-142.10060100000001</c:v>
                </c:pt>
                <c:pt idx="89">
                  <c:v>-147.61360199999999</c:v>
                </c:pt>
                <c:pt idx="90">
                  <c:v>-126.6576</c:v>
                </c:pt>
                <c:pt idx="91">
                  <c:v>-114.576103</c:v>
                </c:pt>
                <c:pt idx="92">
                  <c:v>-126.025299</c:v>
                </c:pt>
                <c:pt idx="93">
                  <c:v>-149.566406</c:v>
                </c:pt>
                <c:pt idx="94">
                  <c:v>-167.92739900000001</c:v>
                </c:pt>
                <c:pt idx="95">
                  <c:v>-184.590103</c:v>
                </c:pt>
                <c:pt idx="96">
                  <c:v>-208.734207</c:v>
                </c:pt>
                <c:pt idx="97">
                  <c:v>-196.01719700000001</c:v>
                </c:pt>
                <c:pt idx="98">
                  <c:v>-190.83180200000001</c:v>
                </c:pt>
                <c:pt idx="99">
                  <c:v>-211.08009300000001</c:v>
                </c:pt>
                <c:pt idx="100">
                  <c:v>-176.598907</c:v>
                </c:pt>
                <c:pt idx="101">
                  <c:v>-161.908997</c:v>
                </c:pt>
                <c:pt idx="102">
                  <c:v>-160.67030299999999</c:v>
                </c:pt>
                <c:pt idx="103">
                  <c:v>-151.01319899999999</c:v>
                </c:pt>
                <c:pt idx="104">
                  <c:v>-155.20249899999999</c:v>
                </c:pt>
                <c:pt idx="105">
                  <c:v>-155.61300700000001</c:v>
                </c:pt>
                <c:pt idx="106">
                  <c:v>-159.14909399999999</c:v>
                </c:pt>
                <c:pt idx="107">
                  <c:v>-157.30169699999999</c:v>
                </c:pt>
                <c:pt idx="108">
                  <c:v>-151.40130600000001</c:v>
                </c:pt>
                <c:pt idx="109">
                  <c:v>-158.899597</c:v>
                </c:pt>
                <c:pt idx="110">
                  <c:v>-150.48599200000001</c:v>
                </c:pt>
                <c:pt idx="111">
                  <c:v>-157.503693</c:v>
                </c:pt>
                <c:pt idx="112">
                  <c:v>-152.16789199999999</c:v>
                </c:pt>
                <c:pt idx="113">
                  <c:v>-169.447205</c:v>
                </c:pt>
                <c:pt idx="114">
                  <c:v>-160.44650300000001</c:v>
                </c:pt>
                <c:pt idx="115">
                  <c:v>-131.04409799999999</c:v>
                </c:pt>
                <c:pt idx="116">
                  <c:v>-117.55500000000001</c:v>
                </c:pt>
                <c:pt idx="117">
                  <c:v>-95.877701000000002</c:v>
                </c:pt>
                <c:pt idx="118">
                  <c:v>-81.612801000000005</c:v>
                </c:pt>
                <c:pt idx="119">
                  <c:v>-30.2742</c:v>
                </c:pt>
                <c:pt idx="120">
                  <c:v>-60.526198999999998</c:v>
                </c:pt>
                <c:pt idx="121">
                  <c:v>-32.468497999999997</c:v>
                </c:pt>
                <c:pt idx="122">
                  <c:v>67.997703999999999</c:v>
                </c:pt>
                <c:pt idx="123">
                  <c:v>212.84480300000001</c:v>
                </c:pt>
                <c:pt idx="124">
                  <c:v>150.24899300000001</c:v>
                </c:pt>
                <c:pt idx="125">
                  <c:v>185.57150300000001</c:v>
                </c:pt>
                <c:pt idx="126">
                  <c:v>165.89149499999999</c:v>
                </c:pt>
                <c:pt idx="127">
                  <c:v>170.404999</c:v>
                </c:pt>
                <c:pt idx="128">
                  <c:v>181.5625</c:v>
                </c:pt>
                <c:pt idx="129">
                  <c:v>201.32539399999999</c:v>
                </c:pt>
                <c:pt idx="130">
                  <c:v>204.99620100000001</c:v>
                </c:pt>
                <c:pt idx="131">
                  <c:v>218.77720600000001</c:v>
                </c:pt>
                <c:pt idx="132">
                  <c:v>207.47309899999999</c:v>
                </c:pt>
                <c:pt idx="133">
                  <c:v>165.69160500000001</c:v>
                </c:pt>
                <c:pt idx="134">
                  <c:v>226.270004</c:v>
                </c:pt>
                <c:pt idx="135">
                  <c:v>208.36329699999999</c:v>
                </c:pt>
                <c:pt idx="136">
                  <c:v>160.53990200000001</c:v>
                </c:pt>
                <c:pt idx="137">
                  <c:v>179.919006</c:v>
                </c:pt>
                <c:pt idx="138">
                  <c:v>141.329803</c:v>
                </c:pt>
                <c:pt idx="139">
                  <c:v>166.545502</c:v>
                </c:pt>
                <c:pt idx="140">
                  <c:v>196.21000699999999</c:v>
                </c:pt>
                <c:pt idx="141">
                  <c:v>219.12429800000001</c:v>
                </c:pt>
                <c:pt idx="142">
                  <c:v>187.603195</c:v>
                </c:pt>
                <c:pt idx="143">
                  <c:v>222.77979999999999</c:v>
                </c:pt>
                <c:pt idx="144">
                  <c:v>198.651398</c:v>
                </c:pt>
                <c:pt idx="145">
                  <c:v>163.085297</c:v>
                </c:pt>
                <c:pt idx="146">
                  <c:v>171.527603</c:v>
                </c:pt>
                <c:pt idx="147">
                  <c:v>182.26840200000001</c:v>
                </c:pt>
                <c:pt idx="148">
                  <c:v>162.280304</c:v>
                </c:pt>
                <c:pt idx="149">
                  <c:v>146.23460399999999</c:v>
                </c:pt>
                <c:pt idx="150">
                  <c:v>209.977203</c:v>
                </c:pt>
                <c:pt idx="151">
                  <c:v>217.34440599999999</c:v>
                </c:pt>
                <c:pt idx="152">
                  <c:v>318.66861</c:v>
                </c:pt>
                <c:pt idx="153">
                  <c:v>506.69229100000001</c:v>
                </c:pt>
                <c:pt idx="154">
                  <c:v>402.06860399999999</c:v>
                </c:pt>
                <c:pt idx="155">
                  <c:v>411.81408699999997</c:v>
                </c:pt>
                <c:pt idx="156">
                  <c:v>362.45700099999999</c:v>
                </c:pt>
                <c:pt idx="157">
                  <c:v>337.88320900000002</c:v>
                </c:pt>
                <c:pt idx="158">
                  <c:v>387.40838600000001</c:v>
                </c:pt>
                <c:pt idx="159">
                  <c:v>402.68069500000001</c:v>
                </c:pt>
                <c:pt idx="160">
                  <c:v>452.123108</c:v>
                </c:pt>
                <c:pt idx="161">
                  <c:v>390.32308999999998</c:v>
                </c:pt>
                <c:pt idx="162">
                  <c:v>346.89920000000001</c:v>
                </c:pt>
                <c:pt idx="163">
                  <c:v>341.91738900000001</c:v>
                </c:pt>
                <c:pt idx="164">
                  <c:v>571.11279300000001</c:v>
                </c:pt>
                <c:pt idx="165">
                  <c:v>558.91272000000004</c:v>
                </c:pt>
                <c:pt idx="166">
                  <c:v>498.21618699999999</c:v>
                </c:pt>
                <c:pt idx="167">
                  <c:v>595.66577099999995</c:v>
                </c:pt>
                <c:pt idx="168">
                  <c:v>554.31030299999998</c:v>
                </c:pt>
                <c:pt idx="169">
                  <c:v>583.54742399999998</c:v>
                </c:pt>
                <c:pt idx="170">
                  <c:v>592.65258800000004</c:v>
                </c:pt>
                <c:pt idx="171">
                  <c:v>571.28790300000003</c:v>
                </c:pt>
                <c:pt idx="172">
                  <c:v>553.003601</c:v>
                </c:pt>
                <c:pt idx="173">
                  <c:v>543.54217500000004</c:v>
                </c:pt>
                <c:pt idx="174">
                  <c:v>504.98129299999999</c:v>
                </c:pt>
                <c:pt idx="175">
                  <c:v>558.97827099999995</c:v>
                </c:pt>
                <c:pt idx="176">
                  <c:v>515.569885</c:v>
                </c:pt>
                <c:pt idx="177">
                  <c:v>386.40411399999999</c:v>
                </c:pt>
                <c:pt idx="178">
                  <c:v>431.65380900000002</c:v>
                </c:pt>
                <c:pt idx="179">
                  <c:v>529.158997</c:v>
                </c:pt>
                <c:pt idx="180">
                  <c:v>616.67901600000005</c:v>
                </c:pt>
                <c:pt idx="181">
                  <c:v>618.67730700000004</c:v>
                </c:pt>
                <c:pt idx="182">
                  <c:v>549.28417999999999</c:v>
                </c:pt>
                <c:pt idx="183">
                  <c:v>572.97912599999995</c:v>
                </c:pt>
                <c:pt idx="184">
                  <c:v>630.30102499999998</c:v>
                </c:pt>
                <c:pt idx="185">
                  <c:v>615.78887899999995</c:v>
                </c:pt>
                <c:pt idx="186">
                  <c:v>641.28967299999999</c:v>
                </c:pt>
                <c:pt idx="187">
                  <c:v>649.35717799999998</c:v>
                </c:pt>
                <c:pt idx="188">
                  <c:v>632.01147500000002</c:v>
                </c:pt>
                <c:pt idx="189">
                  <c:v>634.83471699999996</c:v>
                </c:pt>
                <c:pt idx="190">
                  <c:v>619.89160200000003</c:v>
                </c:pt>
                <c:pt idx="191">
                  <c:v>629.605774</c:v>
                </c:pt>
                <c:pt idx="192">
                  <c:v>575.94122300000004</c:v>
                </c:pt>
                <c:pt idx="193">
                  <c:v>588.51208499999996</c:v>
                </c:pt>
                <c:pt idx="194">
                  <c:v>597.26178000000004</c:v>
                </c:pt>
                <c:pt idx="195">
                  <c:v>562.76147500000002</c:v>
                </c:pt>
                <c:pt idx="196">
                  <c:v>516.54400599999997</c:v>
                </c:pt>
                <c:pt idx="197">
                  <c:v>514.64190699999995</c:v>
                </c:pt>
                <c:pt idx="198">
                  <c:v>520.67559800000004</c:v>
                </c:pt>
                <c:pt idx="199">
                  <c:v>536.75042699999995</c:v>
                </c:pt>
                <c:pt idx="200">
                  <c:v>524.893372</c:v>
                </c:pt>
                <c:pt idx="201">
                  <c:v>536.76800500000002</c:v>
                </c:pt>
                <c:pt idx="202">
                  <c:v>547.01458700000001</c:v>
                </c:pt>
                <c:pt idx="203">
                  <c:v>549.46972700000003</c:v>
                </c:pt>
                <c:pt idx="204">
                  <c:v>571.09692399999994</c:v>
                </c:pt>
                <c:pt idx="205">
                  <c:v>551.06317100000001</c:v>
                </c:pt>
                <c:pt idx="206">
                  <c:v>500.40579200000002</c:v>
                </c:pt>
                <c:pt idx="207">
                  <c:v>510.26629600000001</c:v>
                </c:pt>
                <c:pt idx="208">
                  <c:v>522.46698000000004</c:v>
                </c:pt>
                <c:pt idx="209">
                  <c:v>544.02117899999996</c:v>
                </c:pt>
                <c:pt idx="210">
                  <c:v>536.22497599999997</c:v>
                </c:pt>
                <c:pt idx="211">
                  <c:v>549.69769299999996</c:v>
                </c:pt>
                <c:pt idx="212">
                  <c:v>591.45141599999999</c:v>
                </c:pt>
                <c:pt idx="213">
                  <c:v>542.69537400000002</c:v>
                </c:pt>
                <c:pt idx="214">
                  <c:v>532.91687000000002</c:v>
                </c:pt>
                <c:pt idx="215">
                  <c:v>498.67550699999998</c:v>
                </c:pt>
                <c:pt idx="216">
                  <c:v>456.501801</c:v>
                </c:pt>
                <c:pt idx="217">
                  <c:v>461.38189699999998</c:v>
                </c:pt>
                <c:pt idx="218">
                  <c:v>497.535889</c:v>
                </c:pt>
                <c:pt idx="219">
                  <c:v>511.15978999999999</c:v>
                </c:pt>
                <c:pt idx="220">
                  <c:v>531.68841599999996</c:v>
                </c:pt>
                <c:pt idx="221">
                  <c:v>234.40919500000001</c:v>
                </c:pt>
                <c:pt idx="222">
                  <c:v>220.58659399999999</c:v>
                </c:pt>
                <c:pt idx="223">
                  <c:v>240.911697</c:v>
                </c:pt>
                <c:pt idx="224">
                  <c:v>266.53460699999999</c:v>
                </c:pt>
                <c:pt idx="225">
                  <c:v>270.11138899999997</c:v>
                </c:pt>
                <c:pt idx="226">
                  <c:v>222.23039199999999</c:v>
                </c:pt>
                <c:pt idx="227">
                  <c:v>254.002396</c:v>
                </c:pt>
                <c:pt idx="228">
                  <c:v>252.30360400000001</c:v>
                </c:pt>
                <c:pt idx="229">
                  <c:v>318.09210200000001</c:v>
                </c:pt>
                <c:pt idx="230">
                  <c:v>309.236603</c:v>
                </c:pt>
                <c:pt idx="231">
                  <c:v>279.54901100000001</c:v>
                </c:pt>
                <c:pt idx="232">
                  <c:v>219.23280299999999</c:v>
                </c:pt>
                <c:pt idx="233">
                  <c:v>190.48629800000001</c:v>
                </c:pt>
                <c:pt idx="234">
                  <c:v>178.72200000000001</c:v>
                </c:pt>
                <c:pt idx="235">
                  <c:v>207.017303</c:v>
                </c:pt>
                <c:pt idx="236">
                  <c:v>286.08599900000002</c:v>
                </c:pt>
                <c:pt idx="237">
                  <c:v>377.079498</c:v>
                </c:pt>
                <c:pt idx="238">
                  <c:v>404.96490499999999</c:v>
                </c:pt>
                <c:pt idx="239">
                  <c:v>438.29830900000002</c:v>
                </c:pt>
                <c:pt idx="240">
                  <c:v>457.81469700000002</c:v>
                </c:pt>
                <c:pt idx="241">
                  <c:v>466.91738900000001</c:v>
                </c:pt>
                <c:pt idx="242">
                  <c:v>490.40579200000002</c:v>
                </c:pt>
                <c:pt idx="243">
                  <c:v>365.53659099999999</c:v>
                </c:pt>
                <c:pt idx="244">
                  <c:v>383.16290299999997</c:v>
                </c:pt>
                <c:pt idx="245">
                  <c:v>319.17748999999998</c:v>
                </c:pt>
                <c:pt idx="246">
                  <c:v>313.64639299999999</c:v>
                </c:pt>
                <c:pt idx="247">
                  <c:v>259.65728799999999</c:v>
                </c:pt>
                <c:pt idx="248">
                  <c:v>297.07180799999998</c:v>
                </c:pt>
                <c:pt idx="249">
                  <c:v>247.52720600000001</c:v>
                </c:pt>
                <c:pt idx="250">
                  <c:v>286.90188599999999</c:v>
                </c:pt>
                <c:pt idx="251">
                  <c:v>306.90368699999999</c:v>
                </c:pt>
                <c:pt idx="252">
                  <c:v>238.676804</c:v>
                </c:pt>
                <c:pt idx="253">
                  <c:v>227.82620199999999</c:v>
                </c:pt>
                <c:pt idx="254">
                  <c:v>201.929596</c:v>
                </c:pt>
                <c:pt idx="255">
                  <c:v>242.471802</c:v>
                </c:pt>
                <c:pt idx="256">
                  <c:v>240.480896</c:v>
                </c:pt>
                <c:pt idx="257">
                  <c:v>223.970901</c:v>
                </c:pt>
                <c:pt idx="258">
                  <c:v>236.057602</c:v>
                </c:pt>
                <c:pt idx="259">
                  <c:v>220.4785</c:v>
                </c:pt>
                <c:pt idx="260">
                  <c:v>162.42820699999999</c:v>
                </c:pt>
                <c:pt idx="261">
                  <c:v>129.48699999999999</c:v>
                </c:pt>
                <c:pt idx="262">
                  <c:v>160.42860400000001</c:v>
                </c:pt>
                <c:pt idx="263">
                  <c:v>145.221802</c:v>
                </c:pt>
                <c:pt idx="264">
                  <c:v>163.85519400000001</c:v>
                </c:pt>
                <c:pt idx="265">
                  <c:v>169.16520700000001</c:v>
                </c:pt>
                <c:pt idx="266">
                  <c:v>170.226303</c:v>
                </c:pt>
                <c:pt idx="267">
                  <c:v>154.49949599999999</c:v>
                </c:pt>
                <c:pt idx="268">
                  <c:v>167.63699299999999</c:v>
                </c:pt>
                <c:pt idx="269">
                  <c:v>125.08719600000001</c:v>
                </c:pt>
                <c:pt idx="270">
                  <c:v>56.842799999999997</c:v>
                </c:pt>
                <c:pt idx="271">
                  <c:v>71.837303000000006</c:v>
                </c:pt>
                <c:pt idx="272">
                  <c:v>60.188400000000001</c:v>
                </c:pt>
                <c:pt idx="273">
                  <c:v>-4.1496000000000004</c:v>
                </c:pt>
                <c:pt idx="274">
                  <c:v>-16.381001000000001</c:v>
                </c:pt>
                <c:pt idx="275">
                  <c:v>15.536</c:v>
                </c:pt>
                <c:pt idx="276">
                  <c:v>15.0131</c:v>
                </c:pt>
                <c:pt idx="277">
                  <c:v>16.662399000000001</c:v>
                </c:pt>
                <c:pt idx="278">
                  <c:v>19.258400000000002</c:v>
                </c:pt>
                <c:pt idx="279">
                  <c:v>57.465302000000001</c:v>
                </c:pt>
                <c:pt idx="280">
                  <c:v>47.925700999999997</c:v>
                </c:pt>
                <c:pt idx="281">
                  <c:v>63.045898000000001</c:v>
                </c:pt>
                <c:pt idx="282">
                  <c:v>21.704599000000002</c:v>
                </c:pt>
                <c:pt idx="283">
                  <c:v>26.460999999999999</c:v>
                </c:pt>
                <c:pt idx="284">
                  <c:v>-25.407800999999999</c:v>
                </c:pt>
                <c:pt idx="285">
                  <c:v>-9.9998000000000005</c:v>
                </c:pt>
                <c:pt idx="286">
                  <c:v>13.196199999999999</c:v>
                </c:pt>
                <c:pt idx="287">
                  <c:v>268.24160799999999</c:v>
                </c:pt>
                <c:pt idx="288">
                  <c:v>65.207297999999994</c:v>
                </c:pt>
                <c:pt idx="289">
                  <c:v>86.164398000000006</c:v>
                </c:pt>
                <c:pt idx="290">
                  <c:v>81.158896999999996</c:v>
                </c:pt>
                <c:pt idx="291">
                  <c:v>80.005095999999995</c:v>
                </c:pt>
                <c:pt idx="292">
                  <c:v>102.285202</c:v>
                </c:pt>
                <c:pt idx="293">
                  <c:v>116.2677</c:v>
                </c:pt>
                <c:pt idx="294">
                  <c:v>129.25959800000001</c:v>
                </c:pt>
                <c:pt idx="295">
                  <c:v>156.50619499999999</c:v>
                </c:pt>
                <c:pt idx="296">
                  <c:v>155.35600299999999</c:v>
                </c:pt>
                <c:pt idx="297">
                  <c:v>128.5121</c:v>
                </c:pt>
                <c:pt idx="298">
                  <c:v>142.64700300000001</c:v>
                </c:pt>
                <c:pt idx="299">
                  <c:v>128.158096</c:v>
                </c:pt>
                <c:pt idx="300">
                  <c:v>110.977997</c:v>
                </c:pt>
                <c:pt idx="301">
                  <c:v>119.915398</c:v>
                </c:pt>
                <c:pt idx="302">
                  <c:v>124.584503</c:v>
                </c:pt>
                <c:pt idx="303">
                  <c:v>103.585098</c:v>
                </c:pt>
                <c:pt idx="304">
                  <c:v>71.352203000000003</c:v>
                </c:pt>
                <c:pt idx="305">
                  <c:v>78.429100000000005</c:v>
                </c:pt>
                <c:pt idx="306">
                  <c:v>59.625599000000001</c:v>
                </c:pt>
                <c:pt idx="307">
                  <c:v>62.234698999999999</c:v>
                </c:pt>
                <c:pt idx="308">
                  <c:v>17.575600000000001</c:v>
                </c:pt>
                <c:pt idx="309">
                  <c:v>-2.2479</c:v>
                </c:pt>
                <c:pt idx="310">
                  <c:v>-22.840401</c:v>
                </c:pt>
                <c:pt idx="311">
                  <c:v>-16.379000000000001</c:v>
                </c:pt>
                <c:pt idx="312">
                  <c:v>4.6672000000000002</c:v>
                </c:pt>
                <c:pt idx="313">
                  <c:v>28.029900000000001</c:v>
                </c:pt>
                <c:pt idx="314">
                  <c:v>24.404499000000001</c:v>
                </c:pt>
                <c:pt idx="315">
                  <c:v>67.080901999999995</c:v>
                </c:pt>
                <c:pt idx="316">
                  <c:v>99.404601999999997</c:v>
                </c:pt>
                <c:pt idx="317">
                  <c:v>102.77829699999999</c:v>
                </c:pt>
                <c:pt idx="318">
                  <c:v>145.88859600000001</c:v>
                </c:pt>
                <c:pt idx="319">
                  <c:v>118.70700100000001</c:v>
                </c:pt>
                <c:pt idx="320">
                  <c:v>121.586502</c:v>
                </c:pt>
                <c:pt idx="321">
                  <c:v>136.14830000000001</c:v>
                </c:pt>
                <c:pt idx="322">
                  <c:v>134.78270000000001</c:v>
                </c:pt>
                <c:pt idx="323">
                  <c:v>138.218704</c:v>
                </c:pt>
                <c:pt idx="324">
                  <c:v>210.74279799999999</c:v>
                </c:pt>
                <c:pt idx="325">
                  <c:v>252.547394</c:v>
                </c:pt>
                <c:pt idx="326">
                  <c:v>281.22601300000002</c:v>
                </c:pt>
                <c:pt idx="327">
                  <c:v>237.566406</c:v>
                </c:pt>
                <c:pt idx="328">
                  <c:v>280.08108499999997</c:v>
                </c:pt>
                <c:pt idx="329">
                  <c:v>234.496094</c:v>
                </c:pt>
                <c:pt idx="330">
                  <c:v>222.69180299999999</c:v>
                </c:pt>
                <c:pt idx="331">
                  <c:v>216.009094</c:v>
                </c:pt>
                <c:pt idx="332">
                  <c:v>243.88789399999999</c:v>
                </c:pt>
                <c:pt idx="333">
                  <c:v>207.63220200000001</c:v>
                </c:pt>
                <c:pt idx="334">
                  <c:v>225.23699999999999</c:v>
                </c:pt>
                <c:pt idx="335">
                  <c:v>216.458496</c:v>
                </c:pt>
                <c:pt idx="336">
                  <c:v>244.73980700000001</c:v>
                </c:pt>
                <c:pt idx="337">
                  <c:v>268.31658900000002</c:v>
                </c:pt>
                <c:pt idx="338">
                  <c:v>280.94699100000003</c:v>
                </c:pt>
                <c:pt idx="339">
                  <c:v>231.11309800000001</c:v>
                </c:pt>
                <c:pt idx="340">
                  <c:v>247.57929999999999</c:v>
                </c:pt>
                <c:pt idx="341">
                  <c:v>255.39529400000001</c:v>
                </c:pt>
                <c:pt idx="342">
                  <c:v>283.58480800000001</c:v>
                </c:pt>
                <c:pt idx="343">
                  <c:v>261.72378500000002</c:v>
                </c:pt>
                <c:pt idx="344">
                  <c:v>261.79888899999997</c:v>
                </c:pt>
                <c:pt idx="345">
                  <c:v>271.69628899999998</c:v>
                </c:pt>
                <c:pt idx="346">
                  <c:v>261.36380000000003</c:v>
                </c:pt>
                <c:pt idx="347">
                  <c:v>302.69808999999998</c:v>
                </c:pt>
                <c:pt idx="348">
                  <c:v>290.41229199999998</c:v>
                </c:pt>
                <c:pt idx="349">
                  <c:v>313.41918900000002</c:v>
                </c:pt>
                <c:pt idx="350">
                  <c:v>331.91339099999999</c:v>
                </c:pt>
                <c:pt idx="351">
                  <c:v>324.81710800000002</c:v>
                </c:pt>
                <c:pt idx="352">
                  <c:v>288.075897</c:v>
                </c:pt>
                <c:pt idx="353">
                  <c:v>285.666901</c:v>
                </c:pt>
                <c:pt idx="354">
                  <c:v>287.60751299999998</c:v>
                </c:pt>
                <c:pt idx="355">
                  <c:v>270.31561299999998</c:v>
                </c:pt>
                <c:pt idx="356">
                  <c:v>309.26388500000002</c:v>
                </c:pt>
                <c:pt idx="357">
                  <c:v>293.67010499999998</c:v>
                </c:pt>
                <c:pt idx="358">
                  <c:v>305.90008499999999</c:v>
                </c:pt>
                <c:pt idx="359">
                  <c:v>298.12649499999998</c:v>
                </c:pt>
                <c:pt idx="360">
                  <c:v>303.14209</c:v>
                </c:pt>
                <c:pt idx="361">
                  <c:v>318.377411</c:v>
                </c:pt>
                <c:pt idx="362">
                  <c:v>344.65121499999998</c:v>
                </c:pt>
                <c:pt idx="363">
                  <c:v>339.24349999999998</c:v>
                </c:pt>
                <c:pt idx="364">
                  <c:v>293.882294</c:v>
                </c:pt>
                <c:pt idx="365">
                  <c:v>249.08770799999999</c:v>
                </c:pt>
                <c:pt idx="366">
                  <c:v>236.45889299999999</c:v>
                </c:pt>
                <c:pt idx="367">
                  <c:v>229.97110000000001</c:v>
                </c:pt>
                <c:pt idx="368">
                  <c:v>201.82839999999999</c:v>
                </c:pt>
                <c:pt idx="369">
                  <c:v>200.926605</c:v>
                </c:pt>
                <c:pt idx="370">
                  <c:v>172.87600699999999</c:v>
                </c:pt>
                <c:pt idx="371">
                  <c:v>181.199997</c:v>
                </c:pt>
                <c:pt idx="372">
                  <c:v>173.72740200000001</c:v>
                </c:pt>
                <c:pt idx="373">
                  <c:v>176.588898</c:v>
                </c:pt>
                <c:pt idx="374">
                  <c:v>163.587997</c:v>
                </c:pt>
                <c:pt idx="375">
                  <c:v>171.76010099999999</c:v>
                </c:pt>
                <c:pt idx="376">
                  <c:v>162.964294</c:v>
                </c:pt>
                <c:pt idx="377">
                  <c:v>151.04840100000001</c:v>
                </c:pt>
                <c:pt idx="378">
                  <c:v>139.95199600000001</c:v>
                </c:pt>
                <c:pt idx="379">
                  <c:v>111.673203</c:v>
                </c:pt>
                <c:pt idx="380">
                  <c:v>118.69259599999999</c:v>
                </c:pt>
                <c:pt idx="381">
                  <c:v>125.724403</c:v>
                </c:pt>
                <c:pt idx="382">
                  <c:v>122.78479799999999</c:v>
                </c:pt>
                <c:pt idx="383">
                  <c:v>115.84200300000001</c:v>
                </c:pt>
                <c:pt idx="384">
                  <c:v>131.06759600000001</c:v>
                </c:pt>
                <c:pt idx="385">
                  <c:v>107.89340199999999</c:v>
                </c:pt>
                <c:pt idx="386">
                  <c:v>107.43589799999999</c:v>
                </c:pt>
                <c:pt idx="387">
                  <c:v>92.273598000000007</c:v>
                </c:pt>
                <c:pt idx="388">
                  <c:v>103.21520200000001</c:v>
                </c:pt>
                <c:pt idx="389">
                  <c:v>108.836304</c:v>
                </c:pt>
                <c:pt idx="390">
                  <c:v>126.018501</c:v>
                </c:pt>
                <c:pt idx="391">
                  <c:v>136.16789199999999</c:v>
                </c:pt>
                <c:pt idx="392">
                  <c:v>145.36779799999999</c:v>
                </c:pt>
                <c:pt idx="393">
                  <c:v>136.753906</c:v>
                </c:pt>
                <c:pt idx="394">
                  <c:v>156.40870699999999</c:v>
                </c:pt>
                <c:pt idx="395">
                  <c:v>182.48620600000001</c:v>
                </c:pt>
                <c:pt idx="396">
                  <c:v>186.86039700000001</c:v>
                </c:pt>
                <c:pt idx="397">
                  <c:v>206.483902</c:v>
                </c:pt>
                <c:pt idx="398">
                  <c:v>289.24529999999999</c:v>
                </c:pt>
                <c:pt idx="399">
                  <c:v>299.248108</c:v>
                </c:pt>
                <c:pt idx="400">
                  <c:v>288.83160400000003</c:v>
                </c:pt>
                <c:pt idx="401">
                  <c:v>295.59310900000003</c:v>
                </c:pt>
                <c:pt idx="402">
                  <c:v>305.35391199999998</c:v>
                </c:pt>
                <c:pt idx="403">
                  <c:v>330.882812</c:v>
                </c:pt>
                <c:pt idx="404">
                  <c:v>371.7099</c:v>
                </c:pt>
                <c:pt idx="405">
                  <c:v>447.06280500000003</c:v>
                </c:pt>
                <c:pt idx="406">
                  <c:v>522.47631799999999</c:v>
                </c:pt>
                <c:pt idx="407">
                  <c:v>489.41558800000001</c:v>
                </c:pt>
                <c:pt idx="408">
                  <c:v>447.58441199999999</c:v>
                </c:pt>
                <c:pt idx="409">
                  <c:v>421.34609999999998</c:v>
                </c:pt>
                <c:pt idx="410">
                  <c:v>377.69909699999999</c:v>
                </c:pt>
                <c:pt idx="411">
                  <c:v>367.17541499999999</c:v>
                </c:pt>
                <c:pt idx="412">
                  <c:v>422.14001500000001</c:v>
                </c:pt>
                <c:pt idx="413">
                  <c:v>436.46109000000001</c:v>
                </c:pt>
                <c:pt idx="414">
                  <c:v>457.66830399999998</c:v>
                </c:pt>
                <c:pt idx="415">
                  <c:v>454.518799</c:v>
                </c:pt>
                <c:pt idx="416">
                  <c:v>483.07650799999999</c:v>
                </c:pt>
                <c:pt idx="417">
                  <c:v>490.89419600000002</c:v>
                </c:pt>
                <c:pt idx="418">
                  <c:v>438.64300500000002</c:v>
                </c:pt>
                <c:pt idx="419">
                  <c:v>432.55011000000002</c:v>
                </c:pt>
                <c:pt idx="420">
                  <c:v>446.50650000000002</c:v>
                </c:pt>
                <c:pt idx="421">
                  <c:v>416.60400399999997</c:v>
                </c:pt>
                <c:pt idx="422">
                  <c:v>396.82629400000002</c:v>
                </c:pt>
                <c:pt idx="423">
                  <c:v>421.60379</c:v>
                </c:pt>
                <c:pt idx="424">
                  <c:v>430.64331099999998</c:v>
                </c:pt>
                <c:pt idx="425">
                  <c:v>445.246307</c:v>
                </c:pt>
                <c:pt idx="426">
                  <c:v>434.46371499999998</c:v>
                </c:pt>
                <c:pt idx="427">
                  <c:v>416.21508799999998</c:v>
                </c:pt>
                <c:pt idx="428">
                  <c:v>426.57150300000001</c:v>
                </c:pt>
                <c:pt idx="429">
                  <c:v>397.405396</c:v>
                </c:pt>
                <c:pt idx="430">
                  <c:v>371.07870500000001</c:v>
                </c:pt>
                <c:pt idx="431">
                  <c:v>427.46939099999997</c:v>
                </c:pt>
                <c:pt idx="432">
                  <c:v>422.79849200000001</c:v>
                </c:pt>
                <c:pt idx="433">
                  <c:v>427.817993</c:v>
                </c:pt>
                <c:pt idx="434">
                  <c:v>418.99508700000001</c:v>
                </c:pt>
                <c:pt idx="435">
                  <c:v>406.77829000000003</c:v>
                </c:pt>
                <c:pt idx="436">
                  <c:v>394.187592</c:v>
                </c:pt>
                <c:pt idx="437">
                  <c:v>395.87271099999998</c:v>
                </c:pt>
                <c:pt idx="438">
                  <c:v>408.692993</c:v>
                </c:pt>
                <c:pt idx="439">
                  <c:v>411.519409</c:v>
                </c:pt>
                <c:pt idx="440">
                  <c:v>450.192902</c:v>
                </c:pt>
                <c:pt idx="441">
                  <c:v>450.903503</c:v>
                </c:pt>
                <c:pt idx="442">
                  <c:v>470.38439899999997</c:v>
                </c:pt>
                <c:pt idx="443">
                  <c:v>514.44281000000001</c:v>
                </c:pt>
                <c:pt idx="444">
                  <c:v>486.028503</c:v>
                </c:pt>
                <c:pt idx="445">
                  <c:v>471.62148999999999</c:v>
                </c:pt>
                <c:pt idx="446">
                  <c:v>451.07879600000001</c:v>
                </c:pt>
                <c:pt idx="447">
                  <c:v>428.36749300000002</c:v>
                </c:pt>
                <c:pt idx="448">
                  <c:v>422.72460899999999</c:v>
                </c:pt>
                <c:pt idx="449">
                  <c:v>436.41198700000001</c:v>
                </c:pt>
                <c:pt idx="450">
                  <c:v>446.99420199999997</c:v>
                </c:pt>
                <c:pt idx="451">
                  <c:v>447.60180700000001</c:v>
                </c:pt>
                <c:pt idx="452">
                  <c:v>461.79840100000001</c:v>
                </c:pt>
                <c:pt idx="453">
                  <c:v>509.06100500000002</c:v>
                </c:pt>
                <c:pt idx="454">
                  <c:v>508.70831299999998</c:v>
                </c:pt>
                <c:pt idx="455">
                  <c:v>497.20111100000003</c:v>
                </c:pt>
                <c:pt idx="456">
                  <c:v>487.79708900000003</c:v>
                </c:pt>
                <c:pt idx="457">
                  <c:v>495.26080300000001</c:v>
                </c:pt>
                <c:pt idx="458">
                  <c:v>512.666382</c:v>
                </c:pt>
                <c:pt idx="459">
                  <c:v>496.30120799999997</c:v>
                </c:pt>
                <c:pt idx="460">
                  <c:v>496.901794</c:v>
                </c:pt>
                <c:pt idx="461">
                  <c:v>496.850098</c:v>
                </c:pt>
                <c:pt idx="462">
                  <c:v>499.73190299999999</c:v>
                </c:pt>
                <c:pt idx="463">
                  <c:v>499.44241299999999</c:v>
                </c:pt>
                <c:pt idx="464">
                  <c:v>507.09789999999998</c:v>
                </c:pt>
                <c:pt idx="465">
                  <c:v>525.70159899999999</c:v>
                </c:pt>
                <c:pt idx="466">
                  <c:v>534.29370100000006</c:v>
                </c:pt>
                <c:pt idx="467">
                  <c:v>530.948486</c:v>
                </c:pt>
                <c:pt idx="468">
                  <c:v>537.15277100000003</c:v>
                </c:pt>
                <c:pt idx="469">
                  <c:v>531.53991699999995</c:v>
                </c:pt>
                <c:pt idx="470">
                  <c:v>548.32458499999996</c:v>
                </c:pt>
                <c:pt idx="471">
                  <c:v>537.22491500000001</c:v>
                </c:pt>
                <c:pt idx="472">
                  <c:v>515.91803000000004</c:v>
                </c:pt>
                <c:pt idx="473">
                  <c:v>505.35791</c:v>
                </c:pt>
                <c:pt idx="474">
                  <c:v>506.56811499999998</c:v>
                </c:pt>
                <c:pt idx="475">
                  <c:v>534.92401099999995</c:v>
                </c:pt>
                <c:pt idx="476">
                  <c:v>541.43518099999994</c:v>
                </c:pt>
                <c:pt idx="477">
                  <c:v>533.29400599999997</c:v>
                </c:pt>
                <c:pt idx="478">
                  <c:v>533.34899900000005</c:v>
                </c:pt>
                <c:pt idx="479">
                  <c:v>528.99530000000004</c:v>
                </c:pt>
                <c:pt idx="480">
                  <c:v>546.03057899999999</c:v>
                </c:pt>
                <c:pt idx="481">
                  <c:v>537.03900099999998</c:v>
                </c:pt>
                <c:pt idx="482">
                  <c:v>532.76092500000004</c:v>
                </c:pt>
                <c:pt idx="483">
                  <c:v>523.73211700000002</c:v>
                </c:pt>
                <c:pt idx="484">
                  <c:v>539.84112500000003</c:v>
                </c:pt>
                <c:pt idx="485">
                  <c:v>544.07849099999999</c:v>
                </c:pt>
                <c:pt idx="486">
                  <c:v>538.75329599999998</c:v>
                </c:pt>
                <c:pt idx="487">
                  <c:v>491.72479199999998</c:v>
                </c:pt>
                <c:pt idx="488">
                  <c:v>488.58358800000002</c:v>
                </c:pt>
                <c:pt idx="489">
                  <c:v>490.69641100000001</c:v>
                </c:pt>
                <c:pt idx="490">
                  <c:v>476.41549700000002</c:v>
                </c:pt>
                <c:pt idx="491">
                  <c:v>487.00070199999999</c:v>
                </c:pt>
                <c:pt idx="492">
                  <c:v>486.68618800000002</c:v>
                </c:pt>
                <c:pt idx="493">
                  <c:v>470.776703</c:v>
                </c:pt>
                <c:pt idx="494">
                  <c:v>446.41970800000001</c:v>
                </c:pt>
                <c:pt idx="495">
                  <c:v>448.96319599999998</c:v>
                </c:pt>
                <c:pt idx="496">
                  <c:v>450.426514</c:v>
                </c:pt>
                <c:pt idx="497">
                  <c:v>451.46679699999999</c:v>
                </c:pt>
                <c:pt idx="498">
                  <c:v>478.33621199999999</c:v>
                </c:pt>
                <c:pt idx="499">
                  <c:v>477.54089399999998</c:v>
                </c:pt>
                <c:pt idx="500">
                  <c:v>476.40798999999998</c:v>
                </c:pt>
                <c:pt idx="501">
                  <c:v>479.40008499999999</c:v>
                </c:pt>
                <c:pt idx="502">
                  <c:v>490.98278800000003</c:v>
                </c:pt>
                <c:pt idx="503">
                  <c:v>523.18981900000006</c:v>
                </c:pt>
                <c:pt idx="504">
                  <c:v>523.54882799999996</c:v>
                </c:pt>
                <c:pt idx="505">
                  <c:v>540.18280000000004</c:v>
                </c:pt>
                <c:pt idx="506">
                  <c:v>530.26147500000002</c:v>
                </c:pt>
                <c:pt idx="507">
                  <c:v>544.89648399999999</c:v>
                </c:pt>
                <c:pt idx="508">
                  <c:v>548.72937000000002</c:v>
                </c:pt>
                <c:pt idx="509">
                  <c:v>548.00591999999995</c:v>
                </c:pt>
                <c:pt idx="510">
                  <c:v>517.53558299999997</c:v>
                </c:pt>
                <c:pt idx="511">
                  <c:v>500.531586</c:v>
                </c:pt>
                <c:pt idx="512">
                  <c:v>504.18170199999997</c:v>
                </c:pt>
                <c:pt idx="513">
                  <c:v>470.27270499999997</c:v>
                </c:pt>
                <c:pt idx="514">
                  <c:v>474.43780500000003</c:v>
                </c:pt>
                <c:pt idx="515">
                  <c:v>469.47000100000002</c:v>
                </c:pt>
                <c:pt idx="516">
                  <c:v>442.77890000000002</c:v>
                </c:pt>
                <c:pt idx="517">
                  <c:v>447.121399</c:v>
                </c:pt>
                <c:pt idx="518">
                  <c:v>451.67028800000003</c:v>
                </c:pt>
                <c:pt idx="519">
                  <c:v>444.16000400000001</c:v>
                </c:pt>
                <c:pt idx="520">
                  <c:v>436.50628699999999</c:v>
                </c:pt>
                <c:pt idx="521">
                  <c:v>425.44808999999998</c:v>
                </c:pt>
                <c:pt idx="522">
                  <c:v>439.53921500000001</c:v>
                </c:pt>
                <c:pt idx="523">
                  <c:v>432.89279199999999</c:v>
                </c:pt>
                <c:pt idx="524">
                  <c:v>438.42880200000002</c:v>
                </c:pt>
                <c:pt idx="525">
                  <c:v>433.79119900000001</c:v>
                </c:pt>
                <c:pt idx="526">
                  <c:v>423.377411</c:v>
                </c:pt>
                <c:pt idx="527">
                  <c:v>426.44039900000001</c:v>
                </c:pt>
                <c:pt idx="528">
                  <c:v>426.839294</c:v>
                </c:pt>
                <c:pt idx="529">
                  <c:v>424.76019300000002</c:v>
                </c:pt>
                <c:pt idx="530">
                  <c:v>423.56549100000001</c:v>
                </c:pt>
                <c:pt idx="531">
                  <c:v>423.157196</c:v>
                </c:pt>
                <c:pt idx="532">
                  <c:v>453.75509599999998</c:v>
                </c:pt>
                <c:pt idx="533">
                  <c:v>474.43960600000003</c:v>
                </c:pt>
                <c:pt idx="534">
                  <c:v>507.92480499999999</c:v>
                </c:pt>
                <c:pt idx="535">
                  <c:v>568.78887899999995</c:v>
                </c:pt>
                <c:pt idx="536">
                  <c:v>563.00451699999996</c:v>
                </c:pt>
                <c:pt idx="537">
                  <c:v>563.78057899999999</c:v>
                </c:pt>
                <c:pt idx="538">
                  <c:v>554.84619099999998</c:v>
                </c:pt>
                <c:pt idx="539">
                  <c:v>560.88207999999997</c:v>
                </c:pt>
                <c:pt idx="540">
                  <c:v>554.40118399999994</c:v>
                </c:pt>
                <c:pt idx="541">
                  <c:v>568.81982400000004</c:v>
                </c:pt>
                <c:pt idx="542">
                  <c:v>562.39190699999995</c:v>
                </c:pt>
                <c:pt idx="543">
                  <c:v>565.21832300000005</c:v>
                </c:pt>
                <c:pt idx="544">
                  <c:v>556.05279499999995</c:v>
                </c:pt>
                <c:pt idx="545">
                  <c:v>556.02221699999996</c:v>
                </c:pt>
                <c:pt idx="546">
                  <c:v>559.52459699999997</c:v>
                </c:pt>
                <c:pt idx="547">
                  <c:v>558.00567599999999</c:v>
                </c:pt>
                <c:pt idx="548">
                  <c:v>553.82379200000003</c:v>
                </c:pt>
                <c:pt idx="549">
                  <c:v>571.955872</c:v>
                </c:pt>
                <c:pt idx="550">
                  <c:v>581.40502900000001</c:v>
                </c:pt>
                <c:pt idx="551">
                  <c:v>594.21179199999995</c:v>
                </c:pt>
                <c:pt idx="552">
                  <c:v>617.55328399999996</c:v>
                </c:pt>
                <c:pt idx="553">
                  <c:v>630.77587900000003</c:v>
                </c:pt>
                <c:pt idx="554">
                  <c:v>588.15759300000002</c:v>
                </c:pt>
                <c:pt idx="555">
                  <c:v>563.77081299999998</c:v>
                </c:pt>
                <c:pt idx="556">
                  <c:v>579.62457300000005</c:v>
                </c:pt>
                <c:pt idx="557">
                  <c:v>565.71710199999995</c:v>
                </c:pt>
                <c:pt idx="558">
                  <c:v>585.81347700000003</c:v>
                </c:pt>
                <c:pt idx="559">
                  <c:v>615.71478300000001</c:v>
                </c:pt>
                <c:pt idx="560">
                  <c:v>586.34960899999999</c:v>
                </c:pt>
                <c:pt idx="561">
                  <c:v>559.482483</c:v>
                </c:pt>
                <c:pt idx="562">
                  <c:v>562.56280500000003</c:v>
                </c:pt>
                <c:pt idx="563">
                  <c:v>553.22668499999997</c:v>
                </c:pt>
                <c:pt idx="564">
                  <c:v>576.79821800000002</c:v>
                </c:pt>
                <c:pt idx="565">
                  <c:v>603.03363000000002</c:v>
                </c:pt>
                <c:pt idx="566">
                  <c:v>614.75439500000005</c:v>
                </c:pt>
                <c:pt idx="567">
                  <c:v>622.50628700000004</c:v>
                </c:pt>
                <c:pt idx="568">
                  <c:v>559.74871800000005</c:v>
                </c:pt>
                <c:pt idx="569">
                  <c:v>538.107483</c:v>
                </c:pt>
                <c:pt idx="570">
                  <c:v>535.80688499999997</c:v>
                </c:pt>
                <c:pt idx="571">
                  <c:v>454.04580700000002</c:v>
                </c:pt>
                <c:pt idx="572">
                  <c:v>440.42199699999998</c:v>
                </c:pt>
                <c:pt idx="573">
                  <c:v>456.204407</c:v>
                </c:pt>
                <c:pt idx="574">
                  <c:v>443.104309</c:v>
                </c:pt>
                <c:pt idx="575">
                  <c:v>431.718414</c:v>
                </c:pt>
                <c:pt idx="576">
                  <c:v>446.81021099999998</c:v>
                </c:pt>
                <c:pt idx="577">
                  <c:v>469.95941199999999</c:v>
                </c:pt>
                <c:pt idx="578">
                  <c:v>488.51119999999997</c:v>
                </c:pt>
                <c:pt idx="579">
                  <c:v>444.13970899999998</c:v>
                </c:pt>
                <c:pt idx="580">
                  <c:v>441.66720600000002</c:v>
                </c:pt>
                <c:pt idx="581">
                  <c:v>439.63009599999998</c:v>
                </c:pt>
                <c:pt idx="582">
                  <c:v>425.37008700000001</c:v>
                </c:pt>
                <c:pt idx="583">
                  <c:v>426.44461100000001</c:v>
                </c:pt>
                <c:pt idx="584">
                  <c:v>435.21530200000001</c:v>
                </c:pt>
                <c:pt idx="585">
                  <c:v>427.42440800000003</c:v>
                </c:pt>
                <c:pt idx="586">
                  <c:v>416.66519199999999</c:v>
                </c:pt>
                <c:pt idx="587">
                  <c:v>374.49951199999998</c:v>
                </c:pt>
                <c:pt idx="588">
                  <c:v>348.81408699999997</c:v>
                </c:pt>
                <c:pt idx="589">
                  <c:v>320.869507</c:v>
                </c:pt>
                <c:pt idx="590">
                  <c:v>312.10668900000002</c:v>
                </c:pt>
                <c:pt idx="591">
                  <c:v>318.48089599999997</c:v>
                </c:pt>
                <c:pt idx="592">
                  <c:v>328.15838600000001</c:v>
                </c:pt>
                <c:pt idx="593">
                  <c:v>355.79489100000001</c:v>
                </c:pt>
                <c:pt idx="594">
                  <c:v>347.92450000000002</c:v>
                </c:pt>
                <c:pt idx="595">
                  <c:v>334.00351000000001</c:v>
                </c:pt>
                <c:pt idx="596">
                  <c:v>329.320312</c:v>
                </c:pt>
                <c:pt idx="597">
                  <c:v>320.64331099999998</c:v>
                </c:pt>
                <c:pt idx="598">
                  <c:v>291.90451000000002</c:v>
                </c:pt>
                <c:pt idx="599">
                  <c:v>284.93368500000003</c:v>
                </c:pt>
                <c:pt idx="600">
                  <c:v>274.01681500000001</c:v>
                </c:pt>
                <c:pt idx="601">
                  <c:v>261.736603</c:v>
                </c:pt>
                <c:pt idx="602">
                  <c:v>272.50949100000003</c:v>
                </c:pt>
                <c:pt idx="603">
                  <c:v>282.134705</c:v>
                </c:pt>
                <c:pt idx="604">
                  <c:v>294.97000100000002</c:v>
                </c:pt>
                <c:pt idx="605">
                  <c:v>314.589294</c:v>
                </c:pt>
                <c:pt idx="606">
                  <c:v>325.76669299999998</c:v>
                </c:pt>
                <c:pt idx="607">
                  <c:v>342.47820999999999</c:v>
                </c:pt>
                <c:pt idx="608">
                  <c:v>344.66949499999998</c:v>
                </c:pt>
                <c:pt idx="609">
                  <c:v>352.96661399999999</c:v>
                </c:pt>
                <c:pt idx="610">
                  <c:v>351.70120200000002</c:v>
                </c:pt>
                <c:pt idx="611">
                  <c:v>339.864014</c:v>
                </c:pt>
                <c:pt idx="612">
                  <c:v>346.75589000000002</c:v>
                </c:pt>
                <c:pt idx="613">
                  <c:v>350.84619099999998</c:v>
                </c:pt>
                <c:pt idx="614">
                  <c:v>346.19799799999998</c:v>
                </c:pt>
                <c:pt idx="615">
                  <c:v>316.01409899999999</c:v>
                </c:pt>
                <c:pt idx="616">
                  <c:v>285.19229100000001</c:v>
                </c:pt>
                <c:pt idx="617">
                  <c:v>252.28999300000001</c:v>
                </c:pt>
                <c:pt idx="618">
                  <c:v>270.23141500000003</c:v>
                </c:pt>
                <c:pt idx="619">
                  <c:v>265.58209199999999</c:v>
                </c:pt>
                <c:pt idx="620">
                  <c:v>269.89550800000001</c:v>
                </c:pt>
                <c:pt idx="621">
                  <c:v>295.676086</c:v>
                </c:pt>
                <c:pt idx="622">
                  <c:v>302.75048800000002</c:v>
                </c:pt>
                <c:pt idx="623">
                  <c:v>295.551514</c:v>
                </c:pt>
                <c:pt idx="624">
                  <c:v>282.70190400000001</c:v>
                </c:pt>
                <c:pt idx="625">
                  <c:v>260.91198700000001</c:v>
                </c:pt>
                <c:pt idx="626">
                  <c:v>257.93051100000002</c:v>
                </c:pt>
                <c:pt idx="627">
                  <c:v>252.93469200000001</c:v>
                </c:pt>
                <c:pt idx="628">
                  <c:v>254.877396</c:v>
                </c:pt>
                <c:pt idx="629">
                  <c:v>262.54431199999999</c:v>
                </c:pt>
                <c:pt idx="630">
                  <c:v>263.61129799999998</c:v>
                </c:pt>
                <c:pt idx="631">
                  <c:v>261.68121300000001</c:v>
                </c:pt>
                <c:pt idx="632">
                  <c:v>261.37619000000001</c:v>
                </c:pt>
                <c:pt idx="633">
                  <c:v>254.104004</c:v>
                </c:pt>
                <c:pt idx="634">
                  <c:v>244.16879299999999</c:v>
                </c:pt>
                <c:pt idx="635">
                  <c:v>248.18440200000001</c:v>
                </c:pt>
                <c:pt idx="636">
                  <c:v>248.15089399999999</c:v>
                </c:pt>
                <c:pt idx="637">
                  <c:v>243.17559800000001</c:v>
                </c:pt>
                <c:pt idx="638">
                  <c:v>238.61779799999999</c:v>
                </c:pt>
                <c:pt idx="639">
                  <c:v>229.66279599999999</c:v>
                </c:pt>
                <c:pt idx="640">
                  <c:v>210.88679500000001</c:v>
                </c:pt>
                <c:pt idx="641">
                  <c:v>187.82550000000001</c:v>
                </c:pt>
                <c:pt idx="642">
                  <c:v>194.48039199999999</c:v>
                </c:pt>
                <c:pt idx="643">
                  <c:v>185.213303</c:v>
                </c:pt>
                <c:pt idx="644">
                  <c:v>171.19070400000001</c:v>
                </c:pt>
                <c:pt idx="645">
                  <c:v>182.796997</c:v>
                </c:pt>
                <c:pt idx="646">
                  <c:v>189.65159600000001</c:v>
                </c:pt>
                <c:pt idx="647">
                  <c:v>185.598206</c:v>
                </c:pt>
                <c:pt idx="648">
                  <c:v>197.18730199999999</c:v>
                </c:pt>
                <c:pt idx="649">
                  <c:v>213.77229299999999</c:v>
                </c:pt>
                <c:pt idx="650">
                  <c:v>246.06359900000001</c:v>
                </c:pt>
                <c:pt idx="651">
                  <c:v>268.52539100000001</c:v>
                </c:pt>
                <c:pt idx="652">
                  <c:v>248.65289300000001</c:v>
                </c:pt>
                <c:pt idx="653">
                  <c:v>253.808807</c:v>
                </c:pt>
                <c:pt idx="654">
                  <c:v>250.200897</c:v>
                </c:pt>
                <c:pt idx="655">
                  <c:v>252.321899</c:v>
                </c:pt>
                <c:pt idx="656">
                  <c:v>231.33169599999999</c:v>
                </c:pt>
                <c:pt idx="657">
                  <c:v>224.99020400000001</c:v>
                </c:pt>
                <c:pt idx="658">
                  <c:v>225.22689800000001</c:v>
                </c:pt>
                <c:pt idx="659">
                  <c:v>205.3759</c:v>
                </c:pt>
                <c:pt idx="660">
                  <c:v>210.13580300000001</c:v>
                </c:pt>
                <c:pt idx="661">
                  <c:v>213.38600199999999</c:v>
                </c:pt>
                <c:pt idx="662">
                  <c:v>189.892807</c:v>
                </c:pt>
                <c:pt idx="663">
                  <c:v>162.734207</c:v>
                </c:pt>
                <c:pt idx="664">
                  <c:v>152.837006</c:v>
                </c:pt>
                <c:pt idx="665">
                  <c:v>164.409302</c:v>
                </c:pt>
                <c:pt idx="666">
                  <c:v>164.84120200000001</c:v>
                </c:pt>
                <c:pt idx="667">
                  <c:v>169.58050499999999</c:v>
                </c:pt>
                <c:pt idx="668">
                  <c:v>181.22479200000001</c:v>
                </c:pt>
                <c:pt idx="669">
                  <c:v>184.85380599999999</c:v>
                </c:pt>
                <c:pt idx="670">
                  <c:v>192.06230199999999</c:v>
                </c:pt>
                <c:pt idx="671">
                  <c:v>203.08999600000001</c:v>
                </c:pt>
                <c:pt idx="672">
                  <c:v>200.185303</c:v>
                </c:pt>
                <c:pt idx="673">
                  <c:v>218.078003</c:v>
                </c:pt>
                <c:pt idx="674">
                  <c:v>222.41099500000001</c:v>
                </c:pt>
                <c:pt idx="675">
                  <c:v>223.84419299999999</c:v>
                </c:pt>
                <c:pt idx="676">
                  <c:v>249.04179400000001</c:v>
                </c:pt>
                <c:pt idx="677">
                  <c:v>260.36120599999998</c:v>
                </c:pt>
                <c:pt idx="678">
                  <c:v>261.27999899999998</c:v>
                </c:pt>
                <c:pt idx="679">
                  <c:v>243.733093</c:v>
                </c:pt>
                <c:pt idx="680">
                  <c:v>216.46710200000001</c:v>
                </c:pt>
                <c:pt idx="681">
                  <c:v>214.29789700000001</c:v>
                </c:pt>
                <c:pt idx="682">
                  <c:v>189.39619400000001</c:v>
                </c:pt>
                <c:pt idx="683">
                  <c:v>183.379593</c:v>
                </c:pt>
                <c:pt idx="684">
                  <c:v>166.33230599999999</c:v>
                </c:pt>
                <c:pt idx="685">
                  <c:v>155.75929300000001</c:v>
                </c:pt>
                <c:pt idx="686">
                  <c:v>151.340698</c:v>
                </c:pt>
                <c:pt idx="687">
                  <c:v>164.08369400000001</c:v>
                </c:pt>
                <c:pt idx="688">
                  <c:v>175.72129799999999</c:v>
                </c:pt>
                <c:pt idx="689">
                  <c:v>174.98680100000001</c:v>
                </c:pt>
                <c:pt idx="690">
                  <c:v>179.39070100000001</c:v>
                </c:pt>
                <c:pt idx="691">
                  <c:v>161.823196</c:v>
                </c:pt>
                <c:pt idx="692">
                  <c:v>140.72749300000001</c:v>
                </c:pt>
                <c:pt idx="693">
                  <c:v>164.22970599999999</c:v>
                </c:pt>
                <c:pt idx="694">
                  <c:v>176.21060199999999</c:v>
                </c:pt>
                <c:pt idx="695">
                  <c:v>173.259094</c:v>
                </c:pt>
                <c:pt idx="696">
                  <c:v>174.47349500000001</c:v>
                </c:pt>
                <c:pt idx="697">
                  <c:v>166.94000199999999</c:v>
                </c:pt>
                <c:pt idx="698">
                  <c:v>164.663895</c:v>
                </c:pt>
                <c:pt idx="699">
                  <c:v>146.7724</c:v>
                </c:pt>
                <c:pt idx="700">
                  <c:v>148.858093</c:v>
                </c:pt>
                <c:pt idx="701">
                  <c:v>134.19790599999999</c:v>
                </c:pt>
                <c:pt idx="702">
                  <c:v>130.290604</c:v>
                </c:pt>
                <c:pt idx="703">
                  <c:v>129.48140000000001</c:v>
                </c:pt>
                <c:pt idx="704">
                  <c:v>131.45500200000001</c:v>
                </c:pt>
                <c:pt idx="705">
                  <c:v>113.635597</c:v>
                </c:pt>
                <c:pt idx="706">
                  <c:v>108.554298</c:v>
                </c:pt>
                <c:pt idx="707">
                  <c:v>101.133003</c:v>
                </c:pt>
                <c:pt idx="708">
                  <c:v>99.260101000000006</c:v>
                </c:pt>
                <c:pt idx="709">
                  <c:v>102.64209700000001</c:v>
                </c:pt>
                <c:pt idx="710">
                  <c:v>106.35549899999999</c:v>
                </c:pt>
                <c:pt idx="711">
                  <c:v>103.123299</c:v>
                </c:pt>
                <c:pt idx="712">
                  <c:v>88.593299999999999</c:v>
                </c:pt>
                <c:pt idx="713">
                  <c:v>73.449698999999995</c:v>
                </c:pt>
                <c:pt idx="714">
                  <c:v>101.38249999999999</c:v>
                </c:pt>
                <c:pt idx="715">
                  <c:v>98.914597000000001</c:v>
                </c:pt>
                <c:pt idx="716">
                  <c:v>100.028198</c:v>
                </c:pt>
                <c:pt idx="717">
                  <c:v>101.147301</c:v>
                </c:pt>
                <c:pt idx="718">
                  <c:v>102.30680099999999</c:v>
                </c:pt>
                <c:pt idx="719">
                  <c:v>99.149803000000006</c:v>
                </c:pt>
                <c:pt idx="720">
                  <c:v>148.41549699999999</c:v>
                </c:pt>
                <c:pt idx="721">
                  <c:v>144.07179300000001</c:v>
                </c:pt>
                <c:pt idx="722">
                  <c:v>156.65950000000001</c:v>
                </c:pt>
                <c:pt idx="723">
                  <c:v>164.266098</c:v>
                </c:pt>
                <c:pt idx="724">
                  <c:v>144.24839800000001</c:v>
                </c:pt>
                <c:pt idx="725">
                  <c:v>144.87930299999999</c:v>
                </c:pt>
                <c:pt idx="726">
                  <c:v>170.81379699999999</c:v>
                </c:pt>
                <c:pt idx="727">
                  <c:v>185.204193</c:v>
                </c:pt>
                <c:pt idx="728">
                  <c:v>166.554901</c:v>
                </c:pt>
                <c:pt idx="729">
                  <c:v>160.32299800000001</c:v>
                </c:pt>
                <c:pt idx="730">
                  <c:v>175.641693</c:v>
                </c:pt>
                <c:pt idx="731">
                  <c:v>176.22110000000001</c:v>
                </c:pt>
                <c:pt idx="732">
                  <c:v>178.003693</c:v>
                </c:pt>
                <c:pt idx="733">
                  <c:v>155.98919699999999</c:v>
                </c:pt>
                <c:pt idx="734">
                  <c:v>163.890503</c:v>
                </c:pt>
                <c:pt idx="735">
                  <c:v>177.78770399999999</c:v>
                </c:pt>
                <c:pt idx="736">
                  <c:v>168.842499</c:v>
                </c:pt>
                <c:pt idx="737">
                  <c:v>170.744598</c:v>
                </c:pt>
                <c:pt idx="738">
                  <c:v>185.529495</c:v>
                </c:pt>
                <c:pt idx="739">
                  <c:v>183.409302</c:v>
                </c:pt>
                <c:pt idx="740">
                  <c:v>201.06680299999999</c:v>
                </c:pt>
                <c:pt idx="741">
                  <c:v>231.657104</c:v>
                </c:pt>
                <c:pt idx="742">
                  <c:v>223.265198</c:v>
                </c:pt>
                <c:pt idx="743">
                  <c:v>212.134705</c:v>
                </c:pt>
                <c:pt idx="744">
                  <c:v>199.070099</c:v>
                </c:pt>
                <c:pt idx="745">
                  <c:v>185.89840699999999</c:v>
                </c:pt>
                <c:pt idx="746">
                  <c:v>186.22120699999999</c:v>
                </c:pt>
                <c:pt idx="747">
                  <c:v>178.19700599999999</c:v>
                </c:pt>
                <c:pt idx="748">
                  <c:v>152.1353</c:v>
                </c:pt>
                <c:pt idx="749">
                  <c:v>170.33059700000001</c:v>
                </c:pt>
                <c:pt idx="750">
                  <c:v>166.87579299999999</c:v>
                </c:pt>
                <c:pt idx="751">
                  <c:v>174.818893</c:v>
                </c:pt>
                <c:pt idx="752">
                  <c:v>169.372894</c:v>
                </c:pt>
                <c:pt idx="753">
                  <c:v>165.599197</c:v>
                </c:pt>
                <c:pt idx="754">
                  <c:v>167.013306</c:v>
                </c:pt>
                <c:pt idx="755">
                  <c:v>168.19639599999999</c:v>
                </c:pt>
                <c:pt idx="756">
                  <c:v>179.68130500000001</c:v>
                </c:pt>
                <c:pt idx="757">
                  <c:v>183.130402</c:v>
                </c:pt>
                <c:pt idx="758">
                  <c:v>185.023605</c:v>
                </c:pt>
                <c:pt idx="759">
                  <c:v>172.246094</c:v>
                </c:pt>
                <c:pt idx="760">
                  <c:v>181.33389299999999</c:v>
                </c:pt>
                <c:pt idx="761">
                  <c:v>160.95370500000001</c:v>
                </c:pt>
                <c:pt idx="762">
                  <c:v>158.94639599999999</c:v>
                </c:pt>
                <c:pt idx="763">
                  <c:v>148.15559400000001</c:v>
                </c:pt>
                <c:pt idx="764">
                  <c:v>126.5989</c:v>
                </c:pt>
                <c:pt idx="765">
                  <c:v>127.758301</c:v>
                </c:pt>
                <c:pt idx="766">
                  <c:v>133.98249799999999</c:v>
                </c:pt>
                <c:pt idx="767">
                  <c:v>141.444107</c:v>
                </c:pt>
                <c:pt idx="768">
                  <c:v>160.327698</c:v>
                </c:pt>
                <c:pt idx="769">
                  <c:v>154.445404</c:v>
                </c:pt>
                <c:pt idx="770">
                  <c:v>144.138397</c:v>
                </c:pt>
                <c:pt idx="771">
                  <c:v>149.160202</c:v>
                </c:pt>
                <c:pt idx="772">
                  <c:v>112.370499</c:v>
                </c:pt>
                <c:pt idx="773">
                  <c:v>113.492699</c:v>
                </c:pt>
                <c:pt idx="774">
                  <c:v>119.095901</c:v>
                </c:pt>
                <c:pt idx="775">
                  <c:v>115.954498</c:v>
                </c:pt>
                <c:pt idx="776">
                  <c:v>117.04679899999999</c:v>
                </c:pt>
                <c:pt idx="777">
                  <c:v>128.91890000000001</c:v>
                </c:pt>
                <c:pt idx="778">
                  <c:v>137.85189800000001</c:v>
                </c:pt>
                <c:pt idx="779">
                  <c:v>127.299797</c:v>
                </c:pt>
                <c:pt idx="780">
                  <c:v>130.84669500000001</c:v>
                </c:pt>
                <c:pt idx="781">
                  <c:v>125.02069899999999</c:v>
                </c:pt>
                <c:pt idx="782">
                  <c:v>115.83200100000001</c:v>
                </c:pt>
                <c:pt idx="783">
                  <c:v>119.153702</c:v>
                </c:pt>
                <c:pt idx="784">
                  <c:v>132.46760599999999</c:v>
                </c:pt>
                <c:pt idx="785">
                  <c:v>140.68910199999999</c:v>
                </c:pt>
                <c:pt idx="786">
                  <c:v>142.11779799999999</c:v>
                </c:pt>
                <c:pt idx="787">
                  <c:v>149.74670399999999</c:v>
                </c:pt>
                <c:pt idx="788">
                  <c:v>150.22169500000001</c:v>
                </c:pt>
                <c:pt idx="789">
                  <c:v>153.82470699999999</c:v>
                </c:pt>
                <c:pt idx="790">
                  <c:v>143.62930299999999</c:v>
                </c:pt>
                <c:pt idx="791">
                  <c:v>147.69670099999999</c:v>
                </c:pt>
                <c:pt idx="792">
                  <c:v>144.186905</c:v>
                </c:pt>
                <c:pt idx="793">
                  <c:v>128.823105</c:v>
                </c:pt>
                <c:pt idx="794">
                  <c:v>131.28990200000001</c:v>
                </c:pt>
                <c:pt idx="795">
                  <c:v>124.446602</c:v>
                </c:pt>
                <c:pt idx="796">
                  <c:v>133.062195</c:v>
                </c:pt>
                <c:pt idx="797">
                  <c:v>135.328903</c:v>
                </c:pt>
                <c:pt idx="798">
                  <c:v>134.81359900000001</c:v>
                </c:pt>
                <c:pt idx="799">
                  <c:v>130.26220699999999</c:v>
                </c:pt>
                <c:pt idx="800">
                  <c:v>125.434303</c:v>
                </c:pt>
                <c:pt idx="801">
                  <c:v>129.14549299999999</c:v>
                </c:pt>
                <c:pt idx="802">
                  <c:v>130.38459800000001</c:v>
                </c:pt>
                <c:pt idx="803">
                  <c:v>125.44589999999999</c:v>
                </c:pt>
                <c:pt idx="804">
                  <c:v>126.358597</c:v>
                </c:pt>
                <c:pt idx="805">
                  <c:v>129.080994</c:v>
                </c:pt>
                <c:pt idx="806">
                  <c:v>142.570999</c:v>
                </c:pt>
                <c:pt idx="807">
                  <c:v>147.39210499999999</c:v>
                </c:pt>
                <c:pt idx="808">
                  <c:v>136.36790500000001</c:v>
                </c:pt>
                <c:pt idx="809">
                  <c:v>127.2967</c:v>
                </c:pt>
                <c:pt idx="810">
                  <c:v>129.16589400000001</c:v>
                </c:pt>
                <c:pt idx="811">
                  <c:v>152.926895</c:v>
                </c:pt>
                <c:pt idx="812">
                  <c:v>156.529404</c:v>
                </c:pt>
                <c:pt idx="813">
                  <c:v>138.66949500000001</c:v>
                </c:pt>
                <c:pt idx="814">
                  <c:v>140.74079900000001</c:v>
                </c:pt>
                <c:pt idx="815">
                  <c:v>148.215103</c:v>
                </c:pt>
                <c:pt idx="816">
                  <c:v>137.44610599999999</c:v>
                </c:pt>
                <c:pt idx="817">
                  <c:v>128.88130200000001</c:v>
                </c:pt>
                <c:pt idx="818">
                  <c:v>128.22920199999999</c:v>
                </c:pt>
                <c:pt idx="819">
                  <c:v>132.97650100000001</c:v>
                </c:pt>
                <c:pt idx="820">
                  <c:v>151.01289399999999</c:v>
                </c:pt>
                <c:pt idx="821">
                  <c:v>143.794296</c:v>
                </c:pt>
                <c:pt idx="822">
                  <c:v>143.42219499999999</c:v>
                </c:pt>
                <c:pt idx="823">
                  <c:v>126.949303</c:v>
                </c:pt>
                <c:pt idx="824">
                  <c:v>111.876999</c:v>
                </c:pt>
                <c:pt idx="825">
                  <c:v>106.802803</c:v>
                </c:pt>
                <c:pt idx="826">
                  <c:v>106.527901</c:v>
                </c:pt>
                <c:pt idx="827">
                  <c:v>111.214302</c:v>
                </c:pt>
                <c:pt idx="828">
                  <c:v>103.688599</c:v>
                </c:pt>
                <c:pt idx="829">
                  <c:v>96.963402000000002</c:v>
                </c:pt>
                <c:pt idx="830">
                  <c:v>101.907799</c:v>
                </c:pt>
                <c:pt idx="831">
                  <c:v>96.199898000000005</c:v>
                </c:pt>
                <c:pt idx="832">
                  <c:v>86.405899000000005</c:v>
                </c:pt>
                <c:pt idx="833">
                  <c:v>85.383301000000003</c:v>
                </c:pt>
                <c:pt idx="834">
                  <c:v>70.268096999999997</c:v>
                </c:pt>
                <c:pt idx="835">
                  <c:v>73.155296000000007</c:v>
                </c:pt>
                <c:pt idx="836">
                  <c:v>72.048798000000005</c:v>
                </c:pt>
                <c:pt idx="837">
                  <c:v>63.601799</c:v>
                </c:pt>
                <c:pt idx="838">
                  <c:v>59.483100999999998</c:v>
                </c:pt>
                <c:pt idx="839">
                  <c:v>68.215598999999997</c:v>
                </c:pt>
                <c:pt idx="840">
                  <c:v>75.913803000000001</c:v>
                </c:pt>
                <c:pt idx="841">
                  <c:v>83.527298000000002</c:v>
                </c:pt>
                <c:pt idx="842">
                  <c:v>84.237701000000001</c:v>
                </c:pt>
                <c:pt idx="843">
                  <c:v>81.648803999999998</c:v>
                </c:pt>
                <c:pt idx="844">
                  <c:v>70.264503000000005</c:v>
                </c:pt>
                <c:pt idx="845">
                  <c:v>53.097698000000001</c:v>
                </c:pt>
                <c:pt idx="846">
                  <c:v>40.936599999999999</c:v>
                </c:pt>
                <c:pt idx="847">
                  <c:v>45.825499999999998</c:v>
                </c:pt>
                <c:pt idx="848">
                  <c:v>55.205399</c:v>
                </c:pt>
                <c:pt idx="849">
                  <c:v>56.018599999999999</c:v>
                </c:pt>
                <c:pt idx="850">
                  <c:v>63.434299000000003</c:v>
                </c:pt>
                <c:pt idx="851">
                  <c:v>66.454802999999998</c:v>
                </c:pt>
                <c:pt idx="852">
                  <c:v>61.287601000000002</c:v>
                </c:pt>
                <c:pt idx="853">
                  <c:v>56.322299999999998</c:v>
                </c:pt>
                <c:pt idx="854">
                  <c:v>58.832599999999999</c:v>
                </c:pt>
                <c:pt idx="855">
                  <c:v>70.839798000000002</c:v>
                </c:pt>
                <c:pt idx="856">
                  <c:v>74.985298</c:v>
                </c:pt>
                <c:pt idx="857">
                  <c:v>83.408203</c:v>
                </c:pt>
                <c:pt idx="858">
                  <c:v>92.479301000000007</c:v>
                </c:pt>
                <c:pt idx="859">
                  <c:v>92.267998000000006</c:v>
                </c:pt>
                <c:pt idx="860">
                  <c:v>76.558998000000003</c:v>
                </c:pt>
                <c:pt idx="861">
                  <c:v>82.251403999999994</c:v>
                </c:pt>
                <c:pt idx="862">
                  <c:v>84.445098999999999</c:v>
                </c:pt>
                <c:pt idx="863">
                  <c:v>92.762298999999999</c:v>
                </c:pt>
                <c:pt idx="864">
                  <c:v>67.263603000000003</c:v>
                </c:pt>
                <c:pt idx="865">
                  <c:v>66.714302000000004</c:v>
                </c:pt>
                <c:pt idx="866">
                  <c:v>79.619399999999999</c:v>
                </c:pt>
                <c:pt idx="867">
                  <c:v>87.449698999999995</c:v>
                </c:pt>
                <c:pt idx="868">
                  <c:v>90.461699999999993</c:v>
                </c:pt>
                <c:pt idx="869">
                  <c:v>99.266402999999997</c:v>
                </c:pt>
                <c:pt idx="870">
                  <c:v>99.705803000000003</c:v>
                </c:pt>
                <c:pt idx="871">
                  <c:v>100.34470399999999</c:v>
                </c:pt>
                <c:pt idx="872">
                  <c:v>100.058296</c:v>
                </c:pt>
                <c:pt idx="873">
                  <c:v>104.058403</c:v>
                </c:pt>
                <c:pt idx="874">
                  <c:v>109.106796</c:v>
                </c:pt>
                <c:pt idx="875">
                  <c:v>108.1576</c:v>
                </c:pt>
                <c:pt idx="876">
                  <c:v>116.62979900000001</c:v>
                </c:pt>
                <c:pt idx="877">
                  <c:v>110.25299800000001</c:v>
                </c:pt>
                <c:pt idx="878">
                  <c:v>105.605698</c:v>
                </c:pt>
                <c:pt idx="879">
                  <c:v>88.675597999999994</c:v>
                </c:pt>
                <c:pt idx="880">
                  <c:v>89.909401000000003</c:v>
                </c:pt>
                <c:pt idx="881">
                  <c:v>86.631798000000003</c:v>
                </c:pt>
                <c:pt idx="882">
                  <c:v>95.046599999999998</c:v>
                </c:pt>
                <c:pt idx="883">
                  <c:v>98.602097000000001</c:v>
                </c:pt>
                <c:pt idx="884">
                  <c:v>104.55940200000001</c:v>
                </c:pt>
                <c:pt idx="885">
                  <c:v>103.3377</c:v>
                </c:pt>
                <c:pt idx="886">
                  <c:v>103.197998</c:v>
                </c:pt>
                <c:pt idx="887">
                  <c:v>82.661300999999995</c:v>
                </c:pt>
                <c:pt idx="888">
                  <c:v>75.352303000000006</c:v>
                </c:pt>
                <c:pt idx="889">
                  <c:v>67.133101999999994</c:v>
                </c:pt>
                <c:pt idx="890">
                  <c:v>69.892196999999996</c:v>
                </c:pt>
                <c:pt idx="891">
                  <c:v>61.777000000000001</c:v>
                </c:pt>
                <c:pt idx="892">
                  <c:v>51.615600999999998</c:v>
                </c:pt>
                <c:pt idx="893">
                  <c:v>55.197701000000002</c:v>
                </c:pt>
                <c:pt idx="894">
                  <c:v>59.698002000000002</c:v>
                </c:pt>
                <c:pt idx="895">
                  <c:v>57.912998000000002</c:v>
                </c:pt>
                <c:pt idx="896">
                  <c:v>60.424702000000003</c:v>
                </c:pt>
                <c:pt idx="897">
                  <c:v>65.184402000000006</c:v>
                </c:pt>
                <c:pt idx="898">
                  <c:v>65.024497999999994</c:v>
                </c:pt>
                <c:pt idx="899">
                  <c:v>62.039299</c:v>
                </c:pt>
                <c:pt idx="900">
                  <c:v>61.303199999999997</c:v>
                </c:pt>
                <c:pt idx="901">
                  <c:v>66.966697999999994</c:v>
                </c:pt>
                <c:pt idx="902">
                  <c:v>67.309997999999993</c:v>
                </c:pt>
                <c:pt idx="903">
                  <c:v>55.375098999999999</c:v>
                </c:pt>
                <c:pt idx="904">
                  <c:v>57.530498999999999</c:v>
                </c:pt>
                <c:pt idx="905">
                  <c:v>52.395000000000003</c:v>
                </c:pt>
                <c:pt idx="906">
                  <c:v>54.091301000000001</c:v>
                </c:pt>
                <c:pt idx="907">
                  <c:v>57.844501000000001</c:v>
                </c:pt>
                <c:pt idx="908">
                  <c:v>60.775199999999998</c:v>
                </c:pt>
                <c:pt idx="909">
                  <c:v>57.563499</c:v>
                </c:pt>
                <c:pt idx="910">
                  <c:v>44.713402000000002</c:v>
                </c:pt>
                <c:pt idx="911">
                  <c:v>55.427399000000001</c:v>
                </c:pt>
                <c:pt idx="912">
                  <c:v>66.460601999999994</c:v>
                </c:pt>
                <c:pt idx="913">
                  <c:v>86.840401</c:v>
                </c:pt>
                <c:pt idx="914">
                  <c:v>83.510802999999996</c:v>
                </c:pt>
                <c:pt idx="915">
                  <c:v>91.129897999999997</c:v>
                </c:pt>
                <c:pt idx="916">
                  <c:v>117.275902</c:v>
                </c:pt>
                <c:pt idx="917">
                  <c:v>132.67210399999999</c:v>
                </c:pt>
                <c:pt idx="918">
                  <c:v>136.15679900000001</c:v>
                </c:pt>
                <c:pt idx="919">
                  <c:v>136.03630100000001</c:v>
                </c:pt>
                <c:pt idx="920">
                  <c:v>146.83329800000001</c:v>
                </c:pt>
                <c:pt idx="921">
                  <c:v>151.90010100000001</c:v>
                </c:pt>
                <c:pt idx="922">
                  <c:v>150.26139800000001</c:v>
                </c:pt>
                <c:pt idx="923">
                  <c:v>126.772903</c:v>
                </c:pt>
                <c:pt idx="924">
                  <c:v>113.99430099999999</c:v>
                </c:pt>
                <c:pt idx="925">
                  <c:v>112.231697</c:v>
                </c:pt>
                <c:pt idx="926">
                  <c:v>104.47489899999999</c:v>
                </c:pt>
                <c:pt idx="927">
                  <c:v>87.403503000000001</c:v>
                </c:pt>
                <c:pt idx="928">
                  <c:v>95.142700000000005</c:v>
                </c:pt>
                <c:pt idx="929">
                  <c:v>82.929603999999998</c:v>
                </c:pt>
                <c:pt idx="930">
                  <c:v>74.101898000000006</c:v>
                </c:pt>
                <c:pt idx="931">
                  <c:v>69.754897999999997</c:v>
                </c:pt>
                <c:pt idx="932">
                  <c:v>67.191497999999996</c:v>
                </c:pt>
                <c:pt idx="933">
                  <c:v>65.447800000000001</c:v>
                </c:pt>
                <c:pt idx="934">
                  <c:v>71.225196999999994</c:v>
                </c:pt>
                <c:pt idx="935">
                  <c:v>72.290397999999996</c:v>
                </c:pt>
                <c:pt idx="936">
                  <c:v>72.968802999999994</c:v>
                </c:pt>
                <c:pt idx="937">
                  <c:v>75.784698000000006</c:v>
                </c:pt>
                <c:pt idx="938">
                  <c:v>76.861298000000005</c:v>
                </c:pt>
                <c:pt idx="939">
                  <c:v>78.726799</c:v>
                </c:pt>
                <c:pt idx="940">
                  <c:v>77.652901</c:v>
                </c:pt>
                <c:pt idx="941">
                  <c:v>70.147300999999999</c:v>
                </c:pt>
                <c:pt idx="942">
                  <c:v>75.146202000000002</c:v>
                </c:pt>
                <c:pt idx="943">
                  <c:v>75.839400999999995</c:v>
                </c:pt>
                <c:pt idx="944">
                  <c:v>72.952797000000004</c:v>
                </c:pt>
                <c:pt idx="945">
                  <c:v>77.578299999999999</c:v>
                </c:pt>
                <c:pt idx="946">
                  <c:v>76.941901999999999</c:v>
                </c:pt>
                <c:pt idx="947">
                  <c:v>89.065101999999996</c:v>
                </c:pt>
                <c:pt idx="948">
                  <c:v>94.243401000000006</c:v>
                </c:pt>
                <c:pt idx="949">
                  <c:v>81.714995999999999</c:v>
                </c:pt>
                <c:pt idx="950">
                  <c:v>73.395897000000005</c:v>
                </c:pt>
                <c:pt idx="951">
                  <c:v>72.556702000000001</c:v>
                </c:pt>
                <c:pt idx="952">
                  <c:v>39.470798000000002</c:v>
                </c:pt>
                <c:pt idx="953">
                  <c:v>42.537601000000002</c:v>
                </c:pt>
                <c:pt idx="954">
                  <c:v>54.443699000000002</c:v>
                </c:pt>
                <c:pt idx="955">
                  <c:v>63.375301</c:v>
                </c:pt>
                <c:pt idx="956">
                  <c:v>62.807098000000003</c:v>
                </c:pt>
                <c:pt idx="957">
                  <c:v>72.946701000000004</c:v>
                </c:pt>
                <c:pt idx="958">
                  <c:v>74.986298000000005</c:v>
                </c:pt>
                <c:pt idx="959">
                  <c:v>88.887100000000004</c:v>
                </c:pt>
                <c:pt idx="960">
                  <c:v>88.132103000000001</c:v>
                </c:pt>
                <c:pt idx="961">
                  <c:v>70.679603999999998</c:v>
                </c:pt>
                <c:pt idx="962">
                  <c:v>60.971499999999999</c:v>
                </c:pt>
                <c:pt idx="963">
                  <c:v>58.037998000000002</c:v>
                </c:pt>
                <c:pt idx="964">
                  <c:v>65.367103999999998</c:v>
                </c:pt>
                <c:pt idx="965">
                  <c:v>54.571399999999997</c:v>
                </c:pt>
                <c:pt idx="966">
                  <c:v>51.006802</c:v>
                </c:pt>
                <c:pt idx="967">
                  <c:v>51.181099000000003</c:v>
                </c:pt>
                <c:pt idx="968">
                  <c:v>56.730801</c:v>
                </c:pt>
                <c:pt idx="969">
                  <c:v>60.460299999999997</c:v>
                </c:pt>
                <c:pt idx="970">
                  <c:v>55.322102000000001</c:v>
                </c:pt>
                <c:pt idx="971">
                  <c:v>59.036498999999999</c:v>
                </c:pt>
                <c:pt idx="972">
                  <c:v>72.939400000000006</c:v>
                </c:pt>
                <c:pt idx="973">
                  <c:v>83.752296000000001</c:v>
                </c:pt>
                <c:pt idx="974">
                  <c:v>96.111999999999995</c:v>
                </c:pt>
                <c:pt idx="975">
                  <c:v>113.276802</c:v>
                </c:pt>
                <c:pt idx="976">
                  <c:v>146.342804</c:v>
                </c:pt>
                <c:pt idx="977">
                  <c:v>174.15280200000001</c:v>
                </c:pt>
                <c:pt idx="978">
                  <c:v>184.27740499999999</c:v>
                </c:pt>
                <c:pt idx="979">
                  <c:v>215.29179400000001</c:v>
                </c:pt>
                <c:pt idx="980">
                  <c:v>187.47669999999999</c:v>
                </c:pt>
                <c:pt idx="981">
                  <c:v>200.56449900000001</c:v>
                </c:pt>
                <c:pt idx="982">
                  <c:v>218.52499399999999</c:v>
                </c:pt>
                <c:pt idx="983">
                  <c:v>213.32179300000001</c:v>
                </c:pt>
                <c:pt idx="984">
                  <c:v>236.92919900000001</c:v>
                </c:pt>
                <c:pt idx="985">
                  <c:v>244.51870700000001</c:v>
                </c:pt>
                <c:pt idx="986">
                  <c:v>251.349197</c:v>
                </c:pt>
                <c:pt idx="987">
                  <c:v>279.388306</c:v>
                </c:pt>
                <c:pt idx="988">
                  <c:v>256.26721199999997</c:v>
                </c:pt>
                <c:pt idx="989">
                  <c:v>278.56900000000002</c:v>
                </c:pt>
                <c:pt idx="990">
                  <c:v>267.829407</c:v>
                </c:pt>
                <c:pt idx="991">
                  <c:v>207.76040599999999</c:v>
                </c:pt>
                <c:pt idx="992">
                  <c:v>189.963593</c:v>
                </c:pt>
                <c:pt idx="993">
                  <c:v>171.50309799999999</c:v>
                </c:pt>
                <c:pt idx="994">
                  <c:v>102.80239899999999</c:v>
                </c:pt>
                <c:pt idx="995">
                  <c:v>106.9328</c:v>
                </c:pt>
                <c:pt idx="996">
                  <c:v>99.339202999999998</c:v>
                </c:pt>
                <c:pt idx="997">
                  <c:v>100.193298</c:v>
                </c:pt>
                <c:pt idx="998">
                  <c:v>121.028702</c:v>
                </c:pt>
                <c:pt idx="999">
                  <c:v>110.01460299999999</c:v>
                </c:pt>
                <c:pt idx="1000">
                  <c:v>65.315804</c:v>
                </c:pt>
                <c:pt idx="1001">
                  <c:v>88.631302000000005</c:v>
                </c:pt>
                <c:pt idx="1002">
                  <c:v>64.126700999999997</c:v>
                </c:pt>
                <c:pt idx="1003">
                  <c:v>59.553500999999997</c:v>
                </c:pt>
                <c:pt idx="1004">
                  <c:v>69.043700999999999</c:v>
                </c:pt>
                <c:pt idx="1005">
                  <c:v>97.909301999999997</c:v>
                </c:pt>
                <c:pt idx="1006">
                  <c:v>92.138603000000003</c:v>
                </c:pt>
                <c:pt idx="1007">
                  <c:v>73.909103000000002</c:v>
                </c:pt>
                <c:pt idx="1008">
                  <c:v>68.107399000000001</c:v>
                </c:pt>
                <c:pt idx="1009">
                  <c:v>53.752200999999999</c:v>
                </c:pt>
                <c:pt idx="1010">
                  <c:v>53.718899</c:v>
                </c:pt>
                <c:pt idx="1011">
                  <c:v>58.178398000000001</c:v>
                </c:pt>
                <c:pt idx="1012">
                  <c:v>64.478202999999993</c:v>
                </c:pt>
                <c:pt idx="1013">
                  <c:v>49.298800999999997</c:v>
                </c:pt>
                <c:pt idx="1014">
                  <c:v>45.909301999999997</c:v>
                </c:pt>
                <c:pt idx="1015">
                  <c:v>51.913502000000001</c:v>
                </c:pt>
                <c:pt idx="1016">
                  <c:v>52.766201000000002</c:v>
                </c:pt>
                <c:pt idx="1017">
                  <c:v>50.824798999999999</c:v>
                </c:pt>
                <c:pt idx="1018">
                  <c:v>48.744498999999998</c:v>
                </c:pt>
                <c:pt idx="1019">
                  <c:v>57.888598999999999</c:v>
                </c:pt>
                <c:pt idx="1020">
                  <c:v>52.278998999999999</c:v>
                </c:pt>
                <c:pt idx="1021">
                  <c:v>103.45320100000001</c:v>
                </c:pt>
                <c:pt idx="1022">
                  <c:v>82.913596999999996</c:v>
                </c:pt>
                <c:pt idx="1023">
                  <c:v>85.858704000000003</c:v>
                </c:pt>
                <c:pt idx="1024">
                  <c:v>89.513496000000004</c:v>
                </c:pt>
                <c:pt idx="1025">
                  <c:v>88.927100999999993</c:v>
                </c:pt>
                <c:pt idx="1026">
                  <c:v>85.953902999999997</c:v>
                </c:pt>
                <c:pt idx="1027">
                  <c:v>80.209198000000001</c:v>
                </c:pt>
                <c:pt idx="1028">
                  <c:v>71.301201000000006</c:v>
                </c:pt>
                <c:pt idx="1029">
                  <c:v>76.362899999999996</c:v>
                </c:pt>
                <c:pt idx="1030">
                  <c:v>90.348999000000006</c:v>
                </c:pt>
                <c:pt idx="1031">
                  <c:v>92.643600000000006</c:v>
                </c:pt>
                <c:pt idx="1032">
                  <c:v>87.216797</c:v>
                </c:pt>
                <c:pt idx="1033">
                  <c:v>109.006897</c:v>
                </c:pt>
                <c:pt idx="1034">
                  <c:v>109.935699</c:v>
                </c:pt>
                <c:pt idx="1035">
                  <c:v>110.19699900000001</c:v>
                </c:pt>
                <c:pt idx="1036">
                  <c:v>106.461197</c:v>
                </c:pt>
                <c:pt idx="1037">
                  <c:v>109.697998</c:v>
                </c:pt>
                <c:pt idx="1038">
                  <c:v>127.093498</c:v>
                </c:pt>
                <c:pt idx="1039">
                  <c:v>130.75559999999999</c:v>
                </c:pt>
                <c:pt idx="1040">
                  <c:v>138.28869599999999</c:v>
                </c:pt>
                <c:pt idx="1041">
                  <c:v>136.074905</c:v>
                </c:pt>
                <c:pt idx="1042">
                  <c:v>139.176895</c:v>
                </c:pt>
                <c:pt idx="1043">
                  <c:v>125.310097</c:v>
                </c:pt>
                <c:pt idx="1044">
                  <c:v>115.679703</c:v>
                </c:pt>
                <c:pt idx="1045">
                  <c:v>107.4842</c:v>
                </c:pt>
                <c:pt idx="1046">
                  <c:v>99.495795999999999</c:v>
                </c:pt>
                <c:pt idx="1047">
                  <c:v>99.143401999999995</c:v>
                </c:pt>
                <c:pt idx="1048">
                  <c:v>100.383301</c:v>
                </c:pt>
                <c:pt idx="1049">
                  <c:v>97.072700999999995</c:v>
                </c:pt>
                <c:pt idx="1050">
                  <c:v>81.623901000000004</c:v>
                </c:pt>
                <c:pt idx="1051">
                  <c:v>74.139899999999997</c:v>
                </c:pt>
                <c:pt idx="1052">
                  <c:v>70.966599000000002</c:v>
                </c:pt>
                <c:pt idx="1053">
                  <c:v>63.666697999999997</c:v>
                </c:pt>
                <c:pt idx="1054">
                  <c:v>60.739798999999998</c:v>
                </c:pt>
                <c:pt idx="1055">
                  <c:v>43.620499000000002</c:v>
                </c:pt>
                <c:pt idx="1056">
                  <c:v>40.097800999999997</c:v>
                </c:pt>
                <c:pt idx="1057">
                  <c:v>41.355998999999997</c:v>
                </c:pt>
                <c:pt idx="1058">
                  <c:v>56.278801000000001</c:v>
                </c:pt>
                <c:pt idx="1059">
                  <c:v>44.369900000000001</c:v>
                </c:pt>
                <c:pt idx="1060">
                  <c:v>45.197600999999999</c:v>
                </c:pt>
                <c:pt idx="1061">
                  <c:v>54.435501000000002</c:v>
                </c:pt>
                <c:pt idx="1062">
                  <c:v>67.711303999999998</c:v>
                </c:pt>
                <c:pt idx="1063">
                  <c:v>66.403503000000001</c:v>
                </c:pt>
                <c:pt idx="1064">
                  <c:v>61.451698</c:v>
                </c:pt>
                <c:pt idx="1065">
                  <c:v>51.1721</c:v>
                </c:pt>
                <c:pt idx="1066">
                  <c:v>55.920399000000003</c:v>
                </c:pt>
                <c:pt idx="1067">
                  <c:v>65.277901</c:v>
                </c:pt>
                <c:pt idx="1068">
                  <c:v>47.527000000000001</c:v>
                </c:pt>
                <c:pt idx="1069">
                  <c:v>59.977699000000001</c:v>
                </c:pt>
                <c:pt idx="1070">
                  <c:v>59.118099000000001</c:v>
                </c:pt>
                <c:pt idx="1071">
                  <c:v>63.244598000000003</c:v>
                </c:pt>
                <c:pt idx="1072">
                  <c:v>61.723098999999998</c:v>
                </c:pt>
                <c:pt idx="1073">
                  <c:v>55.639999000000003</c:v>
                </c:pt>
                <c:pt idx="1074">
                  <c:v>49.394699000000003</c:v>
                </c:pt>
                <c:pt idx="1075">
                  <c:v>42.030399000000003</c:v>
                </c:pt>
                <c:pt idx="1076">
                  <c:v>45.790599999999998</c:v>
                </c:pt>
                <c:pt idx="1077">
                  <c:v>32.251399999999997</c:v>
                </c:pt>
                <c:pt idx="1078">
                  <c:v>36.173000000000002</c:v>
                </c:pt>
                <c:pt idx="1079">
                  <c:v>37.133499</c:v>
                </c:pt>
                <c:pt idx="1080">
                  <c:v>32.290100000000002</c:v>
                </c:pt>
                <c:pt idx="1081">
                  <c:v>40.877701000000002</c:v>
                </c:pt>
                <c:pt idx="1082">
                  <c:v>40.369801000000002</c:v>
                </c:pt>
                <c:pt idx="1083">
                  <c:v>40.040999999999997</c:v>
                </c:pt>
                <c:pt idx="1084">
                  <c:v>39.193297999999999</c:v>
                </c:pt>
                <c:pt idx="1085">
                  <c:v>41.273499000000001</c:v>
                </c:pt>
                <c:pt idx="1086">
                  <c:v>38.582099999999997</c:v>
                </c:pt>
                <c:pt idx="1087">
                  <c:v>34.370499000000002</c:v>
                </c:pt>
                <c:pt idx="1088">
                  <c:v>32.802298999999998</c:v>
                </c:pt>
                <c:pt idx="1089">
                  <c:v>32.325001</c:v>
                </c:pt>
                <c:pt idx="1090">
                  <c:v>35.141399</c:v>
                </c:pt>
                <c:pt idx="1091">
                  <c:v>35.195098999999999</c:v>
                </c:pt>
                <c:pt idx="1092">
                  <c:v>34.680900999999999</c:v>
                </c:pt>
                <c:pt idx="1093">
                  <c:v>37.764400000000002</c:v>
                </c:pt>
                <c:pt idx="1094">
                  <c:v>41.394599999999997</c:v>
                </c:pt>
                <c:pt idx="1095">
                  <c:v>43.230801</c:v>
                </c:pt>
                <c:pt idx="1096">
                  <c:v>39.493198</c:v>
                </c:pt>
                <c:pt idx="1097">
                  <c:v>38.337299000000002</c:v>
                </c:pt>
                <c:pt idx="1098">
                  <c:v>38.754798999999998</c:v>
                </c:pt>
                <c:pt idx="1099">
                  <c:v>39.565300000000001</c:v>
                </c:pt>
                <c:pt idx="1100">
                  <c:v>36.898997999999999</c:v>
                </c:pt>
                <c:pt idx="1101">
                  <c:v>42.467799999999997</c:v>
                </c:pt>
                <c:pt idx="1102">
                  <c:v>38.671398000000003</c:v>
                </c:pt>
                <c:pt idx="1103">
                  <c:v>46.182200999999999</c:v>
                </c:pt>
                <c:pt idx="1104">
                  <c:v>48.624198999999997</c:v>
                </c:pt>
                <c:pt idx="1105">
                  <c:v>48.332099999999997</c:v>
                </c:pt>
                <c:pt idx="1106">
                  <c:v>47.820202000000002</c:v>
                </c:pt>
                <c:pt idx="1107">
                  <c:v>45.566502</c:v>
                </c:pt>
                <c:pt idx="1108">
                  <c:v>44.955897999999998</c:v>
                </c:pt>
                <c:pt idx="1109">
                  <c:v>39.336899000000003</c:v>
                </c:pt>
                <c:pt idx="1110">
                  <c:v>35.850700000000003</c:v>
                </c:pt>
                <c:pt idx="1111">
                  <c:v>35.290100000000002</c:v>
                </c:pt>
                <c:pt idx="1112">
                  <c:v>45.665698999999996</c:v>
                </c:pt>
                <c:pt idx="1113">
                  <c:v>44.048000000000002</c:v>
                </c:pt>
                <c:pt idx="1114">
                  <c:v>52.541901000000003</c:v>
                </c:pt>
                <c:pt idx="1115">
                  <c:v>56.813701999999999</c:v>
                </c:pt>
                <c:pt idx="1116">
                  <c:v>55.182701000000002</c:v>
                </c:pt>
                <c:pt idx="1117">
                  <c:v>53.487900000000003</c:v>
                </c:pt>
                <c:pt idx="1118">
                  <c:v>54.321201000000002</c:v>
                </c:pt>
                <c:pt idx="1119">
                  <c:v>55.3979</c:v>
                </c:pt>
                <c:pt idx="1120">
                  <c:v>52.941502</c:v>
                </c:pt>
                <c:pt idx="1121">
                  <c:v>47.944901000000002</c:v>
                </c:pt>
                <c:pt idx="1122">
                  <c:v>48.788798999999997</c:v>
                </c:pt>
                <c:pt idx="1123">
                  <c:v>49.109797999999998</c:v>
                </c:pt>
                <c:pt idx="1124">
                  <c:v>49.711399</c:v>
                </c:pt>
                <c:pt idx="1125">
                  <c:v>49.487000000000002</c:v>
                </c:pt>
                <c:pt idx="1126">
                  <c:v>46.8979</c:v>
                </c:pt>
                <c:pt idx="1127">
                  <c:v>51.718497999999997</c:v>
                </c:pt>
                <c:pt idx="1128">
                  <c:v>55.388302000000003</c:v>
                </c:pt>
                <c:pt idx="1129">
                  <c:v>65.387801999999994</c:v>
                </c:pt>
                <c:pt idx="1130">
                  <c:v>63.930401000000003</c:v>
                </c:pt>
                <c:pt idx="1131">
                  <c:v>66.918296999999995</c:v>
                </c:pt>
                <c:pt idx="1132">
                  <c:v>73.872001999999995</c:v>
                </c:pt>
                <c:pt idx="1133">
                  <c:v>73.705200000000005</c:v>
                </c:pt>
                <c:pt idx="1134">
                  <c:v>75.466797</c:v>
                </c:pt>
                <c:pt idx="1135">
                  <c:v>75.684402000000006</c:v>
                </c:pt>
                <c:pt idx="1136">
                  <c:v>64.847504000000001</c:v>
                </c:pt>
                <c:pt idx="1137">
                  <c:v>69.105103</c:v>
                </c:pt>
                <c:pt idx="1138">
                  <c:v>71.987701000000001</c:v>
                </c:pt>
                <c:pt idx="1139">
                  <c:v>76.873099999999994</c:v>
                </c:pt>
                <c:pt idx="1140">
                  <c:v>85.278801000000001</c:v>
                </c:pt>
                <c:pt idx="1141">
                  <c:v>80.154297</c:v>
                </c:pt>
                <c:pt idx="1142">
                  <c:v>75.223099000000005</c:v>
                </c:pt>
                <c:pt idx="1143">
                  <c:v>73.505500999999995</c:v>
                </c:pt>
                <c:pt idx="1144">
                  <c:v>73.217903000000007</c:v>
                </c:pt>
                <c:pt idx="1145">
                  <c:v>73.873703000000006</c:v>
                </c:pt>
                <c:pt idx="1146">
                  <c:v>73.320999</c:v>
                </c:pt>
                <c:pt idx="1147">
                  <c:v>74.177902000000003</c:v>
                </c:pt>
                <c:pt idx="1148">
                  <c:v>76.993401000000006</c:v>
                </c:pt>
                <c:pt idx="1149">
                  <c:v>88.775702999999993</c:v>
                </c:pt>
                <c:pt idx="1150">
                  <c:v>90.847801000000004</c:v>
                </c:pt>
                <c:pt idx="1151">
                  <c:v>92.118103000000005</c:v>
                </c:pt>
                <c:pt idx="1152">
                  <c:v>91.347603000000007</c:v>
                </c:pt>
                <c:pt idx="1153">
                  <c:v>93.388901000000004</c:v>
                </c:pt>
                <c:pt idx="1154">
                  <c:v>94.691901999999999</c:v>
                </c:pt>
                <c:pt idx="1155">
                  <c:v>92.216003000000001</c:v>
                </c:pt>
                <c:pt idx="1156">
                  <c:v>95.076401000000004</c:v>
                </c:pt>
                <c:pt idx="1157">
                  <c:v>93.705498000000006</c:v>
                </c:pt>
                <c:pt idx="1158">
                  <c:v>99.454498000000001</c:v>
                </c:pt>
                <c:pt idx="1159">
                  <c:v>109.387199</c:v>
                </c:pt>
                <c:pt idx="1160">
                  <c:v>128.826706</c:v>
                </c:pt>
                <c:pt idx="1161">
                  <c:v>129.79480000000001</c:v>
                </c:pt>
                <c:pt idx="1162">
                  <c:v>128.95159899999999</c:v>
                </c:pt>
                <c:pt idx="1163">
                  <c:v>127.693901</c:v>
                </c:pt>
                <c:pt idx="1164">
                  <c:v>131.168701</c:v>
                </c:pt>
                <c:pt idx="1165">
                  <c:v>128.14529400000001</c:v>
                </c:pt>
                <c:pt idx="1166">
                  <c:v>136.1987</c:v>
                </c:pt>
                <c:pt idx="1167">
                  <c:v>136.86979700000001</c:v>
                </c:pt>
                <c:pt idx="1168">
                  <c:v>136.18150299999999</c:v>
                </c:pt>
                <c:pt idx="1169">
                  <c:v>133.98539700000001</c:v>
                </c:pt>
                <c:pt idx="1170">
                  <c:v>139.81500199999999</c:v>
                </c:pt>
                <c:pt idx="1171">
                  <c:v>137.84599299999999</c:v>
                </c:pt>
                <c:pt idx="1172">
                  <c:v>139.73890700000001</c:v>
                </c:pt>
                <c:pt idx="1173">
                  <c:v>139.04269400000001</c:v>
                </c:pt>
                <c:pt idx="1174">
                  <c:v>128.54040499999999</c:v>
                </c:pt>
                <c:pt idx="1175">
                  <c:v>126.251999</c:v>
                </c:pt>
                <c:pt idx="1176">
                  <c:v>125.121002</c:v>
                </c:pt>
                <c:pt idx="1177">
                  <c:v>114.82759900000001</c:v>
                </c:pt>
                <c:pt idx="1178">
                  <c:v>111.132103</c:v>
                </c:pt>
                <c:pt idx="1179">
                  <c:v>99.487503000000004</c:v>
                </c:pt>
                <c:pt idx="1180">
                  <c:v>96.958397000000005</c:v>
                </c:pt>
                <c:pt idx="1181">
                  <c:v>92.429496999999998</c:v>
                </c:pt>
                <c:pt idx="1182">
                  <c:v>84.497703999999999</c:v>
                </c:pt>
                <c:pt idx="1183">
                  <c:v>89.150902000000002</c:v>
                </c:pt>
                <c:pt idx="1184">
                  <c:v>77.278701999999996</c:v>
                </c:pt>
                <c:pt idx="1185">
                  <c:v>79.424499999999995</c:v>
                </c:pt>
                <c:pt idx="1186">
                  <c:v>99.684997999999993</c:v>
                </c:pt>
                <c:pt idx="1187">
                  <c:v>91.113097999999994</c:v>
                </c:pt>
                <c:pt idx="1188">
                  <c:v>87.482902999999993</c:v>
                </c:pt>
                <c:pt idx="1189">
                  <c:v>90.169098000000005</c:v>
                </c:pt>
                <c:pt idx="1190">
                  <c:v>88.009804000000003</c:v>
                </c:pt>
                <c:pt idx="1191">
                  <c:v>80.545303000000004</c:v>
                </c:pt>
                <c:pt idx="1192">
                  <c:v>80.391502000000003</c:v>
                </c:pt>
                <c:pt idx="1193">
                  <c:v>69.588500999999994</c:v>
                </c:pt>
                <c:pt idx="1194">
                  <c:v>62.042000000000002</c:v>
                </c:pt>
                <c:pt idx="1195">
                  <c:v>67.215401</c:v>
                </c:pt>
                <c:pt idx="1196">
                  <c:v>61.817298999999998</c:v>
                </c:pt>
                <c:pt idx="1197">
                  <c:v>58.950600000000001</c:v>
                </c:pt>
                <c:pt idx="1198">
                  <c:v>54.895099999999999</c:v>
                </c:pt>
                <c:pt idx="1199">
                  <c:v>55.493000000000002</c:v>
                </c:pt>
                <c:pt idx="1200">
                  <c:v>47.985298</c:v>
                </c:pt>
                <c:pt idx="1201">
                  <c:v>43.203097999999997</c:v>
                </c:pt>
                <c:pt idx="1202">
                  <c:v>40.6096</c:v>
                </c:pt>
                <c:pt idx="1203">
                  <c:v>33.585799999999999</c:v>
                </c:pt>
                <c:pt idx="1204">
                  <c:v>33.116599999999998</c:v>
                </c:pt>
                <c:pt idx="1205">
                  <c:v>29.989799000000001</c:v>
                </c:pt>
                <c:pt idx="1206">
                  <c:v>37.681099000000003</c:v>
                </c:pt>
                <c:pt idx="1207">
                  <c:v>53.887000999999998</c:v>
                </c:pt>
                <c:pt idx="1208">
                  <c:v>46.580502000000003</c:v>
                </c:pt>
                <c:pt idx="1209">
                  <c:v>47.284801000000002</c:v>
                </c:pt>
                <c:pt idx="1210">
                  <c:v>52.166901000000003</c:v>
                </c:pt>
                <c:pt idx="1211">
                  <c:v>51.793900000000001</c:v>
                </c:pt>
                <c:pt idx="1212">
                  <c:v>54.888401000000002</c:v>
                </c:pt>
                <c:pt idx="1213">
                  <c:v>58.032902</c:v>
                </c:pt>
                <c:pt idx="1214">
                  <c:v>62.460498999999999</c:v>
                </c:pt>
                <c:pt idx="1215">
                  <c:v>71.828102000000001</c:v>
                </c:pt>
                <c:pt idx="1216">
                  <c:v>64.733597000000003</c:v>
                </c:pt>
                <c:pt idx="1217">
                  <c:v>65.139602999999994</c:v>
                </c:pt>
                <c:pt idx="1218">
                  <c:v>62.847000000000001</c:v>
                </c:pt>
                <c:pt idx="1219">
                  <c:v>65.155602000000002</c:v>
                </c:pt>
                <c:pt idx="1220">
                  <c:v>61.520901000000002</c:v>
                </c:pt>
                <c:pt idx="1221">
                  <c:v>70.119399999999999</c:v>
                </c:pt>
                <c:pt idx="1222">
                  <c:v>71.838500999999994</c:v>
                </c:pt>
                <c:pt idx="1223">
                  <c:v>79.472603000000007</c:v>
                </c:pt>
                <c:pt idx="1224">
                  <c:v>84.571999000000005</c:v>
                </c:pt>
                <c:pt idx="1225">
                  <c:v>92.742797999999993</c:v>
                </c:pt>
                <c:pt idx="1226">
                  <c:v>95.882401000000002</c:v>
                </c:pt>
                <c:pt idx="1227">
                  <c:v>95.195899999999995</c:v>
                </c:pt>
                <c:pt idx="1228">
                  <c:v>98.239699999999999</c:v>
                </c:pt>
                <c:pt idx="1229">
                  <c:v>112.55789900000001</c:v>
                </c:pt>
                <c:pt idx="1230">
                  <c:v>117.712898</c:v>
                </c:pt>
                <c:pt idx="1231">
                  <c:v>111.930099</c:v>
                </c:pt>
                <c:pt idx="1232">
                  <c:v>116.53040300000001</c:v>
                </c:pt>
                <c:pt idx="1233">
                  <c:v>121.905602</c:v>
                </c:pt>
                <c:pt idx="1234">
                  <c:v>106.214798</c:v>
                </c:pt>
                <c:pt idx="1235">
                  <c:v>106.173897</c:v>
                </c:pt>
                <c:pt idx="1236">
                  <c:v>101.172997</c:v>
                </c:pt>
                <c:pt idx="1237">
                  <c:v>105.427696</c:v>
                </c:pt>
                <c:pt idx="1238">
                  <c:v>106.987801</c:v>
                </c:pt>
                <c:pt idx="1239">
                  <c:v>99.289199999999994</c:v>
                </c:pt>
                <c:pt idx="1240">
                  <c:v>103.93650100000001</c:v>
                </c:pt>
                <c:pt idx="1241">
                  <c:v>102.911903</c:v>
                </c:pt>
                <c:pt idx="1242">
                  <c:v>100.86799600000001</c:v>
                </c:pt>
                <c:pt idx="1243">
                  <c:v>103.809303</c:v>
                </c:pt>
                <c:pt idx="1244">
                  <c:v>100.627701</c:v>
                </c:pt>
                <c:pt idx="1245">
                  <c:v>83.695396000000002</c:v>
                </c:pt>
                <c:pt idx="1246">
                  <c:v>80.942902000000004</c:v>
                </c:pt>
                <c:pt idx="1247">
                  <c:v>87.731399999999994</c:v>
                </c:pt>
                <c:pt idx="1248">
                  <c:v>76.545997999999997</c:v>
                </c:pt>
                <c:pt idx="1249">
                  <c:v>85.475898999999998</c:v>
                </c:pt>
              </c:numCache>
            </c:numRef>
          </c:val>
          <c:smooth val="0"/>
        </c:ser>
        <c:dLbls>
          <c:showLegendKey val="0"/>
          <c:showVal val="0"/>
          <c:showCatName val="0"/>
          <c:showSerName val="0"/>
          <c:showPercent val="0"/>
          <c:showBubbleSize val="0"/>
        </c:dLbls>
        <c:marker val="1"/>
        <c:smooth val="0"/>
        <c:axId val="222057216"/>
        <c:axId val="222058752"/>
      </c:lineChart>
      <c:dateAx>
        <c:axId val="222057216"/>
        <c:scaling>
          <c:orientation val="minMax"/>
        </c:scaling>
        <c:delete val="0"/>
        <c:axPos val="b"/>
        <c:numFmt formatCode="mm/dd/yyyy" sourceLinked="1"/>
        <c:majorTickMark val="out"/>
        <c:minorTickMark val="none"/>
        <c:tickLblPos val="nextTo"/>
        <c:crossAx val="222058752"/>
        <c:crosses val="autoZero"/>
        <c:auto val="1"/>
        <c:lblOffset val="100"/>
        <c:baseTimeUnit val="days"/>
      </c:dateAx>
      <c:valAx>
        <c:axId val="222058752"/>
        <c:scaling>
          <c:orientation val="minMax"/>
        </c:scaling>
        <c:delete val="0"/>
        <c:axPos val="l"/>
        <c:majorGridlines/>
        <c:numFmt formatCode="General" sourceLinked="1"/>
        <c:majorTickMark val="out"/>
        <c:minorTickMark val="none"/>
        <c:tickLblPos val="nextTo"/>
        <c:crossAx val="222057216"/>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228599</xdr:colOff>
      <xdr:row>10</xdr:row>
      <xdr:rowOff>33336</xdr:rowOff>
    </xdr:from>
    <xdr:to>
      <xdr:col>26</xdr:col>
      <xdr:colOff>428624</xdr:colOff>
      <xdr:row>36</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200024</xdr:colOff>
      <xdr:row>41</xdr:row>
      <xdr:rowOff>23812</xdr:rowOff>
    </xdr:from>
    <xdr:to>
      <xdr:col>26</xdr:col>
      <xdr:colOff>400049</xdr:colOff>
      <xdr:row>61</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mes.edwards/Downloads/MBA%20refi%20index%20vs%20FNMA%20refinancible%20universe%20Jan%2027%2020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ien.chen/AppData/Roaming/Microsoft/AddIns/YieldBookAddin.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New Chart"/>
      <sheetName val="all FNCL"/>
      <sheetName val="projection"/>
      <sheetName val="projection 2010"/>
      <sheetName val="Sheet3"/>
      <sheetName val="Sheet2"/>
      <sheetName val="Old"/>
    </sheetNames>
    <sheetDataSet>
      <sheetData sheetId="0" refreshError="1"/>
      <sheetData sheetId="1" refreshError="1"/>
      <sheetData sheetId="2" refreshError="1">
        <row r="2">
          <cell r="A2">
            <v>40546</v>
          </cell>
          <cell r="B2">
            <v>0.616881678422881</v>
          </cell>
        </row>
        <row r="3">
          <cell r="A3">
            <v>40547</v>
          </cell>
          <cell r="B3">
            <v>0.616881678422881</v>
          </cell>
        </row>
        <row r="4">
          <cell r="A4">
            <v>40548</v>
          </cell>
          <cell r="B4">
            <v>0.616881678422881</v>
          </cell>
        </row>
        <row r="5">
          <cell r="A5">
            <v>40549</v>
          </cell>
          <cell r="B5">
            <v>0.62563051420361004</v>
          </cell>
        </row>
        <row r="6">
          <cell r="A6">
            <v>40550</v>
          </cell>
          <cell r="B6">
            <v>0.62563051420361004</v>
          </cell>
        </row>
        <row r="7">
          <cell r="A7">
            <v>40553</v>
          </cell>
          <cell r="B7">
            <v>0.62563051420361004</v>
          </cell>
        </row>
        <row r="8">
          <cell r="A8">
            <v>40554</v>
          </cell>
          <cell r="B8">
            <v>0.62563051420361004</v>
          </cell>
        </row>
        <row r="9">
          <cell r="A9">
            <v>40555</v>
          </cell>
          <cell r="B9">
            <v>0.62563051420361004</v>
          </cell>
        </row>
        <row r="10">
          <cell r="A10">
            <v>40556</v>
          </cell>
          <cell r="B10">
            <v>0.62996366306029306</v>
          </cell>
        </row>
        <row r="11">
          <cell r="A11">
            <v>40557</v>
          </cell>
          <cell r="B11">
            <v>0.62563051420361004</v>
          </cell>
        </row>
        <row r="12">
          <cell r="A12">
            <v>40561</v>
          </cell>
          <cell r="B12">
            <v>0.62996366306029306</v>
          </cell>
        </row>
        <row r="13">
          <cell r="A13">
            <v>40562</v>
          </cell>
          <cell r="B13">
            <v>0.62996366306029306</v>
          </cell>
        </row>
        <row r="14">
          <cell r="A14">
            <v>40563</v>
          </cell>
          <cell r="B14">
            <v>0.62783454832649499</v>
          </cell>
        </row>
        <row r="15">
          <cell r="A15">
            <v>40564</v>
          </cell>
          <cell r="B15">
            <v>0.62996366306029306</v>
          </cell>
        </row>
        <row r="16">
          <cell r="A16">
            <v>40567</v>
          </cell>
          <cell r="B16">
            <v>0.62783454832649499</v>
          </cell>
        </row>
        <row r="17">
          <cell r="A17">
            <v>40568</v>
          </cell>
          <cell r="B17">
            <v>0.62783454832649499</v>
          </cell>
        </row>
        <row r="18">
          <cell r="A18">
            <v>40569</v>
          </cell>
          <cell r="B18">
            <v>0.62783454832649499</v>
          </cell>
        </row>
        <row r="19">
          <cell r="A19">
            <v>40570</v>
          </cell>
          <cell r="B19">
            <v>0.62388343066805296</v>
          </cell>
        </row>
        <row r="20">
          <cell r="A20">
            <v>40571</v>
          </cell>
          <cell r="B20">
            <v>0.62388343066805296</v>
          </cell>
        </row>
        <row r="21">
          <cell r="A21">
            <v>40574</v>
          </cell>
          <cell r="B21">
            <v>0.62388343066805296</v>
          </cell>
        </row>
        <row r="22">
          <cell r="A22">
            <v>40575</v>
          </cell>
          <cell r="B22">
            <v>0.61149872753562795</v>
          </cell>
        </row>
        <row r="23">
          <cell r="A23">
            <v>40576</v>
          </cell>
          <cell r="B23">
            <v>0.61149872753562795</v>
          </cell>
        </row>
        <row r="24">
          <cell r="A24">
            <v>40577</v>
          </cell>
          <cell r="B24">
            <v>0.61074045486204198</v>
          </cell>
        </row>
        <row r="25">
          <cell r="A25">
            <v>40578</v>
          </cell>
          <cell r="B25">
            <v>0.61074045486204198</v>
          </cell>
        </row>
        <row r="26">
          <cell r="A26">
            <v>40581</v>
          </cell>
          <cell r="B26">
            <v>0.61074045486204198</v>
          </cell>
        </row>
        <row r="27">
          <cell r="A27">
            <v>40582</v>
          </cell>
          <cell r="B27">
            <v>0.61074045486204198</v>
          </cell>
        </row>
        <row r="28">
          <cell r="A28">
            <v>40583</v>
          </cell>
          <cell r="B28">
            <v>0.61074045486204198</v>
          </cell>
        </row>
        <row r="29">
          <cell r="A29">
            <v>40584</v>
          </cell>
          <cell r="B29">
            <v>0.50836540051897094</v>
          </cell>
        </row>
        <row r="30">
          <cell r="A30">
            <v>40585</v>
          </cell>
          <cell r="B30">
            <v>0.50836540051897094</v>
          </cell>
        </row>
        <row r="31">
          <cell r="A31">
            <v>40588</v>
          </cell>
          <cell r="B31">
            <v>0.50836540051897094</v>
          </cell>
        </row>
        <row r="32">
          <cell r="A32">
            <v>40589</v>
          </cell>
          <cell r="B32">
            <v>0.50836540051897094</v>
          </cell>
        </row>
        <row r="33">
          <cell r="A33">
            <v>40590</v>
          </cell>
          <cell r="B33">
            <v>0.50836540051897094</v>
          </cell>
        </row>
        <row r="34">
          <cell r="A34">
            <v>40591</v>
          </cell>
          <cell r="B34">
            <v>0.52920493587017403</v>
          </cell>
        </row>
        <row r="35">
          <cell r="A35">
            <v>40592</v>
          </cell>
          <cell r="B35">
            <v>0.52920493587017403</v>
          </cell>
        </row>
        <row r="36">
          <cell r="A36">
            <v>40596</v>
          </cell>
          <cell r="B36">
            <v>0.52920493587017403</v>
          </cell>
        </row>
        <row r="37">
          <cell r="A37">
            <v>40597</v>
          </cell>
          <cell r="B37">
            <v>0.52920493587017403</v>
          </cell>
        </row>
        <row r="38">
          <cell r="A38">
            <v>40598</v>
          </cell>
          <cell r="B38">
            <v>0.55803024707205595</v>
          </cell>
        </row>
        <row r="39">
          <cell r="A39">
            <v>40599</v>
          </cell>
          <cell r="B39">
            <v>0.55803024707205595</v>
          </cell>
        </row>
        <row r="40">
          <cell r="A40">
            <v>40602</v>
          </cell>
          <cell r="B40">
            <v>0.55803024707205595</v>
          </cell>
        </row>
        <row r="41">
          <cell r="A41">
            <v>40603</v>
          </cell>
          <cell r="B41">
            <v>0.54582431757096395</v>
          </cell>
        </row>
        <row r="42">
          <cell r="A42">
            <v>40604</v>
          </cell>
          <cell r="B42">
            <v>0.54582431757096395</v>
          </cell>
        </row>
        <row r="43">
          <cell r="A43">
            <v>40605</v>
          </cell>
          <cell r="B43">
            <v>0.59209711782781405</v>
          </cell>
        </row>
        <row r="44">
          <cell r="A44">
            <v>40606</v>
          </cell>
          <cell r="B44">
            <v>0.59209711782781405</v>
          </cell>
        </row>
        <row r="45">
          <cell r="A45">
            <v>40609</v>
          </cell>
          <cell r="B45">
            <v>0.59209711782781405</v>
          </cell>
        </row>
        <row r="46">
          <cell r="A46">
            <v>40610</v>
          </cell>
          <cell r="B46">
            <v>0.59209711782781405</v>
          </cell>
        </row>
        <row r="47">
          <cell r="A47">
            <v>40611</v>
          </cell>
          <cell r="B47">
            <v>0.59209711782781405</v>
          </cell>
        </row>
        <row r="48">
          <cell r="A48">
            <v>40612</v>
          </cell>
          <cell r="B48">
            <v>0.59080334812888002</v>
          </cell>
        </row>
        <row r="49">
          <cell r="A49">
            <v>40613</v>
          </cell>
          <cell r="B49">
            <v>0.59080334812888002</v>
          </cell>
        </row>
        <row r="50">
          <cell r="A50">
            <v>40616</v>
          </cell>
          <cell r="B50">
            <v>0.59080334812888002</v>
          </cell>
        </row>
        <row r="51">
          <cell r="A51">
            <v>40617</v>
          </cell>
          <cell r="B51">
            <v>0.59080334812888002</v>
          </cell>
        </row>
        <row r="52">
          <cell r="A52">
            <v>40618</v>
          </cell>
          <cell r="B52">
            <v>0.59080334812888002</v>
          </cell>
        </row>
        <row r="53">
          <cell r="A53">
            <v>40619</v>
          </cell>
          <cell r="B53">
            <v>0.60256210105936003</v>
          </cell>
        </row>
        <row r="54">
          <cell r="A54">
            <v>40620</v>
          </cell>
          <cell r="B54">
            <v>0.60256210105936003</v>
          </cell>
        </row>
        <row r="55">
          <cell r="A55">
            <v>40623</v>
          </cell>
          <cell r="B55">
            <v>0.60256210105936003</v>
          </cell>
        </row>
        <row r="56">
          <cell r="A56">
            <v>40624</v>
          </cell>
          <cell r="B56">
            <v>0.60256210105936003</v>
          </cell>
        </row>
        <row r="57">
          <cell r="A57">
            <v>40625</v>
          </cell>
          <cell r="B57">
            <v>0.60256210105936003</v>
          </cell>
        </row>
        <row r="58">
          <cell r="A58">
            <v>40626</v>
          </cell>
          <cell r="B58">
            <v>0.59950595681897501</v>
          </cell>
        </row>
        <row r="59">
          <cell r="A59">
            <v>40627</v>
          </cell>
          <cell r="B59">
            <v>0.59950595681897501</v>
          </cell>
        </row>
        <row r="60">
          <cell r="A60">
            <v>40630</v>
          </cell>
          <cell r="B60">
            <v>0.59950595681897501</v>
          </cell>
        </row>
        <row r="61">
          <cell r="A61">
            <v>40631</v>
          </cell>
          <cell r="B61">
            <v>0.59950595681897501</v>
          </cell>
        </row>
        <row r="62">
          <cell r="A62">
            <v>40632</v>
          </cell>
          <cell r="B62">
            <v>0.59950595681897501</v>
          </cell>
        </row>
        <row r="63">
          <cell r="A63">
            <v>40633</v>
          </cell>
          <cell r="B63">
            <v>0.59315556395691504</v>
          </cell>
        </row>
        <row r="64">
          <cell r="A64">
            <v>40634</v>
          </cell>
          <cell r="B64">
            <v>0.58635020807411298</v>
          </cell>
        </row>
        <row r="65">
          <cell r="A65">
            <v>40637</v>
          </cell>
          <cell r="B65">
            <v>0.58635020807411298</v>
          </cell>
        </row>
        <row r="66">
          <cell r="A66">
            <v>40638</v>
          </cell>
          <cell r="B66">
            <v>0.58635020807411298</v>
          </cell>
        </row>
        <row r="67">
          <cell r="A67">
            <v>40639</v>
          </cell>
          <cell r="B67">
            <v>0.58635020807411298</v>
          </cell>
        </row>
        <row r="68">
          <cell r="A68">
            <v>40640</v>
          </cell>
          <cell r="B68">
            <v>0.58532491615437798</v>
          </cell>
        </row>
        <row r="69">
          <cell r="A69">
            <v>40641</v>
          </cell>
          <cell r="B69">
            <v>0.58635020807411298</v>
          </cell>
        </row>
        <row r="70">
          <cell r="A70">
            <v>40644</v>
          </cell>
          <cell r="B70">
            <v>0.58532491615437798</v>
          </cell>
        </row>
        <row r="71">
          <cell r="A71">
            <v>40645</v>
          </cell>
          <cell r="B71">
            <v>0.58532491615437798</v>
          </cell>
        </row>
        <row r="72">
          <cell r="A72">
            <v>40646</v>
          </cell>
          <cell r="B72">
            <v>0.58532491615437798</v>
          </cell>
        </row>
        <row r="73">
          <cell r="A73">
            <v>40647</v>
          </cell>
          <cell r="B73">
            <v>0.56791099107998699</v>
          </cell>
        </row>
        <row r="74">
          <cell r="A74">
            <v>40648</v>
          </cell>
          <cell r="B74">
            <v>0.56791099107998699</v>
          </cell>
        </row>
        <row r="75">
          <cell r="A75">
            <v>40651</v>
          </cell>
          <cell r="B75">
            <v>0.56791099107998699</v>
          </cell>
        </row>
        <row r="76">
          <cell r="A76">
            <v>40652</v>
          </cell>
          <cell r="B76">
            <v>0.56791099107998699</v>
          </cell>
        </row>
        <row r="77">
          <cell r="A77">
            <v>40653</v>
          </cell>
          <cell r="B77">
            <v>0.56791099107998699</v>
          </cell>
        </row>
        <row r="78">
          <cell r="A78">
            <v>40654</v>
          </cell>
          <cell r="B78">
            <v>0.59349339985189797</v>
          </cell>
        </row>
        <row r="79">
          <cell r="A79">
            <v>40658</v>
          </cell>
          <cell r="B79">
            <v>0.59349339985189797</v>
          </cell>
        </row>
        <row r="80">
          <cell r="A80">
            <v>40659</v>
          </cell>
          <cell r="B80">
            <v>0.59349339985189797</v>
          </cell>
        </row>
        <row r="81">
          <cell r="A81">
            <v>40660</v>
          </cell>
          <cell r="B81">
            <v>0.59349339985189797</v>
          </cell>
        </row>
        <row r="82">
          <cell r="A82">
            <v>40661</v>
          </cell>
          <cell r="B82">
            <v>0.594306088776824</v>
          </cell>
        </row>
        <row r="83">
          <cell r="A83">
            <v>40662</v>
          </cell>
          <cell r="B83">
            <v>0.59349339985189797</v>
          </cell>
        </row>
        <row r="84">
          <cell r="A84">
            <v>40665</v>
          </cell>
          <cell r="B84">
            <v>0.58827706720942596</v>
          </cell>
        </row>
        <row r="85">
          <cell r="A85">
            <v>40666</v>
          </cell>
          <cell r="B85">
            <v>0.58827706720942596</v>
          </cell>
        </row>
        <row r="86">
          <cell r="A86">
            <v>40667</v>
          </cell>
          <cell r="B86">
            <v>0.58827706720942596</v>
          </cell>
        </row>
        <row r="87">
          <cell r="A87">
            <v>40668</v>
          </cell>
          <cell r="B87">
            <v>0.59388944935877797</v>
          </cell>
        </row>
        <row r="88">
          <cell r="A88">
            <v>40669</v>
          </cell>
          <cell r="B88">
            <v>0.58827706720942596</v>
          </cell>
        </row>
        <row r="89">
          <cell r="A89">
            <v>40672</v>
          </cell>
          <cell r="B89">
            <v>0.59388944935877797</v>
          </cell>
        </row>
        <row r="90">
          <cell r="A90">
            <v>40673</v>
          </cell>
          <cell r="B90">
            <v>0.59388944935877797</v>
          </cell>
        </row>
        <row r="91">
          <cell r="A91">
            <v>40674</v>
          </cell>
          <cell r="B91">
            <v>0.59388944935877797</v>
          </cell>
        </row>
        <row r="92">
          <cell r="A92">
            <v>40675</v>
          </cell>
          <cell r="B92">
            <v>0.60656839337259305</v>
          </cell>
        </row>
        <row r="93">
          <cell r="A93">
            <v>40676</v>
          </cell>
          <cell r="B93">
            <v>0.60656839337259305</v>
          </cell>
        </row>
        <row r="94">
          <cell r="A94">
            <v>40679</v>
          </cell>
          <cell r="B94">
            <v>0.60656839337259305</v>
          </cell>
        </row>
        <row r="95">
          <cell r="A95">
            <v>40680</v>
          </cell>
          <cell r="B95">
            <v>0.60656839337259305</v>
          </cell>
        </row>
        <row r="96">
          <cell r="A96">
            <v>40681</v>
          </cell>
          <cell r="B96">
            <v>0.60656839337259305</v>
          </cell>
        </row>
        <row r="97">
          <cell r="A97">
            <v>40682</v>
          </cell>
          <cell r="B97">
            <v>0.61190235023345096</v>
          </cell>
        </row>
        <row r="98">
          <cell r="A98">
            <v>40683</v>
          </cell>
          <cell r="B98">
            <v>0.61190235023345096</v>
          </cell>
        </row>
        <row r="99">
          <cell r="A99">
            <v>40686</v>
          </cell>
          <cell r="B99">
            <v>0.61190235023345096</v>
          </cell>
        </row>
        <row r="100">
          <cell r="A100">
            <v>40687</v>
          </cell>
          <cell r="B100">
            <v>0.61190235023345096</v>
          </cell>
        </row>
        <row r="101">
          <cell r="A101">
            <v>40688</v>
          </cell>
          <cell r="B101">
            <v>0.61190235023345096</v>
          </cell>
        </row>
        <row r="102">
          <cell r="A102">
            <v>40689</v>
          </cell>
          <cell r="B102">
            <v>0.615993636080996</v>
          </cell>
        </row>
        <row r="103">
          <cell r="A103">
            <v>40690</v>
          </cell>
          <cell r="B103">
            <v>0.615993636080996</v>
          </cell>
        </row>
        <row r="104">
          <cell r="A104">
            <v>40694</v>
          </cell>
          <cell r="B104">
            <v>0.615993636080996</v>
          </cell>
        </row>
        <row r="105">
          <cell r="A105">
            <v>40695</v>
          </cell>
          <cell r="B105">
            <v>0.61033542977678401</v>
          </cell>
        </row>
        <row r="106">
          <cell r="A106">
            <v>40696</v>
          </cell>
          <cell r="B106">
            <v>0.63716048140315296</v>
          </cell>
        </row>
        <row r="107">
          <cell r="A107">
            <v>40697</v>
          </cell>
          <cell r="B107">
            <v>0.63716048140315296</v>
          </cell>
        </row>
        <row r="108">
          <cell r="A108">
            <v>40700</v>
          </cell>
          <cell r="B108">
            <v>0.63716048140315296</v>
          </cell>
        </row>
        <row r="109">
          <cell r="A109">
            <v>40701</v>
          </cell>
          <cell r="B109">
            <v>0.63716048140315296</v>
          </cell>
        </row>
        <row r="110">
          <cell r="A110">
            <v>40702</v>
          </cell>
          <cell r="B110">
            <v>0.63716048140315296</v>
          </cell>
        </row>
        <row r="111">
          <cell r="A111">
            <v>40703</v>
          </cell>
          <cell r="B111">
            <v>0.74321907249207297</v>
          </cell>
        </row>
        <row r="112">
          <cell r="A112">
            <v>40704</v>
          </cell>
          <cell r="B112">
            <v>0.74321907249207297</v>
          </cell>
        </row>
        <row r="113">
          <cell r="A113">
            <v>40707</v>
          </cell>
          <cell r="B113">
            <v>0.74321907249207297</v>
          </cell>
        </row>
        <row r="114">
          <cell r="A114">
            <v>40708</v>
          </cell>
          <cell r="B114">
            <v>0.74321907249207297</v>
          </cell>
        </row>
        <row r="115">
          <cell r="A115">
            <v>40709</v>
          </cell>
          <cell r="B115">
            <v>0.74321907249207297</v>
          </cell>
        </row>
        <row r="116">
          <cell r="A116">
            <v>40710</v>
          </cell>
          <cell r="B116">
            <v>0.72196170225835998</v>
          </cell>
        </row>
        <row r="117">
          <cell r="A117">
            <v>40711</v>
          </cell>
          <cell r="B117">
            <v>0.72196170225835998</v>
          </cell>
        </row>
        <row r="118">
          <cell r="A118">
            <v>40714</v>
          </cell>
          <cell r="B118">
            <v>0.72196170225835998</v>
          </cell>
        </row>
        <row r="119">
          <cell r="A119">
            <v>40715</v>
          </cell>
          <cell r="B119">
            <v>0.72196170225835998</v>
          </cell>
        </row>
        <row r="120">
          <cell r="A120">
            <v>40716</v>
          </cell>
          <cell r="B120">
            <v>0.72196170225835998</v>
          </cell>
        </row>
        <row r="121">
          <cell r="A121">
            <v>40717</v>
          </cell>
          <cell r="B121">
            <v>0.72196170225835998</v>
          </cell>
        </row>
        <row r="122">
          <cell r="A122">
            <v>40718</v>
          </cell>
          <cell r="B122">
            <v>0.72196170225835998</v>
          </cell>
        </row>
        <row r="123">
          <cell r="A123">
            <v>40721</v>
          </cell>
          <cell r="B123">
            <v>0.72196170225835998</v>
          </cell>
        </row>
        <row r="124">
          <cell r="A124">
            <v>40722</v>
          </cell>
          <cell r="B124">
            <v>0.72196170225835998</v>
          </cell>
        </row>
        <row r="125">
          <cell r="A125">
            <v>40723</v>
          </cell>
          <cell r="B125">
            <v>0.72196170225835998</v>
          </cell>
        </row>
        <row r="126">
          <cell r="A126">
            <v>40724</v>
          </cell>
          <cell r="B126">
            <v>0.68885444787085304</v>
          </cell>
        </row>
        <row r="127">
          <cell r="A127">
            <v>40725</v>
          </cell>
          <cell r="B127">
            <v>0.68335549039476995</v>
          </cell>
        </row>
        <row r="128">
          <cell r="A128">
            <v>40729</v>
          </cell>
          <cell r="B128">
            <v>0.68335549039476995</v>
          </cell>
        </row>
        <row r="129">
          <cell r="A129">
            <v>40730</v>
          </cell>
          <cell r="B129">
            <v>0.68335549039476995</v>
          </cell>
        </row>
        <row r="130">
          <cell r="A130">
            <v>40731</v>
          </cell>
          <cell r="B130">
            <v>0.60410549631050603</v>
          </cell>
        </row>
        <row r="131">
          <cell r="A131">
            <v>40732</v>
          </cell>
          <cell r="B131">
            <v>0.60410549631050603</v>
          </cell>
        </row>
        <row r="132">
          <cell r="A132">
            <v>40735</v>
          </cell>
          <cell r="B132">
            <v>0.60410549631050603</v>
          </cell>
        </row>
        <row r="133">
          <cell r="A133">
            <v>40736</v>
          </cell>
          <cell r="B133">
            <v>0.60410549631050603</v>
          </cell>
        </row>
        <row r="134">
          <cell r="A134">
            <v>40737</v>
          </cell>
          <cell r="B134">
            <v>0.60410549631050603</v>
          </cell>
        </row>
        <row r="135">
          <cell r="A135">
            <v>40738</v>
          </cell>
          <cell r="B135">
            <v>0.68335549039476995</v>
          </cell>
        </row>
        <row r="136">
          <cell r="A136">
            <v>40739</v>
          </cell>
          <cell r="B136">
            <v>0.68335549039476995</v>
          </cell>
        </row>
        <row r="137">
          <cell r="A137">
            <v>40742</v>
          </cell>
          <cell r="B137">
            <v>0.68335549039476995</v>
          </cell>
        </row>
        <row r="138">
          <cell r="A138">
            <v>40743</v>
          </cell>
          <cell r="B138">
            <v>0.68335549039476995</v>
          </cell>
        </row>
        <row r="139">
          <cell r="A139">
            <v>40744</v>
          </cell>
          <cell r="B139">
            <v>0.68335549039476995</v>
          </cell>
        </row>
        <row r="140">
          <cell r="A140">
            <v>40745</v>
          </cell>
          <cell r="B140">
            <v>0.66675683999516899</v>
          </cell>
        </row>
        <row r="141">
          <cell r="A141">
            <v>40746</v>
          </cell>
          <cell r="B141">
            <v>0.66675683999516899</v>
          </cell>
        </row>
        <row r="142">
          <cell r="A142">
            <v>40749</v>
          </cell>
          <cell r="B142">
            <v>0.66675683999516899</v>
          </cell>
        </row>
        <row r="143">
          <cell r="A143">
            <v>40750</v>
          </cell>
          <cell r="B143">
            <v>0.66675683999516899</v>
          </cell>
        </row>
        <row r="144">
          <cell r="A144">
            <v>40751</v>
          </cell>
          <cell r="B144">
            <v>0.66675683999516899</v>
          </cell>
        </row>
        <row r="145">
          <cell r="A145">
            <v>40752</v>
          </cell>
          <cell r="B145">
            <v>0.63117786454290503</v>
          </cell>
        </row>
        <row r="146">
          <cell r="A146">
            <v>40753</v>
          </cell>
          <cell r="B146">
            <v>0.63117786454290503</v>
          </cell>
        </row>
        <row r="147">
          <cell r="A147">
            <v>40756</v>
          </cell>
          <cell r="B147">
            <v>0.62428536264518097</v>
          </cell>
        </row>
        <row r="148">
          <cell r="A148">
            <v>40757</v>
          </cell>
          <cell r="B148">
            <v>0.62428536264518097</v>
          </cell>
        </row>
        <row r="149">
          <cell r="A149">
            <v>40758</v>
          </cell>
          <cell r="B149">
            <v>0.62428536264518097</v>
          </cell>
        </row>
        <row r="150">
          <cell r="A150">
            <v>40759</v>
          </cell>
          <cell r="B150">
            <v>0.82328819503805495</v>
          </cell>
        </row>
        <row r="151">
          <cell r="A151">
            <v>40760</v>
          </cell>
          <cell r="B151">
            <v>0.82328819503805495</v>
          </cell>
        </row>
        <row r="152">
          <cell r="A152">
            <v>40763</v>
          </cell>
          <cell r="B152">
            <v>0.82328819503805495</v>
          </cell>
        </row>
        <row r="153">
          <cell r="A153">
            <v>40764</v>
          </cell>
          <cell r="B153">
            <v>0.82328819503805495</v>
          </cell>
        </row>
        <row r="154">
          <cell r="A154">
            <v>40765</v>
          </cell>
          <cell r="B154">
            <v>0.82328819503805495</v>
          </cell>
        </row>
        <row r="155">
          <cell r="A155">
            <v>40766</v>
          </cell>
          <cell r="B155">
            <v>0.834040070391601</v>
          </cell>
        </row>
        <row r="156">
          <cell r="A156">
            <v>40767</v>
          </cell>
          <cell r="B156">
            <v>0.834040070391601</v>
          </cell>
        </row>
        <row r="157">
          <cell r="A157">
            <v>40770</v>
          </cell>
          <cell r="B157">
            <v>0.834040070391601</v>
          </cell>
        </row>
        <row r="158">
          <cell r="A158">
            <v>40771</v>
          </cell>
          <cell r="B158">
            <v>0.834040070391601</v>
          </cell>
        </row>
        <row r="159">
          <cell r="A159">
            <v>40772</v>
          </cell>
          <cell r="B159">
            <v>0.834040070391601</v>
          </cell>
        </row>
        <row r="160">
          <cell r="A160">
            <v>40773</v>
          </cell>
          <cell r="B160">
            <v>0.86081674392019403</v>
          </cell>
        </row>
        <row r="161">
          <cell r="A161">
            <v>40774</v>
          </cell>
          <cell r="B161">
            <v>0.86081674392019403</v>
          </cell>
        </row>
        <row r="162">
          <cell r="A162">
            <v>40777</v>
          </cell>
          <cell r="B162">
            <v>0.86081674392019403</v>
          </cell>
        </row>
        <row r="163">
          <cell r="A163">
            <v>40778</v>
          </cell>
          <cell r="B163">
            <v>0.86081674392019403</v>
          </cell>
        </row>
        <row r="164">
          <cell r="A164">
            <v>40779</v>
          </cell>
          <cell r="B164">
            <v>0.86081674392019403</v>
          </cell>
        </row>
        <row r="165">
          <cell r="A165">
            <v>40780</v>
          </cell>
          <cell r="B165">
            <v>0.84691794883119798</v>
          </cell>
        </row>
        <row r="166">
          <cell r="A166">
            <v>40781</v>
          </cell>
          <cell r="B166">
            <v>0.84691794883119798</v>
          </cell>
        </row>
        <row r="167">
          <cell r="A167">
            <v>40784</v>
          </cell>
          <cell r="B167">
            <v>0.84691794883119798</v>
          </cell>
        </row>
        <row r="168">
          <cell r="A168">
            <v>40785</v>
          </cell>
          <cell r="B168">
            <v>0.84691794883119798</v>
          </cell>
        </row>
        <row r="169">
          <cell r="A169">
            <v>40786</v>
          </cell>
          <cell r="B169">
            <v>0.84691794883119798</v>
          </cell>
        </row>
        <row r="170">
          <cell r="A170">
            <v>40787</v>
          </cell>
          <cell r="B170">
            <v>0.841117996149364</v>
          </cell>
        </row>
        <row r="171">
          <cell r="A171">
            <v>40788</v>
          </cell>
          <cell r="B171">
            <v>0.841117996149364</v>
          </cell>
        </row>
        <row r="172">
          <cell r="A172">
            <v>40792</v>
          </cell>
          <cell r="B172">
            <v>0.841117996149364</v>
          </cell>
        </row>
        <row r="173">
          <cell r="A173">
            <v>40793</v>
          </cell>
          <cell r="B173">
            <v>0.841117996149364</v>
          </cell>
        </row>
        <row r="174">
          <cell r="A174">
            <v>40794</v>
          </cell>
          <cell r="B174">
            <v>0.87810314526122002</v>
          </cell>
        </row>
        <row r="175">
          <cell r="A175">
            <v>40795</v>
          </cell>
          <cell r="B175">
            <v>0.87810314526122002</v>
          </cell>
        </row>
        <row r="176">
          <cell r="A176">
            <v>40798</v>
          </cell>
          <cell r="B176">
            <v>0.87810314526122002</v>
          </cell>
        </row>
        <row r="177">
          <cell r="A177">
            <v>40799</v>
          </cell>
          <cell r="B177">
            <v>0.87810314526122002</v>
          </cell>
        </row>
        <row r="178">
          <cell r="A178">
            <v>40800</v>
          </cell>
          <cell r="B178">
            <v>0.87810314526122002</v>
          </cell>
        </row>
        <row r="179">
          <cell r="A179">
            <v>40801</v>
          </cell>
          <cell r="B179">
            <v>0.90145744662456295</v>
          </cell>
        </row>
        <row r="180">
          <cell r="A180">
            <v>40802</v>
          </cell>
          <cell r="B180">
            <v>0.90145744662456295</v>
          </cell>
        </row>
        <row r="181">
          <cell r="A181">
            <v>40805</v>
          </cell>
          <cell r="B181">
            <v>0.90145744662456295</v>
          </cell>
        </row>
        <row r="182">
          <cell r="A182">
            <v>40806</v>
          </cell>
          <cell r="B182">
            <v>0.90145744662456295</v>
          </cell>
        </row>
        <row r="183">
          <cell r="A183">
            <v>40807</v>
          </cell>
          <cell r="B183">
            <v>0.90145744662456295</v>
          </cell>
        </row>
        <row r="184">
          <cell r="A184">
            <v>40808</v>
          </cell>
          <cell r="B184">
            <v>0.90145744662456295</v>
          </cell>
        </row>
        <row r="185">
          <cell r="A185">
            <v>40809</v>
          </cell>
          <cell r="B185">
            <v>0.90145744662456295</v>
          </cell>
        </row>
        <row r="186">
          <cell r="A186">
            <v>40812</v>
          </cell>
          <cell r="B186">
            <v>0.90145744662456295</v>
          </cell>
        </row>
        <row r="187">
          <cell r="A187">
            <v>40813</v>
          </cell>
          <cell r="B187">
            <v>0.90145744662456295</v>
          </cell>
        </row>
        <row r="188">
          <cell r="A188">
            <v>40814</v>
          </cell>
          <cell r="B188">
            <v>0.90145744662456295</v>
          </cell>
        </row>
        <row r="189">
          <cell r="A189">
            <v>40815</v>
          </cell>
          <cell r="B189">
            <v>0.94573089516350395</v>
          </cell>
        </row>
        <row r="190">
          <cell r="A190">
            <v>40816</v>
          </cell>
          <cell r="B190">
            <v>0.94573089516350395</v>
          </cell>
        </row>
        <row r="191">
          <cell r="A191">
            <v>40819</v>
          </cell>
          <cell r="B191">
            <v>0.93998305132982396</v>
          </cell>
        </row>
        <row r="192">
          <cell r="A192">
            <v>40820</v>
          </cell>
          <cell r="B192">
            <v>0.93998305132982396</v>
          </cell>
        </row>
        <row r="193">
          <cell r="A193">
            <v>40821</v>
          </cell>
          <cell r="B193">
            <v>0.93998305132982396</v>
          </cell>
        </row>
        <row r="194">
          <cell r="A194">
            <v>40822</v>
          </cell>
          <cell r="B194">
            <v>0.976205342266112</v>
          </cell>
        </row>
        <row r="195">
          <cell r="A195">
            <v>40823</v>
          </cell>
          <cell r="B195">
            <v>0.976205342266112</v>
          </cell>
        </row>
        <row r="196">
          <cell r="A196">
            <v>40826</v>
          </cell>
          <cell r="B196">
            <v>0.976205342266112</v>
          </cell>
        </row>
        <row r="197">
          <cell r="A197">
            <v>40827</v>
          </cell>
          <cell r="B197">
            <v>0.976205342266112</v>
          </cell>
        </row>
        <row r="198">
          <cell r="A198">
            <v>40828</v>
          </cell>
          <cell r="B198">
            <v>0.976205342266112</v>
          </cell>
        </row>
        <row r="199">
          <cell r="A199">
            <v>40829</v>
          </cell>
          <cell r="B199">
            <v>0.86848651507328101</v>
          </cell>
        </row>
        <row r="200">
          <cell r="A200">
            <v>40830</v>
          </cell>
          <cell r="B200">
            <v>0.86848651507328101</v>
          </cell>
        </row>
        <row r="201">
          <cell r="A201">
            <v>40833</v>
          </cell>
          <cell r="B201">
            <v>0.86848651507328101</v>
          </cell>
        </row>
        <row r="202">
          <cell r="A202">
            <v>40834</v>
          </cell>
          <cell r="B202">
            <v>0.86848651507328101</v>
          </cell>
        </row>
        <row r="203">
          <cell r="A203">
            <v>40835</v>
          </cell>
          <cell r="B203">
            <v>0.86848651507328101</v>
          </cell>
        </row>
        <row r="204">
          <cell r="A204">
            <v>40836</v>
          </cell>
          <cell r="B204">
            <v>0.87857948382126905</v>
          </cell>
        </row>
        <row r="205">
          <cell r="A205">
            <v>40837</v>
          </cell>
          <cell r="B205">
            <v>0.87857948382126905</v>
          </cell>
        </row>
        <row r="206">
          <cell r="A206">
            <v>40840</v>
          </cell>
          <cell r="B206">
            <v>0.87857948382126905</v>
          </cell>
        </row>
        <row r="207">
          <cell r="A207">
            <v>40841</v>
          </cell>
          <cell r="B207">
            <v>0.87857948382126905</v>
          </cell>
        </row>
        <row r="208">
          <cell r="A208">
            <v>40842</v>
          </cell>
          <cell r="B208">
            <v>0.87857948382126905</v>
          </cell>
        </row>
        <row r="209">
          <cell r="A209">
            <v>40843</v>
          </cell>
          <cell r="B209">
            <v>0.88617155990762297</v>
          </cell>
        </row>
        <row r="210">
          <cell r="A210">
            <v>40844</v>
          </cell>
          <cell r="B210">
            <v>0.88617155990762297</v>
          </cell>
        </row>
        <row r="211">
          <cell r="A211">
            <v>40847</v>
          </cell>
          <cell r="B211">
            <v>0.88617155990762297</v>
          </cell>
        </row>
        <row r="212">
          <cell r="A212">
            <v>40848</v>
          </cell>
          <cell r="B212">
            <v>0.87154314951038103</v>
          </cell>
        </row>
        <row r="213">
          <cell r="A213">
            <v>40849</v>
          </cell>
          <cell r="B213">
            <v>0.87154314951038103</v>
          </cell>
        </row>
        <row r="214">
          <cell r="A214">
            <v>40850</v>
          </cell>
          <cell r="B214">
            <v>0.93444271648805399</v>
          </cell>
        </row>
        <row r="215">
          <cell r="A215">
            <v>40851</v>
          </cell>
          <cell r="B215">
            <v>0.93444271648805399</v>
          </cell>
        </row>
        <row r="216">
          <cell r="A216">
            <v>40854</v>
          </cell>
          <cell r="B216">
            <v>0.93444271648805399</v>
          </cell>
        </row>
        <row r="217">
          <cell r="A217">
            <v>40855</v>
          </cell>
          <cell r="B217">
            <v>0.93444271648805399</v>
          </cell>
        </row>
        <row r="218">
          <cell r="A218">
            <v>40856</v>
          </cell>
          <cell r="B218">
            <v>0.93444271648805399</v>
          </cell>
        </row>
        <row r="219">
          <cell r="A219">
            <v>40857</v>
          </cell>
          <cell r="B219">
            <v>0.94361195161193201</v>
          </cell>
        </row>
        <row r="220">
          <cell r="A220">
            <v>40858</v>
          </cell>
          <cell r="B220">
            <v>0.94361195161193201</v>
          </cell>
        </row>
        <row r="221">
          <cell r="A221">
            <v>40861</v>
          </cell>
          <cell r="B221">
            <v>0.94361195161193201</v>
          </cell>
        </row>
        <row r="222">
          <cell r="A222">
            <v>40862</v>
          </cell>
          <cell r="B222">
            <v>0.94361195161193201</v>
          </cell>
        </row>
        <row r="223">
          <cell r="A223">
            <v>40863</v>
          </cell>
          <cell r="B223">
            <v>0.94361195161193201</v>
          </cell>
        </row>
        <row r="224">
          <cell r="A224">
            <v>40864</v>
          </cell>
          <cell r="B224">
            <v>0.93444271648805399</v>
          </cell>
        </row>
        <row r="225">
          <cell r="A225">
            <v>40865</v>
          </cell>
          <cell r="B225">
            <v>0.93444271648805399</v>
          </cell>
        </row>
        <row r="226">
          <cell r="A226">
            <v>40868</v>
          </cell>
          <cell r="B226">
            <v>0.93444271648805399</v>
          </cell>
        </row>
        <row r="227">
          <cell r="A227">
            <v>40869</v>
          </cell>
          <cell r="B227">
            <v>0.93444271648805399</v>
          </cell>
        </row>
        <row r="228">
          <cell r="A228">
            <v>40870</v>
          </cell>
          <cell r="B228">
            <v>0.94997170807452402</v>
          </cell>
        </row>
        <row r="229">
          <cell r="A229">
            <v>40872</v>
          </cell>
          <cell r="B229">
            <v>0.94997170807452402</v>
          </cell>
        </row>
        <row r="230">
          <cell r="A230">
            <v>40875</v>
          </cell>
          <cell r="B230">
            <v>0.94997170807452402</v>
          </cell>
        </row>
        <row r="231">
          <cell r="A231">
            <v>40876</v>
          </cell>
          <cell r="B231">
            <v>0.94997170807452402</v>
          </cell>
        </row>
        <row r="232">
          <cell r="A232">
            <v>40877</v>
          </cell>
          <cell r="B232">
            <v>0.94997170807452402</v>
          </cell>
        </row>
        <row r="233">
          <cell r="A233">
            <v>40878</v>
          </cell>
          <cell r="B233">
            <v>0.91507025140832299</v>
          </cell>
        </row>
        <row r="234">
          <cell r="A234">
            <v>40879</v>
          </cell>
          <cell r="B234">
            <v>0.91507025140832299</v>
          </cell>
        </row>
        <row r="235">
          <cell r="A235">
            <v>40882</v>
          </cell>
          <cell r="B235">
            <v>0.91507025140832299</v>
          </cell>
        </row>
        <row r="236">
          <cell r="A236">
            <v>40883</v>
          </cell>
          <cell r="B236">
            <v>0.91507025140832299</v>
          </cell>
        </row>
        <row r="237">
          <cell r="A237">
            <v>40884</v>
          </cell>
          <cell r="B237">
            <v>0.91507025140832299</v>
          </cell>
        </row>
        <row r="238">
          <cell r="A238">
            <v>40885</v>
          </cell>
          <cell r="B238">
            <v>0.92424960668246803</v>
          </cell>
        </row>
        <row r="239">
          <cell r="A239">
            <v>40886</v>
          </cell>
          <cell r="B239">
            <v>0.92424960668246803</v>
          </cell>
        </row>
        <row r="240">
          <cell r="A240">
            <v>40889</v>
          </cell>
          <cell r="B240">
            <v>0.92424960668246803</v>
          </cell>
        </row>
        <row r="241">
          <cell r="A241">
            <v>40890</v>
          </cell>
          <cell r="B241">
            <v>0.92424960668246803</v>
          </cell>
        </row>
        <row r="242">
          <cell r="A242">
            <v>40891</v>
          </cell>
          <cell r="B242">
            <v>0.92424960668246803</v>
          </cell>
        </row>
        <row r="243">
          <cell r="A243">
            <v>40892</v>
          </cell>
          <cell r="B243">
            <v>0.95314447637365096</v>
          </cell>
        </row>
        <row r="244">
          <cell r="A244">
            <v>40893</v>
          </cell>
          <cell r="B244">
            <v>0.95314447637365096</v>
          </cell>
        </row>
        <row r="245">
          <cell r="A245">
            <v>40896</v>
          </cell>
          <cell r="B245">
            <v>0.95314447637365096</v>
          </cell>
        </row>
        <row r="246">
          <cell r="A246">
            <v>40897</v>
          </cell>
          <cell r="B246">
            <v>0.95314447637365096</v>
          </cell>
        </row>
        <row r="247">
          <cell r="A247">
            <v>40898</v>
          </cell>
          <cell r="B247">
            <v>0.95314447637365096</v>
          </cell>
        </row>
        <row r="248">
          <cell r="A248">
            <v>40899</v>
          </cell>
          <cell r="B248">
            <v>0.96018409449731501</v>
          </cell>
        </row>
        <row r="249">
          <cell r="A249">
            <v>40900</v>
          </cell>
          <cell r="B249">
            <v>0.96018409449731501</v>
          </cell>
        </row>
        <row r="250">
          <cell r="A250">
            <v>40904</v>
          </cell>
          <cell r="B250">
            <v>0.96018409449731501</v>
          </cell>
        </row>
        <row r="251">
          <cell r="A251">
            <v>40905</v>
          </cell>
          <cell r="B251">
            <v>0.96018409449731501</v>
          </cell>
        </row>
        <row r="252">
          <cell r="A252">
            <v>40906</v>
          </cell>
          <cell r="B252">
            <v>0.946426701963341</v>
          </cell>
        </row>
        <row r="253">
          <cell r="A253">
            <v>40907</v>
          </cell>
          <cell r="B253">
            <v>0.946426701963341</v>
          </cell>
        </row>
        <row r="254">
          <cell r="A254">
            <v>40911</v>
          </cell>
          <cell r="B254">
            <v>0.93504552892939297</v>
          </cell>
        </row>
        <row r="255">
          <cell r="A255">
            <v>40912</v>
          </cell>
          <cell r="B255">
            <v>0.93504552892939297</v>
          </cell>
        </row>
        <row r="256">
          <cell r="A256">
            <v>40913</v>
          </cell>
          <cell r="B256">
            <v>0.951307534663687</v>
          </cell>
        </row>
        <row r="257">
          <cell r="A257">
            <v>40914</v>
          </cell>
          <cell r="B257">
            <v>0.951307534663687</v>
          </cell>
        </row>
        <row r="258">
          <cell r="A258">
            <v>40917</v>
          </cell>
          <cell r="B258">
            <v>0.951307534663687</v>
          </cell>
        </row>
        <row r="259">
          <cell r="A259">
            <v>40918</v>
          </cell>
          <cell r="B259">
            <v>0.951307534663687</v>
          </cell>
        </row>
        <row r="260">
          <cell r="A260">
            <v>40919</v>
          </cell>
          <cell r="B260">
            <v>0.951307534663687</v>
          </cell>
        </row>
        <row r="261">
          <cell r="A261">
            <v>40920</v>
          </cell>
          <cell r="B261">
            <v>0.95320351892281396</v>
          </cell>
        </row>
        <row r="262">
          <cell r="A262">
            <v>40921</v>
          </cell>
          <cell r="B262">
            <v>0.95320351892281396</v>
          </cell>
        </row>
        <row r="263">
          <cell r="A263">
            <v>40925</v>
          </cell>
          <cell r="B263">
            <v>0.95320351892281396</v>
          </cell>
        </row>
        <row r="264">
          <cell r="A264">
            <v>40926</v>
          </cell>
          <cell r="B264">
            <v>0.95320351892281396</v>
          </cell>
        </row>
        <row r="265">
          <cell r="A265">
            <v>40927</v>
          </cell>
          <cell r="B265">
            <v>0.95352518495215399</v>
          </cell>
        </row>
        <row r="266">
          <cell r="A266">
            <v>40928</v>
          </cell>
          <cell r="B266">
            <v>0.95352518495215399</v>
          </cell>
        </row>
        <row r="267">
          <cell r="A267">
            <v>40931</v>
          </cell>
          <cell r="B267">
            <v>0.95352518495215399</v>
          </cell>
        </row>
        <row r="268">
          <cell r="A268">
            <v>40932</v>
          </cell>
          <cell r="B268">
            <v>0.95352518495215399</v>
          </cell>
        </row>
        <row r="269">
          <cell r="A269">
            <v>40933</v>
          </cell>
          <cell r="B269">
            <v>0.95352518495215399</v>
          </cell>
        </row>
        <row r="270">
          <cell r="A270">
            <v>40934</v>
          </cell>
          <cell r="B270">
            <v>0.91861521434498905</v>
          </cell>
        </row>
        <row r="271">
          <cell r="A271">
            <v>40935</v>
          </cell>
          <cell r="B271">
            <v>0.91861521434498905</v>
          </cell>
        </row>
        <row r="272">
          <cell r="A272">
            <v>40938</v>
          </cell>
          <cell r="B272">
            <v>0.91861521434498905</v>
          </cell>
        </row>
        <row r="273">
          <cell r="A273">
            <v>40939</v>
          </cell>
          <cell r="B273">
            <v>0.91861521434498905</v>
          </cell>
        </row>
        <row r="274">
          <cell r="A274">
            <v>40940</v>
          </cell>
          <cell r="B274">
            <v>0.90547247005091003</v>
          </cell>
        </row>
        <row r="275">
          <cell r="A275">
            <v>40941</v>
          </cell>
          <cell r="B275">
            <v>0.942309298561672</v>
          </cell>
        </row>
        <row r="276">
          <cell r="A276">
            <v>40942</v>
          </cell>
          <cell r="B276">
            <v>0.942309298561672</v>
          </cell>
        </row>
        <row r="277">
          <cell r="A277">
            <v>40945</v>
          </cell>
          <cell r="B277">
            <v>0.942309298561672</v>
          </cell>
        </row>
        <row r="278">
          <cell r="A278">
            <v>40946</v>
          </cell>
          <cell r="B278">
            <v>0.942309298561672</v>
          </cell>
        </row>
        <row r="279">
          <cell r="A279">
            <v>40947</v>
          </cell>
          <cell r="B279">
            <v>0.942309298561672</v>
          </cell>
        </row>
        <row r="280">
          <cell r="A280">
            <v>40948</v>
          </cell>
          <cell r="B280">
            <v>0.942309298561672</v>
          </cell>
        </row>
        <row r="281">
          <cell r="A281">
            <v>40949</v>
          </cell>
          <cell r="B281">
            <v>0.942309298561672</v>
          </cell>
        </row>
        <row r="282">
          <cell r="A282">
            <v>40952</v>
          </cell>
          <cell r="B282">
            <v>0.942309298561672</v>
          </cell>
        </row>
        <row r="283">
          <cell r="A283">
            <v>40953</v>
          </cell>
          <cell r="B283">
            <v>0.942309298561672</v>
          </cell>
        </row>
        <row r="284">
          <cell r="A284">
            <v>40954</v>
          </cell>
          <cell r="B284">
            <v>0.942309298561672</v>
          </cell>
        </row>
        <row r="285">
          <cell r="A285">
            <v>40955</v>
          </cell>
          <cell r="B285">
            <v>0.942309298561672</v>
          </cell>
        </row>
        <row r="286">
          <cell r="A286">
            <v>40956</v>
          </cell>
          <cell r="B286">
            <v>0.942309298561672</v>
          </cell>
        </row>
        <row r="287">
          <cell r="A287">
            <v>40960</v>
          </cell>
          <cell r="B287">
            <v>0.942309298561672</v>
          </cell>
        </row>
        <row r="288">
          <cell r="A288">
            <v>40961</v>
          </cell>
          <cell r="B288">
            <v>0.942309298561672</v>
          </cell>
        </row>
        <row r="289">
          <cell r="A289">
            <v>40962</v>
          </cell>
          <cell r="B289">
            <v>0.92275139849227505</v>
          </cell>
        </row>
        <row r="290">
          <cell r="A290">
            <v>40963</v>
          </cell>
          <cell r="B290">
            <v>0.942309298561672</v>
          </cell>
        </row>
        <row r="291">
          <cell r="A291">
            <v>40966</v>
          </cell>
          <cell r="B291">
            <v>0.92275139849227505</v>
          </cell>
        </row>
        <row r="292">
          <cell r="A292">
            <v>40967</v>
          </cell>
          <cell r="B292">
            <v>0.92275139849227505</v>
          </cell>
        </row>
        <row r="293">
          <cell r="A293">
            <v>40968</v>
          </cell>
          <cell r="B293">
            <v>0.92275139849227505</v>
          </cell>
        </row>
        <row r="294">
          <cell r="A294">
            <v>40969</v>
          </cell>
          <cell r="B294">
            <v>0.91952398603163898</v>
          </cell>
        </row>
        <row r="295">
          <cell r="A295">
            <v>40970</v>
          </cell>
          <cell r="B295">
            <v>0.91952398603163898</v>
          </cell>
        </row>
        <row r="296">
          <cell r="A296">
            <v>40973</v>
          </cell>
          <cell r="B296">
            <v>0.91952398603163898</v>
          </cell>
        </row>
        <row r="297">
          <cell r="A297">
            <v>40974</v>
          </cell>
          <cell r="B297">
            <v>0.91952398603163898</v>
          </cell>
        </row>
        <row r="298">
          <cell r="A298">
            <v>40975</v>
          </cell>
          <cell r="B298">
            <v>0.91952398603163898</v>
          </cell>
        </row>
        <row r="299">
          <cell r="A299">
            <v>40976</v>
          </cell>
          <cell r="B299">
            <v>0.920801695575303</v>
          </cell>
        </row>
        <row r="300">
          <cell r="A300">
            <v>40977</v>
          </cell>
          <cell r="B300">
            <v>0.920801695575303</v>
          </cell>
        </row>
        <row r="301">
          <cell r="A301">
            <v>40980</v>
          </cell>
          <cell r="B301">
            <v>0.920801695575303</v>
          </cell>
        </row>
        <row r="302">
          <cell r="A302">
            <v>40981</v>
          </cell>
          <cell r="B302">
            <v>0.920801695575303</v>
          </cell>
        </row>
        <row r="303">
          <cell r="A303">
            <v>40982</v>
          </cell>
          <cell r="B303">
            <v>0.920801695575303</v>
          </cell>
        </row>
        <row r="304">
          <cell r="A304">
            <v>40983</v>
          </cell>
          <cell r="B304">
            <v>0.91685044012466899</v>
          </cell>
        </row>
        <row r="305">
          <cell r="A305">
            <v>40984</v>
          </cell>
          <cell r="B305">
            <v>0.91685044012466899</v>
          </cell>
        </row>
        <row r="306">
          <cell r="A306">
            <v>40987</v>
          </cell>
          <cell r="B306">
            <v>0.91685044012466899</v>
          </cell>
        </row>
        <row r="307">
          <cell r="A307">
            <v>40988</v>
          </cell>
          <cell r="B307">
            <v>0.91685044012466899</v>
          </cell>
        </row>
        <row r="308">
          <cell r="A308">
            <v>40989</v>
          </cell>
          <cell r="B308">
            <v>0.91685044012466899</v>
          </cell>
        </row>
        <row r="309">
          <cell r="A309">
            <v>40990</v>
          </cell>
          <cell r="B309">
            <v>0.80564025680948503</v>
          </cell>
        </row>
        <row r="310">
          <cell r="A310">
            <v>40991</v>
          </cell>
          <cell r="B310">
            <v>0.80564025680948503</v>
          </cell>
        </row>
        <row r="311">
          <cell r="A311">
            <v>40994</v>
          </cell>
          <cell r="B311">
            <v>0.80564025680948503</v>
          </cell>
        </row>
        <row r="312">
          <cell r="A312">
            <v>40995</v>
          </cell>
          <cell r="B312">
            <v>0.80564025680948503</v>
          </cell>
        </row>
        <row r="313">
          <cell r="A313">
            <v>40996</v>
          </cell>
          <cell r="B313">
            <v>0.80564025680948503</v>
          </cell>
        </row>
        <row r="314">
          <cell r="A314">
            <v>40997</v>
          </cell>
          <cell r="B314">
            <v>0.87350901373716205</v>
          </cell>
        </row>
        <row r="315">
          <cell r="A315">
            <v>40998</v>
          </cell>
          <cell r="B315">
            <v>0.87350901373716205</v>
          </cell>
        </row>
        <row r="316">
          <cell r="A316">
            <v>41001</v>
          </cell>
          <cell r="B316">
            <v>0.86085196162229005</v>
          </cell>
        </row>
        <row r="317">
          <cell r="A317">
            <v>41002</v>
          </cell>
          <cell r="B317">
            <v>0.86085196162229005</v>
          </cell>
        </row>
        <row r="318">
          <cell r="A318">
            <v>41003</v>
          </cell>
          <cell r="B318">
            <v>0.86085196162229005</v>
          </cell>
        </row>
        <row r="319">
          <cell r="A319">
            <v>41004</v>
          </cell>
          <cell r="B319">
            <v>0.86928745494692705</v>
          </cell>
        </row>
        <row r="320">
          <cell r="A320">
            <v>41005</v>
          </cell>
          <cell r="B320">
            <v>0.86928745494692705</v>
          </cell>
        </row>
        <row r="321">
          <cell r="A321">
            <v>41008</v>
          </cell>
          <cell r="B321">
            <v>0.86928745494692705</v>
          </cell>
        </row>
        <row r="322">
          <cell r="A322">
            <v>41009</v>
          </cell>
          <cell r="B322">
            <v>0.86928745494692705</v>
          </cell>
        </row>
        <row r="323">
          <cell r="A323">
            <v>41010</v>
          </cell>
          <cell r="B323">
            <v>0.86928745494692705</v>
          </cell>
        </row>
        <row r="324">
          <cell r="A324">
            <v>41011</v>
          </cell>
          <cell r="B324">
            <v>0.90843431405369401</v>
          </cell>
        </row>
        <row r="325">
          <cell r="A325">
            <v>41012</v>
          </cell>
          <cell r="B325">
            <v>0.90843431405369401</v>
          </cell>
        </row>
        <row r="326">
          <cell r="A326">
            <v>41015</v>
          </cell>
          <cell r="B326">
            <v>0.90843431405369401</v>
          </cell>
        </row>
        <row r="327">
          <cell r="A327">
            <v>41016</v>
          </cell>
          <cell r="B327">
            <v>0.90843431405369401</v>
          </cell>
        </row>
        <row r="328">
          <cell r="A328">
            <v>41017</v>
          </cell>
          <cell r="B328">
            <v>0.90843431405369401</v>
          </cell>
        </row>
        <row r="329">
          <cell r="A329">
            <v>41018</v>
          </cell>
          <cell r="B329">
            <v>0.90710064326562501</v>
          </cell>
        </row>
        <row r="330">
          <cell r="A330">
            <v>41019</v>
          </cell>
          <cell r="B330">
            <v>0.90710064326562501</v>
          </cell>
        </row>
        <row r="331">
          <cell r="A331">
            <v>41022</v>
          </cell>
          <cell r="B331">
            <v>0.90710064326562501</v>
          </cell>
        </row>
        <row r="332">
          <cell r="A332">
            <v>41023</v>
          </cell>
          <cell r="B332">
            <v>0.90710064326562501</v>
          </cell>
        </row>
        <row r="333">
          <cell r="A333">
            <v>41024</v>
          </cell>
          <cell r="B333">
            <v>0.90710064326562501</v>
          </cell>
        </row>
        <row r="334">
          <cell r="A334">
            <v>41025</v>
          </cell>
          <cell r="B334">
            <v>0.90843431405369401</v>
          </cell>
        </row>
        <row r="335">
          <cell r="A335">
            <v>41026</v>
          </cell>
          <cell r="B335">
            <v>0.90843431405369401</v>
          </cell>
        </row>
        <row r="336">
          <cell r="A336">
            <v>41029</v>
          </cell>
          <cell r="B336">
            <v>0.90843431405369401</v>
          </cell>
        </row>
        <row r="337">
          <cell r="A337">
            <v>41030</v>
          </cell>
          <cell r="B337">
            <v>0.89130997835799997</v>
          </cell>
        </row>
        <row r="338">
          <cell r="A338">
            <v>41031</v>
          </cell>
          <cell r="B338">
            <v>0.89130997835799997</v>
          </cell>
        </row>
        <row r="339">
          <cell r="A339">
            <v>41032</v>
          </cell>
          <cell r="B339">
            <v>0.89320680852935697</v>
          </cell>
        </row>
        <row r="340">
          <cell r="A340">
            <v>41033</v>
          </cell>
          <cell r="B340">
            <v>0.89320680852935697</v>
          </cell>
        </row>
        <row r="341">
          <cell r="A341">
            <v>41036</v>
          </cell>
          <cell r="B341">
            <v>0.89320680852935697</v>
          </cell>
        </row>
        <row r="342">
          <cell r="A342">
            <v>41037</v>
          </cell>
          <cell r="B342">
            <v>0.89320680852935697</v>
          </cell>
        </row>
        <row r="343">
          <cell r="A343">
            <v>41038</v>
          </cell>
          <cell r="B343">
            <v>0.89320680852935697</v>
          </cell>
        </row>
        <row r="344">
          <cell r="A344">
            <v>41039</v>
          </cell>
          <cell r="B344">
            <v>0.89335852280722505</v>
          </cell>
        </row>
        <row r="345">
          <cell r="A345">
            <v>41040</v>
          </cell>
          <cell r="B345">
            <v>0.89335852280722505</v>
          </cell>
        </row>
        <row r="346">
          <cell r="A346">
            <v>41043</v>
          </cell>
          <cell r="B346">
            <v>0.89335852280722505</v>
          </cell>
        </row>
        <row r="347">
          <cell r="A347">
            <v>41044</v>
          </cell>
          <cell r="B347">
            <v>0.89335852280722505</v>
          </cell>
        </row>
        <row r="348">
          <cell r="A348">
            <v>41045</v>
          </cell>
          <cell r="B348">
            <v>0.89335852280722505</v>
          </cell>
        </row>
        <row r="349">
          <cell r="A349">
            <v>41046</v>
          </cell>
          <cell r="B349">
            <v>0.89485932552840397</v>
          </cell>
        </row>
        <row r="350">
          <cell r="A350">
            <v>41047</v>
          </cell>
          <cell r="B350">
            <v>0.89485932552840397</v>
          </cell>
        </row>
        <row r="351">
          <cell r="A351">
            <v>41050</v>
          </cell>
          <cell r="B351">
            <v>0.89485932552840397</v>
          </cell>
        </row>
        <row r="352">
          <cell r="A352">
            <v>41051</v>
          </cell>
          <cell r="B352">
            <v>0.89485932552840397</v>
          </cell>
        </row>
        <row r="353">
          <cell r="A353">
            <v>41052</v>
          </cell>
          <cell r="B353">
            <v>0.89485932552840397</v>
          </cell>
        </row>
        <row r="354">
          <cell r="A354">
            <v>41053</v>
          </cell>
          <cell r="B354">
            <v>0.89505966783361102</v>
          </cell>
        </row>
        <row r="355">
          <cell r="A355">
            <v>41054</v>
          </cell>
          <cell r="B355">
            <v>0.89505966783361102</v>
          </cell>
        </row>
        <row r="356">
          <cell r="A356">
            <v>41058</v>
          </cell>
          <cell r="B356">
            <v>0.89505966783361102</v>
          </cell>
        </row>
        <row r="357">
          <cell r="A357">
            <v>41059</v>
          </cell>
          <cell r="B357">
            <v>0.89505966783361102</v>
          </cell>
        </row>
        <row r="358">
          <cell r="A358">
            <v>41060</v>
          </cell>
          <cell r="B358">
            <v>0.89598257612375398</v>
          </cell>
        </row>
        <row r="359">
          <cell r="A359">
            <v>41061</v>
          </cell>
          <cell r="B359">
            <v>0.88344911791249303</v>
          </cell>
        </row>
        <row r="360">
          <cell r="A360">
            <v>41064</v>
          </cell>
          <cell r="B360">
            <v>0.88344911791249303</v>
          </cell>
        </row>
        <row r="361">
          <cell r="A361">
            <v>41065</v>
          </cell>
          <cell r="B361">
            <v>0.88344911791249303</v>
          </cell>
        </row>
        <row r="362">
          <cell r="A362">
            <v>41066</v>
          </cell>
          <cell r="B362">
            <v>0.88344911791249303</v>
          </cell>
        </row>
        <row r="363">
          <cell r="A363">
            <v>41067</v>
          </cell>
          <cell r="B363">
            <v>0.89196946223805695</v>
          </cell>
        </row>
        <row r="364">
          <cell r="A364">
            <v>41068</v>
          </cell>
          <cell r="B364">
            <v>0.89196946223805695</v>
          </cell>
        </row>
        <row r="365">
          <cell r="A365">
            <v>41071</v>
          </cell>
          <cell r="B365">
            <v>0.89196946223805695</v>
          </cell>
        </row>
        <row r="366">
          <cell r="A366">
            <v>41072</v>
          </cell>
          <cell r="B366">
            <v>0.89196946223805695</v>
          </cell>
        </row>
        <row r="367">
          <cell r="A367">
            <v>41073</v>
          </cell>
          <cell r="B367">
            <v>0.89196946223805695</v>
          </cell>
        </row>
        <row r="368">
          <cell r="A368">
            <v>41074</v>
          </cell>
          <cell r="B368">
            <v>0.88661468253780695</v>
          </cell>
        </row>
        <row r="369">
          <cell r="A369">
            <v>41075</v>
          </cell>
          <cell r="B369">
            <v>0.88661468253780695</v>
          </cell>
        </row>
        <row r="370">
          <cell r="A370">
            <v>41078</v>
          </cell>
          <cell r="B370">
            <v>0.88661468253780695</v>
          </cell>
        </row>
        <row r="371">
          <cell r="A371">
            <v>41079</v>
          </cell>
          <cell r="B371">
            <v>0.88661468253780695</v>
          </cell>
        </row>
        <row r="372">
          <cell r="A372">
            <v>41080</v>
          </cell>
          <cell r="B372">
            <v>0.88661468253780695</v>
          </cell>
        </row>
        <row r="373">
          <cell r="A373">
            <v>41081</v>
          </cell>
          <cell r="B373">
            <v>0.89395578636495998</v>
          </cell>
        </row>
        <row r="374">
          <cell r="A374">
            <v>41082</v>
          </cell>
          <cell r="B374">
            <v>0.89395578636495998</v>
          </cell>
        </row>
        <row r="375">
          <cell r="A375">
            <v>41085</v>
          </cell>
          <cell r="B375">
            <v>0.89395578636495998</v>
          </cell>
        </row>
        <row r="376">
          <cell r="A376">
            <v>41086</v>
          </cell>
          <cell r="B376">
            <v>0.89395578636495998</v>
          </cell>
        </row>
        <row r="377">
          <cell r="A377">
            <v>41087</v>
          </cell>
          <cell r="B377">
            <v>0.89395578636495998</v>
          </cell>
        </row>
        <row r="378">
          <cell r="A378">
            <v>41088</v>
          </cell>
          <cell r="B378">
            <v>0.89395578636495998</v>
          </cell>
        </row>
        <row r="379">
          <cell r="A379">
            <v>41089</v>
          </cell>
          <cell r="B379">
            <v>0.89395578636495998</v>
          </cell>
        </row>
        <row r="380">
          <cell r="A380">
            <v>41092</v>
          </cell>
          <cell r="B380">
            <v>0.87735489357143903</v>
          </cell>
        </row>
        <row r="381">
          <cell r="A381">
            <v>41093</v>
          </cell>
          <cell r="B381">
            <v>0.87735489357143903</v>
          </cell>
        </row>
        <row r="382">
          <cell r="A382">
            <v>41095</v>
          </cell>
          <cell r="B382">
            <v>0.89133476417306701</v>
          </cell>
        </row>
        <row r="383">
          <cell r="A383">
            <v>41096</v>
          </cell>
          <cell r="B383">
            <v>0.89133476417306701</v>
          </cell>
        </row>
        <row r="384">
          <cell r="A384">
            <v>41099</v>
          </cell>
          <cell r="B384">
            <v>0.89133476417306701</v>
          </cell>
        </row>
        <row r="385">
          <cell r="A385">
            <v>41100</v>
          </cell>
          <cell r="B385">
            <v>0.89133476417306701</v>
          </cell>
        </row>
        <row r="386">
          <cell r="A386">
            <v>41101</v>
          </cell>
          <cell r="B386">
            <v>0.89133476417306701</v>
          </cell>
        </row>
        <row r="387">
          <cell r="A387">
            <v>41102</v>
          </cell>
          <cell r="B387">
            <v>0.944528095453952</v>
          </cell>
        </row>
        <row r="388">
          <cell r="A388">
            <v>41103</v>
          </cell>
          <cell r="B388">
            <v>0.944528095453952</v>
          </cell>
        </row>
        <row r="389">
          <cell r="A389">
            <v>41106</v>
          </cell>
          <cell r="B389">
            <v>0.944528095453952</v>
          </cell>
        </row>
        <row r="390">
          <cell r="A390">
            <v>41107</v>
          </cell>
          <cell r="B390">
            <v>0.944528095453952</v>
          </cell>
        </row>
        <row r="391">
          <cell r="A391">
            <v>41108</v>
          </cell>
          <cell r="B391">
            <v>0.944528095453952</v>
          </cell>
        </row>
        <row r="392">
          <cell r="A392">
            <v>41109</v>
          </cell>
          <cell r="B392">
            <v>0.97186924857157997</v>
          </cell>
        </row>
        <row r="393">
          <cell r="A393">
            <v>41110</v>
          </cell>
          <cell r="B393">
            <v>0.97186924857157997</v>
          </cell>
        </row>
        <row r="394">
          <cell r="A394">
            <v>41113</v>
          </cell>
          <cell r="B394">
            <v>0.97186924857157997</v>
          </cell>
        </row>
        <row r="395">
          <cell r="A395">
            <v>41114</v>
          </cell>
          <cell r="B395">
            <v>0.97186924857157997</v>
          </cell>
        </row>
        <row r="396">
          <cell r="A396">
            <v>41115</v>
          </cell>
          <cell r="B396">
            <v>0.97186924857157997</v>
          </cell>
        </row>
        <row r="397">
          <cell r="A397">
            <v>41116</v>
          </cell>
          <cell r="B397">
            <v>0.98447138587305705</v>
          </cell>
        </row>
        <row r="398">
          <cell r="A398">
            <v>41117</v>
          </cell>
          <cell r="B398">
            <v>0.97186924857157997</v>
          </cell>
        </row>
        <row r="399">
          <cell r="A399">
            <v>41120</v>
          </cell>
          <cell r="B399">
            <v>0.98447138587305705</v>
          </cell>
        </row>
        <row r="400">
          <cell r="A400">
            <v>41121</v>
          </cell>
          <cell r="B400">
            <v>0.98447138587305705</v>
          </cell>
        </row>
        <row r="401">
          <cell r="A401">
            <v>41122</v>
          </cell>
          <cell r="B401">
            <v>0.97289569754528904</v>
          </cell>
        </row>
        <row r="402">
          <cell r="A402">
            <v>41123</v>
          </cell>
          <cell r="B402">
            <v>0.93852225394978095</v>
          </cell>
        </row>
        <row r="403">
          <cell r="A403">
            <v>41124</v>
          </cell>
          <cell r="B403">
            <v>0.93852225394978095</v>
          </cell>
        </row>
        <row r="404">
          <cell r="A404">
            <v>41127</v>
          </cell>
          <cell r="B404">
            <v>0.93852225394978095</v>
          </cell>
        </row>
        <row r="405">
          <cell r="A405">
            <v>41128</v>
          </cell>
          <cell r="B405">
            <v>0.93852225394978095</v>
          </cell>
        </row>
        <row r="406">
          <cell r="A406">
            <v>41129</v>
          </cell>
          <cell r="B406">
            <v>0.93852225394978095</v>
          </cell>
        </row>
        <row r="407">
          <cell r="A407">
            <v>41130</v>
          </cell>
          <cell r="B407">
            <v>0.88830449257823196</v>
          </cell>
        </row>
        <row r="408">
          <cell r="A408">
            <v>41131</v>
          </cell>
          <cell r="B408">
            <v>0.88830449257823196</v>
          </cell>
        </row>
        <row r="409">
          <cell r="A409">
            <v>41134</v>
          </cell>
          <cell r="B409">
            <v>0.88830449257823196</v>
          </cell>
        </row>
        <row r="410">
          <cell r="A410">
            <v>41135</v>
          </cell>
          <cell r="B410">
            <v>0.88830449257823196</v>
          </cell>
        </row>
        <row r="411">
          <cell r="A411">
            <v>41136</v>
          </cell>
          <cell r="B411">
            <v>0.88830449257823196</v>
          </cell>
        </row>
        <row r="412">
          <cell r="A412">
            <v>41137</v>
          </cell>
          <cell r="B412">
            <v>0.871668034024078</v>
          </cell>
        </row>
        <row r="413">
          <cell r="A413">
            <v>41138</v>
          </cell>
          <cell r="B413">
            <v>0.871668034024078</v>
          </cell>
        </row>
        <row r="414">
          <cell r="A414">
            <v>41141</v>
          </cell>
          <cell r="B414">
            <v>0.871668034024078</v>
          </cell>
        </row>
        <row r="415">
          <cell r="A415">
            <v>41142</v>
          </cell>
          <cell r="B415">
            <v>0.871668034024078</v>
          </cell>
        </row>
        <row r="416">
          <cell r="A416">
            <v>41143</v>
          </cell>
          <cell r="B416">
            <v>0.871668034024078</v>
          </cell>
        </row>
        <row r="417">
          <cell r="A417">
            <v>41144</v>
          </cell>
          <cell r="B417">
            <v>0.85676613742448104</v>
          </cell>
        </row>
        <row r="418">
          <cell r="A418">
            <v>41145</v>
          </cell>
          <cell r="B418">
            <v>0.85676613742448104</v>
          </cell>
        </row>
        <row r="419">
          <cell r="A419">
            <v>41148</v>
          </cell>
          <cell r="B419">
            <v>0.85676613742448104</v>
          </cell>
        </row>
        <row r="420">
          <cell r="A420">
            <v>41149</v>
          </cell>
          <cell r="B420">
            <v>0.85676613742448104</v>
          </cell>
        </row>
        <row r="421">
          <cell r="A421">
            <v>41150</v>
          </cell>
          <cell r="B421">
            <v>0.85676613742448104</v>
          </cell>
        </row>
        <row r="422">
          <cell r="A422">
            <v>41151</v>
          </cell>
          <cell r="B422">
            <v>0.88830449257823196</v>
          </cell>
        </row>
        <row r="423">
          <cell r="A423">
            <v>41152</v>
          </cell>
          <cell r="B423">
            <v>0.88830449257823196</v>
          </cell>
        </row>
        <row r="424">
          <cell r="A424">
            <v>41156</v>
          </cell>
          <cell r="B424">
            <v>0.86613218698070704</v>
          </cell>
        </row>
        <row r="425">
          <cell r="A425">
            <v>41157</v>
          </cell>
          <cell r="B425">
            <v>0.86613218698070704</v>
          </cell>
        </row>
        <row r="426">
          <cell r="A426">
            <v>41158</v>
          </cell>
          <cell r="B426">
            <v>0.91761037893987496</v>
          </cell>
        </row>
        <row r="427">
          <cell r="A427">
            <v>41159</v>
          </cell>
          <cell r="B427">
            <v>0.91761037893987496</v>
          </cell>
        </row>
        <row r="428">
          <cell r="A428">
            <v>41162</v>
          </cell>
          <cell r="B428">
            <v>0.91761037893987496</v>
          </cell>
        </row>
        <row r="429">
          <cell r="A429">
            <v>41163</v>
          </cell>
          <cell r="B429">
            <v>0.91761037893987496</v>
          </cell>
        </row>
        <row r="430">
          <cell r="A430">
            <v>41164</v>
          </cell>
          <cell r="B430">
            <v>0.91761037893987496</v>
          </cell>
        </row>
        <row r="431">
          <cell r="A431">
            <v>41165</v>
          </cell>
          <cell r="B431">
            <v>0.91761037893987496</v>
          </cell>
        </row>
        <row r="432">
          <cell r="A432">
            <v>41166</v>
          </cell>
          <cell r="B432">
            <v>0.91761037893987496</v>
          </cell>
        </row>
        <row r="433">
          <cell r="A433">
            <v>41169</v>
          </cell>
          <cell r="B433">
            <v>0.91761037893987496</v>
          </cell>
        </row>
        <row r="434">
          <cell r="A434">
            <v>41170</v>
          </cell>
          <cell r="B434">
            <v>0.91761037893987496</v>
          </cell>
        </row>
        <row r="435">
          <cell r="A435">
            <v>41171</v>
          </cell>
          <cell r="B435">
            <v>0.91761037893987496</v>
          </cell>
        </row>
        <row r="436">
          <cell r="A436">
            <v>41172</v>
          </cell>
          <cell r="B436">
            <v>0.95544116739970197</v>
          </cell>
        </row>
        <row r="437">
          <cell r="A437">
            <v>41173</v>
          </cell>
          <cell r="B437">
            <v>0.95544116739970197</v>
          </cell>
        </row>
        <row r="438">
          <cell r="A438">
            <v>41176</v>
          </cell>
          <cell r="B438">
            <v>0.95544116739970197</v>
          </cell>
        </row>
        <row r="439">
          <cell r="A439">
            <v>41177</v>
          </cell>
          <cell r="B439">
            <v>0.95544116739970197</v>
          </cell>
        </row>
        <row r="440">
          <cell r="A440">
            <v>41178</v>
          </cell>
          <cell r="B440">
            <v>0.95544116739970197</v>
          </cell>
        </row>
        <row r="441">
          <cell r="A441">
            <v>41179</v>
          </cell>
          <cell r="B441">
            <v>0.96361365224695705</v>
          </cell>
        </row>
        <row r="442">
          <cell r="A442">
            <v>41180</v>
          </cell>
          <cell r="B442">
            <v>0.96361365224695705</v>
          </cell>
        </row>
        <row r="443">
          <cell r="A443">
            <v>41183</v>
          </cell>
          <cell r="B443">
            <v>0.95122523158751304</v>
          </cell>
        </row>
        <row r="444">
          <cell r="A444">
            <v>41184</v>
          </cell>
          <cell r="B444">
            <v>0.95122523158751304</v>
          </cell>
        </row>
        <row r="445">
          <cell r="A445">
            <v>41185</v>
          </cell>
          <cell r="B445">
            <v>0.95122523158751304</v>
          </cell>
        </row>
        <row r="446">
          <cell r="A446">
            <v>41186</v>
          </cell>
          <cell r="B446">
            <v>0.95295581960362197</v>
          </cell>
        </row>
        <row r="447">
          <cell r="A447">
            <v>41187</v>
          </cell>
          <cell r="B447">
            <v>0.95295581960362197</v>
          </cell>
        </row>
        <row r="448">
          <cell r="A448">
            <v>41190</v>
          </cell>
          <cell r="B448">
            <v>0.95295581960362197</v>
          </cell>
        </row>
        <row r="449">
          <cell r="A449">
            <v>41191</v>
          </cell>
          <cell r="B449">
            <v>0.95295581960362197</v>
          </cell>
        </row>
        <row r="450">
          <cell r="A450">
            <v>41192</v>
          </cell>
          <cell r="B450">
            <v>0.95295581960362197</v>
          </cell>
        </row>
        <row r="451">
          <cell r="A451">
            <v>41193</v>
          </cell>
          <cell r="B451">
            <v>0.95157186742127498</v>
          </cell>
        </row>
        <row r="452">
          <cell r="A452">
            <v>41194</v>
          </cell>
          <cell r="B452">
            <v>0.95157186742127498</v>
          </cell>
        </row>
        <row r="453">
          <cell r="A453">
            <v>41197</v>
          </cell>
          <cell r="B453">
            <v>0.95157186742127498</v>
          </cell>
        </row>
        <row r="454">
          <cell r="A454">
            <v>41198</v>
          </cell>
          <cell r="B454">
            <v>0.95157186742127498</v>
          </cell>
        </row>
        <row r="455">
          <cell r="A455">
            <v>41199</v>
          </cell>
          <cell r="B455">
            <v>0.95157186742127498</v>
          </cell>
        </row>
        <row r="456">
          <cell r="A456">
            <v>41200</v>
          </cell>
          <cell r="B456">
            <v>0.95277015909637097</v>
          </cell>
        </row>
        <row r="457">
          <cell r="A457">
            <v>41201</v>
          </cell>
          <cell r="B457">
            <v>0.95277015909637097</v>
          </cell>
        </row>
        <row r="458">
          <cell r="A458">
            <v>41204</v>
          </cell>
          <cell r="B458">
            <v>0.95277015909637097</v>
          </cell>
        </row>
        <row r="459">
          <cell r="A459">
            <v>41205</v>
          </cell>
          <cell r="B459">
            <v>0.95277015909637097</v>
          </cell>
        </row>
        <row r="460">
          <cell r="A460">
            <v>41206</v>
          </cell>
          <cell r="B460">
            <v>0.95277015909637097</v>
          </cell>
        </row>
        <row r="461">
          <cell r="A461">
            <v>41207</v>
          </cell>
          <cell r="B461">
            <v>0.950786071684944</v>
          </cell>
        </row>
        <row r="462">
          <cell r="A462">
            <v>41208</v>
          </cell>
          <cell r="B462">
            <v>0.950786071684944</v>
          </cell>
        </row>
        <row r="463">
          <cell r="A463">
            <v>41211</v>
          </cell>
          <cell r="B463">
            <v>0.950786071684944</v>
          </cell>
        </row>
        <row r="464">
          <cell r="A464">
            <v>41212</v>
          </cell>
          <cell r="B464">
            <v>0.950786071684944</v>
          </cell>
        </row>
        <row r="465">
          <cell r="A465">
            <v>41213</v>
          </cell>
          <cell r="B465">
            <v>0.950786071684944</v>
          </cell>
        </row>
        <row r="466">
          <cell r="A466">
            <v>41214</v>
          </cell>
          <cell r="B466">
            <v>0.92568594546185101</v>
          </cell>
        </row>
        <row r="467">
          <cell r="A467">
            <v>41215</v>
          </cell>
          <cell r="B467">
            <v>0.92568594546185101</v>
          </cell>
        </row>
        <row r="468">
          <cell r="A468">
            <v>41218</v>
          </cell>
          <cell r="B468">
            <v>0.92568594546185101</v>
          </cell>
        </row>
        <row r="469">
          <cell r="A469">
            <v>41219</v>
          </cell>
          <cell r="B469">
            <v>0.92568594546185101</v>
          </cell>
        </row>
        <row r="470">
          <cell r="A470">
            <v>41220</v>
          </cell>
          <cell r="B470">
            <v>0.92568594546185101</v>
          </cell>
        </row>
        <row r="471">
          <cell r="A471">
            <v>41221</v>
          </cell>
          <cell r="B471">
            <v>0.92529425270600996</v>
          </cell>
        </row>
        <row r="472">
          <cell r="A472">
            <v>41222</v>
          </cell>
          <cell r="B472">
            <v>0.92529425270600996</v>
          </cell>
        </row>
        <row r="473">
          <cell r="A473">
            <v>41225</v>
          </cell>
          <cell r="B473">
            <v>0.92529425270600996</v>
          </cell>
        </row>
        <row r="474">
          <cell r="A474">
            <v>41226</v>
          </cell>
          <cell r="B474">
            <v>0.92529425270600996</v>
          </cell>
        </row>
        <row r="475">
          <cell r="A475">
            <v>41227</v>
          </cell>
          <cell r="B475">
            <v>0.92529425270600996</v>
          </cell>
        </row>
        <row r="476">
          <cell r="A476">
            <v>41228</v>
          </cell>
          <cell r="B476">
            <v>0.92772026190850898</v>
          </cell>
        </row>
        <row r="477">
          <cell r="A477">
            <v>41229</v>
          </cell>
          <cell r="B477">
            <v>0.92529425270600996</v>
          </cell>
        </row>
        <row r="478">
          <cell r="A478">
            <v>41232</v>
          </cell>
          <cell r="B478">
            <v>0.92529425270600996</v>
          </cell>
        </row>
        <row r="479">
          <cell r="A479">
            <v>41233</v>
          </cell>
          <cell r="B479">
            <v>0.92772026190850898</v>
          </cell>
        </row>
        <row r="480">
          <cell r="A480">
            <v>41236</v>
          </cell>
          <cell r="B480">
            <v>0.92988566192488697</v>
          </cell>
        </row>
        <row r="481">
          <cell r="A481">
            <v>41239</v>
          </cell>
          <cell r="B481">
            <v>0.92988566192488697</v>
          </cell>
        </row>
        <row r="482">
          <cell r="A482">
            <v>41240</v>
          </cell>
          <cell r="B482">
            <v>0.92988566192488697</v>
          </cell>
        </row>
        <row r="483">
          <cell r="A483">
            <v>41241</v>
          </cell>
          <cell r="B483">
            <v>0.92988566192488697</v>
          </cell>
        </row>
        <row r="484">
          <cell r="A484">
            <v>41242</v>
          </cell>
          <cell r="B484">
            <v>0.92962672480790898</v>
          </cell>
        </row>
        <row r="485">
          <cell r="A485">
            <v>41243</v>
          </cell>
          <cell r="B485">
            <v>0.92962672480790898</v>
          </cell>
        </row>
        <row r="486">
          <cell r="A486">
            <v>41246</v>
          </cell>
          <cell r="B486">
            <v>0.91261368517922603</v>
          </cell>
        </row>
        <row r="487">
          <cell r="A487">
            <v>41247</v>
          </cell>
          <cell r="B487">
            <v>0.91261368517922603</v>
          </cell>
        </row>
        <row r="488">
          <cell r="A488">
            <v>41248</v>
          </cell>
          <cell r="B488">
            <v>0.91261368517922603</v>
          </cell>
        </row>
        <row r="489">
          <cell r="A489">
            <v>41249</v>
          </cell>
          <cell r="B489">
            <v>0.91054790878492298</v>
          </cell>
        </row>
        <row r="490">
          <cell r="A490">
            <v>41250</v>
          </cell>
          <cell r="B490">
            <v>0.91054790878492298</v>
          </cell>
        </row>
        <row r="491">
          <cell r="A491">
            <v>41253</v>
          </cell>
          <cell r="B491">
            <v>0.91054790878492298</v>
          </cell>
        </row>
        <row r="492">
          <cell r="A492">
            <v>41254</v>
          </cell>
          <cell r="B492">
            <v>0.91054790878492298</v>
          </cell>
        </row>
        <row r="493">
          <cell r="A493">
            <v>41255</v>
          </cell>
          <cell r="B493">
            <v>0.91054790878492298</v>
          </cell>
        </row>
        <row r="494">
          <cell r="A494">
            <v>41256</v>
          </cell>
          <cell r="B494">
            <v>0.91261368517922603</v>
          </cell>
        </row>
        <row r="495">
          <cell r="A495">
            <v>41257</v>
          </cell>
          <cell r="B495">
            <v>0.91261368517922603</v>
          </cell>
        </row>
        <row r="496">
          <cell r="A496">
            <v>41260</v>
          </cell>
          <cell r="B496">
            <v>0.91261368517922603</v>
          </cell>
        </row>
        <row r="497">
          <cell r="A497">
            <v>41261</v>
          </cell>
          <cell r="B497">
            <v>0.91261368517922603</v>
          </cell>
        </row>
        <row r="498">
          <cell r="A498">
            <v>41262</v>
          </cell>
          <cell r="B498">
            <v>0.91261368517922603</v>
          </cell>
        </row>
        <row r="499">
          <cell r="A499">
            <v>41263</v>
          </cell>
          <cell r="B499">
            <v>0.90964878851271103</v>
          </cell>
        </row>
        <row r="500">
          <cell r="A500">
            <v>41264</v>
          </cell>
          <cell r="B500">
            <v>0.90964878851271103</v>
          </cell>
        </row>
        <row r="501">
          <cell r="A501">
            <v>41267</v>
          </cell>
          <cell r="B501">
            <v>0.90964878851271103</v>
          </cell>
        </row>
        <row r="502">
          <cell r="A502">
            <v>41269</v>
          </cell>
          <cell r="B502">
            <v>0.90964878851271103</v>
          </cell>
        </row>
        <row r="503">
          <cell r="A503">
            <v>41270</v>
          </cell>
          <cell r="B503">
            <v>0.91013454847674702</v>
          </cell>
        </row>
        <row r="504">
          <cell r="A504">
            <v>41271</v>
          </cell>
          <cell r="B504">
            <v>0.91013454847674702</v>
          </cell>
        </row>
        <row r="505">
          <cell r="A505">
            <v>41274</v>
          </cell>
          <cell r="B505">
            <v>0.91013454847674702</v>
          </cell>
        </row>
        <row r="506">
          <cell r="A506">
            <v>41276</v>
          </cell>
          <cell r="B506">
            <v>0.88776607960810605</v>
          </cell>
        </row>
        <row r="507">
          <cell r="A507">
            <v>41277</v>
          </cell>
          <cell r="B507">
            <v>0.88829814088555903</v>
          </cell>
        </row>
        <row r="508">
          <cell r="A508">
            <v>41278</v>
          </cell>
          <cell r="B508">
            <v>0.88829814088555903</v>
          </cell>
        </row>
        <row r="509">
          <cell r="A509">
            <v>41281</v>
          </cell>
          <cell r="B509">
            <v>0.88829814088555903</v>
          </cell>
        </row>
        <row r="510">
          <cell r="A510">
            <v>41282</v>
          </cell>
          <cell r="B510">
            <v>0.88829814088555903</v>
          </cell>
        </row>
        <row r="511">
          <cell r="A511">
            <v>41283</v>
          </cell>
          <cell r="B511">
            <v>0.88829814088555903</v>
          </cell>
        </row>
        <row r="512">
          <cell r="A512">
            <v>41284</v>
          </cell>
          <cell r="B512">
            <v>0.88507237465235999</v>
          </cell>
        </row>
        <row r="513">
          <cell r="A513">
            <v>41285</v>
          </cell>
          <cell r="B513">
            <v>0.88507237465235999</v>
          </cell>
        </row>
        <row r="514">
          <cell r="A514">
            <v>41288</v>
          </cell>
          <cell r="B514">
            <v>0.88507237465235999</v>
          </cell>
        </row>
        <row r="515">
          <cell r="A515">
            <v>41289</v>
          </cell>
          <cell r="B515">
            <v>0.88507237465235999</v>
          </cell>
        </row>
        <row r="516">
          <cell r="A516">
            <v>41290</v>
          </cell>
          <cell r="B516">
            <v>0.88507237465235999</v>
          </cell>
        </row>
        <row r="517">
          <cell r="A517">
            <v>41291</v>
          </cell>
          <cell r="B517">
            <v>0.88631407683414698</v>
          </cell>
        </row>
        <row r="518">
          <cell r="A518">
            <v>41292</v>
          </cell>
          <cell r="B518">
            <v>0.88631407683414698</v>
          </cell>
        </row>
        <row r="519">
          <cell r="A519">
            <v>41296</v>
          </cell>
          <cell r="B519">
            <v>0.88631407683414698</v>
          </cell>
        </row>
        <row r="520">
          <cell r="A520">
            <v>41297</v>
          </cell>
          <cell r="B520">
            <v>0.88631407683414698</v>
          </cell>
        </row>
        <row r="521">
          <cell r="A521">
            <v>41298</v>
          </cell>
          <cell r="B521">
            <v>0.88379536104531298</v>
          </cell>
        </row>
        <row r="522">
          <cell r="A522">
            <v>41299</v>
          </cell>
          <cell r="B522">
            <v>0.88379536104531298</v>
          </cell>
        </row>
        <row r="523">
          <cell r="A523">
            <v>41302</v>
          </cell>
          <cell r="B523">
            <v>0.88379536104531298</v>
          </cell>
        </row>
        <row r="524">
          <cell r="A524">
            <v>41303</v>
          </cell>
          <cell r="B524">
            <v>0.88379536104531298</v>
          </cell>
        </row>
        <row r="525">
          <cell r="A525">
            <v>41304</v>
          </cell>
          <cell r="B525">
            <v>0.88379536104531298</v>
          </cell>
        </row>
        <row r="526">
          <cell r="A526">
            <v>41305</v>
          </cell>
          <cell r="B526">
            <v>0.84748759806752005</v>
          </cell>
        </row>
        <row r="527">
          <cell r="A527">
            <v>41306</v>
          </cell>
          <cell r="B527">
            <v>0.82271172400250803</v>
          </cell>
        </row>
        <row r="528">
          <cell r="A528">
            <v>41309</v>
          </cell>
          <cell r="B528">
            <v>0.82271172400250803</v>
          </cell>
        </row>
        <row r="529">
          <cell r="A529">
            <v>41310</v>
          </cell>
          <cell r="B529">
            <v>0.82271172400250803</v>
          </cell>
        </row>
        <row r="530">
          <cell r="A530">
            <v>41311</v>
          </cell>
          <cell r="B530">
            <v>0.82271172400250803</v>
          </cell>
        </row>
        <row r="531">
          <cell r="A531">
            <v>41312</v>
          </cell>
          <cell r="B531">
            <v>0.82271172400250803</v>
          </cell>
        </row>
        <row r="532">
          <cell r="A532">
            <v>41313</v>
          </cell>
          <cell r="B532">
            <v>0.82271172400250803</v>
          </cell>
        </row>
        <row r="533">
          <cell r="A533">
            <v>41316</v>
          </cell>
          <cell r="B533">
            <v>0.82271172400250803</v>
          </cell>
        </row>
        <row r="534">
          <cell r="A534">
            <v>41317</v>
          </cell>
          <cell r="B534">
            <v>0.82271172400250803</v>
          </cell>
        </row>
        <row r="535">
          <cell r="A535">
            <v>41318</v>
          </cell>
          <cell r="B535">
            <v>0.82271172400250803</v>
          </cell>
        </row>
        <row r="536">
          <cell r="A536">
            <v>41319</v>
          </cell>
          <cell r="B536">
            <v>0.82271172400250803</v>
          </cell>
        </row>
        <row r="537">
          <cell r="A537">
            <v>41320</v>
          </cell>
          <cell r="B537">
            <v>0.82271172400250803</v>
          </cell>
        </row>
        <row r="538">
          <cell r="A538">
            <v>41324</v>
          </cell>
          <cell r="B538">
            <v>0.82271172400250803</v>
          </cell>
        </row>
        <row r="539">
          <cell r="A539">
            <v>41325</v>
          </cell>
          <cell r="B539">
            <v>0.82271172400250803</v>
          </cell>
        </row>
        <row r="540">
          <cell r="A540">
            <v>41326</v>
          </cell>
          <cell r="B540">
            <v>0.79171461670661003</v>
          </cell>
        </row>
        <row r="541">
          <cell r="A541">
            <v>41327</v>
          </cell>
          <cell r="B541">
            <v>0.79171461670661003</v>
          </cell>
        </row>
        <row r="542">
          <cell r="A542">
            <v>41330</v>
          </cell>
          <cell r="B542">
            <v>0.79171461670661003</v>
          </cell>
        </row>
        <row r="543">
          <cell r="A543">
            <v>41331</v>
          </cell>
          <cell r="B543">
            <v>0.79171461670661003</v>
          </cell>
        </row>
        <row r="544">
          <cell r="A544">
            <v>41332</v>
          </cell>
          <cell r="B544">
            <v>0.79171461670661003</v>
          </cell>
        </row>
        <row r="545">
          <cell r="A545">
            <v>41333</v>
          </cell>
          <cell r="B545">
            <v>0.83664177858148003</v>
          </cell>
        </row>
        <row r="546">
          <cell r="A546">
            <v>41334</v>
          </cell>
          <cell r="B546">
            <v>0.81851206223084805</v>
          </cell>
        </row>
        <row r="547">
          <cell r="A547">
            <v>41337</v>
          </cell>
          <cell r="B547">
            <v>0.81851206223084805</v>
          </cell>
        </row>
        <row r="548">
          <cell r="A548">
            <v>41338</v>
          </cell>
          <cell r="B548">
            <v>0.81851206223084805</v>
          </cell>
        </row>
        <row r="549">
          <cell r="A549">
            <v>41339</v>
          </cell>
          <cell r="B549">
            <v>0.81851206223084805</v>
          </cell>
        </row>
        <row r="550">
          <cell r="A550">
            <v>41340</v>
          </cell>
          <cell r="B550">
            <v>0.81207127811354496</v>
          </cell>
        </row>
        <row r="551">
          <cell r="A551">
            <v>41341</v>
          </cell>
          <cell r="B551">
            <v>0.81207127811354496</v>
          </cell>
        </row>
        <row r="552">
          <cell r="A552">
            <v>41344</v>
          </cell>
          <cell r="B552">
            <v>0.81207127811354496</v>
          </cell>
        </row>
        <row r="553">
          <cell r="A553">
            <v>41345</v>
          </cell>
          <cell r="B553">
            <v>0.81207127811354496</v>
          </cell>
        </row>
        <row r="554">
          <cell r="A554">
            <v>41346</v>
          </cell>
          <cell r="B554">
            <v>0.81207127811354496</v>
          </cell>
        </row>
        <row r="555">
          <cell r="A555">
            <v>41347</v>
          </cell>
          <cell r="B555">
            <v>0.71228035501776499</v>
          </cell>
        </row>
        <row r="556">
          <cell r="A556">
            <v>41348</v>
          </cell>
          <cell r="B556">
            <v>0.71228035501776499</v>
          </cell>
        </row>
        <row r="557">
          <cell r="A557">
            <v>41351</v>
          </cell>
          <cell r="B557">
            <v>0.71228035501776499</v>
          </cell>
        </row>
        <row r="558">
          <cell r="A558">
            <v>41352</v>
          </cell>
          <cell r="B558">
            <v>0.71228035501776499</v>
          </cell>
        </row>
        <row r="559">
          <cell r="A559">
            <v>41353</v>
          </cell>
          <cell r="B559">
            <v>0.71228035501776499</v>
          </cell>
        </row>
        <row r="560">
          <cell r="A560">
            <v>41354</v>
          </cell>
          <cell r="B560">
            <v>0.79257538531726102</v>
          </cell>
        </row>
        <row r="561">
          <cell r="A561">
            <v>41355</v>
          </cell>
          <cell r="B561">
            <v>0.79257538531726102</v>
          </cell>
        </row>
        <row r="562">
          <cell r="A562">
            <v>41358</v>
          </cell>
          <cell r="B562">
            <v>0.79257538531726102</v>
          </cell>
        </row>
        <row r="563">
          <cell r="A563">
            <v>41359</v>
          </cell>
          <cell r="B563">
            <v>0.79257538531726102</v>
          </cell>
        </row>
        <row r="564">
          <cell r="A564">
            <v>41360</v>
          </cell>
          <cell r="B564">
            <v>0.79257538531726102</v>
          </cell>
        </row>
        <row r="565">
          <cell r="A565">
            <v>41361</v>
          </cell>
          <cell r="B565">
            <v>0.76303866278122401</v>
          </cell>
        </row>
        <row r="566">
          <cell r="A566">
            <v>41365</v>
          </cell>
          <cell r="B566">
            <v>0.743473360501545</v>
          </cell>
        </row>
        <row r="567">
          <cell r="A567">
            <v>41366</v>
          </cell>
          <cell r="B567">
            <v>0.743473360501545</v>
          </cell>
        </row>
        <row r="568">
          <cell r="A568">
            <v>41367</v>
          </cell>
          <cell r="B568">
            <v>0.743473360501545</v>
          </cell>
        </row>
        <row r="569">
          <cell r="A569">
            <v>41368</v>
          </cell>
          <cell r="B569">
            <v>0.77315817508860396</v>
          </cell>
        </row>
        <row r="570">
          <cell r="A570">
            <v>41369</v>
          </cell>
          <cell r="B570">
            <v>0.77315817508860396</v>
          </cell>
        </row>
        <row r="571">
          <cell r="A571">
            <v>41372</v>
          </cell>
          <cell r="B571">
            <v>0.77315817508860396</v>
          </cell>
        </row>
        <row r="572">
          <cell r="A572">
            <v>41373</v>
          </cell>
          <cell r="B572">
            <v>0.77315817508860396</v>
          </cell>
        </row>
        <row r="573">
          <cell r="A573">
            <v>41374</v>
          </cell>
          <cell r="B573">
            <v>0.77315817508860396</v>
          </cell>
        </row>
        <row r="574">
          <cell r="A574">
            <v>41375</v>
          </cell>
          <cell r="B574">
            <v>0.82454142309345102</v>
          </cell>
        </row>
        <row r="575">
          <cell r="A575">
            <v>41376</v>
          </cell>
          <cell r="B575">
            <v>0.82454142309345102</v>
          </cell>
        </row>
        <row r="576">
          <cell r="A576">
            <v>41379</v>
          </cell>
          <cell r="B576">
            <v>0.82454142309345102</v>
          </cell>
        </row>
        <row r="577">
          <cell r="A577">
            <v>41380</v>
          </cell>
          <cell r="B577">
            <v>0.82454142309345102</v>
          </cell>
        </row>
        <row r="578">
          <cell r="A578">
            <v>41381</v>
          </cell>
          <cell r="B578">
            <v>0.82454142309345102</v>
          </cell>
        </row>
        <row r="579">
          <cell r="A579">
            <v>41382</v>
          </cell>
          <cell r="B579">
            <v>0.82630589885428396</v>
          </cell>
        </row>
        <row r="580">
          <cell r="A580">
            <v>41383</v>
          </cell>
          <cell r="B580">
            <v>0.82630589885428396</v>
          </cell>
        </row>
        <row r="581">
          <cell r="A581">
            <v>41386</v>
          </cell>
          <cell r="B581">
            <v>0.82630589885428396</v>
          </cell>
        </row>
        <row r="582">
          <cell r="A582">
            <v>41387</v>
          </cell>
          <cell r="B582">
            <v>0.82630589885428396</v>
          </cell>
        </row>
        <row r="583">
          <cell r="A583">
            <v>41388</v>
          </cell>
          <cell r="B583">
            <v>0.82630589885428396</v>
          </cell>
        </row>
        <row r="584">
          <cell r="A584">
            <v>41389</v>
          </cell>
          <cell r="B584">
            <v>0.82751009126472896</v>
          </cell>
        </row>
        <row r="585">
          <cell r="A585">
            <v>41390</v>
          </cell>
          <cell r="B585">
            <v>0.82751009126472896</v>
          </cell>
        </row>
        <row r="586">
          <cell r="A586">
            <v>41393</v>
          </cell>
          <cell r="B586">
            <v>0.82751009126472896</v>
          </cell>
        </row>
        <row r="587">
          <cell r="A587">
            <v>41394</v>
          </cell>
          <cell r="B587">
            <v>0.82751009126472896</v>
          </cell>
        </row>
        <row r="588">
          <cell r="A588">
            <v>41395</v>
          </cell>
          <cell r="B588">
            <v>0.81036703654126596</v>
          </cell>
        </row>
        <row r="589">
          <cell r="A589">
            <v>41396</v>
          </cell>
          <cell r="B589">
            <v>0.81666056757909999</v>
          </cell>
        </row>
        <row r="590">
          <cell r="A590">
            <v>41397</v>
          </cell>
          <cell r="B590">
            <v>0.81666056757909999</v>
          </cell>
        </row>
        <row r="591">
          <cell r="A591">
            <v>41400</v>
          </cell>
          <cell r="B591">
            <v>0.81666056757909999</v>
          </cell>
        </row>
        <row r="592">
          <cell r="A592">
            <v>41401</v>
          </cell>
          <cell r="B592">
            <v>0.81666056757909999</v>
          </cell>
        </row>
        <row r="593">
          <cell r="A593">
            <v>41402</v>
          </cell>
          <cell r="B593">
            <v>0.81666056757909999</v>
          </cell>
        </row>
        <row r="594">
          <cell r="A594">
            <v>41403</v>
          </cell>
          <cell r="B594">
            <v>0.80807149473903706</v>
          </cell>
        </row>
        <row r="595">
          <cell r="A595">
            <v>41404</v>
          </cell>
          <cell r="B595">
            <v>0.80807149473903706</v>
          </cell>
        </row>
        <row r="596">
          <cell r="A596">
            <v>41407</v>
          </cell>
          <cell r="B596">
            <v>0.80807149473903706</v>
          </cell>
        </row>
        <row r="597">
          <cell r="A597">
            <v>41408</v>
          </cell>
          <cell r="B597">
            <v>0.80807149473903706</v>
          </cell>
        </row>
        <row r="598">
          <cell r="A598">
            <v>41409</v>
          </cell>
          <cell r="B598">
            <v>0.80807149473903706</v>
          </cell>
        </row>
        <row r="599">
          <cell r="A599">
            <v>41414</v>
          </cell>
          <cell r="B599">
            <v>0.77783403735744605</v>
          </cell>
        </row>
        <row r="600">
          <cell r="A600">
            <v>41415</v>
          </cell>
          <cell r="B600">
            <v>0.77783403735744605</v>
          </cell>
        </row>
        <row r="601">
          <cell r="A601">
            <v>41416</v>
          </cell>
          <cell r="B601">
            <v>0.77783403735744605</v>
          </cell>
        </row>
        <row r="602">
          <cell r="A602">
            <v>41417</v>
          </cell>
          <cell r="B602">
            <v>0.69478056772037999</v>
          </cell>
        </row>
        <row r="603">
          <cell r="A603">
            <v>41418</v>
          </cell>
          <cell r="B603">
            <v>0.69478056772037999</v>
          </cell>
        </row>
        <row r="604">
          <cell r="A604">
            <v>41422</v>
          </cell>
          <cell r="B604">
            <v>0.69478056772037999</v>
          </cell>
        </row>
        <row r="605">
          <cell r="A605">
            <v>41424</v>
          </cell>
          <cell r="B605">
            <v>0.635194452728709</v>
          </cell>
        </row>
        <row r="606">
          <cell r="A606">
            <v>41425</v>
          </cell>
          <cell r="B606">
            <v>0.635194452728709</v>
          </cell>
        </row>
        <row r="607">
          <cell r="A607">
            <v>41428</v>
          </cell>
          <cell r="B607">
            <v>0.614848697284054</v>
          </cell>
        </row>
        <row r="608">
          <cell r="A608">
            <v>41429</v>
          </cell>
          <cell r="B608">
            <v>0.614848697284054</v>
          </cell>
        </row>
        <row r="609">
          <cell r="A609">
            <v>41430</v>
          </cell>
          <cell r="B609">
            <v>0.614848697284054</v>
          </cell>
        </row>
        <row r="610">
          <cell r="A610">
            <v>41431</v>
          </cell>
          <cell r="B610">
            <v>0.60559705603105995</v>
          </cell>
        </row>
        <row r="611">
          <cell r="A611">
            <v>41432</v>
          </cell>
          <cell r="B611">
            <v>0.60559705603105995</v>
          </cell>
        </row>
        <row r="612">
          <cell r="A612">
            <v>41436</v>
          </cell>
          <cell r="B612">
            <v>0.60559705603105995</v>
          </cell>
        </row>
        <row r="613">
          <cell r="A613">
            <v>41437</v>
          </cell>
          <cell r="B613">
            <v>0.60559705603105995</v>
          </cell>
        </row>
        <row r="614">
          <cell r="A614">
            <v>41438</v>
          </cell>
          <cell r="B614">
            <v>0.57343184072471898</v>
          </cell>
        </row>
        <row r="615">
          <cell r="A615">
            <v>41439</v>
          </cell>
          <cell r="B615">
            <v>0.57343184072471898</v>
          </cell>
        </row>
        <row r="616">
          <cell r="A616">
            <v>41442</v>
          </cell>
          <cell r="B616">
            <v>0.57343184072471898</v>
          </cell>
        </row>
        <row r="617">
          <cell r="A617">
            <v>41443</v>
          </cell>
          <cell r="B617">
            <v>0.57343184072471898</v>
          </cell>
        </row>
        <row r="618">
          <cell r="A618">
            <v>41444</v>
          </cell>
          <cell r="B618">
            <v>0.57343184072471898</v>
          </cell>
        </row>
        <row r="619">
          <cell r="A619">
            <v>41445</v>
          </cell>
          <cell r="B619">
            <v>0.60175540147873097</v>
          </cell>
        </row>
        <row r="620">
          <cell r="A620">
            <v>41446</v>
          </cell>
          <cell r="B620">
            <v>0.60175540147873097</v>
          </cell>
        </row>
        <row r="621">
          <cell r="A621">
            <v>41450</v>
          </cell>
          <cell r="B621">
            <v>0.60175540147873097</v>
          </cell>
        </row>
        <row r="622">
          <cell r="A622">
            <v>41451</v>
          </cell>
          <cell r="B622">
            <v>0.60175540147873097</v>
          </cell>
        </row>
        <row r="623">
          <cell r="A623">
            <v>41452</v>
          </cell>
          <cell r="B623">
            <v>0.41370007412069798</v>
          </cell>
        </row>
        <row r="624">
          <cell r="A624">
            <v>41453</v>
          </cell>
          <cell r="B624">
            <v>0.41370007412069798</v>
          </cell>
        </row>
        <row r="625">
          <cell r="A625">
            <v>41456</v>
          </cell>
          <cell r="B625">
            <v>0.39643390905357601</v>
          </cell>
        </row>
        <row r="626">
          <cell r="A626">
            <v>41457</v>
          </cell>
          <cell r="B626">
            <v>0.39643390905357601</v>
          </cell>
        </row>
        <row r="627">
          <cell r="A627">
            <v>41458</v>
          </cell>
          <cell r="B627">
            <v>0.43308419457729302</v>
          </cell>
        </row>
        <row r="628">
          <cell r="A628">
            <v>41460</v>
          </cell>
          <cell r="B628">
            <v>0.43308419457729302</v>
          </cell>
        </row>
        <row r="629">
          <cell r="A629">
            <v>41463</v>
          </cell>
          <cell r="B629">
            <v>0.43308419457729302</v>
          </cell>
        </row>
        <row r="630">
          <cell r="A630">
            <v>41464</v>
          </cell>
          <cell r="B630">
            <v>0.43308419457729302</v>
          </cell>
        </row>
        <row r="631">
          <cell r="A631">
            <v>41465</v>
          </cell>
          <cell r="B631">
            <v>0.43308419457729302</v>
          </cell>
        </row>
        <row r="632">
          <cell r="A632">
            <v>41466</v>
          </cell>
          <cell r="B632">
            <v>0.34039157628197098</v>
          </cell>
        </row>
        <row r="633">
          <cell r="A633">
            <v>41467</v>
          </cell>
          <cell r="B633">
            <v>0.34039157628197098</v>
          </cell>
        </row>
        <row r="634">
          <cell r="A634">
            <v>41470</v>
          </cell>
          <cell r="B634">
            <v>0.34039157628197098</v>
          </cell>
        </row>
        <row r="635">
          <cell r="A635">
            <v>41472</v>
          </cell>
          <cell r="B635">
            <v>0.34039157628197098</v>
          </cell>
        </row>
        <row r="636">
          <cell r="A636">
            <v>41473</v>
          </cell>
          <cell r="B636">
            <v>0.426207408093986</v>
          </cell>
        </row>
        <row r="637">
          <cell r="A637">
            <v>41474</v>
          </cell>
          <cell r="B637">
            <v>0.426207408093986</v>
          </cell>
        </row>
        <row r="638">
          <cell r="A638">
            <v>41477</v>
          </cell>
          <cell r="B638">
            <v>0.426207408093986</v>
          </cell>
        </row>
        <row r="639">
          <cell r="A639">
            <v>41478</v>
          </cell>
          <cell r="B639">
            <v>0.426207408093986</v>
          </cell>
        </row>
        <row r="640">
          <cell r="A640">
            <v>41480</v>
          </cell>
          <cell r="B640">
            <v>0.43167939138876898</v>
          </cell>
        </row>
        <row r="641">
          <cell r="A641">
            <v>41481</v>
          </cell>
          <cell r="B641">
            <v>0.43167939138876898</v>
          </cell>
        </row>
        <row r="642">
          <cell r="A642">
            <v>41484</v>
          </cell>
          <cell r="B642">
            <v>0.43167939138876898</v>
          </cell>
        </row>
        <row r="643">
          <cell r="A643">
            <v>41485</v>
          </cell>
          <cell r="B643">
            <v>0.43167939138876898</v>
          </cell>
        </row>
        <row r="644">
          <cell r="A644">
            <v>41486</v>
          </cell>
          <cell r="B644">
            <v>0.43167939138876898</v>
          </cell>
        </row>
        <row r="645">
          <cell r="A645">
            <v>41487</v>
          </cell>
          <cell r="B645">
            <v>0.40917398895536999</v>
          </cell>
        </row>
        <row r="646">
          <cell r="A646">
            <v>41488</v>
          </cell>
          <cell r="B646">
            <v>0.40917398895536999</v>
          </cell>
        </row>
        <row r="647">
          <cell r="A647">
            <v>41491</v>
          </cell>
          <cell r="B647">
            <v>0.40917398895536999</v>
          </cell>
        </row>
        <row r="648">
          <cell r="A648">
            <v>41492</v>
          </cell>
          <cell r="B648">
            <v>0.40917398895536999</v>
          </cell>
        </row>
        <row r="649">
          <cell r="A649">
            <v>41493</v>
          </cell>
          <cell r="B649">
            <v>0.40917398895536999</v>
          </cell>
        </row>
        <row r="650">
          <cell r="A650">
            <v>41494</v>
          </cell>
          <cell r="B650">
            <v>0.40794548718226897</v>
          </cell>
        </row>
        <row r="651">
          <cell r="A651">
            <v>41495</v>
          </cell>
          <cell r="B651">
            <v>0.40794548718226897</v>
          </cell>
        </row>
        <row r="652">
          <cell r="A652">
            <v>41499</v>
          </cell>
          <cell r="B652">
            <v>0.40794548718226897</v>
          </cell>
        </row>
        <row r="653">
          <cell r="A653">
            <v>41508</v>
          </cell>
          <cell r="B653">
            <v>0.28736143003290598</v>
          </cell>
        </row>
        <row r="654">
          <cell r="A654">
            <v>41509</v>
          </cell>
          <cell r="B654">
            <v>0.28736143003290598</v>
          </cell>
        </row>
        <row r="655">
          <cell r="A655">
            <v>41514</v>
          </cell>
          <cell r="B655">
            <v>0.28736143003290598</v>
          </cell>
        </row>
        <row r="656">
          <cell r="A656">
            <v>41515</v>
          </cell>
          <cell r="B656">
            <v>0.32609160736856702</v>
          </cell>
        </row>
        <row r="657">
          <cell r="A657">
            <v>41516</v>
          </cell>
          <cell r="B657">
            <v>0.32609160736856702</v>
          </cell>
        </row>
        <row r="658">
          <cell r="A658">
            <v>41520</v>
          </cell>
          <cell r="B658">
            <v>0.315593133253526</v>
          </cell>
        </row>
        <row r="659">
          <cell r="A659">
            <v>41521</v>
          </cell>
          <cell r="B659">
            <v>0.315593133253526</v>
          </cell>
        </row>
        <row r="660">
          <cell r="A660">
            <v>41522</v>
          </cell>
          <cell r="B660">
            <v>0.28153720559456502</v>
          </cell>
        </row>
        <row r="661">
          <cell r="A661">
            <v>41523</v>
          </cell>
          <cell r="B661">
            <v>0.28153720559456502</v>
          </cell>
        </row>
        <row r="662">
          <cell r="A662">
            <v>41526</v>
          </cell>
          <cell r="B662">
            <v>0.28153720559456502</v>
          </cell>
        </row>
        <row r="663">
          <cell r="A663">
            <v>41527</v>
          </cell>
          <cell r="B663">
            <v>0.28153720559456502</v>
          </cell>
        </row>
        <row r="664">
          <cell r="A664">
            <v>41528</v>
          </cell>
          <cell r="B664">
            <v>0.28153720559456502</v>
          </cell>
        </row>
        <row r="665">
          <cell r="A665">
            <v>41529</v>
          </cell>
          <cell r="B665">
            <v>0.28153720559456502</v>
          </cell>
        </row>
        <row r="666">
          <cell r="A666">
            <v>41530</v>
          </cell>
          <cell r="B666">
            <v>0.28153720559456502</v>
          </cell>
        </row>
        <row r="667">
          <cell r="A667">
            <v>41533</v>
          </cell>
          <cell r="B667">
            <v>0.28153720559456502</v>
          </cell>
        </row>
        <row r="668">
          <cell r="A668">
            <v>41534</v>
          </cell>
          <cell r="B668">
            <v>0.28153720559456502</v>
          </cell>
        </row>
        <row r="669">
          <cell r="A669">
            <v>41535</v>
          </cell>
          <cell r="B669">
            <v>0.28153720559456502</v>
          </cell>
        </row>
        <row r="670">
          <cell r="A670">
            <v>41536</v>
          </cell>
          <cell r="B670">
            <v>0.33139494640254802</v>
          </cell>
        </row>
        <row r="671">
          <cell r="A671">
            <v>41537</v>
          </cell>
          <cell r="B671">
            <v>0.33139494640254802</v>
          </cell>
        </row>
        <row r="672">
          <cell r="A672">
            <v>41540</v>
          </cell>
          <cell r="B672">
            <v>0.33139494640254802</v>
          </cell>
        </row>
        <row r="673">
          <cell r="A673">
            <v>41541</v>
          </cell>
          <cell r="B673">
            <v>0.33139494640254802</v>
          </cell>
        </row>
        <row r="674">
          <cell r="A674">
            <v>41542</v>
          </cell>
          <cell r="B674">
            <v>0.33139494640254802</v>
          </cell>
        </row>
        <row r="675">
          <cell r="A675">
            <v>41543</v>
          </cell>
          <cell r="B675">
            <v>0.404422924260806</v>
          </cell>
        </row>
        <row r="676">
          <cell r="A676">
            <v>41544</v>
          </cell>
          <cell r="B676">
            <v>0.404422924260806</v>
          </cell>
        </row>
        <row r="677">
          <cell r="A677">
            <v>41547</v>
          </cell>
          <cell r="B677">
            <v>0.404422924260806</v>
          </cell>
        </row>
        <row r="678">
          <cell r="A678">
            <v>41548</v>
          </cell>
          <cell r="B678">
            <v>0.39753455676891197</v>
          </cell>
        </row>
        <row r="679">
          <cell r="A679">
            <v>41549</v>
          </cell>
          <cell r="B679">
            <v>0.39753455676891197</v>
          </cell>
        </row>
        <row r="680">
          <cell r="A680">
            <v>41550</v>
          </cell>
          <cell r="B680">
            <v>0.41492382770581399</v>
          </cell>
        </row>
        <row r="681">
          <cell r="A681">
            <v>41551</v>
          </cell>
          <cell r="B681">
            <v>0.41492382770581399</v>
          </cell>
        </row>
        <row r="682">
          <cell r="A682">
            <v>41554</v>
          </cell>
          <cell r="B682">
            <v>0.41492382770581399</v>
          </cell>
        </row>
        <row r="683">
          <cell r="A683">
            <v>41555</v>
          </cell>
          <cell r="B683">
            <v>0.41492382770581399</v>
          </cell>
        </row>
        <row r="684">
          <cell r="A684">
            <v>41557</v>
          </cell>
          <cell r="B684">
            <v>0.41233771643317702</v>
          </cell>
        </row>
        <row r="685">
          <cell r="A685">
            <v>41558</v>
          </cell>
          <cell r="B685">
            <v>0.41233771643317702</v>
          </cell>
        </row>
        <row r="686">
          <cell r="A686">
            <v>41562</v>
          </cell>
          <cell r="B686">
            <v>0.41233771643317702</v>
          </cell>
        </row>
        <row r="687">
          <cell r="A687">
            <v>41564</v>
          </cell>
          <cell r="B687">
            <v>0.40226083862325102</v>
          </cell>
        </row>
        <row r="688">
          <cell r="A688">
            <v>41565</v>
          </cell>
          <cell r="B688">
            <v>0.40226083862325102</v>
          </cell>
        </row>
        <row r="689">
          <cell r="A689">
            <v>41568</v>
          </cell>
          <cell r="B689">
            <v>0.40226083862325102</v>
          </cell>
        </row>
        <row r="690">
          <cell r="A690">
            <v>41569</v>
          </cell>
          <cell r="B690">
            <v>0.40226083862325102</v>
          </cell>
        </row>
        <row r="691">
          <cell r="A691">
            <v>41570</v>
          </cell>
          <cell r="B691">
            <v>0.40226083862325102</v>
          </cell>
        </row>
        <row r="692">
          <cell r="A692">
            <v>41571</v>
          </cell>
          <cell r="B692">
            <v>0.44174331286746599</v>
          </cell>
        </row>
        <row r="693">
          <cell r="A693">
            <v>41572</v>
          </cell>
          <cell r="B693">
            <v>0.44174331286746599</v>
          </cell>
        </row>
        <row r="694">
          <cell r="A694">
            <v>41577</v>
          </cell>
          <cell r="B694">
            <v>0.44174331286746599</v>
          </cell>
        </row>
        <row r="695">
          <cell r="A695">
            <v>41578</v>
          </cell>
          <cell r="B695">
            <v>0.46054051472194202</v>
          </cell>
        </row>
        <row r="696">
          <cell r="A696">
            <v>41579</v>
          </cell>
          <cell r="B696">
            <v>0.45992799651573901</v>
          </cell>
        </row>
        <row r="697">
          <cell r="A697">
            <v>41582</v>
          </cell>
          <cell r="B697">
            <v>0.45992799651573901</v>
          </cell>
        </row>
        <row r="698">
          <cell r="A698">
            <v>41583</v>
          </cell>
          <cell r="B698">
            <v>0.45992799651573901</v>
          </cell>
        </row>
        <row r="699">
          <cell r="A699">
            <v>41584</v>
          </cell>
          <cell r="B699">
            <v>0.45992799651573901</v>
          </cell>
        </row>
        <row r="700">
          <cell r="A700">
            <v>41585</v>
          </cell>
          <cell r="B700">
            <v>0.42914615919681298</v>
          </cell>
        </row>
        <row r="701">
          <cell r="A701">
            <v>41586</v>
          </cell>
          <cell r="B701">
            <v>0.42914615919681298</v>
          </cell>
        </row>
        <row r="702">
          <cell r="A702">
            <v>41590</v>
          </cell>
          <cell r="B702">
            <v>0.42914615919681298</v>
          </cell>
        </row>
        <row r="703">
          <cell r="A703">
            <v>41593</v>
          </cell>
          <cell r="B703">
            <v>0.38756459325455</v>
          </cell>
        </row>
        <row r="704">
          <cell r="A704">
            <v>41596</v>
          </cell>
          <cell r="B704">
            <v>0.38756459325455</v>
          </cell>
        </row>
        <row r="705">
          <cell r="A705">
            <v>41597</v>
          </cell>
          <cell r="B705">
            <v>0.38756459325455</v>
          </cell>
        </row>
        <row r="706">
          <cell r="A706">
            <v>41598</v>
          </cell>
          <cell r="B706">
            <v>0.38756459325455</v>
          </cell>
        </row>
        <row r="707">
          <cell r="A707">
            <v>41599</v>
          </cell>
          <cell r="B707">
            <v>0.41376095810168201</v>
          </cell>
        </row>
        <row r="708">
          <cell r="A708">
            <v>41600</v>
          </cell>
          <cell r="B708">
            <v>0.41376095810168201</v>
          </cell>
        </row>
        <row r="709">
          <cell r="A709">
            <v>41603</v>
          </cell>
          <cell r="B709">
            <v>0.41376095810168201</v>
          </cell>
        </row>
        <row r="710">
          <cell r="A710">
            <v>41604</v>
          </cell>
          <cell r="B710">
            <v>0.41376095810168201</v>
          </cell>
        </row>
        <row r="711">
          <cell r="A711">
            <v>41605</v>
          </cell>
          <cell r="B711">
            <v>0.39685395177288302</v>
          </cell>
        </row>
        <row r="712">
          <cell r="A712">
            <v>41610</v>
          </cell>
          <cell r="B712">
            <v>0.39163572008716802</v>
          </cell>
        </row>
        <row r="713">
          <cell r="A713">
            <v>41611</v>
          </cell>
          <cell r="B713">
            <v>0.39163572008716802</v>
          </cell>
        </row>
        <row r="714">
          <cell r="A714">
            <v>41612</v>
          </cell>
          <cell r="B714">
            <v>0.39163572008716802</v>
          </cell>
        </row>
        <row r="715">
          <cell r="A715">
            <v>41613</v>
          </cell>
          <cell r="B715">
            <v>0.347358703685412</v>
          </cell>
        </row>
        <row r="716">
          <cell r="A716">
            <v>41614</v>
          </cell>
          <cell r="B716">
            <v>0.347358703685412</v>
          </cell>
        </row>
        <row r="717">
          <cell r="A717">
            <v>41617</v>
          </cell>
          <cell r="B717">
            <v>0.347358703685412</v>
          </cell>
        </row>
        <row r="718">
          <cell r="A718">
            <v>41618</v>
          </cell>
          <cell r="B718">
            <v>0.347358703685412</v>
          </cell>
        </row>
        <row r="719">
          <cell r="A719">
            <v>41619</v>
          </cell>
          <cell r="B719">
            <v>0.347358703685412</v>
          </cell>
        </row>
        <row r="720">
          <cell r="A720">
            <v>41620</v>
          </cell>
          <cell r="B720">
            <v>0.37050298104882501</v>
          </cell>
        </row>
        <row r="721">
          <cell r="A721">
            <v>41621</v>
          </cell>
          <cell r="B721">
            <v>0.37050298104882501</v>
          </cell>
        </row>
        <row r="722">
          <cell r="A722">
            <v>41624</v>
          </cell>
          <cell r="B722">
            <v>0.37050298104882501</v>
          </cell>
        </row>
        <row r="723">
          <cell r="A723">
            <v>41626</v>
          </cell>
          <cell r="B723">
            <v>0.37050298104882501</v>
          </cell>
        </row>
        <row r="724">
          <cell r="A724">
            <v>41627</v>
          </cell>
          <cell r="B724">
            <v>0.33802122298332299</v>
          </cell>
        </row>
        <row r="725">
          <cell r="A725">
            <v>41628</v>
          </cell>
          <cell r="B725">
            <v>0.33802122298332299</v>
          </cell>
        </row>
        <row r="726">
          <cell r="A726">
            <v>41631</v>
          </cell>
          <cell r="B726">
            <v>0.33802122298332299</v>
          </cell>
        </row>
        <row r="727">
          <cell r="A727">
            <v>41632</v>
          </cell>
          <cell r="B727">
            <v>0.33802122298332299</v>
          </cell>
        </row>
        <row r="728">
          <cell r="A728">
            <v>41634</v>
          </cell>
          <cell r="B728">
            <v>0.32957871451229898</v>
          </cell>
        </row>
        <row r="729">
          <cell r="A729">
            <v>41635</v>
          </cell>
          <cell r="B729">
            <v>0.32957871451229898</v>
          </cell>
        </row>
        <row r="730">
          <cell r="A730">
            <v>41638</v>
          </cell>
          <cell r="B730">
            <v>0.32957871451229898</v>
          </cell>
        </row>
        <row r="731">
          <cell r="A731">
            <v>41639</v>
          </cell>
          <cell r="B731">
            <v>0.32957871451229898</v>
          </cell>
        </row>
        <row r="732">
          <cell r="A732">
            <v>41641</v>
          </cell>
          <cell r="B732">
            <v>0.273381996337976</v>
          </cell>
        </row>
        <row r="733">
          <cell r="A733">
            <v>41642</v>
          </cell>
          <cell r="B733">
            <v>0.273381996337976</v>
          </cell>
        </row>
        <row r="734">
          <cell r="A734">
            <v>41645</v>
          </cell>
          <cell r="B734">
            <v>0.273381996337976</v>
          </cell>
        </row>
        <row r="735">
          <cell r="A735">
            <v>41646</v>
          </cell>
          <cell r="B735">
            <v>0.273381996337976</v>
          </cell>
        </row>
        <row r="736">
          <cell r="A736">
            <v>41648</v>
          </cell>
          <cell r="B736">
            <v>0.28943231649708401</v>
          </cell>
        </row>
        <row r="737">
          <cell r="A737">
            <v>41649</v>
          </cell>
          <cell r="B737">
            <v>0.28943231649708401</v>
          </cell>
        </row>
        <row r="738">
          <cell r="A738">
            <v>41652</v>
          </cell>
          <cell r="B738">
            <v>0.28943231649708401</v>
          </cell>
        </row>
        <row r="739">
          <cell r="A739">
            <v>41653</v>
          </cell>
          <cell r="B739">
            <v>0.28943231649708401</v>
          </cell>
        </row>
        <row r="740">
          <cell r="A740">
            <v>41654</v>
          </cell>
          <cell r="B740">
            <v>0.28943231649708401</v>
          </cell>
        </row>
        <row r="741">
          <cell r="A741">
            <v>41655</v>
          </cell>
          <cell r="B741">
            <v>0.36765798039511299</v>
          </cell>
        </row>
        <row r="742">
          <cell r="A742">
            <v>41656</v>
          </cell>
          <cell r="B742">
            <v>0.36765798039511299</v>
          </cell>
        </row>
        <row r="743">
          <cell r="A743">
            <v>41660</v>
          </cell>
          <cell r="B743">
            <v>0.36765798039511299</v>
          </cell>
        </row>
        <row r="744">
          <cell r="A744">
            <v>41661</v>
          </cell>
          <cell r="B744">
            <v>0.36765798039511299</v>
          </cell>
        </row>
        <row r="745">
          <cell r="A745">
            <v>41662</v>
          </cell>
          <cell r="B745">
            <v>0.37084428304329597</v>
          </cell>
        </row>
        <row r="746">
          <cell r="A746">
            <v>41663</v>
          </cell>
          <cell r="B746">
            <v>0.37084428304329597</v>
          </cell>
        </row>
        <row r="747">
          <cell r="A747">
            <v>41666</v>
          </cell>
          <cell r="B747">
            <v>0.37084428304329597</v>
          </cell>
        </row>
        <row r="748">
          <cell r="A748">
            <v>41667</v>
          </cell>
          <cell r="B748">
            <v>0.37084428304329597</v>
          </cell>
        </row>
        <row r="749">
          <cell r="A749">
            <v>41668</v>
          </cell>
          <cell r="B749">
            <v>0.37084428304329597</v>
          </cell>
        </row>
        <row r="750">
          <cell r="A750">
            <v>41669</v>
          </cell>
          <cell r="B750">
            <v>0.38154102604960499</v>
          </cell>
        </row>
        <row r="751">
          <cell r="A751">
            <v>41670</v>
          </cell>
          <cell r="B751">
            <v>0.38154102604960499</v>
          </cell>
        </row>
        <row r="752">
          <cell r="A752">
            <v>41673</v>
          </cell>
          <cell r="B752">
            <v>0.37772565332895602</v>
          </cell>
        </row>
        <row r="753">
          <cell r="A753">
            <v>41674</v>
          </cell>
          <cell r="B753">
            <v>0.37772565332895602</v>
          </cell>
        </row>
        <row r="754">
          <cell r="A754">
            <v>41675</v>
          </cell>
          <cell r="B754">
            <v>0.37772565332895602</v>
          </cell>
        </row>
        <row r="755">
          <cell r="A755">
            <v>41676</v>
          </cell>
          <cell r="B755">
            <v>0.39983029630913802</v>
          </cell>
        </row>
        <row r="756">
          <cell r="A756">
            <v>41677</v>
          </cell>
          <cell r="B756">
            <v>0.39983029630913802</v>
          </cell>
        </row>
        <row r="757">
          <cell r="A757">
            <v>41680</v>
          </cell>
          <cell r="B757">
            <v>0.39983029630913802</v>
          </cell>
        </row>
        <row r="758">
          <cell r="A758">
            <v>41681</v>
          </cell>
          <cell r="B758">
            <v>0.39983029630913802</v>
          </cell>
        </row>
        <row r="759">
          <cell r="A759">
            <v>41682</v>
          </cell>
          <cell r="B759">
            <v>0.39983029630913802</v>
          </cell>
        </row>
        <row r="760">
          <cell r="A760">
            <v>41683</v>
          </cell>
          <cell r="B760">
            <v>0.385235227392075</v>
          </cell>
        </row>
        <row r="761">
          <cell r="A761">
            <v>41684</v>
          </cell>
          <cell r="B761">
            <v>0.385235227392075</v>
          </cell>
        </row>
        <row r="762">
          <cell r="A762">
            <v>41688</v>
          </cell>
          <cell r="B762">
            <v>0.385235227392075</v>
          </cell>
        </row>
        <row r="763">
          <cell r="A763">
            <v>41689</v>
          </cell>
          <cell r="B763">
            <v>0.385235227392075</v>
          </cell>
        </row>
        <row r="764">
          <cell r="A764">
            <v>41690</v>
          </cell>
          <cell r="B764">
            <v>0.375411030467661</v>
          </cell>
        </row>
        <row r="765">
          <cell r="A765">
            <v>41691</v>
          </cell>
          <cell r="B765">
            <v>0.375411030467661</v>
          </cell>
        </row>
        <row r="766">
          <cell r="A766">
            <v>41694</v>
          </cell>
          <cell r="B766">
            <v>0.375411030467661</v>
          </cell>
        </row>
        <row r="767">
          <cell r="A767">
            <v>41695</v>
          </cell>
          <cell r="B767">
            <v>0.375411030467661</v>
          </cell>
        </row>
        <row r="768">
          <cell r="A768">
            <v>41696</v>
          </cell>
          <cell r="B768">
            <v>0.375411030467661</v>
          </cell>
        </row>
        <row r="769">
          <cell r="A769">
            <v>41697</v>
          </cell>
          <cell r="B769">
            <v>0.36950911021955302</v>
          </cell>
        </row>
        <row r="770">
          <cell r="A770">
            <v>41698</v>
          </cell>
          <cell r="B770">
            <v>0.36950911021955302</v>
          </cell>
        </row>
        <row r="771">
          <cell r="A771">
            <v>41701</v>
          </cell>
          <cell r="B771">
            <v>0.36618748344447</v>
          </cell>
        </row>
        <row r="772">
          <cell r="A772">
            <v>41702</v>
          </cell>
          <cell r="B772">
            <v>0.36618748344447</v>
          </cell>
        </row>
        <row r="773">
          <cell r="A773">
            <v>41703</v>
          </cell>
          <cell r="B773">
            <v>0.36618748344447</v>
          </cell>
        </row>
        <row r="774">
          <cell r="A774">
            <v>41704</v>
          </cell>
          <cell r="B774">
            <v>0.38305038505575201</v>
          </cell>
        </row>
        <row r="775">
          <cell r="A775">
            <v>41705</v>
          </cell>
          <cell r="B775">
            <v>0.38305038505575201</v>
          </cell>
        </row>
        <row r="776">
          <cell r="A776">
            <v>41708</v>
          </cell>
          <cell r="B776">
            <v>0.38305038505575201</v>
          </cell>
        </row>
        <row r="777">
          <cell r="A777">
            <v>41709</v>
          </cell>
          <cell r="B777">
            <v>0.38305038505575201</v>
          </cell>
        </row>
        <row r="778">
          <cell r="A778">
            <v>41710</v>
          </cell>
          <cell r="B778">
            <v>0.38305038505575201</v>
          </cell>
        </row>
        <row r="779">
          <cell r="A779">
            <v>41711</v>
          </cell>
          <cell r="B779">
            <v>0.36618748344447</v>
          </cell>
        </row>
        <row r="780">
          <cell r="A780">
            <v>41712</v>
          </cell>
          <cell r="B780">
            <v>0.36618748344447</v>
          </cell>
        </row>
        <row r="781">
          <cell r="A781">
            <v>41715</v>
          </cell>
          <cell r="B781">
            <v>0.36618748344447</v>
          </cell>
        </row>
        <row r="782">
          <cell r="A782">
            <v>41716</v>
          </cell>
          <cell r="B782">
            <v>0.36618748344447</v>
          </cell>
        </row>
        <row r="783">
          <cell r="A783">
            <v>41717</v>
          </cell>
          <cell r="B783">
            <v>0.36618748344447</v>
          </cell>
        </row>
        <row r="784">
          <cell r="A784">
            <v>41718</v>
          </cell>
          <cell r="B784">
            <v>0.37473459168456602</v>
          </cell>
        </row>
        <row r="785">
          <cell r="A785">
            <v>41719</v>
          </cell>
          <cell r="B785">
            <v>0.37473459168456602</v>
          </cell>
        </row>
        <row r="786">
          <cell r="A786">
            <v>41722</v>
          </cell>
          <cell r="B786">
            <v>0.37473459168456602</v>
          </cell>
        </row>
        <row r="787">
          <cell r="A787">
            <v>41723</v>
          </cell>
          <cell r="B787">
            <v>0.37473459168456602</v>
          </cell>
        </row>
        <row r="788">
          <cell r="A788">
            <v>41724</v>
          </cell>
          <cell r="B788">
            <v>0.37473459168456602</v>
          </cell>
        </row>
        <row r="789">
          <cell r="A789">
            <v>41725</v>
          </cell>
          <cell r="B789">
            <v>0.36106783694827599</v>
          </cell>
        </row>
        <row r="790">
          <cell r="A790">
            <v>41726</v>
          </cell>
          <cell r="B790">
            <v>0.36106783694827599</v>
          </cell>
        </row>
        <row r="791">
          <cell r="A791">
            <v>41729</v>
          </cell>
          <cell r="B791">
            <v>0.36106783694827599</v>
          </cell>
        </row>
        <row r="792">
          <cell r="A792">
            <v>41730</v>
          </cell>
          <cell r="B792">
            <v>0.35665287918352401</v>
          </cell>
        </row>
        <row r="793">
          <cell r="A793">
            <v>41731</v>
          </cell>
          <cell r="B793">
            <v>0.35665287918352401</v>
          </cell>
        </row>
        <row r="794">
          <cell r="A794">
            <v>41732</v>
          </cell>
          <cell r="B794">
            <v>0.35514156438481698</v>
          </cell>
        </row>
        <row r="795">
          <cell r="A795">
            <v>41733</v>
          </cell>
          <cell r="B795">
            <v>0.35514156438481698</v>
          </cell>
        </row>
        <row r="796">
          <cell r="A796">
            <v>41736</v>
          </cell>
          <cell r="B796">
            <v>0.35514156438481698</v>
          </cell>
        </row>
        <row r="797">
          <cell r="A797">
            <v>41737</v>
          </cell>
          <cell r="B797">
            <v>0.35514156438481698</v>
          </cell>
        </row>
        <row r="798">
          <cell r="A798">
            <v>41738</v>
          </cell>
          <cell r="B798">
            <v>0.35514156438481698</v>
          </cell>
        </row>
        <row r="799">
          <cell r="A799">
            <v>41739</v>
          </cell>
          <cell r="B799">
            <v>0.36665858727100598</v>
          </cell>
        </row>
        <row r="800">
          <cell r="A800">
            <v>41740</v>
          </cell>
          <cell r="B800">
            <v>0.36665858727100598</v>
          </cell>
        </row>
        <row r="801">
          <cell r="A801">
            <v>41743</v>
          </cell>
          <cell r="B801">
            <v>0.36665858727100598</v>
          </cell>
        </row>
        <row r="802">
          <cell r="A802">
            <v>41744</v>
          </cell>
          <cell r="B802">
            <v>0.36665858727100598</v>
          </cell>
        </row>
        <row r="803">
          <cell r="A803">
            <v>41745</v>
          </cell>
          <cell r="B803">
            <v>0.36665858727100598</v>
          </cell>
        </row>
        <row r="804">
          <cell r="A804">
            <v>41746</v>
          </cell>
          <cell r="B804">
            <v>0.38166972699665502</v>
          </cell>
        </row>
        <row r="805">
          <cell r="A805">
            <v>41750</v>
          </cell>
          <cell r="B805">
            <v>0.38166972699665502</v>
          </cell>
        </row>
        <row r="806">
          <cell r="A806">
            <v>41751</v>
          </cell>
          <cell r="B806">
            <v>0.38166972699665502</v>
          </cell>
        </row>
        <row r="807">
          <cell r="A807">
            <v>41752</v>
          </cell>
          <cell r="B807">
            <v>0.38166972699665502</v>
          </cell>
        </row>
        <row r="808">
          <cell r="A808">
            <v>41753</v>
          </cell>
          <cell r="B808">
            <v>0.36809292035715802</v>
          </cell>
        </row>
        <row r="809">
          <cell r="A809">
            <v>41754</v>
          </cell>
          <cell r="B809">
            <v>0.36809292035715802</v>
          </cell>
        </row>
        <row r="810">
          <cell r="A810">
            <v>41757</v>
          </cell>
          <cell r="B810">
            <v>0.36809292035715802</v>
          </cell>
        </row>
        <row r="811">
          <cell r="A811">
            <v>41758</v>
          </cell>
          <cell r="B811">
            <v>0.36809292035715802</v>
          </cell>
        </row>
        <row r="812">
          <cell r="A812">
            <v>41759</v>
          </cell>
          <cell r="B812">
            <v>0.36809292035715802</v>
          </cell>
        </row>
        <row r="813">
          <cell r="A813">
            <v>41760</v>
          </cell>
          <cell r="B813">
            <v>0.37329753351950501</v>
          </cell>
        </row>
        <row r="814">
          <cell r="A814">
            <v>41761</v>
          </cell>
          <cell r="B814">
            <v>0.37329753351950501</v>
          </cell>
        </row>
        <row r="815">
          <cell r="A815">
            <v>41764</v>
          </cell>
          <cell r="B815">
            <v>0.37329753351950501</v>
          </cell>
        </row>
        <row r="816">
          <cell r="A816">
            <v>41765</v>
          </cell>
          <cell r="B816">
            <v>0.37329753351950501</v>
          </cell>
        </row>
        <row r="817">
          <cell r="A817">
            <v>41766</v>
          </cell>
          <cell r="B817">
            <v>0.37329753351950501</v>
          </cell>
        </row>
        <row r="818">
          <cell r="A818">
            <v>41767</v>
          </cell>
          <cell r="B818">
            <v>0.40121753760358098</v>
          </cell>
        </row>
        <row r="819">
          <cell r="A819">
            <v>41768</v>
          </cell>
          <cell r="B819">
            <v>0.40121753760358098</v>
          </cell>
        </row>
        <row r="820">
          <cell r="A820">
            <v>41771</v>
          </cell>
          <cell r="B820">
            <v>0.40121753760358098</v>
          </cell>
        </row>
        <row r="821">
          <cell r="A821">
            <v>41772</v>
          </cell>
          <cell r="B821">
            <v>0.40121753760358098</v>
          </cell>
        </row>
        <row r="822">
          <cell r="A822">
            <v>41773</v>
          </cell>
          <cell r="B822">
            <v>0.40121753760358098</v>
          </cell>
        </row>
        <row r="823">
          <cell r="A823">
            <v>41774</v>
          </cell>
          <cell r="B823">
            <v>0.40418715867892502</v>
          </cell>
        </row>
        <row r="824">
          <cell r="A824">
            <v>41775</v>
          </cell>
          <cell r="B824">
            <v>0.40418715867892502</v>
          </cell>
        </row>
        <row r="825">
          <cell r="A825">
            <v>41778</v>
          </cell>
          <cell r="B825">
            <v>0.40418715867892502</v>
          </cell>
        </row>
        <row r="826">
          <cell r="A826">
            <v>41779</v>
          </cell>
          <cell r="B826">
            <v>0.40418715867892502</v>
          </cell>
        </row>
        <row r="827">
          <cell r="A827">
            <v>41780</v>
          </cell>
          <cell r="B827">
            <v>0.40418715867892502</v>
          </cell>
        </row>
        <row r="828">
          <cell r="A828">
            <v>41781</v>
          </cell>
          <cell r="B828">
            <v>0.43156044404796001</v>
          </cell>
        </row>
        <row r="829">
          <cell r="A829">
            <v>41782</v>
          </cell>
          <cell r="B829">
            <v>0.43156044404796001</v>
          </cell>
        </row>
        <row r="830">
          <cell r="A830">
            <v>41786</v>
          </cell>
          <cell r="B830">
            <v>0.43156044404796001</v>
          </cell>
        </row>
        <row r="831">
          <cell r="A831">
            <v>41787</v>
          </cell>
          <cell r="B831">
            <v>0.43156044404796001</v>
          </cell>
        </row>
        <row r="832">
          <cell r="A832">
            <v>41788</v>
          </cell>
          <cell r="B832">
            <v>0.44289145430937299</v>
          </cell>
        </row>
        <row r="833">
          <cell r="A833">
            <v>41789</v>
          </cell>
          <cell r="B833">
            <v>0.44289145430937299</v>
          </cell>
        </row>
        <row r="834">
          <cell r="A834">
            <v>41792</v>
          </cell>
          <cell r="B834">
            <v>0.44150761506791297</v>
          </cell>
        </row>
        <row r="835">
          <cell r="A835">
            <v>41793</v>
          </cell>
          <cell r="B835">
            <v>0.44150761506791297</v>
          </cell>
        </row>
        <row r="836">
          <cell r="A836">
            <v>41794</v>
          </cell>
          <cell r="B836">
            <v>0.44150761506791297</v>
          </cell>
        </row>
        <row r="837">
          <cell r="A837">
            <v>41795</v>
          </cell>
          <cell r="B837">
            <v>0.429907169996321</v>
          </cell>
        </row>
        <row r="838">
          <cell r="A838">
            <v>41796</v>
          </cell>
          <cell r="B838">
            <v>0.429907169996321</v>
          </cell>
        </row>
        <row r="839">
          <cell r="A839">
            <v>41799</v>
          </cell>
          <cell r="B839">
            <v>0.429907169996321</v>
          </cell>
        </row>
        <row r="840">
          <cell r="A840">
            <v>41800</v>
          </cell>
          <cell r="B840">
            <v>0.429907169996321</v>
          </cell>
        </row>
        <row r="841">
          <cell r="A841">
            <v>41801</v>
          </cell>
          <cell r="B841">
            <v>0.429907169996321</v>
          </cell>
        </row>
        <row r="842">
          <cell r="A842">
            <v>41802</v>
          </cell>
          <cell r="B842">
            <v>0.40128471016646999</v>
          </cell>
        </row>
        <row r="843">
          <cell r="A843">
            <v>41803</v>
          </cell>
          <cell r="B843">
            <v>0.40128471016646999</v>
          </cell>
        </row>
        <row r="844">
          <cell r="A844">
            <v>41806</v>
          </cell>
          <cell r="B844">
            <v>0.40128471016646999</v>
          </cell>
        </row>
        <row r="845">
          <cell r="A845">
            <v>41807</v>
          </cell>
          <cell r="B845">
            <v>0.40128471016646999</v>
          </cell>
        </row>
        <row r="846">
          <cell r="A846">
            <v>41808</v>
          </cell>
          <cell r="B846">
            <v>0.40128471016646999</v>
          </cell>
        </row>
        <row r="847">
          <cell r="A847">
            <v>41809</v>
          </cell>
          <cell r="B847">
            <v>0.41370374077875499</v>
          </cell>
        </row>
        <row r="848">
          <cell r="A848">
            <v>41810</v>
          </cell>
          <cell r="B848">
            <v>0.41370374077875499</v>
          </cell>
        </row>
        <row r="849">
          <cell r="A849">
            <v>41813</v>
          </cell>
          <cell r="B849">
            <v>0.41370374077875499</v>
          </cell>
        </row>
        <row r="850">
          <cell r="A850">
            <v>41814</v>
          </cell>
          <cell r="B850">
            <v>0.41370374077875499</v>
          </cell>
        </row>
        <row r="851">
          <cell r="A851">
            <v>41815</v>
          </cell>
          <cell r="B851">
            <v>0.41370374077875499</v>
          </cell>
        </row>
        <row r="852">
          <cell r="A852">
            <v>41816</v>
          </cell>
          <cell r="B852">
            <v>0.429907169996321</v>
          </cell>
        </row>
        <row r="853">
          <cell r="A853">
            <v>41817</v>
          </cell>
          <cell r="B853">
            <v>0.429907169996321</v>
          </cell>
        </row>
        <row r="854">
          <cell r="A854">
            <v>41820</v>
          </cell>
          <cell r="B854">
            <v>0.429907169996321</v>
          </cell>
        </row>
        <row r="855">
          <cell r="A855">
            <v>41821</v>
          </cell>
          <cell r="B855">
            <v>0.42761316319375098</v>
          </cell>
        </row>
        <row r="856">
          <cell r="A856">
            <v>41822</v>
          </cell>
          <cell r="B856">
            <v>0.42761316319375098</v>
          </cell>
        </row>
        <row r="857">
          <cell r="A857">
            <v>41823</v>
          </cell>
          <cell r="B857">
            <v>0.43906416657041802</v>
          </cell>
        </row>
        <row r="858">
          <cell r="A858">
            <v>41827</v>
          </cell>
          <cell r="B858">
            <v>0.43906416657041802</v>
          </cell>
        </row>
        <row r="859">
          <cell r="A859">
            <v>41828</v>
          </cell>
          <cell r="B859">
            <v>0.43906416657041802</v>
          </cell>
        </row>
        <row r="860">
          <cell r="A860">
            <v>41829</v>
          </cell>
          <cell r="B860">
            <v>0.43906416657041802</v>
          </cell>
        </row>
        <row r="861">
          <cell r="A861">
            <v>41830</v>
          </cell>
          <cell r="B861">
            <v>0.420794457847457</v>
          </cell>
        </row>
        <row r="862">
          <cell r="A862">
            <v>41831</v>
          </cell>
          <cell r="B862">
            <v>0.420794457847457</v>
          </cell>
        </row>
        <row r="863">
          <cell r="A863">
            <v>41834</v>
          </cell>
          <cell r="B863">
            <v>0.420794457847457</v>
          </cell>
        </row>
        <row r="864">
          <cell r="A864">
            <v>41835</v>
          </cell>
          <cell r="B864">
            <v>0.420794457847457</v>
          </cell>
        </row>
        <row r="865">
          <cell r="A865">
            <v>41836</v>
          </cell>
          <cell r="B865">
            <v>0.420794457847457</v>
          </cell>
        </row>
        <row r="866">
          <cell r="A866">
            <v>41837</v>
          </cell>
          <cell r="B866">
            <v>0.43231309412176999</v>
          </cell>
        </row>
        <row r="867">
          <cell r="A867">
            <v>41838</v>
          </cell>
          <cell r="B867">
            <v>0.43231309412176999</v>
          </cell>
        </row>
        <row r="868">
          <cell r="A868">
            <v>41841</v>
          </cell>
          <cell r="B868">
            <v>0.43231309412176999</v>
          </cell>
        </row>
        <row r="869">
          <cell r="A869">
            <v>41842</v>
          </cell>
          <cell r="B869">
            <v>0.43231309412176999</v>
          </cell>
        </row>
        <row r="870">
          <cell r="A870">
            <v>41843</v>
          </cell>
          <cell r="B870">
            <v>0.43231309412176999</v>
          </cell>
        </row>
        <row r="871">
          <cell r="A871">
            <v>41844</v>
          </cell>
          <cell r="B871">
            <v>0.43231309412176999</v>
          </cell>
        </row>
        <row r="872">
          <cell r="A872">
            <v>41845</v>
          </cell>
          <cell r="B872">
            <v>0.43231309412176999</v>
          </cell>
        </row>
        <row r="873">
          <cell r="A873">
            <v>41848</v>
          </cell>
          <cell r="B873">
            <v>0.43231309412176999</v>
          </cell>
        </row>
        <row r="874">
          <cell r="A874">
            <v>41849</v>
          </cell>
          <cell r="B874">
            <v>0.43231309412176999</v>
          </cell>
        </row>
        <row r="875">
          <cell r="A875">
            <v>41850</v>
          </cell>
          <cell r="B875">
            <v>0.43231309412176999</v>
          </cell>
        </row>
        <row r="876">
          <cell r="A876">
            <v>41851</v>
          </cell>
          <cell r="B876">
            <v>0.43906416657041802</v>
          </cell>
        </row>
        <row r="877">
          <cell r="A877">
            <v>41852</v>
          </cell>
          <cell r="B877">
            <v>0.43538889187038299</v>
          </cell>
        </row>
        <row r="878">
          <cell r="A878">
            <v>41855</v>
          </cell>
          <cell r="B878">
            <v>0.43538889187038299</v>
          </cell>
        </row>
        <row r="879">
          <cell r="A879">
            <v>41856</v>
          </cell>
          <cell r="B879">
            <v>0.43538889187038299</v>
          </cell>
        </row>
        <row r="880">
          <cell r="A880">
            <v>41857</v>
          </cell>
          <cell r="B880">
            <v>0.43538889187038299</v>
          </cell>
        </row>
        <row r="881">
          <cell r="A881">
            <v>41858</v>
          </cell>
          <cell r="B881">
            <v>0.42413376349642801</v>
          </cell>
        </row>
        <row r="882">
          <cell r="A882">
            <v>41859</v>
          </cell>
          <cell r="B882">
            <v>0.42413376349642801</v>
          </cell>
        </row>
        <row r="883">
          <cell r="A883">
            <v>41862</v>
          </cell>
          <cell r="B883">
            <v>0.42413376349642801</v>
          </cell>
        </row>
        <row r="884">
          <cell r="A884">
            <v>41863</v>
          </cell>
          <cell r="B884">
            <v>0.42413376349642801</v>
          </cell>
        </row>
        <row r="885">
          <cell r="A885">
            <v>41864</v>
          </cell>
          <cell r="B885">
            <v>0.42413376349642801</v>
          </cell>
        </row>
        <row r="886">
          <cell r="A886">
            <v>41865</v>
          </cell>
          <cell r="B886">
            <v>0.43538889187038299</v>
          </cell>
        </row>
        <row r="887">
          <cell r="A887">
            <v>41866</v>
          </cell>
          <cell r="B887">
            <v>0.43538889187038299</v>
          </cell>
        </row>
        <row r="888">
          <cell r="A888">
            <v>41869</v>
          </cell>
          <cell r="B888">
            <v>0.43538889187038299</v>
          </cell>
        </row>
        <row r="889">
          <cell r="A889">
            <v>41870</v>
          </cell>
          <cell r="B889">
            <v>0.43538889187038299</v>
          </cell>
        </row>
        <row r="890">
          <cell r="A890">
            <v>41871</v>
          </cell>
          <cell r="B890">
            <v>0.43538889187038299</v>
          </cell>
        </row>
        <row r="891">
          <cell r="A891">
            <v>41872</v>
          </cell>
          <cell r="B891">
            <v>0.45105980423070802</v>
          </cell>
        </row>
        <row r="892">
          <cell r="A892">
            <v>41873</v>
          </cell>
          <cell r="B892">
            <v>0.45105980423070802</v>
          </cell>
        </row>
        <row r="893">
          <cell r="A893">
            <v>41876</v>
          </cell>
          <cell r="B893">
            <v>0.45105980423070802</v>
          </cell>
        </row>
        <row r="894">
          <cell r="A894">
            <v>41877</v>
          </cell>
          <cell r="B894">
            <v>0.45105980423070802</v>
          </cell>
        </row>
        <row r="895">
          <cell r="A895">
            <v>41878</v>
          </cell>
          <cell r="B895">
            <v>0.45105980423070802</v>
          </cell>
        </row>
        <row r="896">
          <cell r="A896">
            <v>41879</v>
          </cell>
          <cell r="B896">
            <v>0.45105980423070802</v>
          </cell>
        </row>
        <row r="897">
          <cell r="A897">
            <v>41880</v>
          </cell>
          <cell r="B897">
            <v>0.45105980423070802</v>
          </cell>
        </row>
        <row r="898">
          <cell r="A898">
            <v>41884</v>
          </cell>
          <cell r="B898">
            <v>0.44686834225614502</v>
          </cell>
        </row>
        <row r="899">
          <cell r="A899">
            <v>41885</v>
          </cell>
          <cell r="B899">
            <v>0.44686834225614502</v>
          </cell>
        </row>
        <row r="900">
          <cell r="A900">
            <v>41886</v>
          </cell>
          <cell r="B900">
            <v>0.44686834225614502</v>
          </cell>
        </row>
        <row r="901">
          <cell r="A901">
            <v>41887</v>
          </cell>
          <cell r="B901">
            <v>0.44686834225614502</v>
          </cell>
        </row>
        <row r="902">
          <cell r="A902">
            <v>41890</v>
          </cell>
          <cell r="B902">
            <v>0.44686834225614502</v>
          </cell>
        </row>
        <row r="903">
          <cell r="A903">
            <v>41891</v>
          </cell>
          <cell r="B903">
            <v>0.44686834225614502</v>
          </cell>
        </row>
        <row r="904">
          <cell r="A904">
            <v>41892</v>
          </cell>
          <cell r="B904">
            <v>0.44686834225614502</v>
          </cell>
        </row>
        <row r="905">
          <cell r="A905">
            <v>41893</v>
          </cell>
          <cell r="B905">
            <v>0.43119648526610799</v>
          </cell>
        </row>
        <row r="906">
          <cell r="A906">
            <v>41894</v>
          </cell>
          <cell r="B906">
            <v>0.43119648526610799</v>
          </cell>
        </row>
        <row r="907">
          <cell r="A907">
            <v>41897</v>
          </cell>
          <cell r="B907">
            <v>0.43119648526610799</v>
          </cell>
        </row>
        <row r="908">
          <cell r="A908">
            <v>41898</v>
          </cell>
          <cell r="B908">
            <v>0.43119648526610799</v>
          </cell>
        </row>
        <row r="909">
          <cell r="A909">
            <v>41899</v>
          </cell>
          <cell r="B909">
            <v>0.43119648526610799</v>
          </cell>
        </row>
        <row r="910">
          <cell r="A910">
            <v>41900</v>
          </cell>
          <cell r="B910">
            <v>0.37422484012928398</v>
          </cell>
        </row>
        <row r="911">
          <cell r="A911">
            <v>41901</v>
          </cell>
          <cell r="B911">
            <v>0.37422484012928398</v>
          </cell>
        </row>
        <row r="912">
          <cell r="A912">
            <v>41904</v>
          </cell>
          <cell r="B912">
            <v>0.37422484012928398</v>
          </cell>
        </row>
        <row r="913">
          <cell r="A913">
            <v>41905</v>
          </cell>
          <cell r="B913">
            <v>0.37422484012928398</v>
          </cell>
        </row>
        <row r="914">
          <cell r="A914">
            <v>41906</v>
          </cell>
          <cell r="B914">
            <v>0.37422484012928398</v>
          </cell>
        </row>
        <row r="915">
          <cell r="A915">
            <v>41907</v>
          </cell>
          <cell r="B915">
            <v>0.38870901214480402</v>
          </cell>
        </row>
        <row r="916">
          <cell r="A916">
            <v>41908</v>
          </cell>
          <cell r="B916">
            <v>0.38870901214480402</v>
          </cell>
        </row>
        <row r="917">
          <cell r="A917">
            <v>41911</v>
          </cell>
          <cell r="B917">
            <v>0.38870901214480402</v>
          </cell>
        </row>
        <row r="918">
          <cell r="A918">
            <v>41912</v>
          </cell>
          <cell r="B918">
            <v>0.38870901214480402</v>
          </cell>
        </row>
        <row r="919">
          <cell r="A919">
            <v>41913</v>
          </cell>
          <cell r="B919">
            <v>0.38430847776478</v>
          </cell>
        </row>
        <row r="920">
          <cell r="A920">
            <v>41914</v>
          </cell>
          <cell r="B920">
            <v>0.38901935972403701</v>
          </cell>
        </row>
        <row r="921">
          <cell r="A921">
            <v>41915</v>
          </cell>
          <cell r="B921">
            <v>0.38901935972403701</v>
          </cell>
        </row>
        <row r="922">
          <cell r="A922">
            <v>41918</v>
          </cell>
          <cell r="B922">
            <v>0.38901935972403701</v>
          </cell>
        </row>
        <row r="923">
          <cell r="A923">
            <v>41919</v>
          </cell>
          <cell r="B923">
            <v>0.38901935972403701</v>
          </cell>
        </row>
        <row r="924">
          <cell r="A924">
            <v>41920</v>
          </cell>
          <cell r="B924">
            <v>0.38901935972403701</v>
          </cell>
        </row>
        <row r="925">
          <cell r="A925">
            <v>41921</v>
          </cell>
          <cell r="B925">
            <v>0.42675826592863297</v>
          </cell>
        </row>
        <row r="926">
          <cell r="A926">
            <v>41922</v>
          </cell>
          <cell r="B926">
            <v>0.42675826592863297</v>
          </cell>
        </row>
        <row r="927">
          <cell r="A927">
            <v>41926</v>
          </cell>
          <cell r="B927">
            <v>0.42675826592863297</v>
          </cell>
        </row>
        <row r="928">
          <cell r="A928">
            <v>41927</v>
          </cell>
          <cell r="B928">
            <v>0.42675826592863297</v>
          </cell>
        </row>
        <row r="929">
          <cell r="A929">
            <v>41928</v>
          </cell>
          <cell r="B929">
            <v>0.54988615852829004</v>
          </cell>
        </row>
        <row r="930">
          <cell r="A930">
            <v>41929</v>
          </cell>
          <cell r="B930">
            <v>0.54988615852829004</v>
          </cell>
        </row>
        <row r="931">
          <cell r="A931">
            <v>41932</v>
          </cell>
          <cell r="B931">
            <v>0.54988615852829004</v>
          </cell>
        </row>
        <row r="932">
          <cell r="A932">
            <v>41933</v>
          </cell>
          <cell r="B932">
            <v>0.54988615852829004</v>
          </cell>
        </row>
        <row r="933">
          <cell r="A933">
            <v>41934</v>
          </cell>
          <cell r="B933">
            <v>0.54988615852829004</v>
          </cell>
        </row>
        <row r="934">
          <cell r="A934">
            <v>41935</v>
          </cell>
          <cell r="B934">
            <v>0.57517284737260699</v>
          </cell>
        </row>
        <row r="935">
          <cell r="A935">
            <v>41936</v>
          </cell>
          <cell r="B935">
            <v>0.57517284737260699</v>
          </cell>
        </row>
        <row r="936">
          <cell r="A936">
            <v>41939</v>
          </cell>
          <cell r="B936">
            <v>0.57517284737260699</v>
          </cell>
        </row>
        <row r="937">
          <cell r="A937">
            <v>41940</v>
          </cell>
          <cell r="B937">
            <v>0.57517284737260699</v>
          </cell>
        </row>
        <row r="938">
          <cell r="A938">
            <v>41941</v>
          </cell>
          <cell r="B938">
            <v>0.57517284737260699</v>
          </cell>
        </row>
        <row r="939">
          <cell r="A939">
            <v>41942</v>
          </cell>
          <cell r="B939">
            <v>0.54355644019764404</v>
          </cell>
        </row>
        <row r="940">
          <cell r="A940">
            <v>41943</v>
          </cell>
          <cell r="B940">
            <v>0.54355644019764404</v>
          </cell>
        </row>
        <row r="941">
          <cell r="A941">
            <v>41946</v>
          </cell>
          <cell r="B941">
            <v>0.54089108147199405</v>
          </cell>
        </row>
        <row r="942">
          <cell r="A942">
            <v>41947</v>
          </cell>
          <cell r="B942">
            <v>0.54089108147199405</v>
          </cell>
        </row>
        <row r="943">
          <cell r="A943">
            <v>41948</v>
          </cell>
          <cell r="B943">
            <v>0.54089108147199405</v>
          </cell>
        </row>
        <row r="944">
          <cell r="A944">
            <v>41949</v>
          </cell>
          <cell r="B944">
            <v>0.505106736466303</v>
          </cell>
        </row>
        <row r="945">
          <cell r="A945">
            <v>41950</v>
          </cell>
          <cell r="B945">
            <v>0.505106736466303</v>
          </cell>
        </row>
        <row r="946">
          <cell r="A946">
            <v>41953</v>
          </cell>
          <cell r="B946">
            <v>0.505106736466303</v>
          </cell>
        </row>
        <row r="947">
          <cell r="A947">
            <v>41955</v>
          </cell>
          <cell r="B947">
            <v>0.505106736466303</v>
          </cell>
        </row>
        <row r="948">
          <cell r="A948">
            <v>41956</v>
          </cell>
          <cell r="B948">
            <v>0.51180256347737196</v>
          </cell>
        </row>
        <row r="949">
          <cell r="A949">
            <v>41957</v>
          </cell>
          <cell r="B949">
            <v>0.51180256347737196</v>
          </cell>
        </row>
        <row r="950">
          <cell r="A950">
            <v>41960</v>
          </cell>
          <cell r="B950">
            <v>0.51180256347737196</v>
          </cell>
        </row>
        <row r="951">
          <cell r="A951">
            <v>41961</v>
          </cell>
          <cell r="B951">
            <v>0.51180256347737196</v>
          </cell>
        </row>
        <row r="952">
          <cell r="A952">
            <v>41962</v>
          </cell>
          <cell r="B952">
            <v>0.51180256347737196</v>
          </cell>
        </row>
        <row r="953">
          <cell r="A953">
            <v>41963</v>
          </cell>
          <cell r="B953">
            <v>0.53125439488383197</v>
          </cell>
        </row>
        <row r="954">
          <cell r="A954">
            <v>41964</v>
          </cell>
          <cell r="B954">
            <v>0.53125439488383197</v>
          </cell>
        </row>
        <row r="955">
          <cell r="A955">
            <v>41967</v>
          </cell>
          <cell r="B955">
            <v>0.53125439488383197</v>
          </cell>
        </row>
        <row r="956">
          <cell r="A956">
            <v>41968</v>
          </cell>
          <cell r="B956">
            <v>0.53125439488383197</v>
          </cell>
        </row>
        <row r="957">
          <cell r="A957">
            <v>41969</v>
          </cell>
          <cell r="B957">
            <v>0.54741627949472405</v>
          </cell>
        </row>
        <row r="958">
          <cell r="A958">
            <v>41971</v>
          </cell>
          <cell r="B958">
            <v>0.54741627949472405</v>
          </cell>
        </row>
        <row r="959">
          <cell r="A959">
            <v>41974</v>
          </cell>
          <cell r="B959">
            <v>0.54296193584840502</v>
          </cell>
        </row>
        <row r="960">
          <cell r="A960">
            <v>41975</v>
          </cell>
          <cell r="B960">
            <v>0.54296193584840502</v>
          </cell>
        </row>
        <row r="961">
          <cell r="A961">
            <v>41976</v>
          </cell>
          <cell r="B961">
            <v>0.54296193584840502</v>
          </cell>
        </row>
        <row r="962">
          <cell r="A962">
            <v>41977</v>
          </cell>
          <cell r="B962">
            <v>0.57616107650745496</v>
          </cell>
        </row>
        <row r="963">
          <cell r="A963">
            <v>41978</v>
          </cell>
          <cell r="B963">
            <v>0.57616107650745496</v>
          </cell>
        </row>
        <row r="964">
          <cell r="A964">
            <v>41981</v>
          </cell>
          <cell r="B964">
            <v>0.57616107650745496</v>
          </cell>
        </row>
        <row r="965">
          <cell r="A965">
            <v>41982</v>
          </cell>
          <cell r="B965">
            <v>0.57616107650745496</v>
          </cell>
        </row>
        <row r="966">
          <cell r="A966">
            <v>41983</v>
          </cell>
          <cell r="B966">
            <v>0.57616107650745496</v>
          </cell>
        </row>
        <row r="967">
          <cell r="A967">
            <v>41984</v>
          </cell>
          <cell r="B967">
            <v>0.56511283574971805</v>
          </cell>
        </row>
        <row r="968">
          <cell r="A968">
            <v>41985</v>
          </cell>
          <cell r="B968">
            <v>0.56511283574971805</v>
          </cell>
        </row>
        <row r="969">
          <cell r="A969">
            <v>41988</v>
          </cell>
          <cell r="B969">
            <v>0.56511283574971805</v>
          </cell>
        </row>
        <row r="970">
          <cell r="A970">
            <v>41989</v>
          </cell>
          <cell r="B970">
            <v>0.56511283574971805</v>
          </cell>
        </row>
        <row r="971">
          <cell r="A971">
            <v>41990</v>
          </cell>
          <cell r="B971">
            <v>0.56511283574971805</v>
          </cell>
        </row>
        <row r="972">
          <cell r="A972">
            <v>41991</v>
          </cell>
          <cell r="B972">
            <v>0.60670206616303102</v>
          </cell>
        </row>
        <row r="973">
          <cell r="A973">
            <v>41992</v>
          </cell>
          <cell r="B973">
            <v>0.60670206616303102</v>
          </cell>
        </row>
        <row r="974">
          <cell r="A974">
            <v>41995</v>
          </cell>
          <cell r="B974">
            <v>0.60670206616303102</v>
          </cell>
        </row>
        <row r="975">
          <cell r="A975">
            <v>41996</v>
          </cell>
          <cell r="B975">
            <v>0.60670206616303102</v>
          </cell>
        </row>
        <row r="976">
          <cell r="A976">
            <v>41997</v>
          </cell>
          <cell r="B976">
            <v>0.59762468592169804</v>
          </cell>
        </row>
        <row r="977">
          <cell r="A977">
            <v>41999</v>
          </cell>
          <cell r="B977">
            <v>0.59762468592169804</v>
          </cell>
        </row>
        <row r="978">
          <cell r="A978">
            <v>42002</v>
          </cell>
          <cell r="B978">
            <v>0.59762468592169804</v>
          </cell>
        </row>
        <row r="979">
          <cell r="A979">
            <v>42003</v>
          </cell>
          <cell r="B979">
            <v>0.59762468592169804</v>
          </cell>
        </row>
        <row r="980">
          <cell r="A980">
            <v>42004</v>
          </cell>
          <cell r="B980">
            <v>0.58158481943829898</v>
          </cell>
        </row>
        <row r="981">
          <cell r="A981">
            <v>42006</v>
          </cell>
          <cell r="B981">
            <v>0.57715851233210802</v>
          </cell>
        </row>
        <row r="982">
          <cell r="A982">
            <v>42009</v>
          </cell>
          <cell r="B982">
            <v>0.57710358293411501</v>
          </cell>
        </row>
        <row r="983">
          <cell r="A983">
            <v>42010</v>
          </cell>
          <cell r="B983">
            <v>0.57710358293411501</v>
          </cell>
        </row>
        <row r="984">
          <cell r="A984">
            <v>42011</v>
          </cell>
          <cell r="B984">
            <v>0.57710358293411501</v>
          </cell>
        </row>
        <row r="985">
          <cell r="A985">
            <v>42012</v>
          </cell>
          <cell r="B985">
            <v>0.62970048301444503</v>
          </cell>
        </row>
        <row r="986">
          <cell r="A986">
            <v>42013</v>
          </cell>
          <cell r="B986">
            <v>0.62970048301444503</v>
          </cell>
        </row>
        <row r="987">
          <cell r="A987">
            <v>42016</v>
          </cell>
          <cell r="B987">
            <v>0.62970048301444503</v>
          </cell>
        </row>
        <row r="988">
          <cell r="A988">
            <v>42017</v>
          </cell>
          <cell r="B988">
            <v>0.62970048301444503</v>
          </cell>
        </row>
        <row r="989">
          <cell r="A989">
            <v>42018</v>
          </cell>
          <cell r="B989">
            <v>0.62970048301444503</v>
          </cell>
        </row>
        <row r="990">
          <cell r="A990">
            <v>42019</v>
          </cell>
          <cell r="B990">
            <v>0.65278570887391996</v>
          </cell>
        </row>
        <row r="991">
          <cell r="A991">
            <v>42020</v>
          </cell>
          <cell r="B991">
            <v>0.65278570887391996</v>
          </cell>
        </row>
        <row r="992">
          <cell r="A992">
            <v>42024</v>
          </cell>
          <cell r="B992">
            <v>0.65278570887391996</v>
          </cell>
        </row>
        <row r="993">
          <cell r="A993">
            <v>42025</v>
          </cell>
          <cell r="B993">
            <v>0.65278570887391996</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YBHIST"/>
      <definedName name="YBPRICE"/>
    </definedNames>
    <sheetDataSet>
      <sheetData sheetId="0"/>
      <sheetData sheetId="1"/>
      <sheetData sheetId="2"/>
    </sheetDataSet>
  </externalBook>
</externalLink>
</file>

<file path=xl/queryTables/queryTable1.xml><?xml version="1.0" encoding="utf-8"?>
<queryTable xmlns="http://schemas.openxmlformats.org/spreadsheetml/2006/main" name="Query from Agency_13" backgroundRefresh="0" adjustColumnWidth="0" connectionId="1" autoFormatId="16" applyNumberFormats="0" applyBorderFormats="0" applyFontFormats="0" applyPatternFormats="0" applyAlignmentFormats="0" applyWidthHeightFormats="0">
  <queryTableRefresh nextId="83">
    <queryTableFields count="2">
      <queryTableField id="81" name="asof" tableColumnId="1"/>
      <queryTableField id="82" name="0" tableColumnId="2"/>
    </queryTableFields>
    <queryTableDeletedFields count="1">
      <deletedField name="refinancible_satoAdj"/>
    </queryTableDeletedFields>
  </queryTableRefresh>
</queryTable>
</file>

<file path=xl/queryTables/queryTable2.xml><?xml version="1.0" encoding="utf-8"?>
<queryTable xmlns="http://schemas.openxmlformats.org/spreadsheetml/2006/main" name="temp" connectionId="2" autoFormatId="16" applyNumberFormats="0" applyBorderFormats="0" applyFontFormats="1" applyPatternFormats="1" applyAlignmentFormats="0" applyWidthHeightFormats="0"/>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CurrentMtgRatesDataTable825297" displayName="CurrentMtgRatesDataTable825297" ref="E1:F1302" tableType="queryTable" totalsRowShown="0" headerRowDxfId="3" dataDxfId="2">
  <tableColumns count="2">
    <tableColumn id="1" uniqueName="1" name="asof" queryTableFieldId="81" dataDxfId="1"/>
    <tableColumn id="2" uniqueName="2" name="0" queryTableFieldId="82"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1281"/>
  <sheetViews>
    <sheetView tabSelected="1" topLeftCell="A1243" zoomScaleNormal="100" workbookViewId="0">
      <selection activeCell="N1277" sqref="N1277"/>
    </sheetView>
  </sheetViews>
  <sheetFormatPr defaultRowHeight="12.75" x14ac:dyDescent="0.2"/>
  <cols>
    <col min="1" max="1" width="16.7109375" style="6" customWidth="1"/>
    <col min="2" max="2" width="36.140625" style="7" hidden="1" customWidth="1"/>
    <col min="3" max="3" width="28" hidden="1" customWidth="1"/>
    <col min="4" max="5" width="36.140625" style="7" hidden="1" customWidth="1"/>
    <col min="6" max="6" width="49" style="7" hidden="1" customWidth="1"/>
    <col min="7" max="7" width="34.140625" style="7" hidden="1" customWidth="1"/>
    <col min="8" max="8" width="9.140625" style="3" hidden="1" customWidth="1"/>
    <col min="9" max="9" width="6" hidden="1" customWidth="1"/>
    <col min="10" max="10" width="8.140625" bestFit="1" customWidth="1"/>
    <col min="11" max="11" width="16.5703125" style="42" bestFit="1" customWidth="1"/>
    <col min="12" max="12" width="11.85546875" customWidth="1"/>
  </cols>
  <sheetData>
    <row r="1" spans="1:16" ht="15" x14ac:dyDescent="0.25">
      <c r="A1" s="9" t="s">
        <v>0</v>
      </c>
      <c r="B1" s="4" t="s">
        <v>689</v>
      </c>
      <c r="C1" s="16" t="s">
        <v>693</v>
      </c>
      <c r="D1" s="4" t="s">
        <v>690</v>
      </c>
      <c r="E1" s="4" t="s">
        <v>691</v>
      </c>
      <c r="F1" s="4" t="s">
        <v>1</v>
      </c>
      <c r="G1" s="8" t="s">
        <v>692</v>
      </c>
      <c r="J1" s="10" t="s">
        <v>700</v>
      </c>
      <c r="K1" s="39" t="s">
        <v>695</v>
      </c>
    </row>
    <row r="2" spans="1:16" ht="15" hidden="1" x14ac:dyDescent="0.25">
      <c r="A2" s="14">
        <v>40576</v>
      </c>
      <c r="B2" s="15">
        <v>314</v>
      </c>
      <c r="C2" s="15">
        <v>314</v>
      </c>
      <c r="D2" s="5" t="s">
        <v>2</v>
      </c>
      <c r="E2" s="5" t="s">
        <v>2</v>
      </c>
      <c r="F2" s="5">
        <v>4.9829049999999997</v>
      </c>
      <c r="G2" s="12">
        <f>VLOOKUP(A2,'[1]all FNCL'!A$2:B$993,2)</f>
        <v>0.61149872753562795</v>
      </c>
      <c r="H2" s="3" t="s">
        <v>14</v>
      </c>
      <c r="I2">
        <v>0.86085196162229005</v>
      </c>
      <c r="J2" t="str">
        <f>VLOOKUP(A2,'YB OAS'!B:E,4,0)</f>
        <v>E</v>
      </c>
      <c r="K2" s="40">
        <f>VLOOKUP(A2,'Refi Universe'!E:F,2,0)</f>
        <v>0.58304511999999997</v>
      </c>
    </row>
    <row r="3" spans="1:16" ht="15" hidden="1" x14ac:dyDescent="0.25">
      <c r="A3" s="14">
        <v>40577</v>
      </c>
      <c r="B3" s="15">
        <v>311</v>
      </c>
      <c r="C3" s="15">
        <v>311</v>
      </c>
      <c r="D3" s="5" t="s">
        <v>2</v>
      </c>
      <c r="E3" s="5" t="s">
        <v>2</v>
      </c>
      <c r="F3" s="5">
        <v>5.0134489999999996</v>
      </c>
      <c r="G3" s="12">
        <f>VLOOKUP(A3,'[1]all FNCL'!A$2:B$993,2)</f>
        <v>0.61074045486204198</v>
      </c>
      <c r="H3" s="3" t="s">
        <v>15</v>
      </c>
      <c r="I3">
        <v>0.86085196162229005</v>
      </c>
      <c r="J3" t="str">
        <f>VLOOKUP(A3,'YB OAS'!B:E,4,0)</f>
        <v>E</v>
      </c>
      <c r="K3" s="40">
        <f>VLOOKUP(A3,'Refi Universe'!E:F,2,0)</f>
        <v>0.55486214</v>
      </c>
    </row>
    <row r="4" spans="1:16" ht="15" hidden="1" x14ac:dyDescent="0.25">
      <c r="A4" s="14">
        <v>40578</v>
      </c>
      <c r="B4" s="15">
        <v>283</v>
      </c>
      <c r="C4" s="15">
        <v>283</v>
      </c>
      <c r="D4" s="5" t="s">
        <v>2</v>
      </c>
      <c r="E4" s="5" t="s">
        <v>2</v>
      </c>
      <c r="F4" s="5">
        <v>5.0596740000000002</v>
      </c>
      <c r="G4" s="12">
        <f>VLOOKUP(A4,'[1]all FNCL'!A$2:B$993,2)</f>
        <v>0.61074045486204198</v>
      </c>
      <c r="H4" s="3" t="s">
        <v>16</v>
      </c>
      <c r="I4">
        <v>0.86085196162229005</v>
      </c>
      <c r="J4" t="str">
        <f>VLOOKUP(A4,'YB OAS'!B:E,4,0)</f>
        <v>E</v>
      </c>
      <c r="K4" s="40">
        <f>VLOOKUP(A4,'Refi Universe'!E:F,2,0)</f>
        <v>0.51847262000000005</v>
      </c>
    </row>
    <row r="5" spans="1:16" ht="15" hidden="1" x14ac:dyDescent="0.25">
      <c r="A5" s="14">
        <v>40581</v>
      </c>
      <c r="B5" s="15">
        <v>282</v>
      </c>
      <c r="C5" s="15">
        <v>282</v>
      </c>
      <c r="D5" s="5" t="s">
        <v>2</v>
      </c>
      <c r="E5" s="5" t="s">
        <v>2</v>
      </c>
      <c r="F5" s="5">
        <v>5.0728520000000001</v>
      </c>
      <c r="G5" s="12">
        <f>VLOOKUP(A5,'[1]all FNCL'!A$2:B$993,2)</f>
        <v>0.61074045486204198</v>
      </c>
      <c r="H5" s="3" t="s">
        <v>17</v>
      </c>
      <c r="I5">
        <v>0.86928745494692705</v>
      </c>
      <c r="J5" t="str">
        <f>VLOOKUP(A5,'YB OAS'!B:E,4,0)</f>
        <v>E</v>
      </c>
      <c r="K5" s="40">
        <f>VLOOKUP(A5,'Refi Universe'!E:F,2,0)</f>
        <v>0.51165344999999995</v>
      </c>
    </row>
    <row r="6" spans="1:16" ht="15" hidden="1" x14ac:dyDescent="0.25">
      <c r="A6" s="14">
        <v>40582</v>
      </c>
      <c r="B6" s="15">
        <v>267</v>
      </c>
      <c r="C6" s="15">
        <v>267</v>
      </c>
      <c r="D6" s="5" t="s">
        <v>2</v>
      </c>
      <c r="E6" s="5" t="s">
        <v>2</v>
      </c>
      <c r="F6" s="5">
        <v>5.1328820000000004</v>
      </c>
      <c r="G6" s="12">
        <f>VLOOKUP(A6,'[1]all FNCL'!A$2:B$993,2)</f>
        <v>0.61074045486204198</v>
      </c>
      <c r="H6" s="3" t="s">
        <v>18</v>
      </c>
      <c r="I6">
        <v>0.86928745494692705</v>
      </c>
      <c r="J6" t="str">
        <f>VLOOKUP(A6,'YB OAS'!B:E,4,0)</f>
        <v>E</v>
      </c>
      <c r="K6" s="40">
        <f>VLOOKUP(A6,'Refi Universe'!E:F,2,0)</f>
        <v>0.47964870999999998</v>
      </c>
    </row>
    <row r="7" spans="1:16" ht="15" hidden="1" x14ac:dyDescent="0.25">
      <c r="A7" s="14">
        <v>40583</v>
      </c>
      <c r="B7" s="15">
        <v>286</v>
      </c>
      <c r="C7" s="15">
        <v>286</v>
      </c>
      <c r="D7" s="5" t="s">
        <v>2</v>
      </c>
      <c r="E7" s="5" t="s">
        <v>2</v>
      </c>
      <c r="F7" s="5">
        <v>5.1064999999999996</v>
      </c>
      <c r="G7" s="12">
        <f>VLOOKUP(A7,'[1]all FNCL'!A$2:B$993,2)</f>
        <v>0.61074045486204198</v>
      </c>
      <c r="H7" s="3" t="s">
        <v>19</v>
      </c>
      <c r="I7">
        <v>0.86928745494692705</v>
      </c>
      <c r="J7" t="str">
        <f>VLOOKUP(A7,'YB OAS'!B:E,4,0)</f>
        <v>E</v>
      </c>
      <c r="K7" s="40">
        <f>VLOOKUP(A7,'Refi Universe'!E:F,2,0)</f>
        <v>0.49256091000000002</v>
      </c>
      <c r="P7" s="10"/>
    </row>
    <row r="8" spans="1:16" ht="15" hidden="1" x14ac:dyDescent="0.25">
      <c r="A8" s="14">
        <v>40584</v>
      </c>
      <c r="B8" s="15">
        <v>285</v>
      </c>
      <c r="C8" s="15">
        <v>285</v>
      </c>
      <c r="D8" s="5" t="s">
        <v>2</v>
      </c>
      <c r="E8" s="5" t="s">
        <v>2</v>
      </c>
      <c r="F8" s="5">
        <v>5.1461499999999996</v>
      </c>
      <c r="G8" s="12">
        <f>VLOOKUP(A8,'[1]all FNCL'!A$2:B$993,2)</f>
        <v>0.50836540051897094</v>
      </c>
      <c r="H8" s="3" t="s">
        <v>20</v>
      </c>
      <c r="I8">
        <v>0.86928745494692705</v>
      </c>
      <c r="J8" t="str">
        <f>VLOOKUP(A8,'YB OAS'!B:E,4,0)</f>
        <v>E</v>
      </c>
      <c r="K8" s="40">
        <f>VLOOKUP(A8,'Refi Universe'!E:F,2,0)</f>
        <v>0.47335128999999998</v>
      </c>
    </row>
    <row r="9" spans="1:16" ht="15" hidden="1" x14ac:dyDescent="0.25">
      <c r="A9" s="14">
        <v>40585</v>
      </c>
      <c r="B9" s="15">
        <v>374</v>
      </c>
      <c r="C9" s="15">
        <v>374</v>
      </c>
      <c r="D9" s="5" t="s">
        <v>2</v>
      </c>
      <c r="E9" s="5" t="s">
        <v>2</v>
      </c>
      <c r="F9" s="5">
        <v>5.0892520000000001</v>
      </c>
      <c r="G9" s="12">
        <f>VLOOKUP(A9,'[1]all FNCL'!A$2:B$993,2)</f>
        <v>0.50836540051897094</v>
      </c>
      <c r="H9" s="3" t="s">
        <v>21</v>
      </c>
      <c r="I9">
        <v>0.86928745494692705</v>
      </c>
      <c r="J9" t="str">
        <f>VLOOKUP(A9,'YB OAS'!B:E,4,0)</f>
        <v>E</v>
      </c>
      <c r="K9" s="40">
        <f>VLOOKUP(A9,'Refi Universe'!E:F,2,0)</f>
        <v>0.50149840000000001</v>
      </c>
    </row>
    <row r="10" spans="1:16" ht="15" x14ac:dyDescent="0.25">
      <c r="A10" s="14">
        <v>40588</v>
      </c>
      <c r="B10" s="15">
        <v>302</v>
      </c>
      <c r="C10" s="15">
        <v>302</v>
      </c>
      <c r="D10" s="5" t="s">
        <v>2</v>
      </c>
      <c r="E10" s="5" t="s">
        <v>2</v>
      </c>
      <c r="F10" s="5">
        <v>5.0581199999999997</v>
      </c>
      <c r="G10" s="12">
        <f>VLOOKUP(A10,'[1]all FNCL'!A$2:B$993,2)</f>
        <v>0.50836540051897094</v>
      </c>
      <c r="H10" s="3" t="s">
        <v>22</v>
      </c>
      <c r="I10">
        <v>0.90843431405369401</v>
      </c>
      <c r="J10">
        <f>VLOOKUP(A10,'YB OAS'!B:F,5,0)</f>
        <v>-46.355499000000002</v>
      </c>
      <c r="K10" s="40">
        <f>VLOOKUP(A10,'Refi Universe'!E:F,2,0)</f>
        <v>0.51758932000000002</v>
      </c>
    </row>
    <row r="11" spans="1:16" ht="15" x14ac:dyDescent="0.25">
      <c r="A11" s="14">
        <v>40589</v>
      </c>
      <c r="B11" s="15">
        <v>286</v>
      </c>
      <c r="C11" s="15">
        <v>286</v>
      </c>
      <c r="D11" s="5" t="s">
        <v>2</v>
      </c>
      <c r="E11" s="5" t="s">
        <v>2</v>
      </c>
      <c r="F11" s="5">
        <v>5.0547870000000001</v>
      </c>
      <c r="G11" s="12">
        <f>VLOOKUP(A11,'[1]all FNCL'!A$2:B$993,2)</f>
        <v>0.50836540051897094</v>
      </c>
      <c r="H11" s="3" t="s">
        <v>23</v>
      </c>
      <c r="I11">
        <v>0.90843431405369401</v>
      </c>
      <c r="J11">
        <f>VLOOKUP(A11,'YB OAS'!B:F,5,0)</f>
        <v>-59.443801999999998</v>
      </c>
      <c r="K11" s="40">
        <f>VLOOKUP(A11,'Refi Universe'!E:F,2,0)</f>
        <v>0.52073837999999995</v>
      </c>
    </row>
    <row r="12" spans="1:16" ht="15" x14ac:dyDescent="0.25">
      <c r="A12" s="14">
        <v>40590</v>
      </c>
      <c r="B12" s="15">
        <v>279</v>
      </c>
      <c r="C12" s="15">
        <v>279</v>
      </c>
      <c r="D12" s="5" t="s">
        <v>2</v>
      </c>
      <c r="E12" s="5" t="s">
        <v>2</v>
      </c>
      <c r="F12" s="5">
        <v>5.0628989999999998</v>
      </c>
      <c r="G12" s="12">
        <f>VLOOKUP(A12,'[1]all FNCL'!A$2:B$993,2)</f>
        <v>0.50836540051897094</v>
      </c>
      <c r="H12" s="3" t="s">
        <v>24</v>
      </c>
      <c r="I12">
        <v>0.90843431405369401</v>
      </c>
      <c r="J12">
        <f>VLOOKUP(A12,'YB OAS'!B:F,5,0)</f>
        <v>-65.651900999999995</v>
      </c>
      <c r="K12" s="40">
        <f>VLOOKUP(A12,'Refi Universe'!E:F,2,0)</f>
        <v>0.54280907</v>
      </c>
    </row>
    <row r="13" spans="1:16" ht="15" x14ac:dyDescent="0.25">
      <c r="A13" s="14">
        <v>40591</v>
      </c>
      <c r="B13" s="15">
        <v>288</v>
      </c>
      <c r="C13" s="15">
        <v>288</v>
      </c>
      <c r="D13" s="5" t="s">
        <v>2</v>
      </c>
      <c r="E13" s="5" t="s">
        <v>2</v>
      </c>
      <c r="F13" s="5">
        <v>5.0286369999999998</v>
      </c>
      <c r="G13" s="12">
        <f>VLOOKUP(A13,'[1]all FNCL'!A$2:B$993,2)</f>
        <v>0.52920493587017403</v>
      </c>
      <c r="H13" s="3" t="s">
        <v>25</v>
      </c>
      <c r="I13">
        <v>0.90843431405369401</v>
      </c>
      <c r="J13">
        <f>VLOOKUP(A13,'YB OAS'!B:F,5,0)</f>
        <v>-47.389000000000003</v>
      </c>
      <c r="K13" s="40">
        <f>VLOOKUP(A13,'Refi Universe'!E:F,2,0)</f>
        <v>0.57526359999999999</v>
      </c>
    </row>
    <row r="14" spans="1:16" ht="15" x14ac:dyDescent="0.25">
      <c r="A14" s="14">
        <v>40592</v>
      </c>
      <c r="B14" s="15">
        <v>289</v>
      </c>
      <c r="C14" s="15">
        <v>289</v>
      </c>
      <c r="D14" s="5" t="s">
        <v>2</v>
      </c>
      <c r="E14" s="5" t="s">
        <v>2</v>
      </c>
      <c r="F14" s="5">
        <v>5.0414649999999996</v>
      </c>
      <c r="G14" s="12">
        <f>VLOOKUP(A14,'[1]all FNCL'!A$2:B$993,2)</f>
        <v>0.52920493587017403</v>
      </c>
      <c r="H14" s="3" t="s">
        <v>26</v>
      </c>
      <c r="I14">
        <v>0.90843431405369401</v>
      </c>
      <c r="J14">
        <f>VLOOKUP(A14,'YB OAS'!B:F,5,0)</f>
        <v>-51.927298999999998</v>
      </c>
      <c r="K14" s="40">
        <f>VLOOKUP(A14,'Refi Universe'!E:F,2,0)</f>
        <v>0.56400059000000002</v>
      </c>
    </row>
    <row r="15" spans="1:16" ht="15" x14ac:dyDescent="0.25">
      <c r="A15" s="14">
        <v>40596</v>
      </c>
      <c r="B15" s="15">
        <v>308</v>
      </c>
      <c r="C15" s="15">
        <v>308</v>
      </c>
      <c r="D15" s="5" t="s">
        <v>2</v>
      </c>
      <c r="E15" s="5" t="s">
        <v>2</v>
      </c>
      <c r="F15" s="5">
        <v>5.0024430000000004</v>
      </c>
      <c r="G15" s="12">
        <f>VLOOKUP(A15,'[1]all FNCL'!A$2:B$993,2)</f>
        <v>0.52920493587017403</v>
      </c>
      <c r="H15" s="3" t="s">
        <v>27</v>
      </c>
      <c r="I15">
        <v>0.90710064326562501</v>
      </c>
      <c r="J15">
        <f>VLOOKUP(A15,'YB OAS'!B:F,5,0)</f>
        <v>-36.043598000000003</v>
      </c>
      <c r="K15" s="40">
        <f>VLOOKUP(A15,'Refi Universe'!E:F,2,0)</f>
        <v>0.60264123999999997</v>
      </c>
    </row>
    <row r="16" spans="1:16" ht="15" x14ac:dyDescent="0.25">
      <c r="A16" s="14">
        <v>40597</v>
      </c>
      <c r="B16" s="15">
        <v>306</v>
      </c>
      <c r="C16" s="15">
        <v>306</v>
      </c>
      <c r="D16" s="5" t="s">
        <v>2</v>
      </c>
      <c r="E16" s="5" t="s">
        <v>2</v>
      </c>
      <c r="F16" s="5">
        <v>5.0032579999999998</v>
      </c>
      <c r="G16" s="12">
        <f>VLOOKUP(A16,'[1]all FNCL'!A$2:B$993,2)</f>
        <v>0.52920493587017403</v>
      </c>
      <c r="H16" s="3" t="s">
        <v>28</v>
      </c>
      <c r="I16">
        <v>0.90710064326562501</v>
      </c>
      <c r="J16">
        <f>VLOOKUP(A16,'YB OAS'!B:F,5,0)</f>
        <v>-40.838698999999998</v>
      </c>
      <c r="K16" s="40">
        <f>VLOOKUP(A16,'Refi Universe'!E:F,2,0)</f>
        <v>0.59292308999999999</v>
      </c>
    </row>
    <row r="17" spans="1:11" ht="15" x14ac:dyDescent="0.25">
      <c r="A17" s="14">
        <v>40598</v>
      </c>
      <c r="B17" s="15">
        <v>308</v>
      </c>
      <c r="C17" s="15">
        <v>308</v>
      </c>
      <c r="D17" s="5" t="s">
        <v>2</v>
      </c>
      <c r="E17" s="5" t="s">
        <v>2</v>
      </c>
      <c r="F17" s="5">
        <v>4.974755</v>
      </c>
      <c r="G17" s="12">
        <f>VLOOKUP(A17,'[1]all FNCL'!A$2:B$993,2)</f>
        <v>0.55803024707205595</v>
      </c>
      <c r="H17" s="3" t="s">
        <v>29</v>
      </c>
      <c r="I17">
        <v>0.90710064326562501</v>
      </c>
      <c r="J17">
        <f>VLOOKUP(A17,'YB OAS'!B:F,5,0)</f>
        <v>-36.337600999999999</v>
      </c>
      <c r="K17" s="40">
        <f>VLOOKUP(A17,'Refi Universe'!E:F,2,0)</f>
        <v>0.60476841999999997</v>
      </c>
    </row>
    <row r="18" spans="1:11" ht="15" x14ac:dyDescent="0.25">
      <c r="A18" s="14">
        <v>40599</v>
      </c>
      <c r="B18" s="15">
        <v>315</v>
      </c>
      <c r="C18" s="15">
        <v>315</v>
      </c>
      <c r="D18" s="5" t="s">
        <v>2</v>
      </c>
      <c r="E18" s="5" t="s">
        <v>2</v>
      </c>
      <c r="F18" s="5">
        <v>4.9653799999999997</v>
      </c>
      <c r="G18" s="12">
        <f>VLOOKUP(A18,'[1]all FNCL'!A$2:B$993,2)</f>
        <v>0.55803024707205595</v>
      </c>
      <c r="H18" s="3" t="s">
        <v>30</v>
      </c>
      <c r="I18">
        <v>0.90710064326562501</v>
      </c>
      <c r="J18">
        <f>VLOOKUP(A18,'YB OAS'!B:F,5,0)</f>
        <v>-30.010598999999999</v>
      </c>
      <c r="K18" s="40">
        <f>VLOOKUP(A18,'Refi Universe'!E:F,2,0)</f>
        <v>0.60606985000000002</v>
      </c>
    </row>
    <row r="19" spans="1:11" ht="15" x14ac:dyDescent="0.25">
      <c r="A19" s="14">
        <v>40602</v>
      </c>
      <c r="B19" s="15">
        <v>319</v>
      </c>
      <c r="C19" s="15">
        <v>319</v>
      </c>
      <c r="D19" s="5" t="s">
        <v>2</v>
      </c>
      <c r="E19" s="5" t="s">
        <v>2</v>
      </c>
      <c r="F19" s="5">
        <v>4.9573070000000001</v>
      </c>
      <c r="G19" s="12">
        <f>VLOOKUP(A19,'[1]all FNCL'!A$2:B$993,2)</f>
        <v>0.55803024707205595</v>
      </c>
      <c r="H19" s="3" t="s">
        <v>31</v>
      </c>
      <c r="I19">
        <v>0.90710064326562501</v>
      </c>
      <c r="J19">
        <f>VLOOKUP(A19,'YB OAS'!B:F,5,0)</f>
        <v>-27.406798999999999</v>
      </c>
      <c r="K19" s="40">
        <f>VLOOKUP(A19,'Refi Universe'!E:F,2,0)</f>
        <v>0.61003046000000005</v>
      </c>
    </row>
    <row r="20" spans="1:11" ht="15" x14ac:dyDescent="0.25">
      <c r="A20" s="14">
        <v>40603</v>
      </c>
      <c r="B20" s="15">
        <v>322</v>
      </c>
      <c r="C20" s="15">
        <v>322</v>
      </c>
      <c r="D20" s="5" t="s">
        <v>2</v>
      </c>
      <c r="E20" s="5" t="s">
        <v>2</v>
      </c>
      <c r="F20" s="5">
        <v>4.9575279999999999</v>
      </c>
      <c r="G20" s="12">
        <f>VLOOKUP(A20,'[1]all FNCL'!A$2:B$993,2)</f>
        <v>0.54582431757096395</v>
      </c>
      <c r="H20" s="3" t="s">
        <v>32</v>
      </c>
      <c r="I20">
        <v>0.90843431405369401</v>
      </c>
      <c r="J20">
        <f>VLOOKUP(A20,'YB OAS'!B:F,5,0)</f>
        <v>-22.981199</v>
      </c>
      <c r="K20" s="40">
        <f>VLOOKUP(A20,'Refi Universe'!E:F,2,0)</f>
        <v>0.59558513000000002</v>
      </c>
    </row>
    <row r="21" spans="1:11" ht="15" x14ac:dyDescent="0.25">
      <c r="A21" s="14">
        <v>40604</v>
      </c>
      <c r="B21" s="15">
        <v>320</v>
      </c>
      <c r="C21" s="15">
        <v>320</v>
      </c>
      <c r="D21" s="5" t="s">
        <v>2</v>
      </c>
      <c r="E21" s="5" t="s">
        <v>2</v>
      </c>
      <c r="F21" s="5">
        <v>4.9816560000000001</v>
      </c>
      <c r="G21" s="12">
        <f>VLOOKUP(A21,'[1]all FNCL'!A$2:B$993,2)</f>
        <v>0.54582431757096395</v>
      </c>
      <c r="H21" s="3" t="s">
        <v>33</v>
      </c>
      <c r="I21">
        <v>0.90843431405369401</v>
      </c>
      <c r="J21">
        <f>VLOOKUP(A21,'YB OAS'!B:F,5,0)</f>
        <v>-28.412299999999998</v>
      </c>
      <c r="K21" s="40">
        <f>VLOOKUP(A21,'Refi Universe'!E:F,2,0)</f>
        <v>0.58351578000000004</v>
      </c>
    </row>
    <row r="22" spans="1:11" ht="15" x14ac:dyDescent="0.25">
      <c r="A22" s="14">
        <v>40605</v>
      </c>
      <c r="B22" s="15">
        <v>300</v>
      </c>
      <c r="C22" s="15">
        <v>300</v>
      </c>
      <c r="D22" s="5" t="s">
        <v>2</v>
      </c>
      <c r="E22" s="5" t="s">
        <v>2</v>
      </c>
      <c r="F22" s="5">
        <v>5.0290189999999999</v>
      </c>
      <c r="G22" s="12">
        <f>VLOOKUP(A22,'[1]all FNCL'!A$2:B$993,2)</f>
        <v>0.59209711782781405</v>
      </c>
      <c r="H22" s="3" t="s">
        <v>34</v>
      </c>
      <c r="I22">
        <v>0.90843431405369401</v>
      </c>
      <c r="J22">
        <f>VLOOKUP(A22,'YB OAS'!B:F,5,0)</f>
        <v>-50.316001999999997</v>
      </c>
      <c r="K22" s="40">
        <f>VLOOKUP(A22,'Refi Universe'!E:F,2,0)</f>
        <v>0.53234148000000003</v>
      </c>
    </row>
    <row r="23" spans="1:11" ht="15" x14ac:dyDescent="0.25">
      <c r="A23" s="14">
        <v>40606</v>
      </c>
      <c r="B23" s="15">
        <v>304</v>
      </c>
      <c r="C23" s="15">
        <v>304</v>
      </c>
      <c r="D23" s="5" t="s">
        <v>2</v>
      </c>
      <c r="E23" s="5" t="s">
        <v>2</v>
      </c>
      <c r="F23" s="5">
        <v>4.9710929999999998</v>
      </c>
      <c r="G23" s="12">
        <f>VLOOKUP(A23,'[1]all FNCL'!A$2:B$993,2)</f>
        <v>0.59209711782781405</v>
      </c>
      <c r="H23" s="3" t="s">
        <v>35</v>
      </c>
      <c r="I23">
        <v>0.89130997835799997</v>
      </c>
      <c r="J23">
        <f>VLOOKUP(A23,'YB OAS'!B:F,5,0)</f>
        <v>-40.587898000000003</v>
      </c>
      <c r="K23" s="40">
        <f>VLOOKUP(A23,'Refi Universe'!E:F,2,0)</f>
        <v>0.59023831000000004</v>
      </c>
    </row>
    <row r="24" spans="1:11" ht="15" x14ac:dyDescent="0.25">
      <c r="A24" s="14">
        <v>40609</v>
      </c>
      <c r="B24" s="15">
        <v>289</v>
      </c>
      <c r="C24" s="15">
        <v>289</v>
      </c>
      <c r="D24" s="5" t="s">
        <v>2</v>
      </c>
      <c r="E24" s="5" t="s">
        <v>2</v>
      </c>
      <c r="F24" s="5">
        <v>4.9749140000000001</v>
      </c>
      <c r="G24" s="12">
        <f>VLOOKUP(A24,'[1]all FNCL'!A$2:B$993,2)</f>
        <v>0.59209711782781405</v>
      </c>
      <c r="H24" s="3" t="s">
        <v>36</v>
      </c>
      <c r="I24">
        <v>0.89130997835799997</v>
      </c>
      <c r="J24">
        <f>VLOOKUP(A24,'YB OAS'!B:F,5,0)</f>
        <v>-51.506900999999999</v>
      </c>
      <c r="K24" s="40">
        <f>VLOOKUP(A24,'Refi Universe'!E:F,2,0)</f>
        <v>0.58586853000000005</v>
      </c>
    </row>
    <row r="25" spans="1:11" ht="15" x14ac:dyDescent="0.25">
      <c r="A25" s="14">
        <v>40610</v>
      </c>
      <c r="B25" s="15">
        <v>282</v>
      </c>
      <c r="C25" s="15">
        <v>282</v>
      </c>
      <c r="D25" s="5" t="s">
        <v>2</v>
      </c>
      <c r="E25" s="5" t="s">
        <v>2</v>
      </c>
      <c r="F25" s="5">
        <v>4.9988140000000003</v>
      </c>
      <c r="G25" s="12">
        <f>VLOOKUP(A25,'[1]all FNCL'!A$2:B$993,2)</f>
        <v>0.59209711782781405</v>
      </c>
      <c r="H25" s="3" t="s">
        <v>37</v>
      </c>
      <c r="I25">
        <v>0.89320680852935697</v>
      </c>
      <c r="J25">
        <f>VLOOKUP(A25,'YB OAS'!B:F,5,0)</f>
        <v>-59.562099000000003</v>
      </c>
      <c r="K25" s="40">
        <f>VLOOKUP(A25,'Refi Universe'!E:F,2,0)</f>
        <v>0.56167012999999999</v>
      </c>
    </row>
    <row r="26" spans="1:11" ht="15" x14ac:dyDescent="0.25">
      <c r="A26" s="14">
        <v>40611</v>
      </c>
      <c r="B26" s="15">
        <v>290</v>
      </c>
      <c r="C26" s="15">
        <v>290</v>
      </c>
      <c r="D26" s="5" t="s">
        <v>2</v>
      </c>
      <c r="E26" s="5" t="s">
        <v>2</v>
      </c>
      <c r="F26" s="5">
        <v>4.9601790000000001</v>
      </c>
      <c r="G26" s="12">
        <f>VLOOKUP(A26,'[1]all FNCL'!A$2:B$993,2)</f>
        <v>0.59209711782781405</v>
      </c>
      <c r="H26" s="3" t="s">
        <v>38</v>
      </c>
      <c r="I26">
        <v>0.89320680852935697</v>
      </c>
      <c r="J26">
        <f>VLOOKUP(A26,'YB OAS'!B:F,5,0)</f>
        <v>-46.314200999999997</v>
      </c>
      <c r="K26" s="40">
        <f>VLOOKUP(A26,'Refi Universe'!E:F,2,0)</f>
        <v>0.59508150000000004</v>
      </c>
    </row>
    <row r="27" spans="1:11" ht="15" x14ac:dyDescent="0.25">
      <c r="A27" s="14">
        <v>40612</v>
      </c>
      <c r="B27" s="15">
        <v>304</v>
      </c>
      <c r="C27" s="15">
        <v>304</v>
      </c>
      <c r="D27" s="5" t="s">
        <v>2</v>
      </c>
      <c r="E27" s="5" t="s">
        <v>2</v>
      </c>
      <c r="F27" s="5">
        <v>4.9333039999999997</v>
      </c>
      <c r="G27" s="12">
        <f>VLOOKUP(A27,'[1]all FNCL'!A$2:B$993,2)</f>
        <v>0.59080334812888002</v>
      </c>
      <c r="H27" s="3" t="s">
        <v>39</v>
      </c>
      <c r="I27">
        <v>0.89320680852935697</v>
      </c>
      <c r="J27">
        <f>VLOOKUP(A27,'YB OAS'!B:F,5,0)</f>
        <v>-24.422799999999999</v>
      </c>
      <c r="K27" s="40">
        <f>VLOOKUP(A27,'Refi Universe'!E:F,2,0)</f>
        <v>0.60077108000000001</v>
      </c>
    </row>
    <row r="28" spans="1:11" ht="15" x14ac:dyDescent="0.25">
      <c r="A28" s="14">
        <v>40613</v>
      </c>
      <c r="B28" s="15">
        <v>317</v>
      </c>
      <c r="C28" s="15">
        <v>317</v>
      </c>
      <c r="D28" s="5" t="s">
        <v>2</v>
      </c>
      <c r="E28" s="5" t="s">
        <v>2</v>
      </c>
      <c r="F28" s="5">
        <v>4.945506</v>
      </c>
      <c r="G28" s="12">
        <f>VLOOKUP(A28,'[1]all FNCL'!A$2:B$993,2)</f>
        <v>0.59080334812888002</v>
      </c>
      <c r="H28" s="3" t="s">
        <v>40</v>
      </c>
      <c r="I28">
        <v>0.89320680852935697</v>
      </c>
      <c r="J28">
        <f>VLOOKUP(A28,'YB OAS'!B:F,5,0)</f>
        <v>-21.935101</v>
      </c>
      <c r="K28" s="40">
        <f>VLOOKUP(A28,'Refi Universe'!E:F,2,0)</f>
        <v>0.60004701999999999</v>
      </c>
    </row>
    <row r="29" spans="1:11" ht="15" x14ac:dyDescent="0.25">
      <c r="A29" s="14">
        <v>40616</v>
      </c>
      <c r="B29" s="15">
        <v>295</v>
      </c>
      <c r="C29" s="15">
        <v>295</v>
      </c>
      <c r="D29" s="5" t="s">
        <v>2</v>
      </c>
      <c r="E29" s="5" t="s">
        <v>2</v>
      </c>
      <c r="F29" s="5">
        <v>4.9261160000000004</v>
      </c>
      <c r="G29" s="12">
        <f>VLOOKUP(A29,'[1]all FNCL'!A$2:B$993,2)</f>
        <v>0.59080334812888002</v>
      </c>
      <c r="H29" s="3" t="s">
        <v>41</v>
      </c>
      <c r="I29">
        <v>0.89320680852935697</v>
      </c>
      <c r="J29">
        <f>VLOOKUP(A29,'YB OAS'!B:F,5,0)</f>
        <v>-36.973300999999999</v>
      </c>
      <c r="K29" s="40">
        <f>VLOOKUP(A29,'Refi Universe'!E:F,2,0)</f>
        <v>0.60217085000000004</v>
      </c>
    </row>
    <row r="30" spans="1:11" ht="15" x14ac:dyDescent="0.25">
      <c r="A30" s="14">
        <v>40617</v>
      </c>
      <c r="B30" s="15">
        <v>288</v>
      </c>
      <c r="C30" s="15">
        <v>288</v>
      </c>
      <c r="D30" s="5" t="s">
        <v>2</v>
      </c>
      <c r="E30" s="5" t="s">
        <v>2</v>
      </c>
      <c r="F30" s="5">
        <v>4.9240719999999998</v>
      </c>
      <c r="G30" s="12">
        <f>VLOOKUP(A30,'[1]all FNCL'!A$2:B$993,2)</f>
        <v>0.59080334812888002</v>
      </c>
      <c r="H30" s="3" t="s">
        <v>42</v>
      </c>
      <c r="I30">
        <v>0.89335852280722505</v>
      </c>
      <c r="J30">
        <f>VLOOKUP(A30,'YB OAS'!B:F,5,0)</f>
        <v>-44.364699999999999</v>
      </c>
      <c r="K30" s="40">
        <f>VLOOKUP(A30,'Refi Universe'!E:F,2,0)</f>
        <v>0.60247856</v>
      </c>
    </row>
    <row r="31" spans="1:11" ht="15" x14ac:dyDescent="0.25">
      <c r="A31" s="14">
        <v>40618</v>
      </c>
      <c r="B31" s="15">
        <v>295</v>
      </c>
      <c r="C31" s="15">
        <v>295</v>
      </c>
      <c r="D31" s="5" t="s">
        <v>2</v>
      </c>
      <c r="E31" s="5" t="s">
        <v>2</v>
      </c>
      <c r="F31" s="5">
        <v>4.8775079999999997</v>
      </c>
      <c r="G31" s="12">
        <f>VLOOKUP(A31,'[1]all FNCL'!A$2:B$993,2)</f>
        <v>0.59080334812888002</v>
      </c>
      <c r="H31" s="3" t="s">
        <v>43</v>
      </c>
      <c r="I31">
        <v>0.89335852280722505</v>
      </c>
      <c r="J31">
        <f>VLOOKUP(A31,'YB OAS'!B:F,5,0)</f>
        <v>-28.299199999999999</v>
      </c>
      <c r="K31" s="40">
        <f>VLOOKUP(A31,'Refi Universe'!E:F,2,0)</f>
        <v>0.61038948999999998</v>
      </c>
    </row>
    <row r="32" spans="1:11" ht="15" x14ac:dyDescent="0.25">
      <c r="A32" s="14">
        <v>40619</v>
      </c>
      <c r="B32" s="15">
        <v>299</v>
      </c>
      <c r="C32" s="15">
        <v>299</v>
      </c>
      <c r="D32" s="5" t="s">
        <v>2</v>
      </c>
      <c r="E32" s="5" t="s">
        <v>2</v>
      </c>
      <c r="F32" s="5">
        <v>4.8895200000000001</v>
      </c>
      <c r="G32" s="12">
        <f>VLOOKUP(A32,'[1]all FNCL'!A$2:B$993,2)</f>
        <v>0.60256210105936003</v>
      </c>
      <c r="H32" s="3" t="s">
        <v>44</v>
      </c>
      <c r="I32">
        <v>0.89335852280722505</v>
      </c>
      <c r="J32">
        <f>VLOOKUP(A32,'YB OAS'!B:F,5,0)</f>
        <v>-28.6996</v>
      </c>
      <c r="K32" s="40">
        <f>VLOOKUP(A32,'Refi Universe'!E:F,2,0)</f>
        <v>0.60804641999999998</v>
      </c>
    </row>
    <row r="33" spans="1:11" ht="15" x14ac:dyDescent="0.25">
      <c r="A33" s="14">
        <v>40620</v>
      </c>
      <c r="B33" s="15">
        <v>293</v>
      </c>
      <c r="C33" s="15">
        <v>293</v>
      </c>
      <c r="D33" s="5" t="s">
        <v>2</v>
      </c>
      <c r="E33" s="5" t="s">
        <v>2</v>
      </c>
      <c r="F33" s="5">
        <v>4.8869059999999998</v>
      </c>
      <c r="G33" s="12">
        <f>VLOOKUP(A33,'[1]all FNCL'!A$2:B$993,2)</f>
        <v>0.60256210105936003</v>
      </c>
      <c r="H33" s="3" t="s">
        <v>45</v>
      </c>
      <c r="I33">
        <v>0.89335852280722505</v>
      </c>
      <c r="J33">
        <f>VLOOKUP(A33,'YB OAS'!B:F,5,0)</f>
        <v>-31.032301</v>
      </c>
      <c r="K33" s="40">
        <f>VLOOKUP(A33,'Refi Universe'!E:F,2,0)</f>
        <v>0.60703149000000001</v>
      </c>
    </row>
    <row r="34" spans="1:11" ht="15" x14ac:dyDescent="0.25">
      <c r="A34" s="14">
        <v>40623</v>
      </c>
      <c r="B34" s="15">
        <v>291</v>
      </c>
      <c r="C34" s="15">
        <v>291</v>
      </c>
      <c r="D34" s="5" t="s">
        <v>2</v>
      </c>
      <c r="E34" s="5" t="s">
        <v>2</v>
      </c>
      <c r="F34" s="5">
        <v>4.9133110000000002</v>
      </c>
      <c r="G34" s="12">
        <f>VLOOKUP(A34,'[1]all FNCL'!A$2:B$993,2)</f>
        <v>0.60256210105936003</v>
      </c>
      <c r="H34" s="3" t="s">
        <v>46</v>
      </c>
      <c r="I34">
        <v>0.89335852280722505</v>
      </c>
      <c r="J34">
        <f>VLOOKUP(A34,'YB OAS'!B:F,5,0)</f>
        <v>-39.778098999999997</v>
      </c>
      <c r="K34" s="40">
        <f>VLOOKUP(A34,'Refi Universe'!E:F,2,0)</f>
        <v>0.60312644999999998</v>
      </c>
    </row>
    <row r="35" spans="1:11" ht="15" x14ac:dyDescent="0.25">
      <c r="A35" s="14">
        <v>40624</v>
      </c>
      <c r="B35" s="15">
        <v>299</v>
      </c>
      <c r="C35" s="15">
        <v>299</v>
      </c>
      <c r="D35" s="5" t="s">
        <v>2</v>
      </c>
      <c r="E35" s="5" t="s">
        <v>2</v>
      </c>
      <c r="F35" s="5">
        <v>4.9364610000000004</v>
      </c>
      <c r="G35" s="12">
        <f>VLOOKUP(A35,'[1]all FNCL'!A$2:B$993,2)</f>
        <v>0.60256210105936003</v>
      </c>
      <c r="H35" s="3" t="s">
        <v>47</v>
      </c>
      <c r="I35">
        <v>0.89485932552840397</v>
      </c>
      <c r="J35">
        <f>VLOOKUP(A35,'YB OAS'!B:F,5,0)</f>
        <v>-39.322800000000001</v>
      </c>
      <c r="K35" s="40">
        <f>VLOOKUP(A35,'Refi Universe'!E:F,2,0)</f>
        <v>0.60101419</v>
      </c>
    </row>
    <row r="36" spans="1:11" ht="15" x14ac:dyDescent="0.25">
      <c r="A36" s="14">
        <v>40625</v>
      </c>
      <c r="B36" s="15">
        <v>298</v>
      </c>
      <c r="C36" s="15">
        <v>298</v>
      </c>
      <c r="D36" s="5" t="s">
        <v>2</v>
      </c>
      <c r="E36" s="5" t="s">
        <v>2</v>
      </c>
      <c r="F36" s="5">
        <v>4.9459109999999997</v>
      </c>
      <c r="G36" s="12">
        <f>VLOOKUP(A36,'[1]all FNCL'!A$2:B$993,2)</f>
        <v>0.60256210105936003</v>
      </c>
      <c r="H36" s="3" t="s">
        <v>48</v>
      </c>
      <c r="I36">
        <v>0.89485932552840397</v>
      </c>
      <c r="J36">
        <f>VLOOKUP(A36,'YB OAS'!B:F,5,0)</f>
        <v>-41.5625</v>
      </c>
      <c r="K36" s="40">
        <f>VLOOKUP(A36,'Refi Universe'!E:F,2,0)</f>
        <v>0.59292115999999995</v>
      </c>
    </row>
    <row r="37" spans="1:11" ht="15" x14ac:dyDescent="0.25">
      <c r="A37" s="14">
        <v>40626</v>
      </c>
      <c r="B37" s="15">
        <v>287</v>
      </c>
      <c r="C37" s="15">
        <v>287</v>
      </c>
      <c r="D37" s="5" t="s">
        <v>2</v>
      </c>
      <c r="E37" s="5" t="s">
        <v>2</v>
      </c>
      <c r="F37" s="5">
        <v>4.9515399999999996</v>
      </c>
      <c r="G37" s="12">
        <f>VLOOKUP(A37,'[1]all FNCL'!A$2:B$993,2)</f>
        <v>0.59950595681897501</v>
      </c>
      <c r="H37" s="3" t="s">
        <v>49</v>
      </c>
      <c r="I37">
        <v>0.89485932552840397</v>
      </c>
      <c r="J37">
        <f>VLOOKUP(A37,'YB OAS'!B:F,5,0)</f>
        <v>-49.425499000000002</v>
      </c>
      <c r="K37" s="40">
        <f>VLOOKUP(A37,'Refi Universe'!E:F,2,0)</f>
        <v>0.59047442999999999</v>
      </c>
    </row>
    <row r="38" spans="1:11" ht="15" x14ac:dyDescent="0.25">
      <c r="A38" s="14">
        <v>40627</v>
      </c>
      <c r="B38" s="15">
        <v>275</v>
      </c>
      <c r="C38" s="15">
        <v>275</v>
      </c>
      <c r="D38" s="5" t="s">
        <v>2</v>
      </c>
      <c r="E38" s="5" t="s">
        <v>2</v>
      </c>
      <c r="F38" s="5">
        <v>4.9701449999999996</v>
      </c>
      <c r="G38" s="12">
        <f>VLOOKUP(A38,'[1]all FNCL'!A$2:B$993,2)</f>
        <v>0.59950595681897501</v>
      </c>
      <c r="H38" s="3" t="s">
        <v>50</v>
      </c>
      <c r="I38">
        <v>0.89485932552840397</v>
      </c>
      <c r="J38">
        <f>VLOOKUP(A38,'YB OAS'!B:F,5,0)</f>
        <v>-64.829696999999996</v>
      </c>
      <c r="K38" s="40">
        <f>VLOOKUP(A38,'Refi Universe'!E:F,2,0)</f>
        <v>0.57229280000000005</v>
      </c>
    </row>
    <row r="39" spans="1:11" ht="15" x14ac:dyDescent="0.25">
      <c r="A39" s="14">
        <v>40630</v>
      </c>
      <c r="B39" s="15">
        <v>262</v>
      </c>
      <c r="C39" s="15">
        <v>262</v>
      </c>
      <c r="D39" s="5" t="s">
        <v>2</v>
      </c>
      <c r="E39" s="5" t="s">
        <v>2</v>
      </c>
      <c r="F39" s="5">
        <v>4.9705310000000003</v>
      </c>
      <c r="G39" s="12">
        <f>VLOOKUP(A39,'[1]all FNCL'!A$2:B$993,2)</f>
        <v>0.59950595681897501</v>
      </c>
      <c r="H39" s="3" t="s">
        <v>51</v>
      </c>
      <c r="I39">
        <v>0.89485932552840397</v>
      </c>
      <c r="J39">
        <f>VLOOKUP(A39,'YB OAS'!B:F,5,0)</f>
        <v>-77.691399000000004</v>
      </c>
      <c r="K39" s="40">
        <f>VLOOKUP(A39,'Refi Universe'!E:F,2,0)</f>
        <v>0.57025108000000002</v>
      </c>
    </row>
    <row r="40" spans="1:11" ht="15" x14ac:dyDescent="0.25">
      <c r="A40" s="14">
        <v>40631</v>
      </c>
      <c r="B40" s="15">
        <v>260</v>
      </c>
      <c r="C40" s="15">
        <v>260</v>
      </c>
      <c r="D40" s="5" t="s">
        <v>2</v>
      </c>
      <c r="E40" s="5" t="s">
        <v>2</v>
      </c>
      <c r="F40" s="5">
        <v>4.9973159999999996</v>
      </c>
      <c r="G40" s="12">
        <f>VLOOKUP(A40,'[1]all FNCL'!A$2:B$993,2)</f>
        <v>0.59950595681897501</v>
      </c>
      <c r="H40" s="3" t="s">
        <v>52</v>
      </c>
      <c r="I40">
        <v>0.89505966783361102</v>
      </c>
      <c r="J40">
        <f>VLOOKUP(A40,'YB OAS'!B:F,5,0)</f>
        <v>-85.883797000000001</v>
      </c>
      <c r="K40" s="40">
        <f>VLOOKUP(A40,'Refi Universe'!E:F,2,0)</f>
        <v>0.54296453</v>
      </c>
    </row>
    <row r="41" spans="1:11" ht="15" x14ac:dyDescent="0.25">
      <c r="A41" s="14">
        <v>40632</v>
      </c>
      <c r="B41" s="15">
        <v>253</v>
      </c>
      <c r="C41" s="15">
        <v>253</v>
      </c>
      <c r="D41" s="5" t="s">
        <v>2</v>
      </c>
      <c r="E41" s="5" t="s">
        <v>2</v>
      </c>
      <c r="F41" s="5">
        <v>4.9774609999999999</v>
      </c>
      <c r="G41" s="12">
        <f>VLOOKUP(A41,'[1]all FNCL'!A$2:B$993,2)</f>
        <v>0.59950595681897501</v>
      </c>
      <c r="H41" s="3" t="s">
        <v>53</v>
      </c>
      <c r="I41">
        <v>0.89505966783361102</v>
      </c>
      <c r="J41">
        <f>VLOOKUP(A41,'YB OAS'!B:F,5,0)</f>
        <v>-84.886803</v>
      </c>
      <c r="K41" s="40">
        <f>VLOOKUP(A41,'Refi Universe'!E:F,2,0)</f>
        <v>0.59292115999999995</v>
      </c>
    </row>
    <row r="42" spans="1:11" ht="15" x14ac:dyDescent="0.25">
      <c r="A42" s="14">
        <v>40633</v>
      </c>
      <c r="B42" s="15">
        <v>249</v>
      </c>
      <c r="C42" s="15">
        <v>249</v>
      </c>
      <c r="D42" s="5" t="s">
        <v>2</v>
      </c>
      <c r="E42" s="5" t="s">
        <v>2</v>
      </c>
      <c r="F42" s="5">
        <v>4.9697560000000003</v>
      </c>
      <c r="G42" s="12">
        <f>VLOOKUP(A42,'[1]all FNCL'!A$2:B$993,2)</f>
        <v>0.59315556395691504</v>
      </c>
      <c r="H42" s="3" t="s">
        <v>54</v>
      </c>
      <c r="I42">
        <v>0.89505966783361102</v>
      </c>
      <c r="J42">
        <f>VLOOKUP(A42,'YB OAS'!B:F,5,0)</f>
        <v>-86.372497999999993</v>
      </c>
      <c r="K42" s="40">
        <f>VLOOKUP(A42,'Refi Universe'!E:F,2,0)</f>
        <v>0.59330693000000001</v>
      </c>
    </row>
    <row r="43" spans="1:11" ht="15" x14ac:dyDescent="0.25">
      <c r="A43" s="14">
        <v>40634</v>
      </c>
      <c r="B43" s="15">
        <v>249</v>
      </c>
      <c r="C43" s="15">
        <v>249</v>
      </c>
      <c r="D43" s="5" t="s">
        <v>2</v>
      </c>
      <c r="E43" s="5" t="s">
        <v>2</v>
      </c>
      <c r="F43" s="5">
        <v>4.9785089999999999</v>
      </c>
      <c r="G43" s="12">
        <f>VLOOKUP(A43,'[1]all FNCL'!A$2:B$993,2)</f>
        <v>0.58635020807411298</v>
      </c>
      <c r="H43" s="3" t="s">
        <v>55</v>
      </c>
      <c r="I43">
        <v>0.89505966783361102</v>
      </c>
      <c r="J43">
        <f>VLOOKUP(A43,'YB OAS'!B:F,5,0)</f>
        <v>-92.224402999999995</v>
      </c>
      <c r="K43" s="40">
        <f>VLOOKUP(A43,'Refi Universe'!E:F,2,0)</f>
        <v>0.58564293999999995</v>
      </c>
    </row>
    <row r="44" spans="1:11" ht="15" x14ac:dyDescent="0.25">
      <c r="A44" s="14">
        <v>40637</v>
      </c>
      <c r="B44" s="15">
        <v>255</v>
      </c>
      <c r="C44" s="15">
        <v>255</v>
      </c>
      <c r="D44" s="5" t="s">
        <v>2</v>
      </c>
      <c r="E44" s="5" t="s">
        <v>2</v>
      </c>
      <c r="F44" s="5">
        <v>4.9839789999999997</v>
      </c>
      <c r="G44" s="12">
        <f>VLOOKUP(A44,'[1]all FNCL'!A$2:B$993,2)</f>
        <v>0.58635020807411298</v>
      </c>
      <c r="H44" s="3" t="s">
        <v>56</v>
      </c>
      <c r="I44">
        <v>0.89598257612375398</v>
      </c>
      <c r="J44">
        <f>VLOOKUP(A44,'YB OAS'!B:F,5,0)</f>
        <v>-88.982001999999994</v>
      </c>
      <c r="K44" s="40">
        <f>VLOOKUP(A44,'Refi Universe'!E:F,2,0)</f>
        <v>0.58600547000000003</v>
      </c>
    </row>
    <row r="45" spans="1:11" ht="15" x14ac:dyDescent="0.25">
      <c r="A45" s="14">
        <v>40638</v>
      </c>
      <c r="B45" s="15">
        <v>239</v>
      </c>
      <c r="C45" s="15">
        <v>239</v>
      </c>
      <c r="D45" s="5" t="s">
        <v>2</v>
      </c>
      <c r="E45" s="5" t="s">
        <v>2</v>
      </c>
      <c r="F45" s="5">
        <v>5.0188249999999996</v>
      </c>
      <c r="G45" s="12">
        <f>VLOOKUP(A45,'[1]all FNCL'!A$2:B$993,2)</f>
        <v>0.58635020807411298</v>
      </c>
      <c r="H45" s="3" t="s">
        <v>57</v>
      </c>
      <c r="I45">
        <v>0.88344911791249303</v>
      </c>
      <c r="J45">
        <f>VLOOKUP(A45,'YB OAS'!B:F,5,0)</f>
        <v>-105.489304</v>
      </c>
      <c r="K45" s="40">
        <f>VLOOKUP(A45,'Refi Universe'!E:F,2,0)</f>
        <v>0.56064663999999997</v>
      </c>
    </row>
    <row r="46" spans="1:11" ht="15" x14ac:dyDescent="0.25">
      <c r="A46" s="14">
        <v>40639</v>
      </c>
      <c r="B46" s="15">
        <v>220</v>
      </c>
      <c r="C46" s="15">
        <v>220</v>
      </c>
      <c r="D46" s="5" t="s">
        <v>2</v>
      </c>
      <c r="E46" s="5" t="s">
        <v>2</v>
      </c>
      <c r="F46" s="5">
        <v>5.034897</v>
      </c>
      <c r="G46" s="12">
        <f>VLOOKUP(A46,'[1]all FNCL'!A$2:B$993,2)</f>
        <v>0.58635020807411298</v>
      </c>
      <c r="H46" s="3" t="s">
        <v>58</v>
      </c>
      <c r="I46">
        <v>0.88344911791249303</v>
      </c>
      <c r="J46">
        <f>VLOOKUP(A46,'YB OAS'!B:F,5,0)</f>
        <v>-121.661102</v>
      </c>
      <c r="K46" s="40">
        <f>VLOOKUP(A46,'Refi Universe'!E:F,2,0)</f>
        <v>0.55462959000000001</v>
      </c>
    </row>
    <row r="47" spans="1:11" ht="15" x14ac:dyDescent="0.25">
      <c r="A47" s="14">
        <v>40640</v>
      </c>
      <c r="B47" s="15">
        <v>209</v>
      </c>
      <c r="C47" s="15">
        <v>209</v>
      </c>
      <c r="D47" s="5" t="s">
        <v>2</v>
      </c>
      <c r="E47" s="5" t="s">
        <v>2</v>
      </c>
      <c r="F47" s="5">
        <v>5.0347109999999997</v>
      </c>
      <c r="G47" s="12">
        <f>VLOOKUP(A47,'[1]all FNCL'!A$2:B$993,2)</f>
        <v>0.58532491615437798</v>
      </c>
      <c r="H47" s="3" t="s">
        <v>59</v>
      </c>
      <c r="I47">
        <v>0.88344911791249303</v>
      </c>
      <c r="J47">
        <f>VLOOKUP(A47,'YB OAS'!B:F,5,0)</f>
        <v>-130.50590500000001</v>
      </c>
      <c r="K47" s="40">
        <f>VLOOKUP(A47,'Refi Universe'!E:F,2,0)</f>
        <v>0.55713210000000002</v>
      </c>
    </row>
    <row r="48" spans="1:11" ht="15" x14ac:dyDescent="0.25">
      <c r="A48" s="14">
        <v>40641</v>
      </c>
      <c r="B48" s="15">
        <v>204</v>
      </c>
      <c r="C48" s="15">
        <v>204</v>
      </c>
      <c r="D48" s="5" t="s">
        <v>2</v>
      </c>
      <c r="E48" s="5" t="s">
        <v>2</v>
      </c>
      <c r="F48" s="5">
        <v>5.0380929999999999</v>
      </c>
      <c r="G48" s="12">
        <f>VLOOKUP(A48,'[1]all FNCL'!A$2:B$993,2)</f>
        <v>0.58635020807411298</v>
      </c>
      <c r="H48" s="3" t="s">
        <v>60</v>
      </c>
      <c r="I48">
        <v>0.88344911791249303</v>
      </c>
      <c r="J48">
        <f>VLOOKUP(A48,'YB OAS'!B:F,5,0)</f>
        <v>-135.06170700000001</v>
      </c>
      <c r="K48" s="40">
        <f>VLOOKUP(A48,'Refi Universe'!E:F,2,0)</f>
        <v>0.55076780000000003</v>
      </c>
    </row>
    <row r="49" spans="1:11" ht="15" x14ac:dyDescent="0.25">
      <c r="A49" s="14">
        <v>40644</v>
      </c>
      <c r="B49" s="15">
        <v>197</v>
      </c>
      <c r="C49" s="15">
        <v>197</v>
      </c>
      <c r="D49" s="5" t="s">
        <v>2</v>
      </c>
      <c r="E49" s="5" t="s">
        <v>2</v>
      </c>
      <c r="F49" s="5">
        <v>5.0330640000000004</v>
      </c>
      <c r="G49" s="12">
        <f>VLOOKUP(A49,'[1]all FNCL'!A$2:B$993,2)</f>
        <v>0.58532491615437798</v>
      </c>
      <c r="H49" s="3" t="s">
        <v>61</v>
      </c>
      <c r="I49">
        <v>0.89196946223805695</v>
      </c>
      <c r="J49">
        <f>VLOOKUP(A49,'YB OAS'!B:F,5,0)</f>
        <v>-141.42529300000001</v>
      </c>
      <c r="K49" s="40">
        <f>VLOOKUP(A49,'Refi Universe'!E:F,2,0)</f>
        <v>0.55462959000000001</v>
      </c>
    </row>
    <row r="50" spans="1:11" ht="15" x14ac:dyDescent="0.25">
      <c r="A50" s="14">
        <v>40645</v>
      </c>
      <c r="B50" s="15">
        <v>194</v>
      </c>
      <c r="C50" s="15">
        <v>194</v>
      </c>
      <c r="D50" s="5" t="s">
        <v>2</v>
      </c>
      <c r="E50" s="5" t="s">
        <v>2</v>
      </c>
      <c r="F50" s="5">
        <v>5.0026489999999999</v>
      </c>
      <c r="G50" s="12">
        <f>VLOOKUP(A50,'[1]all FNCL'!A$2:B$993,2)</f>
        <v>0.58532491615437798</v>
      </c>
      <c r="H50" s="3" t="s">
        <v>62</v>
      </c>
      <c r="I50">
        <v>0.89196946223805695</v>
      </c>
      <c r="J50">
        <f>VLOOKUP(A50,'YB OAS'!B:F,5,0)</f>
        <v>-137.64359999999999</v>
      </c>
      <c r="K50" s="40">
        <f>VLOOKUP(A50,'Refi Universe'!E:F,2,0)</f>
        <v>0.58436579</v>
      </c>
    </row>
    <row r="51" spans="1:11" ht="15" x14ac:dyDescent="0.25">
      <c r="A51" s="14">
        <v>40646</v>
      </c>
      <c r="B51" s="15">
        <v>195</v>
      </c>
      <c r="C51" s="15">
        <v>195</v>
      </c>
      <c r="D51" s="5" t="s">
        <v>2</v>
      </c>
      <c r="E51" s="5" t="s">
        <v>2</v>
      </c>
      <c r="F51" s="5">
        <v>4.9916999999999998</v>
      </c>
      <c r="G51" s="12">
        <f>VLOOKUP(A51,'[1]all FNCL'!A$2:B$993,2)</f>
        <v>0.58532491615437798</v>
      </c>
      <c r="H51" s="3" t="s">
        <v>63</v>
      </c>
      <c r="I51">
        <v>0.89196946223805695</v>
      </c>
      <c r="J51">
        <f>VLOOKUP(A51,'YB OAS'!B:F,5,0)</f>
        <v>-137.808899</v>
      </c>
      <c r="K51" s="40">
        <f>VLOOKUP(A51,'Refi Universe'!E:F,2,0)</f>
        <v>0.58820517000000005</v>
      </c>
    </row>
    <row r="52" spans="1:11" ht="15" x14ac:dyDescent="0.25">
      <c r="A52" s="14">
        <v>40647</v>
      </c>
      <c r="B52" s="15">
        <v>198</v>
      </c>
      <c r="C52" s="15">
        <v>198</v>
      </c>
      <c r="D52" s="5" t="s">
        <v>2</v>
      </c>
      <c r="E52" s="5" t="s">
        <v>2</v>
      </c>
      <c r="F52" s="5">
        <v>4.9957250000000002</v>
      </c>
      <c r="G52" s="12">
        <f>VLOOKUP(A52,'[1]all FNCL'!A$2:B$993,2)</f>
        <v>0.56791099107998699</v>
      </c>
      <c r="H52" s="3" t="s">
        <v>64</v>
      </c>
      <c r="I52">
        <v>0.89196946223805695</v>
      </c>
      <c r="J52">
        <f>VLOOKUP(A52,'YB OAS'!B:F,5,0)</f>
        <v>-137.074997</v>
      </c>
      <c r="K52" s="40">
        <f>VLOOKUP(A52,'Refi Universe'!E:F,2,0)</f>
        <v>0.58773812999999997</v>
      </c>
    </row>
    <row r="53" spans="1:11" ht="15" x14ac:dyDescent="0.25">
      <c r="A53" s="14">
        <v>40648</v>
      </c>
      <c r="B53" s="15">
        <v>205</v>
      </c>
      <c r="C53" s="15">
        <v>205</v>
      </c>
      <c r="D53" s="5" t="s">
        <v>2</v>
      </c>
      <c r="E53" s="5" t="s">
        <v>2</v>
      </c>
      <c r="F53" s="5">
        <v>4.9499380000000004</v>
      </c>
      <c r="G53" s="12">
        <f>VLOOKUP(A53,'[1]all FNCL'!A$2:B$993,2)</f>
        <v>0.56791099107998699</v>
      </c>
      <c r="H53" s="3" t="s">
        <v>65</v>
      </c>
      <c r="I53">
        <v>0.89196946223805695</v>
      </c>
      <c r="J53">
        <f>VLOOKUP(A53,'YB OAS'!B:F,5,0)</f>
        <v>-124.151802</v>
      </c>
      <c r="K53" s="40">
        <f>VLOOKUP(A53,'Refi Universe'!E:F,2,0)</f>
        <v>0.59459154000000003</v>
      </c>
    </row>
    <row r="54" spans="1:11" ht="15" x14ac:dyDescent="0.25">
      <c r="A54" s="14">
        <v>40651</v>
      </c>
      <c r="B54" s="15">
        <v>216</v>
      </c>
      <c r="C54" s="15">
        <v>216</v>
      </c>
      <c r="D54" s="5" t="s">
        <v>2</v>
      </c>
      <c r="E54" s="5" t="s">
        <v>2</v>
      </c>
      <c r="F54" s="5">
        <v>4.9404279999999998</v>
      </c>
      <c r="G54" s="12">
        <f>VLOOKUP(A54,'[1]all FNCL'!A$2:B$993,2)</f>
        <v>0.56791099107998699</v>
      </c>
      <c r="H54" s="3" t="s">
        <v>66</v>
      </c>
      <c r="I54">
        <v>0.88661468253780695</v>
      </c>
      <c r="J54">
        <f>VLOOKUP(A54,'YB OAS'!B:F,5,0)</f>
        <v>115.686897</v>
      </c>
      <c r="K54" s="40">
        <f>VLOOKUP(A54,'Refi Universe'!E:F,2,0)</f>
        <v>0.59752002000000004</v>
      </c>
    </row>
    <row r="55" spans="1:11" ht="15" x14ac:dyDescent="0.25">
      <c r="A55" s="14">
        <v>40652</v>
      </c>
      <c r="B55" s="15">
        <v>218</v>
      </c>
      <c r="C55" s="15">
        <v>218</v>
      </c>
      <c r="D55" s="5" t="s">
        <v>2</v>
      </c>
      <c r="E55" s="5" t="s">
        <v>2</v>
      </c>
      <c r="F55" s="5">
        <v>4.932906</v>
      </c>
      <c r="G55" s="12">
        <f>VLOOKUP(A55,'[1]all FNCL'!A$2:B$993,2)</f>
        <v>0.56791099107998699</v>
      </c>
      <c r="H55" s="3" t="s">
        <v>67</v>
      </c>
      <c r="I55">
        <v>0.88661468253780695</v>
      </c>
      <c r="J55">
        <f>VLOOKUP(A55,'YB OAS'!B:F,5,0)</f>
        <v>-111.029999</v>
      </c>
      <c r="K55" s="40">
        <f>VLOOKUP(A55,'Refi Universe'!E:F,2,0)</f>
        <v>0.59807111999999996</v>
      </c>
    </row>
    <row r="56" spans="1:11" ht="15" x14ac:dyDescent="0.25">
      <c r="A56" s="14">
        <v>40653</v>
      </c>
      <c r="B56" s="15">
        <v>210</v>
      </c>
      <c r="C56" s="15">
        <v>210</v>
      </c>
      <c r="D56" s="5" t="s">
        <v>2</v>
      </c>
      <c r="E56" s="5" t="s">
        <v>2</v>
      </c>
      <c r="F56" s="5">
        <v>4.9458380000000002</v>
      </c>
      <c r="G56" s="12">
        <f>VLOOKUP(A56,'[1]all FNCL'!A$2:B$993,2)</f>
        <v>0.56791099107998699</v>
      </c>
      <c r="H56" s="3" t="s">
        <v>68</v>
      </c>
      <c r="I56">
        <v>0.88661468253780695</v>
      </c>
      <c r="J56">
        <f>VLOOKUP(A56,'YB OAS'!B:F,5,0)</f>
        <v>-120.20839700000001</v>
      </c>
      <c r="K56" s="40">
        <f>VLOOKUP(A56,'Refi Universe'!E:F,2,0)</f>
        <v>0.59394553000000005</v>
      </c>
    </row>
    <row r="57" spans="1:11" ht="15" x14ac:dyDescent="0.25">
      <c r="A57" s="14">
        <v>40654</v>
      </c>
      <c r="B57" s="15">
        <v>211</v>
      </c>
      <c r="C57" s="15">
        <v>211</v>
      </c>
      <c r="D57" s="5" t="s">
        <v>2</v>
      </c>
      <c r="E57" s="5" t="s">
        <v>2</v>
      </c>
      <c r="F57" s="5">
        <v>4.9479449999999998</v>
      </c>
      <c r="G57" s="12">
        <f>VLOOKUP(A57,'[1]all FNCL'!A$2:B$993,2)</f>
        <v>0.59349339985189797</v>
      </c>
      <c r="H57" s="3" t="s">
        <v>69</v>
      </c>
      <c r="I57">
        <v>0.88661468253780695</v>
      </c>
      <c r="J57">
        <f>VLOOKUP(A57,'YB OAS'!B:F,5,0)</f>
        <v>-119.152901</v>
      </c>
      <c r="K57" s="40">
        <f>VLOOKUP(A57,'Refi Universe'!E:F,2,0)</f>
        <v>0.59386766000000002</v>
      </c>
    </row>
    <row r="58" spans="1:11" ht="15" x14ac:dyDescent="0.25">
      <c r="A58" s="14">
        <v>40658</v>
      </c>
      <c r="B58" s="15">
        <v>210</v>
      </c>
      <c r="C58" s="15">
        <v>210</v>
      </c>
      <c r="D58" s="5" t="s">
        <v>2</v>
      </c>
      <c r="E58" s="5" t="s">
        <v>2</v>
      </c>
      <c r="F58" s="5">
        <v>4.9291359999999997</v>
      </c>
      <c r="G58" s="12">
        <f>VLOOKUP(A58,'[1]all FNCL'!A$2:B$993,2)</f>
        <v>0.59349339985189797</v>
      </c>
      <c r="H58" s="3" t="s">
        <v>70</v>
      </c>
      <c r="I58">
        <v>0.88661468253780695</v>
      </c>
      <c r="J58">
        <f>VLOOKUP(A58,'YB OAS'!B:F,5,0)</f>
        <v>-117.247803</v>
      </c>
      <c r="K58" s="40">
        <f>VLOOKUP(A58,'Refi Universe'!E:F,2,0)</f>
        <v>0.59596400999999999</v>
      </c>
    </row>
    <row r="59" spans="1:11" ht="15" x14ac:dyDescent="0.25">
      <c r="A59" s="14">
        <v>40659</v>
      </c>
      <c r="B59" s="15">
        <v>209</v>
      </c>
      <c r="C59" s="15">
        <v>209</v>
      </c>
      <c r="D59" s="5" t="s">
        <v>2</v>
      </c>
      <c r="E59" s="5" t="s">
        <v>2</v>
      </c>
      <c r="F59" s="5">
        <v>4.9168989999999999</v>
      </c>
      <c r="G59" s="12">
        <f>VLOOKUP(A59,'[1]all FNCL'!A$2:B$993,2)</f>
        <v>0.59349339985189797</v>
      </c>
      <c r="H59" s="3" t="s">
        <v>71</v>
      </c>
      <c r="I59">
        <v>0.89395578636495998</v>
      </c>
      <c r="J59">
        <f>VLOOKUP(A59,'YB OAS'!B:F,5,0)</f>
        <v>-116.952499</v>
      </c>
      <c r="K59" s="40">
        <f>VLOOKUP(A59,'Refi Universe'!E:F,2,0)</f>
        <v>0.59816915999999998</v>
      </c>
    </row>
    <row r="60" spans="1:11" ht="15" x14ac:dyDescent="0.25">
      <c r="A60" s="14">
        <v>40660</v>
      </c>
      <c r="B60" s="15">
        <v>208</v>
      </c>
      <c r="C60" s="15">
        <v>208</v>
      </c>
      <c r="D60" s="5" t="s">
        <v>2</v>
      </c>
      <c r="E60" s="5" t="s">
        <v>2</v>
      </c>
      <c r="F60" s="5">
        <v>4.9224930000000002</v>
      </c>
      <c r="G60" s="12">
        <f>VLOOKUP(A60,'[1]all FNCL'!A$2:B$993,2)</f>
        <v>0.59349339985189797</v>
      </c>
      <c r="H60" s="3" t="s">
        <v>72</v>
      </c>
      <c r="I60">
        <v>0.89395578636495998</v>
      </c>
      <c r="J60">
        <f>VLOOKUP(A60,'YB OAS'!B:F,5,0)</f>
        <v>-117.538498</v>
      </c>
      <c r="K60" s="40">
        <f>VLOOKUP(A60,'Refi Universe'!E:F,2,0)</f>
        <v>0.59476454999999995</v>
      </c>
    </row>
    <row r="61" spans="1:11" ht="15" x14ac:dyDescent="0.25">
      <c r="A61" s="14">
        <v>40661</v>
      </c>
      <c r="B61" s="15">
        <v>214</v>
      </c>
      <c r="C61" s="15">
        <v>214</v>
      </c>
      <c r="D61" s="5" t="s">
        <v>2</v>
      </c>
      <c r="E61" s="5" t="s">
        <v>2</v>
      </c>
      <c r="F61" s="5">
        <v>4.8876759999999999</v>
      </c>
      <c r="G61" s="12">
        <f>VLOOKUP(A61,'[1]all FNCL'!A$2:B$993,2)</f>
        <v>0.594306088776824</v>
      </c>
      <c r="H61" s="3" t="s">
        <v>73</v>
      </c>
      <c r="I61">
        <v>0.89395578636495998</v>
      </c>
      <c r="J61">
        <f>VLOOKUP(A61,'YB OAS'!B:F,5,0)</f>
        <v>-103.995903</v>
      </c>
      <c r="K61" s="40">
        <f>VLOOKUP(A61,'Refi Universe'!E:F,2,0)</f>
        <v>0.59958840999999996</v>
      </c>
    </row>
    <row r="62" spans="1:11" ht="15" x14ac:dyDescent="0.25">
      <c r="A62" s="14">
        <v>40662</v>
      </c>
      <c r="B62" s="15">
        <v>214</v>
      </c>
      <c r="C62" s="15">
        <v>214</v>
      </c>
      <c r="D62" s="5" t="s">
        <v>2</v>
      </c>
      <c r="E62" s="5" t="s">
        <v>2</v>
      </c>
      <c r="F62" s="5">
        <v>4.8737589999999997</v>
      </c>
      <c r="G62" s="12">
        <f>VLOOKUP(A62,'[1]all FNCL'!A$2:B$993,2)</f>
        <v>0.59349339985189797</v>
      </c>
      <c r="H62" s="3" t="s">
        <v>74</v>
      </c>
      <c r="I62">
        <v>0.89395578636495998</v>
      </c>
      <c r="J62">
        <f>VLOOKUP(A62,'YB OAS'!B:F,5,0)</f>
        <v>-106.533096</v>
      </c>
      <c r="K62" s="40">
        <f>VLOOKUP(A62,'Refi Universe'!E:F,2,0)</f>
        <v>0.60214741999999999</v>
      </c>
    </row>
    <row r="63" spans="1:11" ht="15" x14ac:dyDescent="0.25">
      <c r="A63" s="14">
        <v>40665</v>
      </c>
      <c r="B63" s="15">
        <v>260</v>
      </c>
      <c r="C63" s="15">
        <v>260</v>
      </c>
      <c r="D63" s="5" t="s">
        <v>2</v>
      </c>
      <c r="E63" s="5" t="s">
        <v>2</v>
      </c>
      <c r="F63" s="5">
        <v>4.8853749999999998</v>
      </c>
      <c r="G63" s="12">
        <f>VLOOKUP(A63,'[1]all FNCL'!A$2:B$993,2)</f>
        <v>0.58827706720942596</v>
      </c>
      <c r="H63" s="3" t="s">
        <v>75</v>
      </c>
      <c r="I63">
        <v>0.89395578636495998</v>
      </c>
      <c r="J63">
        <f>VLOOKUP(A63,'YB OAS'!B:F,5,0)</f>
        <v>-108.476501</v>
      </c>
      <c r="K63" s="40">
        <f>VLOOKUP(A63,'Refi Universe'!E:F,2,0)</f>
        <v>0.59420903000000003</v>
      </c>
    </row>
    <row r="64" spans="1:11" ht="15" x14ac:dyDescent="0.25">
      <c r="A64" s="14">
        <v>40666</v>
      </c>
      <c r="B64" s="15">
        <v>253</v>
      </c>
      <c r="C64" s="15">
        <v>253</v>
      </c>
      <c r="D64" s="5" t="s">
        <v>2</v>
      </c>
      <c r="E64" s="5" t="s">
        <v>2</v>
      </c>
      <c r="F64" s="5">
        <v>4.8663220000000003</v>
      </c>
      <c r="G64" s="12">
        <f>VLOOKUP(A64,'[1]all FNCL'!A$2:B$993,2)</f>
        <v>0.58827706720942596</v>
      </c>
      <c r="H64" s="3" t="s">
        <v>76</v>
      </c>
      <c r="I64">
        <v>0.89395578636495998</v>
      </c>
      <c r="J64">
        <f>VLOOKUP(A64,'YB OAS'!B:F,5,0)</f>
        <v>-108.627403</v>
      </c>
      <c r="K64" s="40">
        <f>VLOOKUP(A64,'Refi Universe'!E:F,2,0)</f>
        <v>0.59809005999999998</v>
      </c>
    </row>
    <row r="65" spans="1:11" ht="15" x14ac:dyDescent="0.25">
      <c r="A65" s="14">
        <v>40667</v>
      </c>
      <c r="B65" s="15">
        <v>258</v>
      </c>
      <c r="C65" s="15">
        <v>258</v>
      </c>
      <c r="D65" s="5" t="s">
        <v>2</v>
      </c>
      <c r="E65" s="5" t="s">
        <v>2</v>
      </c>
      <c r="F65" s="5">
        <v>4.8478050000000001</v>
      </c>
      <c r="G65" s="12">
        <f>VLOOKUP(A65,'[1]all FNCL'!A$2:B$993,2)</f>
        <v>0.58827706720942596</v>
      </c>
      <c r="H65" s="3" t="s">
        <v>77</v>
      </c>
      <c r="I65">
        <v>0.89395578636495998</v>
      </c>
      <c r="J65">
        <f>VLOOKUP(A65,'YB OAS'!B:F,5,0)</f>
        <v>-100.710098</v>
      </c>
      <c r="K65" s="40">
        <f>VLOOKUP(A65,'Refi Universe'!E:F,2,0)</f>
        <v>0.59849596999999999</v>
      </c>
    </row>
    <row r="66" spans="1:11" ht="15" x14ac:dyDescent="0.25">
      <c r="A66" s="14">
        <v>40668</v>
      </c>
      <c r="B66" s="15">
        <v>255</v>
      </c>
      <c r="C66" s="15">
        <v>255</v>
      </c>
      <c r="D66" s="5" t="s">
        <v>2</v>
      </c>
      <c r="E66" s="5" t="s">
        <v>2</v>
      </c>
      <c r="F66" s="5">
        <v>4.8159349999999996</v>
      </c>
      <c r="G66" s="12">
        <f>VLOOKUP(A66,'[1]all FNCL'!A$2:B$993,2)</f>
        <v>0.59388944935877797</v>
      </c>
      <c r="H66" s="3" t="s">
        <v>78</v>
      </c>
      <c r="I66">
        <v>0.87735489357143903</v>
      </c>
      <c r="J66">
        <f>VLOOKUP(A66,'YB OAS'!B:F,5,0)</f>
        <v>-93.175597999999994</v>
      </c>
      <c r="K66" s="40">
        <f>VLOOKUP(A66,'Refi Universe'!E:F,2,0)</f>
        <v>0.60970157999999997</v>
      </c>
    </row>
    <row r="67" spans="1:11" ht="15" x14ac:dyDescent="0.25">
      <c r="A67" s="14">
        <v>40669</v>
      </c>
      <c r="B67" s="15">
        <v>245</v>
      </c>
      <c r="C67" s="15">
        <v>245</v>
      </c>
      <c r="D67" s="5" t="s">
        <v>2</v>
      </c>
      <c r="E67" s="5" t="s">
        <v>2</v>
      </c>
      <c r="F67" s="5">
        <v>4.8123329999999997</v>
      </c>
      <c r="G67" s="12">
        <f>VLOOKUP(A67,'[1]all FNCL'!A$2:B$993,2)</f>
        <v>0.58827706720942596</v>
      </c>
      <c r="H67" s="3" t="s">
        <v>79</v>
      </c>
      <c r="I67">
        <v>0.87735489357143903</v>
      </c>
      <c r="J67">
        <f>VLOOKUP(A67,'YB OAS'!B:F,5,0)</f>
        <v>-103.90570099999999</v>
      </c>
      <c r="K67" s="40">
        <f>VLOOKUP(A67,'Refi Universe'!E:F,2,0)</f>
        <v>0.61279925000000002</v>
      </c>
    </row>
    <row r="68" spans="1:11" ht="15" x14ac:dyDescent="0.25">
      <c r="A68" s="14">
        <v>40672</v>
      </c>
      <c r="B68" s="15">
        <v>243</v>
      </c>
      <c r="C68" s="15">
        <v>243</v>
      </c>
      <c r="D68" s="5" t="s">
        <v>2</v>
      </c>
      <c r="E68" s="5" t="s">
        <v>2</v>
      </c>
      <c r="F68" s="5">
        <v>4.8029909999999996</v>
      </c>
      <c r="G68" s="12">
        <f>VLOOKUP(A68,'[1]all FNCL'!A$2:B$993,2)</f>
        <v>0.59388944935877797</v>
      </c>
      <c r="H68" s="3" t="s">
        <v>80</v>
      </c>
      <c r="I68">
        <v>0.89133476417306701</v>
      </c>
      <c r="J68">
        <f>VLOOKUP(A68,'YB OAS'!B:F,5,0)</f>
        <v>-101.403999</v>
      </c>
      <c r="K68" s="40">
        <f>VLOOKUP(A68,'Refi Universe'!E:F,2,0)</f>
        <v>0.61802575999999998</v>
      </c>
    </row>
    <row r="69" spans="1:11" ht="15" x14ac:dyDescent="0.25">
      <c r="A69" s="14">
        <v>40673</v>
      </c>
      <c r="B69" s="15">
        <v>239</v>
      </c>
      <c r="C69" s="15">
        <v>239</v>
      </c>
      <c r="D69" s="5" t="s">
        <v>2</v>
      </c>
      <c r="E69" s="5" t="s">
        <v>2</v>
      </c>
      <c r="F69" s="5">
        <v>4.8272579999999996</v>
      </c>
      <c r="G69" s="12">
        <f>VLOOKUP(A69,'[1]all FNCL'!A$2:B$993,2)</f>
        <v>0.59388944935877797</v>
      </c>
      <c r="H69" s="3" t="s">
        <v>81</v>
      </c>
      <c r="I69">
        <v>0.89133476417306701</v>
      </c>
      <c r="J69">
        <f>VLOOKUP(A69,'YB OAS'!B:F,5,0)</f>
        <v>-114.08669999999999</v>
      </c>
      <c r="K69" s="40">
        <f>VLOOKUP(A69,'Refi Universe'!E:F,2,0)</f>
        <v>0.60476870999999999</v>
      </c>
    </row>
    <row r="70" spans="1:11" ht="15" x14ac:dyDescent="0.25">
      <c r="A70" s="14">
        <v>40674</v>
      </c>
      <c r="B70" s="15">
        <v>237</v>
      </c>
      <c r="C70" s="15">
        <v>237</v>
      </c>
      <c r="D70" s="5" t="s">
        <v>2</v>
      </c>
      <c r="E70" s="5" t="s">
        <v>2</v>
      </c>
      <c r="F70" s="5">
        <v>4.8133790000000003</v>
      </c>
      <c r="G70" s="12">
        <f>VLOOKUP(A70,'[1]all FNCL'!A$2:B$993,2)</f>
        <v>0.59388944935877797</v>
      </c>
      <c r="H70" s="3" t="s">
        <v>82</v>
      </c>
      <c r="I70">
        <v>0.89133476417306701</v>
      </c>
      <c r="J70">
        <f>VLOOKUP(A70,'YB OAS'!B:F,5,0)</f>
        <v>-111.4729</v>
      </c>
      <c r="K70" s="40">
        <f>VLOOKUP(A70,'Refi Universe'!E:F,2,0)</f>
        <v>0.60725342000000004</v>
      </c>
    </row>
    <row r="71" spans="1:11" ht="15" x14ac:dyDescent="0.25">
      <c r="A71" s="14">
        <v>40675</v>
      </c>
      <c r="B71" s="15">
        <v>225</v>
      </c>
      <c r="C71" s="15">
        <v>225</v>
      </c>
      <c r="D71" s="5" t="s">
        <v>2</v>
      </c>
      <c r="E71" s="5" t="s">
        <v>2</v>
      </c>
      <c r="F71" s="5">
        <v>4.8197619999999999</v>
      </c>
      <c r="G71" s="12">
        <f>VLOOKUP(A71,'[1]all FNCL'!A$2:B$993,2)</f>
        <v>0.60656839337259305</v>
      </c>
      <c r="H71" s="3" t="s">
        <v>83</v>
      </c>
      <c r="I71">
        <v>0.89133476417306701</v>
      </c>
      <c r="J71">
        <f>VLOOKUP(A71,'YB OAS'!B:F,5,0)</f>
        <v>-129.59599299999999</v>
      </c>
      <c r="K71" s="40">
        <f>VLOOKUP(A71,'Refi Universe'!E:F,2,0)</f>
        <v>0.60131517999999995</v>
      </c>
    </row>
    <row r="72" spans="1:11" ht="15" x14ac:dyDescent="0.25">
      <c r="A72" s="14">
        <v>40676</v>
      </c>
      <c r="B72" s="15">
        <v>227</v>
      </c>
      <c r="C72" s="15">
        <v>227</v>
      </c>
      <c r="D72" s="5" t="s">
        <v>2</v>
      </c>
      <c r="E72" s="5" t="s">
        <v>2</v>
      </c>
      <c r="F72" s="5">
        <v>4.8163309999999999</v>
      </c>
      <c r="G72" s="12">
        <f>VLOOKUP(A72,'[1]all FNCL'!A$2:B$993,2)</f>
        <v>0.60656839337259305</v>
      </c>
      <c r="H72" s="3" t="s">
        <v>84</v>
      </c>
      <c r="I72">
        <v>0.89133476417306701</v>
      </c>
      <c r="J72">
        <f>VLOOKUP(A72,'YB OAS'!B:F,5,0)</f>
        <v>-121.444801</v>
      </c>
      <c r="K72" s="40">
        <f>VLOOKUP(A72,'Refi Universe'!E:F,2,0)</f>
        <v>0.60620629999999998</v>
      </c>
    </row>
    <row r="73" spans="1:11" ht="15" x14ac:dyDescent="0.25">
      <c r="A73" s="14">
        <v>40679</v>
      </c>
      <c r="B73" s="15">
        <v>229</v>
      </c>
      <c r="C73" s="15">
        <v>229</v>
      </c>
      <c r="D73" s="5" t="s">
        <v>2</v>
      </c>
      <c r="E73" s="5" t="s">
        <v>2</v>
      </c>
      <c r="F73" s="5">
        <v>4.807601</v>
      </c>
      <c r="G73" s="12">
        <f>VLOOKUP(A73,'[1]all FNCL'!A$2:B$993,2)</f>
        <v>0.60656839337259305</v>
      </c>
      <c r="H73" s="3" t="s">
        <v>85</v>
      </c>
      <c r="I73">
        <v>0.944528095453952</v>
      </c>
      <c r="J73">
        <f>VLOOKUP(A73,'YB OAS'!B:F,5,0)</f>
        <v>-113.47380099999999</v>
      </c>
      <c r="K73" s="40">
        <f>VLOOKUP(A73,'Refi Universe'!E:F,2,0)</f>
        <v>0.61009265000000001</v>
      </c>
    </row>
    <row r="74" spans="1:11" ht="15" x14ac:dyDescent="0.25">
      <c r="A74" s="14">
        <v>40680</v>
      </c>
      <c r="B74" s="15">
        <v>236</v>
      </c>
      <c r="C74" s="15">
        <v>236</v>
      </c>
      <c r="D74" s="5" t="s">
        <v>2</v>
      </c>
      <c r="E74" s="5" t="s">
        <v>2</v>
      </c>
      <c r="F74" s="5">
        <v>4.8033729999999997</v>
      </c>
      <c r="G74" s="12">
        <f>VLOOKUP(A74,'[1]all FNCL'!A$2:B$993,2)</f>
        <v>0.60656839337259305</v>
      </c>
      <c r="H74" s="3" t="s">
        <v>86</v>
      </c>
      <c r="I74">
        <v>0.944528095453952</v>
      </c>
      <c r="J74">
        <f>VLOOKUP(A74,'YB OAS'!B:F,5,0)</f>
        <v>-108.28649900000001</v>
      </c>
      <c r="K74" s="40">
        <f>VLOOKUP(A74,'Refi Universe'!E:F,2,0)</f>
        <v>0.61572481999999995</v>
      </c>
    </row>
    <row r="75" spans="1:11" ht="15" x14ac:dyDescent="0.25">
      <c r="A75" s="14">
        <v>40681</v>
      </c>
      <c r="B75" s="15">
        <v>227</v>
      </c>
      <c r="C75" s="15">
        <v>227</v>
      </c>
      <c r="D75" s="5" t="s">
        <v>2</v>
      </c>
      <c r="E75" s="5" t="s">
        <v>2</v>
      </c>
      <c r="F75" s="5">
        <v>4.8217559999999997</v>
      </c>
      <c r="G75" s="12">
        <f>VLOOKUP(A75,'[1]all FNCL'!A$2:B$993,2)</f>
        <v>0.60656839337259305</v>
      </c>
      <c r="H75" s="3" t="s">
        <v>87</v>
      </c>
      <c r="I75">
        <v>0.944528095453952</v>
      </c>
      <c r="J75">
        <f>VLOOKUP(A75,'YB OAS'!B:F,5,0)</f>
        <v>-122.6054</v>
      </c>
      <c r="K75" s="40">
        <f>VLOOKUP(A75,'Refi Universe'!E:F,2,0)</f>
        <v>0.60756730999999997</v>
      </c>
    </row>
    <row r="76" spans="1:11" ht="15" x14ac:dyDescent="0.25">
      <c r="A76" s="14">
        <v>40682</v>
      </c>
      <c r="B76" s="15">
        <v>220</v>
      </c>
      <c r="C76" s="15">
        <v>220</v>
      </c>
      <c r="D76" s="5" t="s">
        <v>2</v>
      </c>
      <c r="E76" s="5" t="s">
        <v>2</v>
      </c>
      <c r="F76" s="5">
        <v>4.8262470000000004</v>
      </c>
      <c r="G76" s="12">
        <f>VLOOKUP(A76,'[1]all FNCL'!A$2:B$993,2)</f>
        <v>0.61190235023345096</v>
      </c>
      <c r="H76" s="3" t="s">
        <v>88</v>
      </c>
      <c r="I76">
        <v>0.944528095453952</v>
      </c>
      <c r="J76">
        <f>VLOOKUP(A76,'YB OAS'!B:F,5,0)</f>
        <v>-130.94000199999999</v>
      </c>
      <c r="K76" s="40">
        <f>VLOOKUP(A76,'Refi Universe'!E:F,2,0)</f>
        <v>0.60650216000000001</v>
      </c>
    </row>
    <row r="77" spans="1:11" ht="15" x14ac:dyDescent="0.25">
      <c r="A77" s="14">
        <v>40683</v>
      </c>
      <c r="B77" s="15">
        <v>205</v>
      </c>
      <c r="C77" s="15">
        <v>205</v>
      </c>
      <c r="D77" s="5" t="s">
        <v>2</v>
      </c>
      <c r="E77" s="5" t="s">
        <v>2</v>
      </c>
      <c r="F77" s="5">
        <v>4.8226750000000003</v>
      </c>
      <c r="G77" s="12">
        <f>VLOOKUP(A77,'[1]all FNCL'!A$2:B$993,2)</f>
        <v>0.61190235023345096</v>
      </c>
      <c r="H77" s="3" t="s">
        <v>89</v>
      </c>
      <c r="I77">
        <v>0.944528095453952</v>
      </c>
      <c r="J77">
        <f>VLOOKUP(A77,'YB OAS'!B:F,5,0)</f>
        <v>-142.17790199999999</v>
      </c>
      <c r="K77" s="40">
        <f>VLOOKUP(A77,'Refi Universe'!E:F,2,0)</f>
        <v>0.60913379999999995</v>
      </c>
    </row>
    <row r="78" spans="1:11" ht="15" x14ac:dyDescent="0.25">
      <c r="A78" s="14">
        <v>40686</v>
      </c>
      <c r="B78" s="15">
        <v>197</v>
      </c>
      <c r="C78" s="15">
        <v>197</v>
      </c>
      <c r="D78" s="5" t="s">
        <v>2</v>
      </c>
      <c r="E78" s="5" t="s">
        <v>2</v>
      </c>
      <c r="F78" s="5">
        <v>4.8259869999999996</v>
      </c>
      <c r="G78" s="12">
        <f>VLOOKUP(A78,'[1]all FNCL'!A$2:B$993,2)</f>
        <v>0.61190235023345096</v>
      </c>
      <c r="H78" s="3" t="s">
        <v>90</v>
      </c>
      <c r="I78">
        <v>0.97186924857157997</v>
      </c>
      <c r="J78">
        <f>VLOOKUP(A78,'YB OAS'!B:F,5,0)</f>
        <v>-151.290604</v>
      </c>
      <c r="K78" s="40">
        <f>VLOOKUP(A78,'Refi Universe'!E:F,2,0)</f>
        <v>0.60791371999999999</v>
      </c>
    </row>
    <row r="79" spans="1:11" ht="15" x14ac:dyDescent="0.25">
      <c r="A79" s="14">
        <v>40687</v>
      </c>
      <c r="B79" s="15">
        <v>179</v>
      </c>
      <c r="C79" s="15">
        <v>179</v>
      </c>
      <c r="D79" s="5" t="s">
        <v>2</v>
      </c>
      <c r="E79" s="5" t="s">
        <v>2</v>
      </c>
      <c r="F79" s="5">
        <v>4.8220879999999999</v>
      </c>
      <c r="G79" s="12">
        <f>VLOOKUP(A79,'[1]all FNCL'!A$2:B$993,2)</f>
        <v>0.61190235023345096</v>
      </c>
      <c r="H79" s="3" t="s">
        <v>91</v>
      </c>
      <c r="I79">
        <v>0.97186924857157997</v>
      </c>
      <c r="J79">
        <f>VLOOKUP(A79,'YB OAS'!B:F,5,0)</f>
        <v>-167.628601</v>
      </c>
      <c r="K79" s="40">
        <f>VLOOKUP(A79,'Refi Universe'!E:F,2,0)</f>
        <v>0.61190235000000004</v>
      </c>
    </row>
    <row r="80" spans="1:11" ht="15" x14ac:dyDescent="0.25">
      <c r="A80" s="14">
        <v>40688</v>
      </c>
      <c r="B80" s="15">
        <v>179</v>
      </c>
      <c r="C80" s="15">
        <v>179</v>
      </c>
      <c r="D80" s="5" t="s">
        <v>2</v>
      </c>
      <c r="E80" s="5" t="s">
        <v>2</v>
      </c>
      <c r="F80" s="5">
        <v>4.8167790000000004</v>
      </c>
      <c r="G80" s="12">
        <f>VLOOKUP(A80,'[1]all FNCL'!A$2:B$993,2)</f>
        <v>0.61190235023345096</v>
      </c>
      <c r="H80" s="3" t="s">
        <v>92</v>
      </c>
      <c r="I80">
        <v>0.97186924857157997</v>
      </c>
      <c r="J80">
        <f>VLOOKUP(A80,'YB OAS'!B:F,5,0)</f>
        <v>-164.972702</v>
      </c>
      <c r="K80" s="40">
        <f>VLOOKUP(A80,'Refi Universe'!E:F,2,0)</f>
        <v>0.61919310000000005</v>
      </c>
    </row>
    <row r="81" spans="1:11" ht="15" x14ac:dyDescent="0.25">
      <c r="A81" s="14">
        <v>40689</v>
      </c>
      <c r="B81" s="15">
        <v>187</v>
      </c>
      <c r="C81" s="15">
        <v>187</v>
      </c>
      <c r="D81" s="5" t="s">
        <v>2</v>
      </c>
      <c r="E81" s="5" t="s">
        <v>2</v>
      </c>
      <c r="F81" s="5">
        <v>4.7756800000000004</v>
      </c>
      <c r="G81" s="12">
        <f>VLOOKUP(A81,'[1]all FNCL'!A$2:B$993,2)</f>
        <v>0.615993636080996</v>
      </c>
      <c r="H81" s="3" t="s">
        <v>93</v>
      </c>
      <c r="I81">
        <v>0.97186924857157997</v>
      </c>
      <c r="J81">
        <f>VLOOKUP(A81,'YB OAS'!B:F,5,0)</f>
        <v>-144.80439799999999</v>
      </c>
      <c r="K81" s="40">
        <f>VLOOKUP(A81,'Refi Universe'!E:F,2,0)</f>
        <v>0.67825385000000005</v>
      </c>
    </row>
    <row r="82" spans="1:11" ht="15" x14ac:dyDescent="0.25">
      <c r="A82" s="14">
        <v>40690</v>
      </c>
      <c r="B82" s="15">
        <v>192</v>
      </c>
      <c r="C82" s="15">
        <v>192</v>
      </c>
      <c r="D82" s="5" t="s">
        <v>2</v>
      </c>
      <c r="E82" s="5" t="s">
        <v>2</v>
      </c>
      <c r="F82" s="5">
        <v>4.7899320000000003</v>
      </c>
      <c r="G82" s="12">
        <f>VLOOKUP(A82,'[1]all FNCL'!A$2:B$993,2)</f>
        <v>0.615993636080996</v>
      </c>
      <c r="H82" s="3" t="s">
        <v>94</v>
      </c>
      <c r="I82">
        <v>0.97186924857157997</v>
      </c>
      <c r="J82">
        <f>VLOOKUP(A82,'YB OAS'!B:F,5,0)</f>
        <v>-146.529404</v>
      </c>
      <c r="K82" s="40">
        <f>VLOOKUP(A82,'Refi Universe'!E:F,2,0)</f>
        <v>0.64911578000000003</v>
      </c>
    </row>
    <row r="83" spans="1:11" ht="15" x14ac:dyDescent="0.25">
      <c r="A83" s="14">
        <v>40694</v>
      </c>
      <c r="B83" s="15">
        <v>197</v>
      </c>
      <c r="C83" s="15">
        <v>197</v>
      </c>
      <c r="D83" s="5" t="s">
        <v>2</v>
      </c>
      <c r="E83" s="5" t="s">
        <v>2</v>
      </c>
      <c r="F83" s="5">
        <v>4.7938619999999998</v>
      </c>
      <c r="G83" s="12">
        <f>VLOOKUP(A83,'[1]all FNCL'!A$2:B$993,2)</f>
        <v>0.615993636080996</v>
      </c>
      <c r="H83" s="3" t="s">
        <v>95</v>
      </c>
      <c r="I83">
        <v>0.98447138587305705</v>
      </c>
      <c r="J83">
        <f>VLOOKUP(A83,'YB OAS'!B:F,5,0)</f>
        <v>-144.807907</v>
      </c>
      <c r="K83" s="40">
        <f>VLOOKUP(A83,'Refi Universe'!E:F,2,0)</f>
        <v>0.64966367000000003</v>
      </c>
    </row>
    <row r="84" spans="1:11" ht="15" x14ac:dyDescent="0.25">
      <c r="A84" s="14">
        <v>40695</v>
      </c>
      <c r="B84" s="15">
        <v>202</v>
      </c>
      <c r="C84" s="15">
        <v>202</v>
      </c>
      <c r="D84" s="5" t="s">
        <v>2</v>
      </c>
      <c r="E84" s="5" t="s">
        <v>2</v>
      </c>
      <c r="F84" s="5">
        <v>4.7511289999999997</v>
      </c>
      <c r="G84" s="12">
        <f>VLOOKUP(A84,'[1]all FNCL'!A$2:B$993,2)</f>
        <v>0.61033542977678401</v>
      </c>
      <c r="H84" s="3" t="s">
        <v>96</v>
      </c>
      <c r="I84">
        <v>0.97186924857157997</v>
      </c>
      <c r="J84">
        <f>VLOOKUP(A84,'YB OAS'!B:F,5,0)</f>
        <v>-129.80059800000001</v>
      </c>
      <c r="K84" s="40">
        <f>VLOOKUP(A84,'Refi Universe'!E:F,2,0)</f>
        <v>0.75998626000000002</v>
      </c>
    </row>
    <row r="85" spans="1:11" ht="15" x14ac:dyDescent="0.25">
      <c r="A85" s="14">
        <v>40696</v>
      </c>
      <c r="B85" s="15">
        <v>189</v>
      </c>
      <c r="C85" s="15">
        <v>189</v>
      </c>
      <c r="D85" s="5" t="s">
        <v>2</v>
      </c>
      <c r="E85" s="5" t="s">
        <v>2</v>
      </c>
      <c r="F85" s="5">
        <v>4.7748900000000001</v>
      </c>
      <c r="G85" s="12">
        <f>VLOOKUP(A85,'[1]all FNCL'!A$2:B$993,2)</f>
        <v>0.63716048140315296</v>
      </c>
      <c r="H85" s="3" t="s">
        <v>97</v>
      </c>
      <c r="I85">
        <v>0.98447138587305705</v>
      </c>
      <c r="J85">
        <f>VLOOKUP(A85,'YB OAS'!B:F,5,0)</f>
        <v>-146.11729399999999</v>
      </c>
      <c r="K85" s="40">
        <f>VLOOKUP(A85,'Refi Universe'!E:F,2,0)</f>
        <v>0.65772775999999999</v>
      </c>
    </row>
    <row r="86" spans="1:11" ht="15" x14ac:dyDescent="0.25">
      <c r="A86" s="14">
        <v>40697</v>
      </c>
      <c r="B86" s="15">
        <v>184</v>
      </c>
      <c r="C86" s="15">
        <v>184</v>
      </c>
      <c r="D86" s="5" t="s">
        <v>2</v>
      </c>
      <c r="E86" s="5" t="s">
        <v>2</v>
      </c>
      <c r="F86" s="5">
        <v>4.7666069999999996</v>
      </c>
      <c r="G86" s="12">
        <f>VLOOKUP(A86,'[1]all FNCL'!A$2:B$993,2)</f>
        <v>0.63716048140315296</v>
      </c>
      <c r="H86" s="3" t="s">
        <v>98</v>
      </c>
      <c r="I86">
        <v>0.98447138587305705</v>
      </c>
      <c r="J86">
        <f>VLOOKUP(A86,'YB OAS'!B:F,5,0)</f>
        <v>-154.878693</v>
      </c>
      <c r="K86" s="40">
        <f>VLOOKUP(A86,'Refi Universe'!E:F,2,0)</f>
        <v>0.69546646999999995</v>
      </c>
    </row>
    <row r="87" spans="1:11" ht="15" x14ac:dyDescent="0.25">
      <c r="A87" s="14">
        <v>40700</v>
      </c>
      <c r="B87" s="15">
        <v>167</v>
      </c>
      <c r="C87" s="15">
        <v>167</v>
      </c>
      <c r="D87" s="5" t="s">
        <v>2</v>
      </c>
      <c r="E87" s="5" t="s">
        <v>2</v>
      </c>
      <c r="F87" s="5">
        <v>4.7706119999999999</v>
      </c>
      <c r="G87" s="12">
        <f>VLOOKUP(A87,'[1]all FNCL'!A$2:B$993,2)</f>
        <v>0.63716048140315296</v>
      </c>
      <c r="H87" s="3" t="s">
        <v>99</v>
      </c>
      <c r="I87">
        <v>0.97289569754528904</v>
      </c>
      <c r="J87">
        <f>VLOOKUP(A87,'YB OAS'!B:F,5,0)</f>
        <v>-167.74659700000001</v>
      </c>
      <c r="K87" s="40">
        <f>VLOOKUP(A87,'Refi Universe'!E:F,2,0)</f>
        <v>0.68036317000000002</v>
      </c>
    </row>
    <row r="88" spans="1:11" ht="15" x14ac:dyDescent="0.25">
      <c r="A88" s="14">
        <v>40701</v>
      </c>
      <c r="B88" s="15">
        <v>152</v>
      </c>
      <c r="C88" s="15">
        <v>152</v>
      </c>
      <c r="D88" s="5" t="s">
        <v>2</v>
      </c>
      <c r="E88" s="5" t="s">
        <v>2</v>
      </c>
      <c r="F88" s="5">
        <v>4.7653160000000003</v>
      </c>
      <c r="G88" s="12">
        <f>VLOOKUP(A88,'[1]all FNCL'!A$2:B$993,2)</f>
        <v>0.63716048140315296</v>
      </c>
      <c r="H88" s="3" t="s">
        <v>100</v>
      </c>
      <c r="I88">
        <v>0.93852225394978095</v>
      </c>
      <c r="J88">
        <f>VLOOKUP(A88,'YB OAS'!B:F,5,0)</f>
        <v>-180.83670000000001</v>
      </c>
      <c r="K88" s="40">
        <f>VLOOKUP(A88,'Refi Universe'!E:F,2,0)</f>
        <v>0.68885443999999996</v>
      </c>
    </row>
    <row r="89" spans="1:11" ht="15" x14ac:dyDescent="0.25">
      <c r="A89" s="14">
        <v>40702</v>
      </c>
      <c r="B89" s="15">
        <v>163</v>
      </c>
      <c r="C89" s="15">
        <v>163</v>
      </c>
      <c r="D89" s="5" t="s">
        <v>2</v>
      </c>
      <c r="E89" s="5" t="s">
        <v>2</v>
      </c>
      <c r="F89" s="5">
        <v>4.7437430000000003</v>
      </c>
      <c r="G89" s="12">
        <f>VLOOKUP(A89,'[1]all FNCL'!A$2:B$993,2)</f>
        <v>0.63716048140315296</v>
      </c>
      <c r="H89" s="3" t="s">
        <v>101</v>
      </c>
      <c r="I89">
        <v>0.93852225394978095</v>
      </c>
      <c r="J89">
        <f>VLOOKUP(A89,'YB OAS'!B:F,5,0)</f>
        <v>-159.42250100000001</v>
      </c>
      <c r="K89" s="40">
        <f>VLOOKUP(A89,'Refi Universe'!E:F,2,0)</f>
        <v>0.79623065000000004</v>
      </c>
    </row>
    <row r="90" spans="1:11" ht="15" x14ac:dyDescent="0.25">
      <c r="A90" s="14">
        <v>40703</v>
      </c>
      <c r="B90" s="15">
        <v>170</v>
      </c>
      <c r="C90" s="15">
        <v>170</v>
      </c>
      <c r="D90" s="5" t="s">
        <v>2</v>
      </c>
      <c r="E90" s="5" t="s">
        <v>2</v>
      </c>
      <c r="F90" s="5">
        <v>4.773555</v>
      </c>
      <c r="G90" s="12">
        <f>VLOOKUP(A90,'[1]all FNCL'!A$2:B$993,2)</f>
        <v>0.74321907249207297</v>
      </c>
      <c r="H90" s="3" t="s">
        <v>102</v>
      </c>
      <c r="I90">
        <v>0.93852225394978095</v>
      </c>
      <c r="J90">
        <f>VLOOKUP(A90,'YB OAS'!B:F,5,0)</f>
        <v>-165.55149800000001</v>
      </c>
      <c r="K90" s="40">
        <f>VLOOKUP(A90,'Refi Universe'!E:F,2,0)</f>
        <v>0.74020900999999995</v>
      </c>
    </row>
    <row r="91" spans="1:11" ht="15" x14ac:dyDescent="0.25">
      <c r="A91" s="14">
        <v>40704</v>
      </c>
      <c r="B91" s="15">
        <v>186</v>
      </c>
      <c r="C91" s="15">
        <v>186</v>
      </c>
      <c r="D91" s="5" t="s">
        <v>2</v>
      </c>
      <c r="E91" s="5" t="s">
        <v>2</v>
      </c>
      <c r="F91" s="5">
        <v>4.7792009999999996</v>
      </c>
      <c r="G91" s="12">
        <f>VLOOKUP(A91,'[1]all FNCL'!A$2:B$993,2)</f>
        <v>0.74321907249207297</v>
      </c>
      <c r="H91" s="3" t="s">
        <v>103</v>
      </c>
      <c r="I91">
        <v>0.93852225394978095</v>
      </c>
      <c r="J91">
        <f>VLOOKUP(A91,'YB OAS'!B:F,5,0)</f>
        <v>-153.711502</v>
      </c>
      <c r="K91" s="40">
        <f>VLOOKUP(A91,'Refi Universe'!E:F,2,0)</f>
        <v>0.73871514999999999</v>
      </c>
    </row>
    <row r="92" spans="1:11" ht="15" x14ac:dyDescent="0.25">
      <c r="A92" s="14">
        <v>40707</v>
      </c>
      <c r="B92" s="15">
        <v>186</v>
      </c>
      <c r="C92" s="15">
        <v>186</v>
      </c>
      <c r="D92" s="5" t="s">
        <v>2</v>
      </c>
      <c r="E92" s="5" t="s">
        <v>2</v>
      </c>
      <c r="F92" s="5">
        <v>4.781339</v>
      </c>
      <c r="G92" s="12">
        <f>VLOOKUP(A92,'[1]all FNCL'!A$2:B$993,2)</f>
        <v>0.74321907249207297</v>
      </c>
      <c r="H92" s="3" t="s">
        <v>104</v>
      </c>
      <c r="I92">
        <v>0.93852225394978095</v>
      </c>
      <c r="J92">
        <f>VLOOKUP(A92,'YB OAS'!B:F,5,0)</f>
        <v>-153.46620200000001</v>
      </c>
      <c r="K92" s="40">
        <f>VLOOKUP(A92,'Refi Universe'!E:F,2,0)</f>
        <v>0.70826939</v>
      </c>
    </row>
    <row r="93" spans="1:11" ht="15" x14ac:dyDescent="0.25">
      <c r="A93" s="14">
        <v>40708</v>
      </c>
      <c r="B93" s="15">
        <v>163</v>
      </c>
      <c r="C93" s="15">
        <v>163</v>
      </c>
      <c r="D93" s="5" t="s">
        <v>2</v>
      </c>
      <c r="E93" s="5" t="s">
        <v>2</v>
      </c>
      <c r="F93" s="5">
        <v>4.8131750000000002</v>
      </c>
      <c r="G93" s="12">
        <f>VLOOKUP(A93,'[1]all FNCL'!A$2:B$993,2)</f>
        <v>0.74321907249207297</v>
      </c>
      <c r="H93" s="3" t="s">
        <v>105</v>
      </c>
      <c r="I93">
        <v>0.88830449257823196</v>
      </c>
      <c r="J93">
        <f>VLOOKUP(A93,'YB OAS'!B:F,5,0)</f>
        <v>-184.65269499999999</v>
      </c>
      <c r="K93" s="40">
        <f>VLOOKUP(A93,'Refi Universe'!E:F,2,0)</f>
        <v>0.62299667999999997</v>
      </c>
    </row>
    <row r="94" spans="1:11" ht="15" x14ac:dyDescent="0.25">
      <c r="A94" s="14">
        <v>40709</v>
      </c>
      <c r="B94" s="15">
        <v>176</v>
      </c>
      <c r="C94" s="15">
        <v>176</v>
      </c>
      <c r="D94" s="5" t="s">
        <v>2</v>
      </c>
      <c r="E94" s="5" t="s">
        <v>2</v>
      </c>
      <c r="F94" s="5">
        <v>4.7791629999999996</v>
      </c>
      <c r="G94" s="12">
        <f>VLOOKUP(A94,'[1]all FNCL'!A$2:B$993,2)</f>
        <v>0.74321907249207297</v>
      </c>
      <c r="H94" s="3" t="s">
        <v>106</v>
      </c>
      <c r="I94">
        <v>0.88830449257823196</v>
      </c>
      <c r="J94">
        <f>VLOOKUP(A94,'YB OAS'!B:F,5,0)</f>
        <v>-165.41760300000001</v>
      </c>
      <c r="K94" s="40">
        <f>VLOOKUP(A94,'Refi Universe'!E:F,2,0)</f>
        <v>0.74517188999999995</v>
      </c>
    </row>
    <row r="95" spans="1:11" ht="15" x14ac:dyDescent="0.25">
      <c r="A95" s="14">
        <v>40710</v>
      </c>
      <c r="B95" s="15">
        <v>195</v>
      </c>
      <c r="C95" s="15">
        <v>195</v>
      </c>
      <c r="D95" s="5" t="s">
        <v>2</v>
      </c>
      <c r="E95" s="5" t="s">
        <v>2</v>
      </c>
      <c r="F95" s="5">
        <v>4.7653210000000001</v>
      </c>
      <c r="G95" s="12">
        <f>VLOOKUP(A95,'[1]all FNCL'!A$2:B$993,2)</f>
        <v>0.72196170225835998</v>
      </c>
      <c r="H95" s="3" t="s">
        <v>107</v>
      </c>
      <c r="I95">
        <v>0.88830449257823196</v>
      </c>
      <c r="J95">
        <f>VLOOKUP(A95,'YB OAS'!B:F,5,0)</f>
        <v>-143.43150299999999</v>
      </c>
      <c r="K95" s="40">
        <f>VLOOKUP(A95,'Refi Universe'!E:F,2,0)</f>
        <v>0.77727851000000003</v>
      </c>
    </row>
    <row r="96" spans="1:11" ht="15" x14ac:dyDescent="0.25">
      <c r="A96" s="14">
        <v>40711</v>
      </c>
      <c r="B96" s="15">
        <v>195</v>
      </c>
      <c r="C96" s="15">
        <v>195</v>
      </c>
      <c r="D96" s="5" t="s">
        <v>2</v>
      </c>
      <c r="E96" s="5" t="s">
        <v>2</v>
      </c>
      <c r="F96" s="5">
        <v>4.7823159999999998</v>
      </c>
      <c r="G96" s="12">
        <f>VLOOKUP(A96,'[1]all FNCL'!A$2:B$993,2)</f>
        <v>0.72196170225835998</v>
      </c>
      <c r="H96" s="3" t="s">
        <v>108</v>
      </c>
      <c r="I96">
        <v>0.88830449257823196</v>
      </c>
      <c r="J96">
        <f>VLOOKUP(A96,'YB OAS'!B:F,5,0)</f>
        <v>-152.50889599999999</v>
      </c>
      <c r="K96" s="40">
        <f>VLOOKUP(A96,'Refi Universe'!E:F,2,0)</f>
        <v>0.74517188999999995</v>
      </c>
    </row>
    <row r="97" spans="1:11" ht="15" x14ac:dyDescent="0.25">
      <c r="A97" s="14">
        <v>40714</v>
      </c>
      <c r="B97" s="15">
        <v>201</v>
      </c>
      <c r="C97" s="15">
        <v>201</v>
      </c>
      <c r="D97" s="5" t="s">
        <v>2</v>
      </c>
      <c r="E97" s="5" t="s">
        <v>2</v>
      </c>
      <c r="F97" s="5">
        <v>4.7948199999999996</v>
      </c>
      <c r="G97" s="12">
        <f>VLOOKUP(A97,'[1]all FNCL'!A$2:B$993,2)</f>
        <v>0.72196170225835998</v>
      </c>
      <c r="H97" s="3" t="s">
        <v>109</v>
      </c>
      <c r="I97">
        <v>0.88830449257823196</v>
      </c>
      <c r="J97">
        <f>VLOOKUP(A97,'YB OAS'!B:F,5,0)</f>
        <v>-150.42700199999999</v>
      </c>
      <c r="K97" s="40">
        <f>VLOOKUP(A97,'Refi Universe'!E:F,2,0)</f>
        <v>0.69050447000000004</v>
      </c>
    </row>
    <row r="98" spans="1:11" ht="15" x14ac:dyDescent="0.25">
      <c r="A98" s="14">
        <v>40715</v>
      </c>
      <c r="B98" s="15">
        <v>209</v>
      </c>
      <c r="C98" s="15">
        <v>209</v>
      </c>
      <c r="D98" s="5" t="s">
        <v>2</v>
      </c>
      <c r="E98" s="5" t="s">
        <v>2</v>
      </c>
      <c r="F98" s="5">
        <v>4.794168</v>
      </c>
      <c r="G98" s="12">
        <f>VLOOKUP(A98,'[1]all FNCL'!A$2:B$993,2)</f>
        <v>0.72196170225835998</v>
      </c>
      <c r="H98" s="3" t="s">
        <v>110</v>
      </c>
      <c r="I98">
        <v>0.871668034024078</v>
      </c>
      <c r="J98">
        <f>VLOOKUP(A98,'YB OAS'!B:F,5,0)</f>
        <v>-142.10060100000001</v>
      </c>
      <c r="K98" s="40">
        <f>VLOOKUP(A98,'Refi Universe'!E:F,2,0)</f>
        <v>0.67585764999999998</v>
      </c>
    </row>
    <row r="99" spans="1:11" ht="15" x14ac:dyDescent="0.25">
      <c r="A99" s="14">
        <v>40716</v>
      </c>
      <c r="B99" s="15">
        <v>196</v>
      </c>
      <c r="C99" s="15">
        <v>196</v>
      </c>
      <c r="D99" s="5" t="s">
        <v>2</v>
      </c>
      <c r="E99" s="5" t="s">
        <v>2</v>
      </c>
      <c r="F99" s="5">
        <v>4.7755960000000002</v>
      </c>
      <c r="G99" s="12">
        <f>VLOOKUP(A99,'[1]all FNCL'!A$2:B$993,2)</f>
        <v>0.72196170225835998</v>
      </c>
      <c r="H99" s="3" t="s">
        <v>111</v>
      </c>
      <c r="I99">
        <v>0.871668034024078</v>
      </c>
      <c r="J99">
        <f>VLOOKUP(A99,'YB OAS'!B:F,5,0)</f>
        <v>-147.61360199999999</v>
      </c>
      <c r="K99" s="40">
        <f>VLOOKUP(A99,'Refi Universe'!E:F,2,0)</f>
        <v>0.66686383999999999</v>
      </c>
    </row>
    <row r="100" spans="1:11" ht="15" x14ac:dyDescent="0.25">
      <c r="A100" s="14">
        <v>40717</v>
      </c>
      <c r="B100" s="15">
        <v>209</v>
      </c>
      <c r="C100" s="15">
        <v>209</v>
      </c>
      <c r="D100" s="5" t="s">
        <v>2</v>
      </c>
      <c r="E100" s="5" t="s">
        <v>2</v>
      </c>
      <c r="F100" s="5">
        <v>4.7444620000000004</v>
      </c>
      <c r="G100" s="12">
        <f>VLOOKUP(A100,'[1]all FNCL'!A$2:B$993,2)</f>
        <v>0.72196170225835998</v>
      </c>
      <c r="H100" s="3" t="s">
        <v>112</v>
      </c>
      <c r="I100">
        <v>0.871668034024078</v>
      </c>
      <c r="J100">
        <f>VLOOKUP(A100,'YB OAS'!B:F,5,0)</f>
        <v>-126.6576</v>
      </c>
      <c r="K100" s="40">
        <f>VLOOKUP(A100,'Refi Universe'!E:F,2,0)</f>
        <v>0.79592470000000004</v>
      </c>
    </row>
    <row r="101" spans="1:11" ht="15" x14ac:dyDescent="0.25">
      <c r="A101" s="14">
        <v>40718</v>
      </c>
      <c r="B101" s="15">
        <v>222</v>
      </c>
      <c r="C101" s="15">
        <v>222</v>
      </c>
      <c r="D101" s="5" t="s">
        <v>2</v>
      </c>
      <c r="E101" s="5" t="s">
        <v>2</v>
      </c>
      <c r="F101" s="5">
        <v>4.7479300000000002</v>
      </c>
      <c r="G101" s="12">
        <f>VLOOKUP(A101,'[1]all FNCL'!A$2:B$993,2)</f>
        <v>0.72196170225835998</v>
      </c>
      <c r="H101" s="3" t="s">
        <v>113</v>
      </c>
      <c r="I101">
        <v>0.871668034024078</v>
      </c>
      <c r="J101">
        <f>VLOOKUP(A101,'YB OAS'!B:F,5,0)</f>
        <v>-114.576103</v>
      </c>
      <c r="K101" s="40">
        <f>VLOOKUP(A101,'Refi Universe'!E:F,2,0)</f>
        <v>0.79623065000000004</v>
      </c>
    </row>
    <row r="102" spans="1:11" ht="15" x14ac:dyDescent="0.25">
      <c r="A102" s="14">
        <v>40721</v>
      </c>
      <c r="B102" s="15">
        <v>218</v>
      </c>
      <c r="C102" s="15">
        <v>218</v>
      </c>
      <c r="D102" s="5" t="s">
        <v>2</v>
      </c>
      <c r="E102" s="5" t="s">
        <v>2</v>
      </c>
      <c r="F102" s="5">
        <v>4.7694619999999999</v>
      </c>
      <c r="G102" s="12">
        <f>VLOOKUP(A102,'[1]all FNCL'!A$2:B$993,2)</f>
        <v>0.72196170225835998</v>
      </c>
      <c r="H102" s="3" t="s">
        <v>114</v>
      </c>
      <c r="I102">
        <v>0.871668034024078</v>
      </c>
      <c r="J102">
        <f>VLOOKUP(A102,'YB OAS'!B:F,5,0)</f>
        <v>-126.025299</v>
      </c>
      <c r="K102" s="40">
        <f>VLOOKUP(A102,'Refi Universe'!E:F,2,0)</f>
        <v>0.72719493999999996</v>
      </c>
    </row>
    <row r="103" spans="1:11" ht="15" x14ac:dyDescent="0.25">
      <c r="A103" s="14">
        <v>40722</v>
      </c>
      <c r="B103" s="15">
        <v>202</v>
      </c>
      <c r="C103" s="15">
        <v>202</v>
      </c>
      <c r="D103" s="5" t="s">
        <v>2</v>
      </c>
      <c r="E103" s="5" t="s">
        <v>2</v>
      </c>
      <c r="F103" s="5">
        <v>4.8082669999999998</v>
      </c>
      <c r="G103" s="12">
        <f>VLOOKUP(A103,'[1]all FNCL'!A$2:B$993,2)</f>
        <v>0.72196170225835998</v>
      </c>
      <c r="H103" s="3" t="s">
        <v>115</v>
      </c>
      <c r="I103">
        <v>0.85676613742448104</v>
      </c>
      <c r="J103">
        <f>VLOOKUP(A103,'YB OAS'!B:F,5,0)</f>
        <v>-149.566406</v>
      </c>
      <c r="K103" s="40">
        <f>VLOOKUP(A103,'Refi Universe'!E:F,2,0)</f>
        <v>0.62099919000000003</v>
      </c>
    </row>
    <row r="104" spans="1:11" ht="15" x14ac:dyDescent="0.25">
      <c r="A104" s="14">
        <v>40723</v>
      </c>
      <c r="B104" s="15">
        <v>190</v>
      </c>
      <c r="C104" s="15">
        <v>190</v>
      </c>
      <c r="D104" s="5" t="s">
        <v>2</v>
      </c>
      <c r="E104" s="5" t="s">
        <v>2</v>
      </c>
      <c r="F104" s="5">
        <v>4.8185260000000003</v>
      </c>
      <c r="G104" s="12">
        <f>VLOOKUP(A104,'[1]all FNCL'!A$2:B$993,2)</f>
        <v>0.72196170225835998</v>
      </c>
      <c r="H104" s="3" t="s">
        <v>116</v>
      </c>
      <c r="I104">
        <v>0.85676613742448104</v>
      </c>
      <c r="J104">
        <f>VLOOKUP(A104,'YB OAS'!B:F,5,0)</f>
        <v>-167.92739900000001</v>
      </c>
      <c r="K104" s="40">
        <f>VLOOKUP(A104,'Refi Universe'!E:F,2,0)</f>
        <v>0.61234429999999995</v>
      </c>
    </row>
    <row r="105" spans="1:11" ht="15" x14ac:dyDescent="0.25">
      <c r="A105" s="14">
        <v>40724</v>
      </c>
      <c r="B105" s="15">
        <v>173</v>
      </c>
      <c r="C105" s="15">
        <v>173</v>
      </c>
      <c r="D105" s="5" t="s">
        <v>2</v>
      </c>
      <c r="E105" s="5" t="s">
        <v>2</v>
      </c>
      <c r="F105" s="5">
        <v>4.8320559999999997</v>
      </c>
      <c r="G105" s="12">
        <f>VLOOKUP(A105,'[1]all FNCL'!A$2:B$993,2)</f>
        <v>0.68885444787085304</v>
      </c>
      <c r="H105" s="3" t="s">
        <v>117</v>
      </c>
      <c r="I105">
        <v>0.85676613742448104</v>
      </c>
      <c r="J105">
        <f>VLOOKUP(A105,'YB OAS'!B:F,5,0)</f>
        <v>-184.590103</v>
      </c>
      <c r="K105" s="40">
        <f>VLOOKUP(A105,'Refi Universe'!E:F,2,0)</f>
        <v>0.60136347999999995</v>
      </c>
    </row>
    <row r="106" spans="1:11" ht="15" x14ac:dyDescent="0.25">
      <c r="A106" s="14">
        <v>40725</v>
      </c>
      <c r="B106" s="15">
        <v>154</v>
      </c>
      <c r="C106" s="15">
        <v>154</v>
      </c>
      <c r="D106" s="5" t="s">
        <v>2</v>
      </c>
      <c r="E106" s="5" t="s">
        <v>2</v>
      </c>
      <c r="F106" s="5">
        <v>4.8441559999999999</v>
      </c>
      <c r="G106" s="12">
        <f>VLOOKUP(A106,'[1]all FNCL'!A$2:B$993,2)</f>
        <v>0.68335549039476995</v>
      </c>
      <c r="H106" s="3" t="s">
        <v>118</v>
      </c>
      <c r="I106">
        <v>0.85676613742448104</v>
      </c>
      <c r="J106">
        <f>VLOOKUP(A106,'YB OAS'!B:F,5,0)</f>
        <v>-208.734207</v>
      </c>
      <c r="K106" s="40">
        <f>VLOOKUP(A106,'Refi Universe'!E:F,2,0)</f>
        <v>0.58820852000000001</v>
      </c>
    </row>
    <row r="107" spans="1:11" ht="15" x14ac:dyDescent="0.25">
      <c r="A107" s="14">
        <v>40729</v>
      </c>
      <c r="B107" s="15">
        <v>162</v>
      </c>
      <c r="C107" s="15">
        <v>162</v>
      </c>
      <c r="D107" s="5" t="s">
        <v>2</v>
      </c>
      <c r="E107" s="5" t="s">
        <v>2</v>
      </c>
      <c r="F107" s="5">
        <v>4.8266600000000004</v>
      </c>
      <c r="G107" s="12">
        <f>VLOOKUP(A107,'[1]all FNCL'!A$2:B$993,2)</f>
        <v>0.68335549039476995</v>
      </c>
      <c r="H107" s="3" t="s">
        <v>119</v>
      </c>
      <c r="I107">
        <v>0.85676613742448104</v>
      </c>
      <c r="J107">
        <f>VLOOKUP(A107,'YB OAS'!B:F,5,0)</f>
        <v>-196.01719700000001</v>
      </c>
      <c r="K107" s="40">
        <f>VLOOKUP(A107,'Refi Universe'!E:F,2,0)</f>
        <v>0.59769616999999997</v>
      </c>
    </row>
    <row r="108" spans="1:11" ht="15" x14ac:dyDescent="0.25">
      <c r="A108" s="14">
        <v>40730</v>
      </c>
      <c r="B108" s="15">
        <v>170</v>
      </c>
      <c r="C108" s="15">
        <v>170</v>
      </c>
      <c r="D108" s="5" t="s">
        <v>2</v>
      </c>
      <c r="E108" s="5" t="s">
        <v>2</v>
      </c>
      <c r="F108" s="5">
        <v>4.8226880000000003</v>
      </c>
      <c r="G108" s="12">
        <f>VLOOKUP(A108,'[1]all FNCL'!A$2:B$993,2)</f>
        <v>0.68335549039476995</v>
      </c>
      <c r="H108" s="3" t="s">
        <v>120</v>
      </c>
      <c r="I108">
        <v>0.88830449257823196</v>
      </c>
      <c r="J108">
        <f>VLOOKUP(A108,'YB OAS'!B:F,5,0)</f>
        <v>-190.83180200000001</v>
      </c>
      <c r="K108" s="40">
        <f>VLOOKUP(A108,'Refi Universe'!E:F,2,0)</f>
        <v>0.61325107999999995</v>
      </c>
    </row>
    <row r="109" spans="1:11" ht="15" x14ac:dyDescent="0.25">
      <c r="A109" s="14">
        <v>40731</v>
      </c>
      <c r="B109" s="15">
        <v>156</v>
      </c>
      <c r="C109" s="15">
        <v>156</v>
      </c>
      <c r="D109" s="5" t="s">
        <v>2</v>
      </c>
      <c r="E109" s="5" t="s">
        <v>2</v>
      </c>
      <c r="F109" s="5">
        <v>4.851521</v>
      </c>
      <c r="G109" s="12">
        <f>VLOOKUP(A109,'[1]all FNCL'!A$2:B$993,2)</f>
        <v>0.60410549631050603</v>
      </c>
      <c r="H109" s="3" t="s">
        <v>121</v>
      </c>
      <c r="I109">
        <v>0.88830449257823196</v>
      </c>
      <c r="J109">
        <f>VLOOKUP(A109,'YB OAS'!B:F,5,0)</f>
        <v>-211.08009300000001</v>
      </c>
      <c r="K109" s="40">
        <f>VLOOKUP(A109,'Refi Universe'!E:F,2,0)</f>
        <v>0.59328561000000002</v>
      </c>
    </row>
    <row r="110" spans="1:11" ht="15" x14ac:dyDescent="0.25">
      <c r="A110" s="14">
        <v>40732</v>
      </c>
      <c r="B110" s="15">
        <v>180</v>
      </c>
      <c r="C110" s="15">
        <v>180</v>
      </c>
      <c r="D110" s="5" t="s">
        <v>2</v>
      </c>
      <c r="E110" s="5" t="s">
        <v>2</v>
      </c>
      <c r="F110" s="5">
        <v>4.8039800000000001</v>
      </c>
      <c r="G110" s="12">
        <f>VLOOKUP(A110,'[1]all FNCL'!A$2:B$993,2)</f>
        <v>0.60410549631050603</v>
      </c>
      <c r="H110" s="3" t="s">
        <v>122</v>
      </c>
      <c r="I110">
        <v>0.86613218698070704</v>
      </c>
      <c r="J110">
        <f>VLOOKUP(A110,'YB OAS'!B:F,5,0)</f>
        <v>-176.598907</v>
      </c>
      <c r="K110" s="40">
        <f>VLOOKUP(A110,'Refi Universe'!E:F,2,0)</f>
        <v>0.64318423000000002</v>
      </c>
    </row>
    <row r="111" spans="1:11" ht="15" x14ac:dyDescent="0.25">
      <c r="A111" s="14">
        <v>40735</v>
      </c>
      <c r="B111" s="15">
        <v>193</v>
      </c>
      <c r="C111" s="15">
        <v>193</v>
      </c>
      <c r="D111" s="5" t="s">
        <v>2</v>
      </c>
      <c r="E111" s="5" t="s">
        <v>2</v>
      </c>
      <c r="F111" s="5">
        <v>4.7874309999999998</v>
      </c>
      <c r="G111" s="12">
        <f>VLOOKUP(A111,'[1]all FNCL'!A$2:B$993,2)</f>
        <v>0.60410549631050603</v>
      </c>
      <c r="H111" s="3" t="s">
        <v>123</v>
      </c>
      <c r="I111">
        <v>0.86613218698070704</v>
      </c>
      <c r="J111">
        <f>VLOOKUP(A111,'YB OAS'!B:F,5,0)</f>
        <v>-161.908997</v>
      </c>
      <c r="K111" s="40">
        <f>VLOOKUP(A111,'Refi Universe'!E:F,2,0)</f>
        <v>0.73745605000000003</v>
      </c>
    </row>
    <row r="112" spans="1:11" ht="15" x14ac:dyDescent="0.25">
      <c r="A112" s="14">
        <v>40736</v>
      </c>
      <c r="B112" s="15">
        <v>194</v>
      </c>
      <c r="C112" s="15">
        <v>194</v>
      </c>
      <c r="D112" s="5" t="s">
        <v>2</v>
      </c>
      <c r="E112" s="5" t="s">
        <v>2</v>
      </c>
      <c r="F112" s="5">
        <v>4.7800799999999999</v>
      </c>
      <c r="G112" s="12">
        <f>VLOOKUP(A112,'[1]all FNCL'!A$2:B$993,2)</f>
        <v>0.60410549631050603</v>
      </c>
      <c r="H112" s="3" t="s">
        <v>124</v>
      </c>
      <c r="I112">
        <v>0.91761037893987496</v>
      </c>
      <c r="J112">
        <f>VLOOKUP(A112,'YB OAS'!B:F,5,0)</f>
        <v>-160.67030299999999</v>
      </c>
      <c r="K112" s="40">
        <f>VLOOKUP(A112,'Refi Universe'!E:F,2,0)</f>
        <v>0.75550598999999996</v>
      </c>
    </row>
    <row r="113" spans="1:11" ht="15" x14ac:dyDescent="0.25">
      <c r="A113" s="14">
        <v>40737</v>
      </c>
      <c r="B113" s="15">
        <v>195</v>
      </c>
      <c r="C113" s="15">
        <v>195</v>
      </c>
      <c r="D113" s="5" t="s">
        <v>2</v>
      </c>
      <c r="E113" s="5" t="s">
        <v>2</v>
      </c>
      <c r="F113" s="5">
        <v>4.7568239999999999</v>
      </c>
      <c r="G113" s="12">
        <f>VLOOKUP(A113,'[1]all FNCL'!A$2:B$993,2)</f>
        <v>0.60410549631050603</v>
      </c>
      <c r="H113" s="3" t="s">
        <v>125</v>
      </c>
      <c r="I113">
        <v>0.91761037893987496</v>
      </c>
      <c r="J113">
        <f>VLOOKUP(A113,'YB OAS'!B:F,5,0)</f>
        <v>-151.01319899999999</v>
      </c>
      <c r="K113" s="40">
        <f>VLOOKUP(A113,'Refi Universe'!E:F,2,0)</f>
        <v>0.81113716999999996</v>
      </c>
    </row>
    <row r="114" spans="1:11" ht="15" x14ac:dyDescent="0.25">
      <c r="A114" s="14">
        <v>40738</v>
      </c>
      <c r="B114" s="15">
        <v>192</v>
      </c>
      <c r="C114" s="15">
        <v>192</v>
      </c>
      <c r="D114" s="5" t="s">
        <v>2</v>
      </c>
      <c r="E114" s="5" t="s">
        <v>2</v>
      </c>
      <c r="F114" s="5">
        <v>4.7753959999999998</v>
      </c>
      <c r="G114" s="12">
        <f>VLOOKUP(A114,'[1]all FNCL'!A$2:B$993,2)</f>
        <v>0.68335549039476995</v>
      </c>
      <c r="H114" s="3" t="s">
        <v>126</v>
      </c>
      <c r="I114">
        <v>0.91761037893987496</v>
      </c>
      <c r="J114">
        <f>VLOOKUP(A114,'YB OAS'!B:F,5,0)</f>
        <v>-155.20249899999999</v>
      </c>
      <c r="K114" s="40">
        <f>VLOOKUP(A114,'Refi Universe'!E:F,2,0)</f>
        <v>0.76763572000000002</v>
      </c>
    </row>
    <row r="115" spans="1:11" ht="15" x14ac:dyDescent="0.25">
      <c r="A115" s="14">
        <v>40739</v>
      </c>
      <c r="B115" s="15">
        <v>193</v>
      </c>
      <c r="C115" s="15">
        <v>193</v>
      </c>
      <c r="D115" s="5" t="s">
        <v>2</v>
      </c>
      <c r="E115" s="5" t="s">
        <v>2</v>
      </c>
      <c r="F115" s="5">
        <v>4.7707889999999997</v>
      </c>
      <c r="G115" s="12">
        <f>VLOOKUP(A115,'[1]all FNCL'!A$2:B$993,2)</f>
        <v>0.68335549039476995</v>
      </c>
      <c r="H115" s="3" t="s">
        <v>127</v>
      </c>
      <c r="I115">
        <v>0.91761037893987496</v>
      </c>
      <c r="J115">
        <f>VLOOKUP(A115,'YB OAS'!B:F,5,0)</f>
        <v>-155.61300700000001</v>
      </c>
      <c r="K115" s="40">
        <f>VLOOKUP(A115,'Refi Universe'!E:F,2,0)</f>
        <v>0.79244053999999997</v>
      </c>
    </row>
    <row r="116" spans="1:11" ht="15" x14ac:dyDescent="0.25">
      <c r="A116" s="14">
        <v>40742</v>
      </c>
      <c r="B116" s="15">
        <v>199</v>
      </c>
      <c r="C116" s="15">
        <v>199</v>
      </c>
      <c r="D116" s="5" t="s">
        <v>2</v>
      </c>
      <c r="E116" s="5" t="s">
        <v>2</v>
      </c>
      <c r="F116" s="5">
        <v>4.8016860000000001</v>
      </c>
      <c r="G116" s="12">
        <f>VLOOKUP(A116,'[1]all FNCL'!A$2:B$993,2)</f>
        <v>0.68335549039476995</v>
      </c>
      <c r="H116" s="3" t="s">
        <v>128</v>
      </c>
      <c r="I116">
        <v>0.91761037893987496</v>
      </c>
      <c r="J116">
        <f>VLOOKUP(A116,'YB OAS'!B:F,5,0)</f>
        <v>-159.14909399999999</v>
      </c>
      <c r="K116" s="40">
        <f>VLOOKUP(A116,'Refi Universe'!E:F,2,0)</f>
        <v>0.74490188999999996</v>
      </c>
    </row>
    <row r="117" spans="1:11" ht="15" x14ac:dyDescent="0.25">
      <c r="A117" s="14">
        <v>40743</v>
      </c>
      <c r="B117" s="15">
        <v>202</v>
      </c>
      <c r="C117" s="15">
        <v>202</v>
      </c>
      <c r="D117" s="5" t="s">
        <v>2</v>
      </c>
      <c r="E117" s="5" t="s">
        <v>2</v>
      </c>
      <c r="F117" s="5">
        <v>4.7906250000000004</v>
      </c>
      <c r="G117" s="12">
        <f>VLOOKUP(A117,'[1]all FNCL'!A$2:B$993,2)</f>
        <v>0.68335549039476995</v>
      </c>
      <c r="H117" s="3" t="s">
        <v>129</v>
      </c>
      <c r="I117">
        <v>0.91761037893987496</v>
      </c>
      <c r="J117">
        <f>VLOOKUP(A117,'YB OAS'!B:F,5,0)</f>
        <v>-157.30169699999999</v>
      </c>
      <c r="K117" s="40">
        <f>VLOOKUP(A117,'Refi Universe'!E:F,2,0)</f>
        <v>0.76129506000000002</v>
      </c>
    </row>
    <row r="118" spans="1:11" ht="15" x14ac:dyDescent="0.25">
      <c r="A118" s="14">
        <v>40744</v>
      </c>
      <c r="B118" s="15">
        <v>206</v>
      </c>
      <c r="C118" s="15">
        <v>206</v>
      </c>
      <c r="D118" s="5" t="s">
        <v>2</v>
      </c>
      <c r="E118" s="5" t="s">
        <v>2</v>
      </c>
      <c r="F118" s="5">
        <v>4.7915970000000003</v>
      </c>
      <c r="G118" s="12">
        <f>VLOOKUP(A118,'[1]all FNCL'!A$2:B$993,2)</f>
        <v>0.68335549039476995</v>
      </c>
      <c r="H118" s="3" t="s">
        <v>130</v>
      </c>
      <c r="I118">
        <v>0.91761037893987496</v>
      </c>
      <c r="J118">
        <f>VLOOKUP(A118,'YB OAS'!B:F,5,0)</f>
        <v>-151.40130600000001</v>
      </c>
      <c r="K118" s="40">
        <f>VLOOKUP(A118,'Refi Universe'!E:F,2,0)</f>
        <v>0.64717546999999997</v>
      </c>
    </row>
    <row r="119" spans="1:11" ht="15" x14ac:dyDescent="0.25">
      <c r="A119" s="14">
        <v>40745</v>
      </c>
      <c r="B119" s="15">
        <v>202</v>
      </c>
      <c r="C119" s="15">
        <v>202</v>
      </c>
      <c r="D119" s="5" t="s">
        <v>2</v>
      </c>
      <c r="E119" s="5" t="s">
        <v>2</v>
      </c>
      <c r="F119" s="5">
        <v>4.8045080000000002</v>
      </c>
      <c r="G119" s="12">
        <f>VLOOKUP(A119,'[1]all FNCL'!A$2:B$993,2)</f>
        <v>0.66675683999516899</v>
      </c>
      <c r="H119" s="3" t="s">
        <v>131</v>
      </c>
      <c r="I119">
        <v>0.91761037893987496</v>
      </c>
      <c r="J119">
        <f>VLOOKUP(A119,'YB OAS'!B:F,5,0)</f>
        <v>-158.899597</v>
      </c>
      <c r="K119" s="40">
        <f>VLOOKUP(A119,'Refi Universe'!E:F,2,0)</f>
        <v>0.62002716000000002</v>
      </c>
    </row>
    <row r="120" spans="1:11" ht="15" x14ac:dyDescent="0.25">
      <c r="A120" s="14">
        <v>40746</v>
      </c>
      <c r="B120" s="15">
        <v>207</v>
      </c>
      <c r="C120" s="15">
        <v>207</v>
      </c>
      <c r="D120" s="5" t="s">
        <v>2</v>
      </c>
      <c r="E120" s="5" t="s">
        <v>2</v>
      </c>
      <c r="F120" s="5">
        <v>4.8006789999999997</v>
      </c>
      <c r="G120" s="12">
        <f>VLOOKUP(A120,'[1]all FNCL'!A$2:B$993,2)</f>
        <v>0.66675683999516899</v>
      </c>
      <c r="H120" s="3" t="s">
        <v>132</v>
      </c>
      <c r="I120">
        <v>0.91761037893987496</v>
      </c>
      <c r="J120">
        <f>VLOOKUP(A120,'YB OAS'!B:F,5,0)</f>
        <v>-150.48599200000001</v>
      </c>
      <c r="K120" s="40">
        <f>VLOOKUP(A120,'Refi Universe'!E:F,2,0)</f>
        <v>0.63756215999999999</v>
      </c>
    </row>
    <row r="121" spans="1:11" ht="15" x14ac:dyDescent="0.25">
      <c r="A121" s="14">
        <v>40749</v>
      </c>
      <c r="B121" s="15">
        <v>208</v>
      </c>
      <c r="C121" s="15">
        <v>208</v>
      </c>
      <c r="D121" s="5" t="s">
        <v>2</v>
      </c>
      <c r="E121" s="5" t="s">
        <v>2</v>
      </c>
      <c r="F121" s="5">
        <v>4.8232939999999997</v>
      </c>
      <c r="G121" s="12">
        <f>VLOOKUP(A121,'[1]all FNCL'!A$2:B$993,2)</f>
        <v>0.66675683999516899</v>
      </c>
      <c r="H121" s="3" t="s">
        <v>133</v>
      </c>
      <c r="I121">
        <v>0.91761037893987496</v>
      </c>
      <c r="J121">
        <f>VLOOKUP(A121,'YB OAS'!B:F,5,0)</f>
        <v>-157.503693</v>
      </c>
      <c r="K121" s="40">
        <f>VLOOKUP(A121,'Refi Universe'!E:F,2,0)</f>
        <v>0.61502153000000004</v>
      </c>
    </row>
    <row r="122" spans="1:11" ht="15" x14ac:dyDescent="0.25">
      <c r="A122" s="14">
        <v>40750</v>
      </c>
      <c r="B122" s="15">
        <v>210</v>
      </c>
      <c r="C122" s="15">
        <v>210</v>
      </c>
      <c r="D122" s="5" t="s">
        <v>2</v>
      </c>
      <c r="E122" s="5" t="s">
        <v>2</v>
      </c>
      <c r="F122" s="5">
        <v>4.8115769999999998</v>
      </c>
      <c r="G122" s="12">
        <f>VLOOKUP(A122,'[1]all FNCL'!A$2:B$993,2)</f>
        <v>0.66675683999516899</v>
      </c>
      <c r="H122" s="3" t="s">
        <v>134</v>
      </c>
      <c r="I122">
        <v>0.95544116739970197</v>
      </c>
      <c r="J122">
        <f>VLOOKUP(A122,'YB OAS'!B:F,5,0)</f>
        <v>-152.16789199999999</v>
      </c>
      <c r="K122" s="40">
        <f>VLOOKUP(A122,'Refi Universe'!E:F,2,0)</f>
        <v>0.63153959999999998</v>
      </c>
    </row>
    <row r="123" spans="1:11" ht="15" x14ac:dyDescent="0.25">
      <c r="A123" s="14">
        <v>40751</v>
      </c>
      <c r="B123" s="15">
        <v>199</v>
      </c>
      <c r="C123" s="15">
        <v>199</v>
      </c>
      <c r="D123" s="5" t="s">
        <v>2</v>
      </c>
      <c r="E123" s="5" t="s">
        <v>2</v>
      </c>
      <c r="F123" s="5">
        <v>4.8356810000000001</v>
      </c>
      <c r="G123" s="12">
        <f>VLOOKUP(A123,'[1]all FNCL'!A$2:B$993,2)</f>
        <v>0.66675683999516899</v>
      </c>
      <c r="H123" s="3" t="s">
        <v>135</v>
      </c>
      <c r="I123">
        <v>0.95544116739970197</v>
      </c>
      <c r="J123">
        <f>VLOOKUP(A123,'YB OAS'!B:F,5,0)</f>
        <v>-169.447205</v>
      </c>
      <c r="K123" s="40">
        <f>VLOOKUP(A123,'Refi Universe'!E:F,2,0)</f>
        <v>0.60373120999999996</v>
      </c>
    </row>
    <row r="124" spans="1:11" ht="15" x14ac:dyDescent="0.25">
      <c r="A124" s="14">
        <v>40752</v>
      </c>
      <c r="B124" s="15">
        <v>201</v>
      </c>
      <c r="C124" s="15">
        <v>201</v>
      </c>
      <c r="D124" s="5" t="s">
        <v>2</v>
      </c>
      <c r="E124" s="5" t="s">
        <v>2</v>
      </c>
      <c r="F124" s="5">
        <v>4.8083020000000003</v>
      </c>
      <c r="G124" s="12">
        <f>VLOOKUP(A124,'[1]all FNCL'!A$2:B$993,2)</f>
        <v>0.63117786454290503</v>
      </c>
      <c r="H124" s="3" t="s">
        <v>136</v>
      </c>
      <c r="I124">
        <v>0.95544116739970197</v>
      </c>
      <c r="J124">
        <f>VLOOKUP(A124,'YB OAS'!B:F,5,0)</f>
        <v>-160.44650300000001</v>
      </c>
      <c r="K124" s="40">
        <f>VLOOKUP(A124,'Refi Universe'!E:F,2,0)</f>
        <v>0.62533603999999998</v>
      </c>
    </row>
    <row r="125" spans="1:11" ht="15" x14ac:dyDescent="0.25">
      <c r="A125" s="14">
        <v>40753</v>
      </c>
      <c r="B125" s="15">
        <v>217</v>
      </c>
      <c r="C125" s="15">
        <v>217</v>
      </c>
      <c r="D125" s="5" t="s">
        <v>2</v>
      </c>
      <c r="E125" s="5" t="s">
        <v>2</v>
      </c>
      <c r="F125" s="5">
        <v>4.7415609999999999</v>
      </c>
      <c r="G125" s="12">
        <f>VLOOKUP(A125,'[1]all FNCL'!A$2:B$993,2)</f>
        <v>0.63117786454290503</v>
      </c>
      <c r="H125" s="3" t="s">
        <v>137</v>
      </c>
      <c r="I125">
        <v>0.95544116739970197</v>
      </c>
      <c r="J125">
        <f>VLOOKUP(A125,'YB OAS'!B:F,5,0)</f>
        <v>-131.04409799999999</v>
      </c>
      <c r="K125" s="40">
        <f>VLOOKUP(A125,'Refi Universe'!E:F,2,0)</f>
        <v>0.81158019000000003</v>
      </c>
    </row>
    <row r="126" spans="1:11" ht="15" x14ac:dyDescent="0.25">
      <c r="A126" s="14">
        <v>40756</v>
      </c>
      <c r="B126" s="15">
        <v>230</v>
      </c>
      <c r="C126" s="15">
        <v>230</v>
      </c>
      <c r="D126" s="5" t="s">
        <v>2</v>
      </c>
      <c r="E126" s="5" t="s">
        <v>2</v>
      </c>
      <c r="F126" s="5">
        <v>4.7206710000000003</v>
      </c>
      <c r="G126" s="12">
        <f>VLOOKUP(A126,'[1]all FNCL'!A$2:B$993,2)</f>
        <v>0.62428536264518097</v>
      </c>
      <c r="H126" s="3" t="s">
        <v>138</v>
      </c>
      <c r="I126">
        <v>0.95544116739970197</v>
      </c>
      <c r="J126">
        <f>VLOOKUP(A126,'YB OAS'!B:F,5,0)</f>
        <v>-117.55500000000001</v>
      </c>
      <c r="K126" s="40">
        <f>VLOOKUP(A126,'Refi Universe'!E:F,2,0)</f>
        <v>0.82326312000000001</v>
      </c>
    </row>
    <row r="127" spans="1:11" ht="15" x14ac:dyDescent="0.25">
      <c r="A127" s="14">
        <v>40757</v>
      </c>
      <c r="B127" s="15">
        <v>242</v>
      </c>
      <c r="C127" s="15">
        <v>242</v>
      </c>
      <c r="D127" s="5" t="s">
        <v>2</v>
      </c>
      <c r="E127" s="5" t="s">
        <v>2</v>
      </c>
      <c r="F127" s="5">
        <v>4.6617129999999998</v>
      </c>
      <c r="G127" s="12">
        <f>VLOOKUP(A127,'[1]all FNCL'!A$2:B$993,2)</f>
        <v>0.62428536264518097</v>
      </c>
      <c r="H127" s="3" t="s">
        <v>139</v>
      </c>
      <c r="I127">
        <v>0.96361365224695705</v>
      </c>
      <c r="J127">
        <f>VLOOKUP(A127,'YB OAS'!B:F,5,0)</f>
        <v>-95.877701000000002</v>
      </c>
      <c r="K127" s="40">
        <f>VLOOKUP(A127,'Refi Universe'!E:F,2,0)</f>
        <v>0.83759457000000004</v>
      </c>
    </row>
    <row r="128" spans="1:11" ht="15" x14ac:dyDescent="0.25">
      <c r="A128" s="14">
        <v>40758</v>
      </c>
      <c r="B128" s="15">
        <v>251</v>
      </c>
      <c r="C128" s="15">
        <v>251</v>
      </c>
      <c r="D128" s="5" t="s">
        <v>2</v>
      </c>
      <c r="E128" s="5" t="s">
        <v>2</v>
      </c>
      <c r="F128" s="5">
        <v>4.6381019999999999</v>
      </c>
      <c r="G128" s="12">
        <f>VLOOKUP(A128,'[1]all FNCL'!A$2:B$993,2)</f>
        <v>0.62428536264518097</v>
      </c>
      <c r="H128" s="3" t="s">
        <v>140</v>
      </c>
      <c r="I128">
        <v>0.96361365224695705</v>
      </c>
      <c r="J128">
        <f>VLOOKUP(A128,'YB OAS'!B:F,5,0)</f>
        <v>-81.612801000000005</v>
      </c>
      <c r="K128" s="40">
        <f>VLOOKUP(A128,'Refi Universe'!E:F,2,0)</f>
        <v>0.83842037000000003</v>
      </c>
    </row>
    <row r="129" spans="1:11" ht="15" x14ac:dyDescent="0.25">
      <c r="A129" s="14">
        <v>40759</v>
      </c>
      <c r="B129" s="15">
        <v>286</v>
      </c>
      <c r="C129" s="15">
        <v>286</v>
      </c>
      <c r="D129" s="5" t="s">
        <v>2</v>
      </c>
      <c r="E129" s="5" t="s">
        <v>2</v>
      </c>
      <c r="F129" s="5">
        <v>4.570532</v>
      </c>
      <c r="G129" s="12">
        <f>VLOOKUP(A129,'[1]all FNCL'!A$2:B$993,2)</f>
        <v>0.82328819503805495</v>
      </c>
      <c r="H129" s="3" t="s">
        <v>141</v>
      </c>
      <c r="I129">
        <v>0.95122523158751304</v>
      </c>
      <c r="J129">
        <f>VLOOKUP(A129,'YB OAS'!B:F,5,0)</f>
        <v>-30.2742</v>
      </c>
      <c r="K129" s="40">
        <f>VLOOKUP(A129,'Refi Universe'!E:F,2,0)</f>
        <v>0.86172420000000005</v>
      </c>
    </row>
    <row r="130" spans="1:11" ht="15" x14ac:dyDescent="0.25">
      <c r="A130" s="14">
        <v>40760</v>
      </c>
      <c r="B130" s="15">
        <v>288</v>
      </c>
      <c r="C130" s="15">
        <v>288</v>
      </c>
      <c r="D130" s="5" t="s">
        <v>2</v>
      </c>
      <c r="E130" s="5" t="s">
        <v>2</v>
      </c>
      <c r="F130" s="5">
        <v>4.6616309999999999</v>
      </c>
      <c r="G130" s="12">
        <f>VLOOKUP(A130,'[1]all FNCL'!A$2:B$993,2)</f>
        <v>0.82328819503805495</v>
      </c>
      <c r="H130" s="3" t="s">
        <v>142</v>
      </c>
      <c r="I130">
        <v>0.95122523158751304</v>
      </c>
      <c r="J130">
        <f>VLOOKUP(A130,'YB OAS'!B:F,5,0)</f>
        <v>-60.526198999999998</v>
      </c>
      <c r="K130" s="40">
        <f>VLOOKUP(A130,'Refi Universe'!E:F,2,0)</f>
        <v>0.83473637999999994</v>
      </c>
    </row>
    <row r="131" spans="1:11" ht="15" x14ac:dyDescent="0.25">
      <c r="A131" s="14">
        <v>40763</v>
      </c>
      <c r="B131" s="15">
        <v>318</v>
      </c>
      <c r="C131" s="15">
        <v>318</v>
      </c>
      <c r="D131" s="5" t="s">
        <v>2</v>
      </c>
      <c r="E131" s="5" t="s">
        <v>2</v>
      </c>
      <c r="F131" s="5">
        <v>4.6121699999999999</v>
      </c>
      <c r="G131" s="12">
        <f>VLOOKUP(A131,'[1]all FNCL'!A$2:B$993,2)</f>
        <v>0.82328819503805495</v>
      </c>
      <c r="H131" s="3" t="s">
        <v>143</v>
      </c>
      <c r="I131">
        <v>0.95122523158751304</v>
      </c>
      <c r="J131">
        <f>VLOOKUP(A131,'YB OAS'!B:F,5,0)</f>
        <v>-32.468497999999997</v>
      </c>
      <c r="K131" s="40">
        <f>VLOOKUP(A131,'Refi Universe'!E:F,2,0)</f>
        <v>0.85290482000000001</v>
      </c>
    </row>
    <row r="132" spans="1:11" ht="15" x14ac:dyDescent="0.25">
      <c r="A132" s="14">
        <v>40764</v>
      </c>
      <c r="B132" s="15">
        <v>399</v>
      </c>
      <c r="C132" s="15">
        <v>399</v>
      </c>
      <c r="D132" s="5" t="s">
        <v>2</v>
      </c>
      <c r="E132" s="5" t="s">
        <v>2</v>
      </c>
      <c r="F132" s="5">
        <v>4.5663140000000002</v>
      </c>
      <c r="G132" s="12">
        <f>VLOOKUP(A132,'[1]all FNCL'!A$2:B$993,2)</f>
        <v>0.82328819503805495</v>
      </c>
      <c r="H132" s="3" t="s">
        <v>144</v>
      </c>
      <c r="I132">
        <v>0.95295581960362197</v>
      </c>
      <c r="J132">
        <f>VLOOKUP(A132,'YB OAS'!B:F,5,0)</f>
        <v>67.997703999999999</v>
      </c>
      <c r="K132" s="40">
        <f>VLOOKUP(A132,'Refi Universe'!E:F,2,0)</f>
        <v>0.94222729999999999</v>
      </c>
    </row>
    <row r="133" spans="1:11" ht="15" x14ac:dyDescent="0.25">
      <c r="A133" s="14">
        <v>40765</v>
      </c>
      <c r="B133" s="15">
        <v>476</v>
      </c>
      <c r="C133" s="15">
        <v>476</v>
      </c>
      <c r="D133" s="5" t="s">
        <v>2</v>
      </c>
      <c r="E133" s="5" t="s">
        <v>2</v>
      </c>
      <c r="F133" s="5">
        <v>4.4373969999999998</v>
      </c>
      <c r="G133" s="12">
        <f>VLOOKUP(A133,'[1]all FNCL'!A$2:B$993,2)</f>
        <v>0.82328819503805495</v>
      </c>
      <c r="H133" s="3" t="s">
        <v>145</v>
      </c>
      <c r="I133">
        <v>0.95295581960362197</v>
      </c>
      <c r="J133">
        <f>VLOOKUP(A133,'YB OAS'!B:F,5,0)</f>
        <v>212.84480300000001</v>
      </c>
      <c r="K133" s="40">
        <f>VLOOKUP(A133,'Refi Universe'!E:F,2,0)</f>
        <v>0.89709355000000002</v>
      </c>
    </row>
    <row r="134" spans="1:11" ht="15" x14ac:dyDescent="0.25">
      <c r="A134" s="14">
        <v>40766</v>
      </c>
      <c r="B134" s="15">
        <v>438</v>
      </c>
      <c r="C134" s="15">
        <v>438</v>
      </c>
      <c r="D134" s="5" t="s">
        <v>2</v>
      </c>
      <c r="E134" s="5" t="s">
        <v>2</v>
      </c>
      <c r="F134" s="5">
        <v>4.5058490000000004</v>
      </c>
      <c r="G134" s="12">
        <f>VLOOKUP(A134,'[1]all FNCL'!A$2:B$993,2)</f>
        <v>0.834040070391601</v>
      </c>
      <c r="H134" s="3" t="s">
        <v>146</v>
      </c>
      <c r="I134">
        <v>0.95295581960362197</v>
      </c>
      <c r="J134">
        <f>VLOOKUP(A134,'YB OAS'!B:F,5,0)</f>
        <v>150.24899300000001</v>
      </c>
      <c r="K134" s="40">
        <f>VLOOKUP(A134,'Refi Universe'!E:F,2,0)</f>
        <v>0.84420832000000001</v>
      </c>
    </row>
    <row r="135" spans="1:11" ht="15" x14ac:dyDescent="0.25">
      <c r="A135" s="14">
        <v>40767</v>
      </c>
      <c r="B135" s="15">
        <v>467</v>
      </c>
      <c r="C135" s="15">
        <v>467</v>
      </c>
      <c r="D135" s="5" t="s">
        <v>2</v>
      </c>
      <c r="E135" s="5" t="s">
        <v>2</v>
      </c>
      <c r="F135" s="5">
        <v>4.482907</v>
      </c>
      <c r="G135" s="12">
        <f>VLOOKUP(A135,'[1]all FNCL'!A$2:B$993,2)</f>
        <v>0.834040070391601</v>
      </c>
      <c r="H135" s="3" t="s">
        <v>147</v>
      </c>
      <c r="I135">
        <v>0.95295581960362197</v>
      </c>
      <c r="J135">
        <f>VLOOKUP(A135,'YB OAS'!B:F,5,0)</f>
        <v>185.57150300000001</v>
      </c>
      <c r="K135" s="40">
        <f>VLOOKUP(A135,'Refi Universe'!E:F,2,0)</f>
        <v>0.85297997000000003</v>
      </c>
    </row>
    <row r="136" spans="1:11" ht="15" x14ac:dyDescent="0.25">
      <c r="A136" s="14">
        <v>40770</v>
      </c>
      <c r="B136" s="15">
        <v>467</v>
      </c>
      <c r="C136" s="15">
        <v>467</v>
      </c>
      <c r="D136" s="5" t="s">
        <v>2</v>
      </c>
      <c r="E136" s="5" t="s">
        <v>2</v>
      </c>
      <c r="F136" s="5">
        <v>4.5275030000000003</v>
      </c>
      <c r="G136" s="12">
        <f>VLOOKUP(A136,'[1]all FNCL'!A$2:B$993,2)</f>
        <v>0.834040070391601</v>
      </c>
      <c r="H136" s="3" t="s">
        <v>148</v>
      </c>
      <c r="I136">
        <v>0.95295581960362197</v>
      </c>
      <c r="J136">
        <f>VLOOKUP(A136,'YB OAS'!B:F,5,0)</f>
        <v>165.89149499999999</v>
      </c>
      <c r="K136" s="40">
        <f>VLOOKUP(A136,'Refi Universe'!E:F,2,0)</f>
        <v>0.84267753999999995</v>
      </c>
    </row>
    <row r="137" spans="1:11" ht="15" x14ac:dyDescent="0.25">
      <c r="A137" s="14">
        <v>40771</v>
      </c>
      <c r="B137" s="15">
        <v>464</v>
      </c>
      <c r="C137" s="15">
        <v>464</v>
      </c>
      <c r="D137" s="5" t="s">
        <v>2</v>
      </c>
      <c r="E137" s="5" t="s">
        <v>2</v>
      </c>
      <c r="F137" s="5">
        <v>4.5068020000000004</v>
      </c>
      <c r="G137" s="12">
        <f>VLOOKUP(A137,'[1]all FNCL'!A$2:B$993,2)</f>
        <v>0.834040070391601</v>
      </c>
      <c r="H137" s="3" t="s">
        <v>149</v>
      </c>
      <c r="I137">
        <v>0.95157186742127498</v>
      </c>
      <c r="J137">
        <f>VLOOKUP(A137,'YB OAS'!B:F,5,0)</f>
        <v>170.404999</v>
      </c>
      <c r="K137" s="40">
        <f>VLOOKUP(A137,'Refi Universe'!E:F,2,0)</f>
        <v>0.85342719</v>
      </c>
    </row>
    <row r="138" spans="1:11" ht="15" x14ac:dyDescent="0.25">
      <c r="A138" s="14">
        <v>40772</v>
      </c>
      <c r="B138" s="15">
        <v>474</v>
      </c>
      <c r="C138" s="15">
        <v>474</v>
      </c>
      <c r="D138" s="5" t="s">
        <v>2</v>
      </c>
      <c r="E138" s="5" t="s">
        <v>2</v>
      </c>
      <c r="F138" s="5">
        <v>4.503018</v>
      </c>
      <c r="G138" s="12">
        <f>VLOOKUP(A138,'[1]all FNCL'!A$2:B$993,2)</f>
        <v>0.834040070391601</v>
      </c>
      <c r="H138" s="3" t="s">
        <v>150</v>
      </c>
      <c r="I138">
        <v>0.95157186742127498</v>
      </c>
      <c r="J138">
        <f>VLOOKUP(A138,'YB OAS'!B:F,5,0)</f>
        <v>181.5625</v>
      </c>
      <c r="K138" s="40">
        <f>VLOOKUP(A138,'Refi Universe'!E:F,2,0)</f>
        <v>0.90548150000000005</v>
      </c>
    </row>
    <row r="139" spans="1:11" ht="15" x14ac:dyDescent="0.25">
      <c r="A139" s="14">
        <v>40773</v>
      </c>
      <c r="B139" s="15">
        <v>513</v>
      </c>
      <c r="C139" s="15">
        <v>513</v>
      </c>
      <c r="D139" s="5" t="s">
        <v>2</v>
      </c>
      <c r="E139" s="5" t="s">
        <v>2</v>
      </c>
      <c r="F139" s="5">
        <v>4.5189349999999999</v>
      </c>
      <c r="G139" s="12">
        <f>VLOOKUP(A139,'[1]all FNCL'!A$2:B$993,2)</f>
        <v>0.86081674392019403</v>
      </c>
      <c r="H139" s="3" t="s">
        <v>151</v>
      </c>
      <c r="I139">
        <v>0.95157186742127498</v>
      </c>
      <c r="J139">
        <f>VLOOKUP(A139,'YB OAS'!B:F,5,0)</f>
        <v>201.32539399999999</v>
      </c>
      <c r="K139" s="40">
        <f>VLOOKUP(A139,'Refi Universe'!E:F,2,0)</f>
        <v>0.91565848999999999</v>
      </c>
    </row>
    <row r="140" spans="1:11" ht="15" x14ac:dyDescent="0.25">
      <c r="A140" s="14">
        <v>40774</v>
      </c>
      <c r="B140" s="15">
        <v>535</v>
      </c>
      <c r="C140" s="15">
        <v>535</v>
      </c>
      <c r="D140" s="5" t="s">
        <v>2</v>
      </c>
      <c r="E140" s="5" t="s">
        <v>2</v>
      </c>
      <c r="F140" s="5">
        <v>4.542103</v>
      </c>
      <c r="G140" s="12">
        <f>VLOOKUP(A140,'[1]all FNCL'!A$2:B$993,2)</f>
        <v>0.86081674392019403</v>
      </c>
      <c r="H140" s="3" t="s">
        <v>152</v>
      </c>
      <c r="I140">
        <v>0.95157186742127498</v>
      </c>
      <c r="J140">
        <f>VLOOKUP(A140,'YB OAS'!B:F,5,0)</f>
        <v>204.99620100000001</v>
      </c>
      <c r="K140" s="40">
        <f>VLOOKUP(A140,'Refi Universe'!E:F,2,0)</f>
        <v>0.89684797999999999</v>
      </c>
    </row>
    <row r="141" spans="1:11" ht="15" x14ac:dyDescent="0.25">
      <c r="A141" s="14">
        <v>40777</v>
      </c>
      <c r="B141" s="15">
        <v>561</v>
      </c>
      <c r="C141" s="15">
        <v>561</v>
      </c>
      <c r="D141" s="5" t="s">
        <v>2</v>
      </c>
      <c r="E141" s="5" t="s">
        <v>2</v>
      </c>
      <c r="F141" s="5">
        <v>4.5508300000000004</v>
      </c>
      <c r="G141" s="12">
        <f>VLOOKUP(A141,'[1]all FNCL'!A$2:B$993,2)</f>
        <v>0.86081674392019403</v>
      </c>
      <c r="H141" s="3" t="s">
        <v>153</v>
      </c>
      <c r="I141">
        <v>0.95157186742127498</v>
      </c>
      <c r="J141">
        <f>VLOOKUP(A141,'YB OAS'!B:F,5,0)</f>
        <v>218.77720600000001</v>
      </c>
      <c r="K141" s="40">
        <f>VLOOKUP(A141,'Refi Universe'!E:F,2,0)</f>
        <v>0.88061953999999998</v>
      </c>
    </row>
    <row r="142" spans="1:11" ht="15" x14ac:dyDescent="0.25">
      <c r="A142" s="14">
        <v>40778</v>
      </c>
      <c r="B142" s="15">
        <v>563</v>
      </c>
      <c r="C142" s="15">
        <v>563</v>
      </c>
      <c r="D142" s="5" t="s">
        <v>2</v>
      </c>
      <c r="E142" s="5" t="s">
        <v>2</v>
      </c>
      <c r="F142" s="5">
        <v>4.5672959999999998</v>
      </c>
      <c r="G142" s="12">
        <f>VLOOKUP(A142,'[1]all FNCL'!A$2:B$993,2)</f>
        <v>0.86081674392019403</v>
      </c>
      <c r="H142" s="3" t="s">
        <v>154</v>
      </c>
      <c r="I142">
        <v>0.95277015909637097</v>
      </c>
      <c r="J142">
        <f>VLOOKUP(A142,'YB OAS'!B:F,5,0)</f>
        <v>207.47309899999999</v>
      </c>
      <c r="K142" s="40">
        <f>VLOOKUP(A142,'Refi Universe'!E:F,2,0)</f>
        <v>0.85332171000000001</v>
      </c>
    </row>
    <row r="143" spans="1:11" ht="15" x14ac:dyDescent="0.25">
      <c r="A143" s="14">
        <v>40779</v>
      </c>
      <c r="B143" s="15">
        <v>516</v>
      </c>
      <c r="C143" s="15">
        <v>516</v>
      </c>
      <c r="D143" s="5" t="s">
        <v>2</v>
      </c>
      <c r="E143" s="5" t="s">
        <v>2</v>
      </c>
      <c r="F143" s="5">
        <v>4.5994780000000004</v>
      </c>
      <c r="G143" s="12">
        <f>VLOOKUP(A143,'[1]all FNCL'!A$2:B$993,2)</f>
        <v>0.86081674392019403</v>
      </c>
      <c r="H143" s="3" t="s">
        <v>155</v>
      </c>
      <c r="I143">
        <v>0.95277015909637097</v>
      </c>
      <c r="J143">
        <f>VLOOKUP(A143,'YB OAS'!B:F,5,0)</f>
        <v>165.69160500000001</v>
      </c>
      <c r="K143" s="40">
        <f>VLOOKUP(A143,'Refi Universe'!E:F,2,0)</f>
        <v>0.84607922999999996</v>
      </c>
    </row>
    <row r="144" spans="1:11" ht="15" x14ac:dyDescent="0.25">
      <c r="A144" s="14">
        <v>40780</v>
      </c>
      <c r="B144" s="15">
        <v>572</v>
      </c>
      <c r="C144" s="15">
        <v>572</v>
      </c>
      <c r="D144" s="5" t="s">
        <v>2</v>
      </c>
      <c r="E144" s="5" t="s">
        <v>2</v>
      </c>
      <c r="F144" s="5">
        <v>4.5656699999999999</v>
      </c>
      <c r="G144" s="12">
        <f>VLOOKUP(A144,'[1]all FNCL'!A$2:B$993,2)</f>
        <v>0.84691794883119798</v>
      </c>
      <c r="H144" s="3" t="s">
        <v>156</v>
      </c>
      <c r="I144">
        <v>0.95277015909637097</v>
      </c>
      <c r="J144">
        <f>VLOOKUP(A144,'YB OAS'!B:F,5,0)</f>
        <v>226.270004</v>
      </c>
      <c r="K144" s="40">
        <f>VLOOKUP(A144,'Refi Universe'!E:F,2,0)</f>
        <v>0.83470208999999995</v>
      </c>
    </row>
    <row r="145" spans="1:11" ht="15" x14ac:dyDescent="0.25">
      <c r="A145" s="14">
        <v>40781</v>
      </c>
      <c r="B145" s="15">
        <v>547</v>
      </c>
      <c r="C145" s="15">
        <v>547</v>
      </c>
      <c r="D145" s="5" t="s">
        <v>2</v>
      </c>
      <c r="E145" s="5" t="s">
        <v>2</v>
      </c>
      <c r="F145" s="5">
        <v>4.5460089999999997</v>
      </c>
      <c r="G145" s="12">
        <f>VLOOKUP(A145,'[1]all FNCL'!A$2:B$993,2)</f>
        <v>0.84691794883119798</v>
      </c>
      <c r="H145" s="3" t="s">
        <v>157</v>
      </c>
      <c r="I145">
        <v>0.95277015909637097</v>
      </c>
      <c r="J145">
        <f>VLOOKUP(A145,'YB OAS'!B:F,5,0)</f>
        <v>208.36329699999999</v>
      </c>
      <c r="K145" s="40">
        <f>VLOOKUP(A145,'Refi Universe'!E:F,2,0)</f>
        <v>0.83931259999999996</v>
      </c>
    </row>
    <row r="146" spans="1:11" ht="15" x14ac:dyDescent="0.25">
      <c r="A146" s="14">
        <v>40784</v>
      </c>
      <c r="B146" s="15">
        <v>509</v>
      </c>
      <c r="C146" s="15">
        <v>509</v>
      </c>
      <c r="D146" s="5" t="s">
        <v>2</v>
      </c>
      <c r="E146" s="5" t="s">
        <v>2</v>
      </c>
      <c r="F146" s="5">
        <v>4.5870410000000001</v>
      </c>
      <c r="G146" s="12">
        <f>VLOOKUP(A146,'[1]all FNCL'!A$2:B$993,2)</f>
        <v>0.84691794883119798</v>
      </c>
      <c r="H146" s="3" t="s">
        <v>158</v>
      </c>
      <c r="I146">
        <v>0.95277015909637097</v>
      </c>
      <c r="J146">
        <f>VLOOKUP(A146,'YB OAS'!B:F,5,0)</f>
        <v>160.53990200000001</v>
      </c>
      <c r="K146" s="40">
        <f>VLOOKUP(A146,'Refi Universe'!E:F,2,0)</f>
        <v>0.82673280999999998</v>
      </c>
    </row>
    <row r="147" spans="1:11" ht="15" x14ac:dyDescent="0.25">
      <c r="A147" s="14">
        <v>40785</v>
      </c>
      <c r="B147" s="15">
        <v>513</v>
      </c>
      <c r="C147" s="15">
        <v>513</v>
      </c>
      <c r="D147" s="5" t="s">
        <v>2</v>
      </c>
      <c r="E147" s="5" t="s">
        <v>2</v>
      </c>
      <c r="F147" s="5">
        <v>4.5445180000000001</v>
      </c>
      <c r="G147" s="12">
        <f>VLOOKUP(A147,'[1]all FNCL'!A$2:B$993,2)</f>
        <v>0.84691794883119798</v>
      </c>
      <c r="H147" s="3" t="s">
        <v>159</v>
      </c>
      <c r="I147">
        <v>0.950786071684944</v>
      </c>
      <c r="J147">
        <f>VLOOKUP(A147,'YB OAS'!B:F,5,0)</f>
        <v>179.919006</v>
      </c>
      <c r="K147" s="40">
        <f>VLOOKUP(A147,'Refi Universe'!E:F,2,0)</f>
        <v>0.83828232000000003</v>
      </c>
    </row>
    <row r="148" spans="1:11" ht="15" x14ac:dyDescent="0.25">
      <c r="A148" s="14">
        <v>40786</v>
      </c>
      <c r="B148" s="15">
        <v>481</v>
      </c>
      <c r="C148" s="15">
        <v>481</v>
      </c>
      <c r="D148" s="5" t="s">
        <v>2</v>
      </c>
      <c r="E148" s="5" t="s">
        <v>2</v>
      </c>
      <c r="F148" s="5">
        <v>4.5835699999999999</v>
      </c>
      <c r="G148" s="12">
        <f>VLOOKUP(A148,'[1]all FNCL'!A$2:B$993,2)</f>
        <v>0.84691794883119798</v>
      </c>
      <c r="H148" s="3" t="s">
        <v>160</v>
      </c>
      <c r="I148">
        <v>0.950786071684944</v>
      </c>
      <c r="J148">
        <f>VLOOKUP(A148,'YB OAS'!B:F,5,0)</f>
        <v>141.329803</v>
      </c>
      <c r="K148" s="40">
        <f>VLOOKUP(A148,'Refi Universe'!E:F,2,0)</f>
        <v>0.84239131</v>
      </c>
    </row>
    <row r="149" spans="1:11" ht="15" x14ac:dyDescent="0.25">
      <c r="A149" s="14">
        <v>40787</v>
      </c>
      <c r="B149" s="15">
        <v>502</v>
      </c>
      <c r="C149" s="15">
        <v>502</v>
      </c>
      <c r="D149" s="5" t="s">
        <v>2</v>
      </c>
      <c r="E149" s="5" t="s">
        <v>2</v>
      </c>
      <c r="F149" s="5">
        <v>4.5479690000000002</v>
      </c>
      <c r="G149" s="12">
        <f>VLOOKUP(A149,'[1]all FNCL'!A$2:B$993,2)</f>
        <v>0.841117996149364</v>
      </c>
      <c r="H149" s="3" t="s">
        <v>161</v>
      </c>
      <c r="I149">
        <v>0.950786071684944</v>
      </c>
      <c r="J149">
        <f>VLOOKUP(A149,'YB OAS'!B:F,5,0)</f>
        <v>166.545502</v>
      </c>
      <c r="K149" s="40">
        <f>VLOOKUP(A149,'Refi Universe'!E:F,2,0)</f>
        <v>0.84721122000000004</v>
      </c>
    </row>
    <row r="150" spans="1:11" ht="15" x14ac:dyDescent="0.25">
      <c r="A150" s="14">
        <v>40788</v>
      </c>
      <c r="B150" s="15">
        <v>545</v>
      </c>
      <c r="C150" s="15">
        <v>545</v>
      </c>
      <c r="D150" s="5" t="s">
        <v>2</v>
      </c>
      <c r="E150" s="5" t="s">
        <v>2</v>
      </c>
      <c r="F150" s="5">
        <v>4.5284680000000002</v>
      </c>
      <c r="G150" s="12">
        <f>VLOOKUP(A150,'[1]all FNCL'!A$2:B$993,2)</f>
        <v>0.841117996149364</v>
      </c>
      <c r="H150" s="3" t="s">
        <v>162</v>
      </c>
      <c r="I150">
        <v>0.950786071684944</v>
      </c>
      <c r="J150">
        <f>VLOOKUP(A150,'YB OAS'!B:F,5,0)</f>
        <v>196.21000699999999</v>
      </c>
      <c r="K150" s="40">
        <f>VLOOKUP(A150,'Refi Universe'!E:F,2,0)</f>
        <v>0.90242288999999998</v>
      </c>
    </row>
    <row r="151" spans="1:11" ht="15" x14ac:dyDescent="0.25">
      <c r="A151" s="14">
        <v>40792</v>
      </c>
      <c r="B151" s="15">
        <v>576</v>
      </c>
      <c r="C151" s="15">
        <v>576</v>
      </c>
      <c r="D151" s="5" t="s">
        <v>2</v>
      </c>
      <c r="E151" s="5" t="s">
        <v>2</v>
      </c>
      <c r="F151" s="5">
        <v>4.5305869999999997</v>
      </c>
      <c r="G151" s="12">
        <f>VLOOKUP(A151,'[1]all FNCL'!A$2:B$993,2)</f>
        <v>0.841117996149364</v>
      </c>
      <c r="H151" s="3" t="s">
        <v>163</v>
      </c>
      <c r="I151">
        <v>0.950786071684944</v>
      </c>
      <c r="J151">
        <f>VLOOKUP(A151,'YB OAS'!B:F,5,0)</f>
        <v>219.12429800000001</v>
      </c>
      <c r="K151" s="40">
        <f>VLOOKUP(A151,'Refi Universe'!E:F,2,0)</f>
        <v>0.90259902999999997</v>
      </c>
    </row>
    <row r="152" spans="1:11" ht="15" x14ac:dyDescent="0.25">
      <c r="A152" s="14">
        <v>40793</v>
      </c>
      <c r="B152" s="15">
        <v>549</v>
      </c>
      <c r="C152" s="15">
        <v>549</v>
      </c>
      <c r="D152" s="5" t="s">
        <v>2</v>
      </c>
      <c r="E152" s="5" t="s">
        <v>2</v>
      </c>
      <c r="F152" s="5">
        <v>4.5533109999999999</v>
      </c>
      <c r="G152" s="12">
        <f>VLOOKUP(A152,'[1]all FNCL'!A$2:B$993,2)</f>
        <v>0.841117996149364</v>
      </c>
      <c r="H152" s="3" t="s">
        <v>164</v>
      </c>
      <c r="I152">
        <v>0.92568594546185101</v>
      </c>
      <c r="J152">
        <f>VLOOKUP(A152,'YB OAS'!B:F,5,0)</f>
        <v>187.603195</v>
      </c>
      <c r="K152" s="40">
        <f>VLOOKUP(A152,'Refi Universe'!E:F,2,0)</f>
        <v>0.86973243</v>
      </c>
    </row>
    <row r="153" spans="1:11" ht="15" x14ac:dyDescent="0.25">
      <c r="A153" s="14">
        <v>40794</v>
      </c>
      <c r="B153" s="15">
        <v>586</v>
      </c>
      <c r="C153" s="15">
        <v>586</v>
      </c>
      <c r="D153" s="5" t="s">
        <v>2</v>
      </c>
      <c r="E153" s="5" t="s">
        <v>2</v>
      </c>
      <c r="F153" s="5">
        <v>4.5492179999999998</v>
      </c>
      <c r="G153" s="12">
        <f>VLOOKUP(A153,'[1]all FNCL'!A$2:B$993,2)</f>
        <v>0.87810314526122002</v>
      </c>
      <c r="H153" s="3" t="s">
        <v>165</v>
      </c>
      <c r="I153">
        <v>0.92568594546185101</v>
      </c>
      <c r="J153">
        <f>VLOOKUP(A153,'YB OAS'!B:F,5,0)</f>
        <v>222.77979999999999</v>
      </c>
      <c r="K153" s="40">
        <f>VLOOKUP(A153,'Refi Universe'!E:F,2,0)</f>
        <v>0.89313180000000003</v>
      </c>
    </row>
    <row r="154" spans="1:11" ht="15" x14ac:dyDescent="0.25">
      <c r="A154" s="14">
        <v>40795</v>
      </c>
      <c r="B154" s="15">
        <v>553</v>
      </c>
      <c r="C154" s="15">
        <v>553</v>
      </c>
      <c r="D154" s="5" t="s">
        <v>2</v>
      </c>
      <c r="E154" s="5" t="s">
        <v>2</v>
      </c>
      <c r="F154" s="5">
        <v>4.5150930000000002</v>
      </c>
      <c r="G154" s="12">
        <f>VLOOKUP(A154,'[1]all FNCL'!A$2:B$993,2)</f>
        <v>0.87810314526122002</v>
      </c>
      <c r="H154" s="3" t="s">
        <v>166</v>
      </c>
      <c r="I154">
        <v>0.92568594546185101</v>
      </c>
      <c r="J154">
        <f>VLOOKUP(A154,'YB OAS'!B:F,5,0)</f>
        <v>198.651398</v>
      </c>
      <c r="K154" s="40">
        <f>VLOOKUP(A154,'Refi Universe'!E:F,2,0)</f>
        <v>0.93021054999999997</v>
      </c>
    </row>
    <row r="155" spans="1:11" ht="15" x14ac:dyDescent="0.25">
      <c r="A155" s="14">
        <v>40798</v>
      </c>
      <c r="B155" s="15">
        <v>528</v>
      </c>
      <c r="C155" s="15">
        <v>528</v>
      </c>
      <c r="D155" s="5" t="s">
        <v>2</v>
      </c>
      <c r="E155" s="5" t="s">
        <v>2</v>
      </c>
      <c r="F155" s="5">
        <v>4.5482339999999999</v>
      </c>
      <c r="G155" s="12">
        <f>VLOOKUP(A155,'[1]all FNCL'!A$2:B$993,2)</f>
        <v>0.87810314526122002</v>
      </c>
      <c r="H155" s="3" t="s">
        <v>167</v>
      </c>
      <c r="I155">
        <v>0.92568594546185101</v>
      </c>
      <c r="J155">
        <f>VLOOKUP(A155,'YB OAS'!B:F,5,0)</f>
        <v>163.085297</v>
      </c>
      <c r="K155" s="40">
        <f>VLOOKUP(A155,'Refi Universe'!E:F,2,0)</f>
        <v>0.90497623000000005</v>
      </c>
    </row>
    <row r="156" spans="1:11" ht="15" x14ac:dyDescent="0.25">
      <c r="A156" s="14">
        <v>40799</v>
      </c>
      <c r="B156" s="15">
        <v>532</v>
      </c>
      <c r="C156" s="15">
        <v>532</v>
      </c>
      <c r="D156" s="5" t="s">
        <v>2</v>
      </c>
      <c r="E156" s="5" t="s">
        <v>2</v>
      </c>
      <c r="F156" s="5">
        <v>4.5482259999999997</v>
      </c>
      <c r="G156" s="12">
        <f>VLOOKUP(A156,'[1]all FNCL'!A$2:B$993,2)</f>
        <v>0.87810314526122002</v>
      </c>
      <c r="H156" s="3" t="s">
        <v>168</v>
      </c>
      <c r="I156">
        <v>0.92568594546185101</v>
      </c>
      <c r="J156">
        <f>VLOOKUP(A156,'YB OAS'!B:F,5,0)</f>
        <v>171.527603</v>
      </c>
      <c r="K156" s="40">
        <f>VLOOKUP(A156,'Refi Universe'!E:F,2,0)</f>
        <v>0.87859103000000005</v>
      </c>
    </row>
    <row r="157" spans="1:11" ht="15" x14ac:dyDescent="0.25">
      <c r="A157" s="14">
        <v>40800</v>
      </c>
      <c r="B157" s="15">
        <v>540</v>
      </c>
      <c r="C157" s="15">
        <v>540</v>
      </c>
      <c r="D157" s="5" t="s">
        <v>2</v>
      </c>
      <c r="E157" s="5" t="s">
        <v>2</v>
      </c>
      <c r="F157" s="5">
        <v>4.5448339999999998</v>
      </c>
      <c r="G157" s="12">
        <f>VLOOKUP(A157,'[1]all FNCL'!A$2:B$993,2)</f>
        <v>0.87810314526122002</v>
      </c>
      <c r="H157" s="3" t="s">
        <v>169</v>
      </c>
      <c r="I157">
        <v>0.92529425270600996</v>
      </c>
      <c r="J157">
        <f>VLOOKUP(A157,'YB OAS'!B:F,5,0)</f>
        <v>182.26840200000001</v>
      </c>
      <c r="K157" s="40">
        <f>VLOOKUP(A157,'Refi Universe'!E:F,2,0)</f>
        <v>0.88148886000000004</v>
      </c>
    </row>
    <row r="158" spans="1:11" ht="15" x14ac:dyDescent="0.25">
      <c r="A158" s="14">
        <v>40801</v>
      </c>
      <c r="B158" s="15">
        <v>519</v>
      </c>
      <c r="C158" s="15">
        <v>519</v>
      </c>
      <c r="D158" s="5" t="s">
        <v>2</v>
      </c>
      <c r="E158" s="5" t="s">
        <v>2</v>
      </c>
      <c r="F158" s="5">
        <v>4.5614309999999998</v>
      </c>
      <c r="G158" s="12">
        <f>VLOOKUP(A158,'[1]all FNCL'!A$2:B$993,2)</f>
        <v>0.90145744662456295</v>
      </c>
      <c r="H158" s="3" t="s">
        <v>170</v>
      </c>
      <c r="I158">
        <v>0.92529425270600996</v>
      </c>
      <c r="J158">
        <f>VLOOKUP(A158,'YB OAS'!B:F,5,0)</f>
        <v>162.280304</v>
      </c>
      <c r="K158" s="40">
        <f>VLOOKUP(A158,'Refi Universe'!E:F,2,0)</f>
        <v>0.85233175999999999</v>
      </c>
    </row>
    <row r="159" spans="1:11" ht="15" x14ac:dyDescent="0.25">
      <c r="A159" s="14">
        <v>40802</v>
      </c>
      <c r="B159" s="15">
        <v>505</v>
      </c>
      <c r="C159" s="15">
        <v>505</v>
      </c>
      <c r="D159" s="5" t="s">
        <v>2</v>
      </c>
      <c r="E159" s="5" t="s">
        <v>2</v>
      </c>
      <c r="F159" s="5">
        <v>4.564019</v>
      </c>
      <c r="G159" s="12">
        <f>VLOOKUP(A159,'[1]all FNCL'!A$2:B$993,2)</f>
        <v>0.90145744662456295</v>
      </c>
      <c r="H159" s="3" t="s">
        <v>171</v>
      </c>
      <c r="I159">
        <v>0.92529425270600996</v>
      </c>
      <c r="J159">
        <f>VLOOKUP(A159,'YB OAS'!B:F,5,0)</f>
        <v>146.23460399999999</v>
      </c>
      <c r="K159" s="40">
        <f>VLOOKUP(A159,'Refi Universe'!E:F,2,0)</f>
        <v>0.85253478000000005</v>
      </c>
    </row>
    <row r="160" spans="1:11" ht="15" x14ac:dyDescent="0.25">
      <c r="A160" s="14">
        <v>40805</v>
      </c>
      <c r="B160" s="15">
        <v>561</v>
      </c>
      <c r="C160" s="15">
        <v>561</v>
      </c>
      <c r="D160" s="5" t="s">
        <v>2</v>
      </c>
      <c r="E160" s="5" t="s">
        <v>2</v>
      </c>
      <c r="F160" s="5">
        <v>4.5236169999999998</v>
      </c>
      <c r="G160" s="12">
        <f>VLOOKUP(A160,'[1]all FNCL'!A$2:B$993,2)</f>
        <v>0.90145744662456295</v>
      </c>
      <c r="H160" s="3" t="s">
        <v>172</v>
      </c>
      <c r="I160">
        <v>0.92529425270600996</v>
      </c>
      <c r="J160">
        <f>VLOOKUP(A160,'YB OAS'!B:F,5,0)</f>
        <v>209.977203</v>
      </c>
      <c r="K160" s="40">
        <f>VLOOKUP(A160,'Refi Universe'!E:F,2,0)</f>
        <v>0.91915827999999999</v>
      </c>
    </row>
    <row r="161" spans="1:11" ht="15" x14ac:dyDescent="0.25">
      <c r="A161" s="14">
        <v>40806</v>
      </c>
      <c r="B161" s="15">
        <v>574</v>
      </c>
      <c r="C161" s="15">
        <v>574</v>
      </c>
      <c r="D161" s="5" t="s">
        <v>2</v>
      </c>
      <c r="E161" s="5" t="s">
        <v>2</v>
      </c>
      <c r="F161" s="5">
        <v>4.5340309999999997</v>
      </c>
      <c r="G161" s="12">
        <f>VLOOKUP(A161,'[1]all FNCL'!A$2:B$993,2)</f>
        <v>0.90145744662456295</v>
      </c>
      <c r="H161" s="3" t="s">
        <v>173</v>
      </c>
      <c r="I161">
        <v>0.92529425270600996</v>
      </c>
      <c r="J161">
        <f>VLOOKUP(A161,'YB OAS'!B:F,5,0)</f>
        <v>217.34440599999999</v>
      </c>
      <c r="K161" s="40">
        <f>VLOOKUP(A161,'Refi Universe'!E:F,2,0)</f>
        <v>0.90939444999999997</v>
      </c>
    </row>
    <row r="162" spans="1:11" ht="15" x14ac:dyDescent="0.25">
      <c r="A162" s="14">
        <v>40807</v>
      </c>
      <c r="B162" s="15">
        <v>681</v>
      </c>
      <c r="C162" s="15">
        <v>681</v>
      </c>
      <c r="D162" s="5" t="s">
        <v>2</v>
      </c>
      <c r="E162" s="5" t="s">
        <v>2</v>
      </c>
      <c r="F162" s="5">
        <v>4.4308639999999997</v>
      </c>
      <c r="G162" s="12">
        <f>VLOOKUP(A162,'[1]all FNCL'!A$2:B$993,2)</f>
        <v>0.90145744662456295</v>
      </c>
      <c r="H162" s="3" t="s">
        <v>174</v>
      </c>
      <c r="I162">
        <v>0.92772026190850898</v>
      </c>
      <c r="J162">
        <f>VLOOKUP(A162,'YB OAS'!B:F,5,0)</f>
        <v>318.66861</v>
      </c>
      <c r="K162" s="40">
        <f>VLOOKUP(A162,'Refi Universe'!E:F,2,0)</f>
        <v>0.98438846000000002</v>
      </c>
    </row>
    <row r="163" spans="1:11" ht="15" x14ac:dyDescent="0.25">
      <c r="A163" s="14">
        <v>40808</v>
      </c>
      <c r="B163" s="15">
        <v>860</v>
      </c>
      <c r="C163" s="15">
        <v>860</v>
      </c>
      <c r="D163" s="5" t="s">
        <v>2</v>
      </c>
      <c r="E163" s="5" t="s">
        <v>2</v>
      </c>
      <c r="F163" s="5">
        <v>4.3126819999999997</v>
      </c>
      <c r="G163" s="12">
        <f>VLOOKUP(A163,'[1]all FNCL'!A$2:B$993,2)</f>
        <v>0.90145744662456295</v>
      </c>
      <c r="H163" s="3" t="s">
        <v>175</v>
      </c>
      <c r="I163">
        <v>0.92529425270600996</v>
      </c>
      <c r="J163">
        <f>VLOOKUP(A163,'YB OAS'!B:F,5,0)</f>
        <v>506.69229100000001</v>
      </c>
      <c r="K163" s="40">
        <f>VLOOKUP(A163,'Refi Universe'!E:F,2,0)</f>
        <v>0.98718243000000006</v>
      </c>
    </row>
    <row r="164" spans="1:11" ht="15" x14ac:dyDescent="0.25">
      <c r="A164" s="14">
        <v>40809</v>
      </c>
      <c r="B164" s="15">
        <v>735</v>
      </c>
      <c r="C164" s="15">
        <v>735</v>
      </c>
      <c r="D164" s="5" t="s">
        <v>2</v>
      </c>
      <c r="E164" s="5" t="s">
        <v>2</v>
      </c>
      <c r="F164" s="5">
        <v>4.3930119999999997</v>
      </c>
      <c r="G164" s="12">
        <f>VLOOKUP(A164,'[1]all FNCL'!A$2:B$993,2)</f>
        <v>0.90145744662456295</v>
      </c>
      <c r="H164" s="3" t="s">
        <v>176</v>
      </c>
      <c r="I164">
        <v>0.92529425270600996</v>
      </c>
      <c r="J164">
        <f>VLOOKUP(A164,'YB OAS'!B:F,5,0)</f>
        <v>402.06860399999999</v>
      </c>
      <c r="K164" s="40">
        <f>VLOOKUP(A164,'Refi Universe'!E:F,2,0)</f>
        <v>0.98557090000000003</v>
      </c>
    </row>
    <row r="165" spans="1:11" ht="15" x14ac:dyDescent="0.25">
      <c r="A165" s="14">
        <v>40812</v>
      </c>
      <c r="B165" s="15">
        <v>731</v>
      </c>
      <c r="C165" s="15">
        <v>731</v>
      </c>
      <c r="D165" s="5" t="s">
        <v>2</v>
      </c>
      <c r="E165" s="5" t="s">
        <v>2</v>
      </c>
      <c r="F165" s="5">
        <v>4.4004250000000003</v>
      </c>
      <c r="G165" s="12">
        <f>VLOOKUP(A165,'[1]all FNCL'!A$2:B$993,2)</f>
        <v>0.90145744662456295</v>
      </c>
      <c r="H165" s="3" t="s">
        <v>177</v>
      </c>
      <c r="I165">
        <v>0.92772026190850898</v>
      </c>
      <c r="J165">
        <f>VLOOKUP(A165,'YB OAS'!B:F,5,0)</f>
        <v>411.81408699999997</v>
      </c>
      <c r="K165" s="40">
        <f>VLOOKUP(A165,'Refi Universe'!E:F,2,0)</f>
        <v>0.98181251999999997</v>
      </c>
    </row>
    <row r="166" spans="1:11" ht="15" x14ac:dyDescent="0.25">
      <c r="A166" s="14">
        <v>40813</v>
      </c>
      <c r="B166" s="15">
        <v>694</v>
      </c>
      <c r="C166" s="15">
        <v>694</v>
      </c>
      <c r="D166" s="5" t="s">
        <v>2</v>
      </c>
      <c r="E166" s="5" t="s">
        <v>2</v>
      </c>
      <c r="F166" s="5">
        <v>4.452826</v>
      </c>
      <c r="G166" s="12">
        <f>VLOOKUP(A166,'[1]all FNCL'!A$2:B$993,2)</f>
        <v>0.90145744662456295</v>
      </c>
      <c r="H166" s="3" t="s">
        <v>178</v>
      </c>
      <c r="I166">
        <v>0.92988566192488697</v>
      </c>
      <c r="J166">
        <f>VLOOKUP(A166,'YB OAS'!B:F,5,0)</f>
        <v>362.45700099999999</v>
      </c>
      <c r="K166" s="40">
        <f>VLOOKUP(A166,'Refi Universe'!E:F,2,0)</f>
        <v>0.92916330000000003</v>
      </c>
    </row>
    <row r="167" spans="1:11" ht="15" x14ac:dyDescent="0.25">
      <c r="A167" s="14">
        <v>40814</v>
      </c>
      <c r="B167" s="15">
        <v>678</v>
      </c>
      <c r="C167" s="15">
        <v>678</v>
      </c>
      <c r="D167" s="5" t="s">
        <v>2</v>
      </c>
      <c r="E167" s="5" t="s">
        <v>2</v>
      </c>
      <c r="F167" s="5">
        <v>4.4560310000000003</v>
      </c>
      <c r="G167" s="12">
        <f>VLOOKUP(A167,'[1]all FNCL'!A$2:B$993,2)</f>
        <v>0.90145744662456295</v>
      </c>
      <c r="H167" s="3" t="s">
        <v>179</v>
      </c>
      <c r="I167">
        <v>0.92988566192488697</v>
      </c>
      <c r="J167">
        <f>VLOOKUP(A167,'YB OAS'!B:F,5,0)</f>
        <v>337.88320900000002</v>
      </c>
      <c r="K167" s="40">
        <f>VLOOKUP(A167,'Refi Universe'!E:F,2,0)</f>
        <v>0.87701468999999999</v>
      </c>
    </row>
    <row r="168" spans="1:11" ht="15" x14ac:dyDescent="0.25">
      <c r="A168" s="14">
        <v>40815</v>
      </c>
      <c r="B168" s="15">
        <v>731</v>
      </c>
      <c r="C168" s="15">
        <v>731</v>
      </c>
      <c r="D168" s="5" t="s">
        <v>2</v>
      </c>
      <c r="E168" s="5" t="s">
        <v>2</v>
      </c>
      <c r="F168" s="5">
        <v>4.4191700000000003</v>
      </c>
      <c r="G168" s="12">
        <f>VLOOKUP(A168,'[1]all FNCL'!A$2:B$993,2)</f>
        <v>0.94573089516350395</v>
      </c>
      <c r="H168" s="3" t="s">
        <v>180</v>
      </c>
      <c r="I168">
        <v>0.92988566192488697</v>
      </c>
      <c r="J168">
        <f>VLOOKUP(A168,'YB OAS'!B:F,5,0)</f>
        <v>387.40838600000001</v>
      </c>
      <c r="K168" s="40">
        <f>VLOOKUP(A168,'Refi Universe'!E:F,2,0)</f>
        <v>0.92916330000000003</v>
      </c>
    </row>
    <row r="169" spans="1:11" ht="15" x14ac:dyDescent="0.25">
      <c r="A169" s="14">
        <v>40816</v>
      </c>
      <c r="B169" s="15">
        <v>757</v>
      </c>
      <c r="C169" s="15">
        <v>757</v>
      </c>
      <c r="D169" s="5" t="s">
        <v>2</v>
      </c>
      <c r="E169" s="5" t="s">
        <v>2</v>
      </c>
      <c r="F169" s="5">
        <v>4.4047419999999997</v>
      </c>
      <c r="G169" s="12">
        <f>VLOOKUP(A169,'[1]all FNCL'!A$2:B$993,2)</f>
        <v>0.94573089516350395</v>
      </c>
      <c r="H169" s="3" t="s">
        <v>181</v>
      </c>
      <c r="I169">
        <v>0.92988566192488697</v>
      </c>
      <c r="J169">
        <f>VLOOKUP(A169,'YB OAS'!B:F,5,0)</f>
        <v>402.68069500000001</v>
      </c>
      <c r="K169" s="40">
        <f>VLOOKUP(A169,'Refi Universe'!E:F,2,0)</f>
        <v>0.95732165999999996</v>
      </c>
    </row>
    <row r="170" spans="1:11" ht="15" x14ac:dyDescent="0.25">
      <c r="A170" s="14">
        <v>40819</v>
      </c>
      <c r="B170" s="15">
        <v>810</v>
      </c>
      <c r="C170" s="15">
        <v>810</v>
      </c>
      <c r="D170" s="5" t="s">
        <v>2</v>
      </c>
      <c r="E170" s="5" t="s">
        <v>2</v>
      </c>
      <c r="F170" s="5">
        <v>4.3686420000000004</v>
      </c>
      <c r="G170" s="12">
        <f>VLOOKUP(A170,'[1]all FNCL'!A$2:B$993,2)</f>
        <v>0.93998305132982396</v>
      </c>
      <c r="H170" s="3" t="s">
        <v>182</v>
      </c>
      <c r="I170">
        <v>0.92962672480790898</v>
      </c>
      <c r="J170">
        <f>VLOOKUP(A170,'YB OAS'!B:F,5,0)</f>
        <v>452.123108</v>
      </c>
      <c r="K170" s="40">
        <f>VLOOKUP(A170,'Refi Universe'!E:F,2,0)</f>
        <v>0.97810912000000005</v>
      </c>
    </row>
    <row r="171" spans="1:11" ht="15" x14ac:dyDescent="0.25">
      <c r="A171" s="14">
        <v>40820</v>
      </c>
      <c r="B171" s="15">
        <v>726</v>
      </c>
      <c r="C171" s="15">
        <v>726</v>
      </c>
      <c r="D171" s="5" t="s">
        <v>2</v>
      </c>
      <c r="E171" s="5" t="s">
        <v>2</v>
      </c>
      <c r="F171" s="5">
        <v>4.3876229999999996</v>
      </c>
      <c r="G171" s="12">
        <f>VLOOKUP(A171,'[1]all FNCL'!A$2:B$993,2)</f>
        <v>0.93998305132982396</v>
      </c>
      <c r="H171" s="3" t="s">
        <v>183</v>
      </c>
      <c r="I171">
        <v>0.92962672480790898</v>
      </c>
      <c r="J171">
        <f>VLOOKUP(A171,'YB OAS'!B:F,5,0)</f>
        <v>390.32308999999998</v>
      </c>
      <c r="K171" s="40">
        <f>VLOOKUP(A171,'Refi Universe'!E:F,2,0)</f>
        <v>0.94663377999999998</v>
      </c>
    </row>
    <row r="172" spans="1:11" ht="15" x14ac:dyDescent="0.25">
      <c r="A172" s="14">
        <v>40821</v>
      </c>
      <c r="B172" s="15">
        <v>686</v>
      </c>
      <c r="C172" s="15">
        <v>686</v>
      </c>
      <c r="D172" s="5" t="s">
        <v>2</v>
      </c>
      <c r="E172" s="5" t="s">
        <v>2</v>
      </c>
      <c r="F172" s="5">
        <v>4.4181590000000002</v>
      </c>
      <c r="G172" s="12">
        <f>VLOOKUP(A172,'[1]all FNCL'!A$2:B$993,2)</f>
        <v>0.93998305132982396</v>
      </c>
      <c r="H172" s="3" t="s">
        <v>184</v>
      </c>
      <c r="I172">
        <v>0.91261368517922603</v>
      </c>
      <c r="J172">
        <f>VLOOKUP(A172,'YB OAS'!B:F,5,0)</f>
        <v>346.89920000000001</v>
      </c>
      <c r="K172" s="40">
        <f>VLOOKUP(A172,'Refi Universe'!E:F,2,0)</f>
        <v>0.92342051999999997</v>
      </c>
    </row>
    <row r="173" spans="1:11" ht="15" x14ac:dyDescent="0.25">
      <c r="A173" s="14">
        <v>40822</v>
      </c>
      <c r="B173" s="15">
        <v>680</v>
      </c>
      <c r="C173" s="15">
        <v>680</v>
      </c>
      <c r="D173" s="5" t="s">
        <v>2</v>
      </c>
      <c r="E173" s="5" t="s">
        <v>2</v>
      </c>
      <c r="F173" s="5">
        <v>4.4377190000000004</v>
      </c>
      <c r="G173" s="12">
        <f>VLOOKUP(A173,'[1]all FNCL'!A$2:B$993,2)</f>
        <v>0.976205342266112</v>
      </c>
      <c r="H173" s="3" t="s">
        <v>185</v>
      </c>
      <c r="I173">
        <v>0.91261368517922603</v>
      </c>
      <c r="J173">
        <f>VLOOKUP(A173,'YB OAS'!B:F,5,0)</f>
        <v>341.91738900000001</v>
      </c>
      <c r="K173" s="40">
        <f>VLOOKUP(A173,'Refi Universe'!E:F,2,0)</f>
        <v>0.88478330999999999</v>
      </c>
    </row>
    <row r="174" spans="1:11" ht="15" x14ac:dyDescent="0.25">
      <c r="A174" s="14">
        <v>40823</v>
      </c>
      <c r="B174" s="15">
        <v>961</v>
      </c>
      <c r="C174" s="15">
        <v>961</v>
      </c>
      <c r="D174" s="5" t="s">
        <v>2</v>
      </c>
      <c r="E174" s="5" t="s">
        <v>2</v>
      </c>
      <c r="F174" s="5">
        <v>4.486453</v>
      </c>
      <c r="G174" s="12">
        <f>VLOOKUP(A174,'[1]all FNCL'!A$2:B$993,2)</f>
        <v>0.976205342266112</v>
      </c>
      <c r="H174" s="3" t="s">
        <v>186</v>
      </c>
      <c r="I174">
        <v>0.91261368517922603</v>
      </c>
      <c r="J174">
        <f>VLOOKUP(A174,'YB OAS'!B:F,5,0)</f>
        <v>571.11279300000001</v>
      </c>
      <c r="K174" s="40">
        <f>VLOOKUP(A174,'Refi Universe'!E:F,2,0)</f>
        <v>0.83613196000000001</v>
      </c>
    </row>
    <row r="175" spans="1:11" ht="15" x14ac:dyDescent="0.25">
      <c r="A175" s="14">
        <v>40827</v>
      </c>
      <c r="B175" s="15">
        <v>937</v>
      </c>
      <c r="C175" s="15">
        <v>937</v>
      </c>
      <c r="D175" s="5" t="s">
        <v>2</v>
      </c>
      <c r="E175" s="5" t="s">
        <v>2</v>
      </c>
      <c r="F175" s="5">
        <v>4.4811180000000004</v>
      </c>
      <c r="G175" s="12">
        <f>VLOOKUP(A175,'[1]all FNCL'!A$2:B$993,2)</f>
        <v>0.976205342266112</v>
      </c>
      <c r="H175" s="3" t="s">
        <v>187</v>
      </c>
      <c r="I175">
        <v>0.91054790878492298</v>
      </c>
      <c r="J175">
        <f>VLOOKUP(A175,'YB OAS'!B:F,5,0)</f>
        <v>558.91272000000004</v>
      </c>
      <c r="K175" s="40">
        <f>VLOOKUP(A175,'Refi Universe'!E:F,2,0)</f>
        <v>0.82950210999999996</v>
      </c>
    </row>
    <row r="176" spans="1:11" ht="15" x14ac:dyDescent="0.25">
      <c r="A176" s="14">
        <v>40828</v>
      </c>
      <c r="B176" s="15">
        <v>864</v>
      </c>
      <c r="C176" s="15">
        <v>864</v>
      </c>
      <c r="D176" s="5" t="s">
        <v>2</v>
      </c>
      <c r="E176" s="5" t="s">
        <v>2</v>
      </c>
      <c r="F176" s="5">
        <v>4.4851520000000002</v>
      </c>
      <c r="G176" s="12">
        <f>VLOOKUP(A176,'[1]all FNCL'!A$2:B$993,2)</f>
        <v>0.976205342266112</v>
      </c>
      <c r="H176" s="3" t="s">
        <v>188</v>
      </c>
      <c r="I176">
        <v>0.91054790878492298</v>
      </c>
      <c r="J176">
        <f>VLOOKUP(A176,'YB OAS'!B:F,5,0)</f>
        <v>498.21618699999999</v>
      </c>
      <c r="K176" s="40">
        <f>VLOOKUP(A176,'Refi Universe'!E:F,2,0)</f>
        <v>0.83542744999999996</v>
      </c>
    </row>
    <row r="177" spans="1:11" ht="15" x14ac:dyDescent="0.25">
      <c r="A177" s="14">
        <v>40829</v>
      </c>
      <c r="B177" s="15">
        <v>969</v>
      </c>
      <c r="C177" s="15">
        <v>969</v>
      </c>
      <c r="D177" s="5" t="s">
        <v>2</v>
      </c>
      <c r="E177" s="5" t="s">
        <v>2</v>
      </c>
      <c r="F177" s="5">
        <v>4.4753579999999999</v>
      </c>
      <c r="G177" s="12">
        <f>VLOOKUP(A177,'[1]all FNCL'!A$2:B$993,2)</f>
        <v>0.86848651507328101</v>
      </c>
      <c r="H177" s="3" t="s">
        <v>189</v>
      </c>
      <c r="I177">
        <v>0.91054790878492298</v>
      </c>
      <c r="J177">
        <f>VLOOKUP(A177,'YB OAS'!B:F,5,0)</f>
        <v>595.66577099999995</v>
      </c>
      <c r="K177" s="40">
        <f>VLOOKUP(A177,'Refi Universe'!E:F,2,0)</f>
        <v>0.84078129000000001</v>
      </c>
    </row>
    <row r="178" spans="1:11" ht="15" x14ac:dyDescent="0.25">
      <c r="A178" s="14">
        <v>40830</v>
      </c>
      <c r="B178" s="15">
        <v>945</v>
      </c>
      <c r="C178" s="15">
        <v>945</v>
      </c>
      <c r="D178" s="5" t="s">
        <v>2</v>
      </c>
      <c r="E178" s="5" t="s">
        <v>2</v>
      </c>
      <c r="F178" s="5">
        <v>4.4995599999999998</v>
      </c>
      <c r="G178" s="12">
        <f>VLOOKUP(A178,'[1]all FNCL'!A$2:B$993,2)</f>
        <v>0.86848651507328101</v>
      </c>
      <c r="H178" s="3" t="s">
        <v>190</v>
      </c>
      <c r="I178">
        <v>0.91054790878492298</v>
      </c>
      <c r="J178">
        <f>VLOOKUP(A178,'YB OAS'!B:F,5,0)</f>
        <v>554.31030299999998</v>
      </c>
      <c r="K178" s="40">
        <f>VLOOKUP(A178,'Refi Universe'!E:F,2,0)</f>
        <v>0.83013197000000005</v>
      </c>
    </row>
    <row r="179" spans="1:11" ht="15" x14ac:dyDescent="0.25">
      <c r="A179" s="14">
        <v>40833</v>
      </c>
      <c r="B179" s="15">
        <v>968</v>
      </c>
      <c r="C179" s="15">
        <v>968</v>
      </c>
      <c r="D179" s="5" t="s">
        <v>2</v>
      </c>
      <c r="E179" s="5" t="s">
        <v>2</v>
      </c>
      <c r="F179" s="5">
        <v>4.480232</v>
      </c>
      <c r="G179" s="12">
        <f>VLOOKUP(A179,'[1]all FNCL'!A$2:B$993,2)</f>
        <v>0.86848651507328101</v>
      </c>
      <c r="H179" s="3" t="s">
        <v>191</v>
      </c>
      <c r="I179">
        <v>0.91054790878492298</v>
      </c>
      <c r="J179">
        <f>VLOOKUP(A179,'YB OAS'!B:F,5,0)</f>
        <v>583.54742399999998</v>
      </c>
      <c r="K179" s="40">
        <f>VLOOKUP(A179,'Refi Universe'!E:F,2,0)</f>
        <v>0.84306073000000004</v>
      </c>
    </row>
    <row r="180" spans="1:11" ht="15" x14ac:dyDescent="0.25">
      <c r="A180" s="14">
        <v>40834</v>
      </c>
      <c r="B180" s="15">
        <v>949</v>
      </c>
      <c r="C180" s="15">
        <v>949</v>
      </c>
      <c r="D180" s="5" t="s">
        <v>2</v>
      </c>
      <c r="E180" s="5" t="s">
        <v>2</v>
      </c>
      <c r="F180" s="5">
        <v>4.4586129999999997</v>
      </c>
      <c r="G180" s="12">
        <f>VLOOKUP(A180,'[1]all FNCL'!A$2:B$993,2)</f>
        <v>0.86848651507328101</v>
      </c>
      <c r="H180" s="3" t="s">
        <v>192</v>
      </c>
      <c r="I180">
        <v>0.91261368517922603</v>
      </c>
      <c r="J180">
        <f>VLOOKUP(A180,'YB OAS'!B:F,5,0)</f>
        <v>592.65258800000004</v>
      </c>
      <c r="K180" s="40">
        <f>VLOOKUP(A180,'Refi Universe'!E:F,2,0)</f>
        <v>0.84441679000000003</v>
      </c>
    </row>
    <row r="181" spans="1:11" ht="15" x14ac:dyDescent="0.25">
      <c r="A181" s="14">
        <v>40835</v>
      </c>
      <c r="B181" s="15">
        <v>937</v>
      </c>
      <c r="C181" s="15">
        <v>937</v>
      </c>
      <c r="D181" s="5" t="s">
        <v>2</v>
      </c>
      <c r="E181" s="5" t="s">
        <v>2</v>
      </c>
      <c r="F181" s="5">
        <v>4.4667029999999999</v>
      </c>
      <c r="G181" s="12">
        <f>VLOOKUP(A181,'[1]all FNCL'!A$2:B$993,2)</f>
        <v>0.86848651507328101</v>
      </c>
      <c r="H181" s="3" t="s">
        <v>193</v>
      </c>
      <c r="I181">
        <v>0.91261368517922603</v>
      </c>
      <c r="J181">
        <f>VLOOKUP(A181,'YB OAS'!B:F,5,0)</f>
        <v>571.28790300000003</v>
      </c>
      <c r="K181" s="40">
        <f>VLOOKUP(A181,'Refi Universe'!E:F,2,0)</f>
        <v>0.86681474000000003</v>
      </c>
    </row>
    <row r="182" spans="1:11" ht="15" x14ac:dyDescent="0.25">
      <c r="A182" s="14">
        <v>40836</v>
      </c>
      <c r="B182" s="15">
        <v>919</v>
      </c>
      <c r="C182" s="15">
        <v>919</v>
      </c>
      <c r="D182" s="5" t="s">
        <v>2</v>
      </c>
      <c r="E182" s="5" t="s">
        <v>2</v>
      </c>
      <c r="F182" s="5">
        <v>4.4758269999999998</v>
      </c>
      <c r="G182" s="12">
        <f>VLOOKUP(A182,'[1]all FNCL'!A$2:B$993,2)</f>
        <v>0.87857948382126905</v>
      </c>
      <c r="H182" s="3" t="s">
        <v>194</v>
      </c>
      <c r="I182">
        <v>0.91261368517922603</v>
      </c>
      <c r="J182">
        <f>VLOOKUP(A182,'YB OAS'!B:F,5,0)</f>
        <v>553.003601</v>
      </c>
      <c r="K182" s="40">
        <f>VLOOKUP(A182,'Refi Universe'!E:F,2,0)</f>
        <v>0.84735875999999999</v>
      </c>
    </row>
    <row r="183" spans="1:11" ht="15" x14ac:dyDescent="0.25">
      <c r="A183" s="14">
        <v>40837</v>
      </c>
      <c r="B183" s="15">
        <v>900</v>
      </c>
      <c r="C183" s="15">
        <v>900</v>
      </c>
      <c r="D183" s="5" t="s">
        <v>2</v>
      </c>
      <c r="E183" s="5" t="s">
        <v>2</v>
      </c>
      <c r="F183" s="5">
        <v>4.4641019999999996</v>
      </c>
      <c r="G183" s="12">
        <f>VLOOKUP(A183,'[1]all FNCL'!A$2:B$993,2)</f>
        <v>0.87857948382126905</v>
      </c>
      <c r="H183" s="3" t="s">
        <v>195</v>
      </c>
      <c r="I183">
        <v>0.91261368517922603</v>
      </c>
      <c r="J183">
        <f>VLOOKUP(A183,'YB OAS'!B:F,5,0)</f>
        <v>543.54217500000004</v>
      </c>
      <c r="K183" s="40">
        <f>VLOOKUP(A183,'Refi Universe'!E:F,2,0)</f>
        <v>0.8463716</v>
      </c>
    </row>
    <row r="184" spans="1:11" ht="15" x14ac:dyDescent="0.25">
      <c r="A184" s="14">
        <v>40840</v>
      </c>
      <c r="B184" s="15">
        <v>868</v>
      </c>
      <c r="C184" s="15">
        <v>868</v>
      </c>
      <c r="D184" s="5" t="s">
        <v>2</v>
      </c>
      <c r="E184" s="5" t="s">
        <v>2</v>
      </c>
      <c r="F184" s="5">
        <v>4.4811240000000003</v>
      </c>
      <c r="G184" s="12">
        <f>VLOOKUP(A184,'[1]all FNCL'!A$2:B$993,2)</f>
        <v>0.87857948382126905</v>
      </c>
      <c r="H184" s="3" t="s">
        <v>196</v>
      </c>
      <c r="I184">
        <v>0.91261368517922603</v>
      </c>
      <c r="J184">
        <f>VLOOKUP(A184,'YB OAS'!B:F,5,0)</f>
        <v>504.98129299999999</v>
      </c>
      <c r="K184" s="40">
        <f>VLOOKUP(A184,'Refi Universe'!E:F,2,0)</f>
        <v>0.83822136000000003</v>
      </c>
    </row>
    <row r="185" spans="1:11" ht="15" x14ac:dyDescent="0.25">
      <c r="A185" s="14">
        <v>40841</v>
      </c>
      <c r="B185" s="15">
        <v>920</v>
      </c>
      <c r="C185" s="15">
        <v>920</v>
      </c>
      <c r="D185" s="5" t="s">
        <v>2</v>
      </c>
      <c r="E185" s="5" t="s">
        <v>2</v>
      </c>
      <c r="F185" s="5">
        <v>4.4552329999999998</v>
      </c>
      <c r="G185" s="12">
        <f>VLOOKUP(A185,'[1]all FNCL'!A$2:B$993,2)</f>
        <v>0.87857948382126905</v>
      </c>
      <c r="H185" s="3" t="s">
        <v>197</v>
      </c>
      <c r="I185">
        <v>0.90964878851271103</v>
      </c>
      <c r="J185">
        <f>VLOOKUP(A185,'YB OAS'!B:F,5,0)</f>
        <v>558.97827099999995</v>
      </c>
      <c r="K185" s="40">
        <f>VLOOKUP(A185,'Refi Universe'!E:F,2,0)</f>
        <v>0.89465903000000002</v>
      </c>
    </row>
    <row r="186" spans="1:11" ht="15" x14ac:dyDescent="0.25">
      <c r="A186" s="14">
        <v>40842</v>
      </c>
      <c r="B186" s="15">
        <v>880</v>
      </c>
      <c r="C186" s="15">
        <v>880</v>
      </c>
      <c r="D186" s="5" t="s">
        <v>2</v>
      </c>
      <c r="E186" s="5" t="s">
        <v>2</v>
      </c>
      <c r="F186" s="5">
        <v>4.4698549999999999</v>
      </c>
      <c r="G186" s="12">
        <f>VLOOKUP(A186,'[1]all FNCL'!A$2:B$993,2)</f>
        <v>0.87857948382126905</v>
      </c>
      <c r="H186" s="3" t="s">
        <v>198</v>
      </c>
      <c r="I186">
        <v>0.90964878851271103</v>
      </c>
      <c r="J186">
        <f>VLOOKUP(A186,'YB OAS'!B:F,5,0)</f>
        <v>515.569885</v>
      </c>
      <c r="K186" s="40">
        <f>VLOOKUP(A186,'Refi Universe'!E:F,2,0)</f>
        <v>0.86459914999999998</v>
      </c>
    </row>
    <row r="187" spans="1:11" ht="15" x14ac:dyDescent="0.25">
      <c r="A187" s="14">
        <v>40843</v>
      </c>
      <c r="B187" s="15">
        <v>734</v>
      </c>
      <c r="C187" s="15">
        <v>734</v>
      </c>
      <c r="D187" s="5" t="s">
        <v>2</v>
      </c>
      <c r="E187" s="5" t="s">
        <v>2</v>
      </c>
      <c r="F187" s="5">
        <v>4.5045710000000003</v>
      </c>
      <c r="G187" s="12">
        <f>VLOOKUP(A187,'[1]all FNCL'!A$2:B$993,2)</f>
        <v>0.88617155990762297</v>
      </c>
      <c r="H187" s="3" t="s">
        <v>199</v>
      </c>
      <c r="I187">
        <v>0.90964878851271103</v>
      </c>
      <c r="J187">
        <f>VLOOKUP(A187,'YB OAS'!B:F,5,0)</f>
        <v>386.40411399999999</v>
      </c>
      <c r="K187" s="40">
        <f>VLOOKUP(A187,'Refi Universe'!E:F,2,0)</f>
        <v>0.82771581000000005</v>
      </c>
    </row>
    <row r="188" spans="1:11" ht="15" x14ac:dyDescent="0.25">
      <c r="A188" s="14">
        <v>40844</v>
      </c>
      <c r="B188" s="15">
        <v>762</v>
      </c>
      <c r="C188" s="15">
        <v>762</v>
      </c>
      <c r="D188" s="5" t="s">
        <v>2</v>
      </c>
      <c r="E188" s="5" t="s">
        <v>2</v>
      </c>
      <c r="F188" s="5">
        <v>4.4694289999999999</v>
      </c>
      <c r="G188" s="12">
        <f>VLOOKUP(A188,'[1]all FNCL'!A$2:B$993,2)</f>
        <v>0.88617155990762297</v>
      </c>
      <c r="H188" s="3" t="s">
        <v>200</v>
      </c>
      <c r="I188">
        <v>0.90964878851271103</v>
      </c>
      <c r="J188">
        <f>VLOOKUP(A188,'YB OAS'!B:F,5,0)</f>
        <v>431.65380900000002</v>
      </c>
      <c r="K188" s="40">
        <f>VLOOKUP(A188,'Refi Universe'!E:F,2,0)</f>
        <v>0.84286576999999996</v>
      </c>
    </row>
    <row r="189" spans="1:11" ht="15" x14ac:dyDescent="0.25">
      <c r="A189" s="14">
        <v>40847</v>
      </c>
      <c r="B189" s="15">
        <v>865</v>
      </c>
      <c r="C189" s="15">
        <v>865</v>
      </c>
      <c r="D189" s="5" t="s">
        <v>2</v>
      </c>
      <c r="E189" s="5" t="s">
        <v>2</v>
      </c>
      <c r="F189" s="5">
        <v>4.4399050000000004</v>
      </c>
      <c r="G189" s="12">
        <f>VLOOKUP(A189,'[1]all FNCL'!A$2:B$993,2)</f>
        <v>0.88617155990762297</v>
      </c>
      <c r="H189" s="3" t="s">
        <v>201</v>
      </c>
      <c r="I189">
        <v>0.91013454847674702</v>
      </c>
      <c r="J189">
        <f>VLOOKUP(A189,'YB OAS'!B:F,5,0)</f>
        <v>529.158997</v>
      </c>
      <c r="K189" s="40">
        <f>VLOOKUP(A189,'Refi Universe'!E:F,2,0)</f>
        <v>0.91081164000000003</v>
      </c>
    </row>
    <row r="190" spans="1:11" ht="15" x14ac:dyDescent="0.25">
      <c r="A190" s="14">
        <v>40848</v>
      </c>
      <c r="B190" s="15">
        <v>940</v>
      </c>
      <c r="C190" s="15">
        <v>940</v>
      </c>
      <c r="D190" s="5" t="s">
        <v>2</v>
      </c>
      <c r="E190" s="5" t="s">
        <v>2</v>
      </c>
      <c r="F190" s="5">
        <v>4.384239</v>
      </c>
      <c r="G190" s="12">
        <f>VLOOKUP(A190,'[1]all FNCL'!A$2:B$993,2)</f>
        <v>0.87154314951038103</v>
      </c>
      <c r="H190" s="3" t="s">
        <v>202</v>
      </c>
      <c r="I190">
        <v>0.91013454847674702</v>
      </c>
      <c r="J190">
        <f>VLOOKUP(A190,'YB OAS'!B:F,5,0)</f>
        <v>616.67901600000005</v>
      </c>
      <c r="K190" s="40">
        <f>VLOOKUP(A190,'Refi Universe'!E:F,2,0)</f>
        <v>0.97060621000000002</v>
      </c>
    </row>
    <row r="191" spans="1:11" ht="15" x14ac:dyDescent="0.25">
      <c r="A191" s="14">
        <v>40849</v>
      </c>
      <c r="B191" s="15">
        <v>927</v>
      </c>
      <c r="C191" s="15">
        <v>927</v>
      </c>
      <c r="D191" s="5" t="s">
        <v>2</v>
      </c>
      <c r="E191" s="5" t="s">
        <v>2</v>
      </c>
      <c r="F191" s="5">
        <v>4.3841850000000004</v>
      </c>
      <c r="G191" s="12">
        <f>VLOOKUP(A191,'[1]all FNCL'!A$2:B$993,2)</f>
        <v>0.87154314951038103</v>
      </c>
      <c r="H191" s="3" t="s">
        <v>203</v>
      </c>
      <c r="I191">
        <v>0.91013454847674702</v>
      </c>
      <c r="J191">
        <f>VLOOKUP(A191,'YB OAS'!B:F,5,0)</f>
        <v>618.67730700000004</v>
      </c>
      <c r="K191" s="40">
        <f>VLOOKUP(A191,'Refi Universe'!E:F,2,0)</f>
        <v>0.97461584000000001</v>
      </c>
    </row>
    <row r="192" spans="1:11" ht="15" x14ac:dyDescent="0.25">
      <c r="A192" s="14">
        <v>40850</v>
      </c>
      <c r="B192" s="15">
        <v>878</v>
      </c>
      <c r="C192" s="15">
        <v>878</v>
      </c>
      <c r="D192" s="5" t="s">
        <v>2</v>
      </c>
      <c r="E192" s="5" t="s">
        <v>2</v>
      </c>
      <c r="F192" s="5">
        <v>4.4248149999999997</v>
      </c>
      <c r="G192" s="12">
        <f>VLOOKUP(A192,'[1]all FNCL'!A$2:B$993,2)</f>
        <v>0.93444271648805399</v>
      </c>
      <c r="H192" s="3" t="s">
        <v>204</v>
      </c>
      <c r="I192">
        <v>0.88776607960810605</v>
      </c>
      <c r="J192">
        <f>VLOOKUP(A192,'YB OAS'!B:F,5,0)</f>
        <v>549.28417999999999</v>
      </c>
      <c r="K192" s="40">
        <f>VLOOKUP(A192,'Refi Universe'!E:F,2,0)</f>
        <v>0.97161434999999996</v>
      </c>
    </row>
    <row r="193" spans="1:11" ht="15" x14ac:dyDescent="0.25">
      <c r="A193" s="14">
        <v>40851</v>
      </c>
      <c r="B193" s="15">
        <v>915</v>
      </c>
      <c r="C193" s="15">
        <v>915</v>
      </c>
      <c r="D193" s="5" t="s">
        <v>2</v>
      </c>
      <c r="E193" s="5" t="s">
        <v>2</v>
      </c>
      <c r="F193" s="5">
        <v>4.4049199999999997</v>
      </c>
      <c r="G193" s="12">
        <f>VLOOKUP(A193,'[1]all FNCL'!A$2:B$993,2)</f>
        <v>0.93444271648805399</v>
      </c>
      <c r="H193" s="3" t="s">
        <v>205</v>
      </c>
      <c r="I193">
        <v>0.88829814088555903</v>
      </c>
      <c r="J193">
        <f>VLOOKUP(A193,'YB OAS'!B:F,5,0)</f>
        <v>572.97912599999995</v>
      </c>
      <c r="K193" s="40">
        <f>VLOOKUP(A193,'Refi Universe'!E:F,2,0)</f>
        <v>0.97438150000000001</v>
      </c>
    </row>
    <row r="194" spans="1:11" ht="15" x14ac:dyDescent="0.25">
      <c r="A194" s="14">
        <v>40854</v>
      </c>
      <c r="B194" s="15">
        <v>987</v>
      </c>
      <c r="C194" s="15">
        <v>987</v>
      </c>
      <c r="D194" s="5" t="s">
        <v>2</v>
      </c>
      <c r="E194" s="5" t="s">
        <v>2</v>
      </c>
      <c r="F194" s="5">
        <v>4.4011930000000001</v>
      </c>
      <c r="G194" s="12">
        <f>VLOOKUP(A194,'[1]all FNCL'!A$2:B$993,2)</f>
        <v>0.93444271648805399</v>
      </c>
      <c r="H194" s="3" t="s">
        <v>206</v>
      </c>
      <c r="I194">
        <v>0.88829814088555903</v>
      </c>
      <c r="J194">
        <f>VLOOKUP(A194,'YB OAS'!B:F,5,0)</f>
        <v>630.30102499999998</v>
      </c>
      <c r="K194" s="40">
        <f>VLOOKUP(A194,'Refi Universe'!E:F,2,0)</f>
        <v>0.97592325999999996</v>
      </c>
    </row>
    <row r="195" spans="1:11" ht="15" x14ac:dyDescent="0.25">
      <c r="A195" s="14">
        <v>40855</v>
      </c>
      <c r="B195" s="15">
        <v>959</v>
      </c>
      <c r="C195" s="15">
        <v>959</v>
      </c>
      <c r="D195" s="5" t="s">
        <v>2</v>
      </c>
      <c r="E195" s="5" t="s">
        <v>2</v>
      </c>
      <c r="F195" s="5">
        <v>4.4171329999999998</v>
      </c>
      <c r="G195" s="12">
        <f>VLOOKUP(A195,'[1]all FNCL'!A$2:B$993,2)</f>
        <v>0.93444271648805399</v>
      </c>
      <c r="H195" s="3" t="s">
        <v>207</v>
      </c>
      <c r="I195">
        <v>0.88829814088555903</v>
      </c>
      <c r="J195">
        <f>VLOOKUP(A195,'YB OAS'!B:F,5,0)</f>
        <v>615.78887899999995</v>
      </c>
      <c r="K195" s="40">
        <f>VLOOKUP(A195,'Refi Universe'!E:F,2,0)</f>
        <v>0.97103322000000003</v>
      </c>
    </row>
    <row r="196" spans="1:11" ht="15" x14ac:dyDescent="0.25">
      <c r="A196" s="14">
        <v>40856</v>
      </c>
      <c r="B196" s="15">
        <v>1020</v>
      </c>
      <c r="C196" s="15">
        <v>1020</v>
      </c>
      <c r="D196" s="5" t="s">
        <v>2</v>
      </c>
      <c r="E196" s="5" t="s">
        <v>2</v>
      </c>
      <c r="F196" s="5">
        <v>4.4194880000000003</v>
      </c>
      <c r="G196" s="12">
        <f>VLOOKUP(A196,'[1]all FNCL'!A$2:B$993,2)</f>
        <v>0.93444271648805399</v>
      </c>
      <c r="H196" s="3" t="s">
        <v>208</v>
      </c>
      <c r="I196">
        <v>0.88829814088555903</v>
      </c>
      <c r="J196">
        <f>VLOOKUP(A196,'YB OAS'!B:F,5,0)</f>
        <v>641.28967299999999</v>
      </c>
      <c r="K196" s="40">
        <f>VLOOKUP(A196,'Refi Universe'!E:F,2,0)</f>
        <v>0.95279994000000001</v>
      </c>
    </row>
    <row r="197" spans="1:11" ht="15" x14ac:dyDescent="0.25">
      <c r="A197" s="14">
        <v>40857</v>
      </c>
      <c r="B197" s="15">
        <v>1018</v>
      </c>
      <c r="C197" s="15">
        <v>1018</v>
      </c>
      <c r="D197" s="5" t="s">
        <v>2</v>
      </c>
      <c r="E197" s="5" t="s">
        <v>2</v>
      </c>
      <c r="F197" s="5">
        <v>4.4241710000000003</v>
      </c>
      <c r="G197" s="12">
        <f>VLOOKUP(A197,'[1]all FNCL'!A$2:B$993,2)</f>
        <v>0.94361195161193201</v>
      </c>
      <c r="H197" s="3" t="s">
        <v>209</v>
      </c>
      <c r="I197">
        <v>0.88829814088555903</v>
      </c>
      <c r="J197">
        <f>VLOOKUP(A197,'YB OAS'!B:F,5,0)</f>
        <v>649.35717799999998</v>
      </c>
      <c r="K197" s="40">
        <f>VLOOKUP(A197,'Refi Universe'!E:F,2,0)</f>
        <v>0.91368415000000003</v>
      </c>
    </row>
    <row r="198" spans="1:11" ht="15" x14ac:dyDescent="0.25">
      <c r="A198" s="14">
        <v>40861</v>
      </c>
      <c r="B198" s="15">
        <v>1020</v>
      </c>
      <c r="C198" s="15">
        <v>1020</v>
      </c>
      <c r="D198" s="5" t="s">
        <v>2</v>
      </c>
      <c r="E198" s="5" t="s">
        <v>2</v>
      </c>
      <c r="F198" s="5">
        <v>4.4301760000000003</v>
      </c>
      <c r="G198" s="12">
        <f>VLOOKUP(A198,'[1]all FNCL'!A$2:B$993,2)</f>
        <v>0.94361195161193201</v>
      </c>
      <c r="H198" s="3" t="s">
        <v>210</v>
      </c>
      <c r="I198">
        <v>0.88507237465235999</v>
      </c>
      <c r="J198">
        <f>VLOOKUP(A198,'YB OAS'!B:F,5,0)</f>
        <v>632.01147500000002</v>
      </c>
      <c r="K198" s="40">
        <f>VLOOKUP(A198,'Refi Universe'!E:F,2,0)</f>
        <v>0.91741673999999995</v>
      </c>
    </row>
    <row r="199" spans="1:11" ht="15" x14ac:dyDescent="0.25">
      <c r="A199" s="14">
        <v>40862</v>
      </c>
      <c r="B199" s="15">
        <v>1011</v>
      </c>
      <c r="C199" s="15">
        <v>1011</v>
      </c>
      <c r="D199" s="5" t="s">
        <v>2</v>
      </c>
      <c r="E199" s="5" t="s">
        <v>2</v>
      </c>
      <c r="F199" s="5">
        <v>4.4323759999999996</v>
      </c>
      <c r="G199" s="12">
        <f>VLOOKUP(A199,'[1]all FNCL'!A$2:B$993,2)</f>
        <v>0.94361195161193201</v>
      </c>
      <c r="H199" s="3" t="s">
        <v>211</v>
      </c>
      <c r="I199">
        <v>0.88507237465235999</v>
      </c>
      <c r="J199">
        <f>VLOOKUP(A199,'YB OAS'!B:F,5,0)</f>
        <v>634.83471699999996</v>
      </c>
      <c r="K199" s="40">
        <f>VLOOKUP(A199,'Refi Universe'!E:F,2,0)</f>
        <v>0.89809116</v>
      </c>
    </row>
    <row r="200" spans="1:11" ht="15" x14ac:dyDescent="0.25">
      <c r="A200" s="14">
        <v>40863</v>
      </c>
      <c r="B200" s="15">
        <v>1007</v>
      </c>
      <c r="C200" s="15">
        <v>1007</v>
      </c>
      <c r="D200" s="5" t="s">
        <v>2</v>
      </c>
      <c r="E200" s="5" t="s">
        <v>2</v>
      </c>
      <c r="F200" s="5">
        <v>4.4299340000000003</v>
      </c>
      <c r="G200" s="12">
        <f>VLOOKUP(A200,'[1]all FNCL'!A$2:B$993,2)</f>
        <v>0.94361195161193201</v>
      </c>
      <c r="H200" s="3" t="s">
        <v>212</v>
      </c>
      <c r="I200">
        <v>0.88507237465235999</v>
      </c>
      <c r="J200">
        <f>VLOOKUP(A200,'YB OAS'!B:F,5,0)</f>
        <v>619.89160200000003</v>
      </c>
      <c r="K200" s="40">
        <f>VLOOKUP(A200,'Refi Universe'!E:F,2,0)</f>
        <v>0.93630206999999999</v>
      </c>
    </row>
    <row r="201" spans="1:11" ht="15" x14ac:dyDescent="0.25">
      <c r="A201" s="14">
        <v>40864</v>
      </c>
      <c r="B201" s="15">
        <v>1032</v>
      </c>
      <c r="C201" s="15">
        <v>1032</v>
      </c>
      <c r="D201" s="5" t="s">
        <v>2</v>
      </c>
      <c r="E201" s="5" t="s">
        <v>2</v>
      </c>
      <c r="F201" s="5">
        <v>4.4289430000000003</v>
      </c>
      <c r="G201" s="12">
        <f>VLOOKUP(A201,'[1]all FNCL'!A$2:B$993,2)</f>
        <v>0.93444271648805399</v>
      </c>
      <c r="H201" s="3" t="s">
        <v>213</v>
      </c>
      <c r="I201">
        <v>0.88507237465235999</v>
      </c>
      <c r="J201">
        <f>VLOOKUP(A201,'YB OAS'!B:F,5,0)</f>
        <v>629.605774</v>
      </c>
      <c r="K201" s="40">
        <f>VLOOKUP(A201,'Refi Universe'!E:F,2,0)</f>
        <v>0.95968770000000003</v>
      </c>
    </row>
    <row r="202" spans="1:11" ht="15" x14ac:dyDescent="0.25">
      <c r="A202" s="14">
        <v>40865</v>
      </c>
      <c r="B202" s="15">
        <v>980</v>
      </c>
      <c r="C202" s="15">
        <v>980</v>
      </c>
      <c r="D202" s="5" t="s">
        <v>2</v>
      </c>
      <c r="E202" s="5" t="s">
        <v>2</v>
      </c>
      <c r="F202" s="5">
        <v>4.4532420000000004</v>
      </c>
      <c r="G202" s="12">
        <f>VLOOKUP(A202,'[1]all FNCL'!A$2:B$993,2)</f>
        <v>0.93444271648805399</v>
      </c>
      <c r="H202" s="3" t="s">
        <v>214</v>
      </c>
      <c r="I202">
        <v>0.88507237465235999</v>
      </c>
      <c r="J202">
        <f>VLOOKUP(A202,'YB OAS'!B:F,5,0)</f>
        <v>575.94122300000004</v>
      </c>
      <c r="K202" s="40">
        <f>VLOOKUP(A202,'Refi Universe'!E:F,2,0)</f>
        <v>0.92694175999999995</v>
      </c>
    </row>
    <row r="203" spans="1:11" ht="15" x14ac:dyDescent="0.25">
      <c r="A203" s="14">
        <v>40868</v>
      </c>
      <c r="B203" s="15">
        <v>1003</v>
      </c>
      <c r="C203" s="15">
        <v>1003</v>
      </c>
      <c r="D203" s="5" t="s">
        <v>2</v>
      </c>
      <c r="E203" s="5" t="s">
        <v>2</v>
      </c>
      <c r="F203" s="5">
        <v>4.44231</v>
      </c>
      <c r="G203" s="12">
        <f>VLOOKUP(A203,'[1]all FNCL'!A$2:B$993,2)</f>
        <v>0.93444271648805399</v>
      </c>
      <c r="H203" s="3" t="s">
        <v>215</v>
      </c>
      <c r="I203">
        <v>0.88631407683414698</v>
      </c>
      <c r="J203">
        <f>VLOOKUP(A203,'YB OAS'!B:F,5,0)</f>
        <v>588.51208499999996</v>
      </c>
      <c r="K203" s="40">
        <f>VLOOKUP(A203,'Refi Universe'!E:F,2,0)</f>
        <v>0.95301842999999997</v>
      </c>
    </row>
    <row r="204" spans="1:11" ht="15" x14ac:dyDescent="0.25">
      <c r="A204" s="14">
        <v>40869</v>
      </c>
      <c r="B204" s="15">
        <v>1013</v>
      </c>
      <c r="C204" s="15">
        <v>1013</v>
      </c>
      <c r="D204" s="5" t="s">
        <v>2</v>
      </c>
      <c r="E204" s="5" t="s">
        <v>2</v>
      </c>
      <c r="F204" s="5">
        <v>4.4293389999999997</v>
      </c>
      <c r="G204" s="12">
        <f>VLOOKUP(A204,'[1]all FNCL'!A$2:B$993,2)</f>
        <v>0.93444271648805399</v>
      </c>
      <c r="H204" s="3" t="s">
        <v>216</v>
      </c>
      <c r="I204">
        <v>0.88631407683414698</v>
      </c>
      <c r="J204">
        <f>VLOOKUP(A204,'YB OAS'!B:F,5,0)</f>
        <v>597.26178000000004</v>
      </c>
      <c r="K204" s="40">
        <f>VLOOKUP(A204,'Refi Universe'!E:F,2,0)</f>
        <v>0.96795673000000004</v>
      </c>
    </row>
    <row r="205" spans="1:11" ht="15" x14ac:dyDescent="0.25">
      <c r="A205" s="14">
        <v>40870</v>
      </c>
      <c r="B205" s="15">
        <v>991</v>
      </c>
      <c r="C205" s="15">
        <v>991</v>
      </c>
      <c r="D205" s="5" t="s">
        <v>2</v>
      </c>
      <c r="E205" s="5" t="s">
        <v>2</v>
      </c>
      <c r="F205" s="5">
        <v>4.4401830000000002</v>
      </c>
      <c r="G205" s="12">
        <f>VLOOKUP(A205,'[1]all FNCL'!A$2:B$993,2)</f>
        <v>0.94997170807452402</v>
      </c>
      <c r="H205" s="3" t="s">
        <v>217</v>
      </c>
      <c r="I205">
        <v>0.88631407683414698</v>
      </c>
      <c r="J205">
        <f>VLOOKUP(A205,'YB OAS'!B:F,5,0)</f>
        <v>562.76147500000002</v>
      </c>
      <c r="K205" s="40">
        <f>VLOOKUP(A205,'Refi Universe'!E:F,2,0)</f>
        <v>0.96192434999999998</v>
      </c>
    </row>
    <row r="206" spans="1:11" ht="15" x14ac:dyDescent="0.25">
      <c r="A206" s="14">
        <v>40872</v>
      </c>
      <c r="B206" s="15">
        <v>939</v>
      </c>
      <c r="C206" s="15">
        <v>939</v>
      </c>
      <c r="D206" s="5" t="s">
        <v>2</v>
      </c>
      <c r="E206" s="5" t="s">
        <v>2</v>
      </c>
      <c r="F206" s="5">
        <v>4.4672910000000003</v>
      </c>
      <c r="G206" s="12">
        <f>VLOOKUP(A206,'[1]all FNCL'!A$2:B$993,2)</f>
        <v>0.94997170807452402</v>
      </c>
      <c r="H206" s="3" t="s">
        <v>218</v>
      </c>
      <c r="I206">
        <v>0.88631407683414698</v>
      </c>
      <c r="J206">
        <f>VLOOKUP(A206,'YB OAS'!B:F,5,0)</f>
        <v>516.54400599999997</v>
      </c>
      <c r="K206" s="40">
        <f>VLOOKUP(A206,'Refi Universe'!E:F,2,0)</f>
        <v>0.91044426999999994</v>
      </c>
    </row>
    <row r="207" spans="1:11" ht="15" x14ac:dyDescent="0.25">
      <c r="A207" s="14">
        <v>40875</v>
      </c>
      <c r="B207" s="15">
        <v>930</v>
      </c>
      <c r="C207" s="15">
        <v>930</v>
      </c>
      <c r="D207" s="5" t="s">
        <v>2</v>
      </c>
      <c r="E207" s="5" t="s">
        <v>2</v>
      </c>
      <c r="F207" s="5">
        <v>4.4457329999999997</v>
      </c>
      <c r="G207" s="12">
        <f>VLOOKUP(A207,'[1]all FNCL'!A$2:B$993,2)</f>
        <v>0.94997170807452402</v>
      </c>
      <c r="H207" s="3" t="s">
        <v>219</v>
      </c>
      <c r="I207">
        <v>0.88379536104531298</v>
      </c>
      <c r="J207">
        <f>VLOOKUP(A207,'YB OAS'!B:F,5,0)</f>
        <v>514.64190699999995</v>
      </c>
      <c r="K207" s="40">
        <f>VLOOKUP(A207,'Refi Universe'!E:F,2,0)</f>
        <v>0.93485322999999998</v>
      </c>
    </row>
    <row r="208" spans="1:11" ht="15" x14ac:dyDescent="0.25">
      <c r="A208" s="14">
        <v>40876</v>
      </c>
      <c r="B208" s="15">
        <v>919</v>
      </c>
      <c r="C208" s="15">
        <v>919</v>
      </c>
      <c r="D208" s="5" t="s">
        <v>2</v>
      </c>
      <c r="E208" s="5" t="s">
        <v>2</v>
      </c>
      <c r="F208" s="5">
        <v>4.4315990000000003</v>
      </c>
      <c r="G208" s="12">
        <f>VLOOKUP(A208,'[1]all FNCL'!A$2:B$993,2)</f>
        <v>0.94997170807452402</v>
      </c>
      <c r="H208" s="3" t="s">
        <v>220</v>
      </c>
      <c r="I208">
        <v>0.88379536104531298</v>
      </c>
      <c r="J208">
        <f>VLOOKUP(A208,'YB OAS'!B:F,5,0)</f>
        <v>520.67559800000004</v>
      </c>
      <c r="K208" s="40">
        <f>VLOOKUP(A208,'Refi Universe'!E:F,2,0)</f>
        <v>0.94248140999999996</v>
      </c>
    </row>
    <row r="209" spans="1:11" ht="15" x14ac:dyDescent="0.25">
      <c r="A209" s="14">
        <v>40877</v>
      </c>
      <c r="B209" s="15">
        <v>895</v>
      </c>
      <c r="C209" s="15">
        <v>895</v>
      </c>
      <c r="D209" s="5" t="s">
        <v>2</v>
      </c>
      <c r="E209" s="5" t="s">
        <v>2</v>
      </c>
      <c r="F209" s="5">
        <v>4.4086239999999997</v>
      </c>
      <c r="G209" s="12">
        <f>VLOOKUP(A209,'[1]all FNCL'!A$2:B$993,2)</f>
        <v>0.94997170807452402</v>
      </c>
      <c r="H209" s="3" t="s">
        <v>221</v>
      </c>
      <c r="I209">
        <v>0.88379536104531298</v>
      </c>
      <c r="J209">
        <f>VLOOKUP(A209,'YB OAS'!B:F,5,0)</f>
        <v>536.75042699999995</v>
      </c>
      <c r="K209" s="40">
        <f>VLOOKUP(A209,'Refi Universe'!E:F,2,0)</f>
        <v>0.94713698999999996</v>
      </c>
    </row>
    <row r="210" spans="1:11" ht="15" x14ac:dyDescent="0.25">
      <c r="A210" s="14">
        <v>40878</v>
      </c>
      <c r="B210" s="15">
        <v>846</v>
      </c>
      <c r="C210" s="15">
        <v>846</v>
      </c>
      <c r="D210" s="5" t="s">
        <v>2</v>
      </c>
      <c r="E210" s="5" t="s">
        <v>2</v>
      </c>
      <c r="F210" s="5">
        <v>4.3999439999999996</v>
      </c>
      <c r="G210" s="12">
        <f>VLOOKUP(A210,'[1]all FNCL'!A$2:B$993,2)</f>
        <v>0.91507025140832299</v>
      </c>
      <c r="H210" s="3" t="s">
        <v>222</v>
      </c>
      <c r="I210">
        <v>0.88379536104531298</v>
      </c>
      <c r="J210">
        <f>VLOOKUP(A210,'YB OAS'!B:F,5,0)</f>
        <v>524.893372</v>
      </c>
      <c r="K210" s="40">
        <f>VLOOKUP(A210,'Refi Universe'!E:F,2,0)</f>
        <v>0.90299746999999997</v>
      </c>
    </row>
    <row r="211" spans="1:11" ht="15" x14ac:dyDescent="0.25">
      <c r="A211" s="14">
        <v>40879</v>
      </c>
      <c r="B211" s="15">
        <v>855</v>
      </c>
      <c r="C211" s="15">
        <v>855</v>
      </c>
      <c r="D211" s="5" t="s">
        <v>2</v>
      </c>
      <c r="E211" s="5" t="s">
        <v>2</v>
      </c>
      <c r="F211" s="5">
        <v>4.3708479999999996</v>
      </c>
      <c r="G211" s="12">
        <f>VLOOKUP(A211,'[1]all FNCL'!A$2:B$993,2)</f>
        <v>0.91507025140832299</v>
      </c>
      <c r="H211" s="3" t="s">
        <v>223</v>
      </c>
      <c r="I211">
        <v>0.88379536104531298</v>
      </c>
      <c r="J211">
        <f>VLOOKUP(A211,'YB OAS'!B:F,5,0)</f>
        <v>536.76800500000002</v>
      </c>
      <c r="K211" s="40">
        <f>VLOOKUP(A211,'Refi Universe'!E:F,2,0)</f>
        <v>0.94642669999999995</v>
      </c>
    </row>
    <row r="212" spans="1:11" ht="15" x14ac:dyDescent="0.25">
      <c r="A212" s="14">
        <v>40882</v>
      </c>
      <c r="B212" s="15">
        <v>869</v>
      </c>
      <c r="C212" s="15">
        <v>869</v>
      </c>
      <c r="D212" s="5" t="s">
        <v>2</v>
      </c>
      <c r="E212" s="5" t="s">
        <v>2</v>
      </c>
      <c r="F212" s="5">
        <v>4.3838619999999997</v>
      </c>
      <c r="G212" s="12">
        <f>VLOOKUP(A212,'[1]all FNCL'!A$2:B$993,2)</f>
        <v>0.91507025140832299</v>
      </c>
      <c r="H212" s="3" t="s">
        <v>224</v>
      </c>
      <c r="I212">
        <v>0.84748759806752005</v>
      </c>
      <c r="J212">
        <f>VLOOKUP(A212,'YB OAS'!B:F,5,0)</f>
        <v>547.01458700000001</v>
      </c>
      <c r="K212" s="40">
        <f>VLOOKUP(A212,'Refi Universe'!E:F,2,0)</f>
        <v>0.94007459000000004</v>
      </c>
    </row>
    <row r="213" spans="1:11" ht="15" x14ac:dyDescent="0.25">
      <c r="A213" s="14">
        <v>40883</v>
      </c>
      <c r="B213" s="15">
        <v>872</v>
      </c>
      <c r="C213" s="15">
        <v>872</v>
      </c>
      <c r="D213" s="5" t="s">
        <v>2</v>
      </c>
      <c r="E213" s="5" t="s">
        <v>2</v>
      </c>
      <c r="F213" s="5">
        <v>4.3854889999999997</v>
      </c>
      <c r="G213" s="12">
        <f>VLOOKUP(A213,'[1]all FNCL'!A$2:B$993,2)</f>
        <v>0.91507025140832299</v>
      </c>
      <c r="H213" s="3" t="s">
        <v>225</v>
      </c>
      <c r="I213">
        <v>0.82271172400250803</v>
      </c>
      <c r="J213">
        <f>VLOOKUP(A213,'YB OAS'!B:F,5,0)</f>
        <v>549.46972700000003</v>
      </c>
      <c r="K213" s="40">
        <f>VLOOKUP(A213,'Refi Universe'!E:F,2,0)</f>
        <v>0.93255030000000005</v>
      </c>
    </row>
    <row r="214" spans="1:11" ht="15" x14ac:dyDescent="0.25">
      <c r="A214" s="14">
        <v>40884</v>
      </c>
      <c r="B214" s="15">
        <v>882</v>
      </c>
      <c r="C214" s="15">
        <v>882</v>
      </c>
      <c r="D214" s="5" t="s">
        <v>2</v>
      </c>
      <c r="E214" s="5" t="s">
        <v>2</v>
      </c>
      <c r="F214" s="5">
        <v>4.3505570000000002</v>
      </c>
      <c r="G214" s="12">
        <f>VLOOKUP(A214,'[1]all FNCL'!A$2:B$993,2)</f>
        <v>0.91507025140832299</v>
      </c>
      <c r="H214" s="3" t="s">
        <v>226</v>
      </c>
      <c r="I214">
        <v>0.82271172400250803</v>
      </c>
      <c r="J214">
        <f>VLOOKUP(A214,'YB OAS'!B:F,5,0)</f>
        <v>571.09692399999994</v>
      </c>
      <c r="K214" s="40">
        <f>VLOOKUP(A214,'Refi Universe'!E:F,2,0)</f>
        <v>0.95843502000000003</v>
      </c>
    </row>
    <row r="215" spans="1:11" ht="15" x14ac:dyDescent="0.25">
      <c r="A215" s="14">
        <v>40885</v>
      </c>
      <c r="B215" s="15">
        <v>872</v>
      </c>
      <c r="C215" s="15">
        <v>872</v>
      </c>
      <c r="D215" s="5" t="s">
        <v>2</v>
      </c>
      <c r="E215" s="5" t="s">
        <v>2</v>
      </c>
      <c r="F215" s="5">
        <v>4.3519759999999996</v>
      </c>
      <c r="G215" s="12">
        <f>VLOOKUP(A215,'[1]all FNCL'!A$2:B$993,2)</f>
        <v>0.92424960668246803</v>
      </c>
      <c r="H215" s="3" t="s">
        <v>227</v>
      </c>
      <c r="I215">
        <v>0.82271172400250803</v>
      </c>
      <c r="J215">
        <f>VLOOKUP(A215,'YB OAS'!B:F,5,0)</f>
        <v>551.06317100000001</v>
      </c>
      <c r="K215" s="40">
        <f>VLOOKUP(A215,'Refi Universe'!E:F,2,0)</f>
        <v>0.96150404</v>
      </c>
    </row>
    <row r="216" spans="1:11" ht="15" x14ac:dyDescent="0.25">
      <c r="A216" s="14">
        <v>40886</v>
      </c>
      <c r="B216" s="15">
        <v>834</v>
      </c>
      <c r="C216" s="15">
        <v>834</v>
      </c>
      <c r="D216" s="5" t="s">
        <v>2</v>
      </c>
      <c r="E216" s="5" t="s">
        <v>2</v>
      </c>
      <c r="F216" s="5">
        <v>4.3954430000000002</v>
      </c>
      <c r="G216" s="12">
        <f>VLOOKUP(A216,'[1]all FNCL'!A$2:B$993,2)</f>
        <v>0.92424960668246803</v>
      </c>
      <c r="H216" s="3" t="s">
        <v>228</v>
      </c>
      <c r="I216">
        <v>0.82271172400250803</v>
      </c>
      <c r="J216">
        <f>VLOOKUP(A216,'YB OAS'!B:F,5,0)</f>
        <v>500.40579200000002</v>
      </c>
      <c r="K216" s="40">
        <f>VLOOKUP(A216,'Refi Universe'!E:F,2,0)</f>
        <v>0.93509511000000001</v>
      </c>
    </row>
    <row r="217" spans="1:11" ht="15" x14ac:dyDescent="0.25">
      <c r="A217" s="14">
        <v>40889</v>
      </c>
      <c r="B217" s="15">
        <v>855</v>
      </c>
      <c r="C217" s="15">
        <v>855</v>
      </c>
      <c r="D217" s="5" t="s">
        <v>2</v>
      </c>
      <c r="E217" s="5" t="s">
        <v>2</v>
      </c>
      <c r="F217" s="5">
        <v>4.3979819999999998</v>
      </c>
      <c r="G217" s="12">
        <f>VLOOKUP(A217,'[1]all FNCL'!A$2:B$993,2)</f>
        <v>0.92424960668246803</v>
      </c>
      <c r="H217" s="3" t="s">
        <v>229</v>
      </c>
      <c r="I217">
        <v>0.82271172400250803</v>
      </c>
      <c r="J217">
        <f>VLOOKUP(A217,'YB OAS'!B:F,5,0)</f>
        <v>510.26629600000001</v>
      </c>
      <c r="K217" s="40">
        <f>VLOOKUP(A217,'Refi Universe'!E:F,2,0)</f>
        <v>0.94007459000000004</v>
      </c>
    </row>
    <row r="218" spans="1:11" ht="15" x14ac:dyDescent="0.25">
      <c r="A218" s="14">
        <v>40890</v>
      </c>
      <c r="B218" s="15">
        <v>866</v>
      </c>
      <c r="C218" s="15">
        <v>866</v>
      </c>
      <c r="D218" s="5" t="s">
        <v>2</v>
      </c>
      <c r="E218" s="5" t="s">
        <v>2</v>
      </c>
      <c r="F218" s="5">
        <v>4.3751759999999997</v>
      </c>
      <c r="G218" s="12">
        <f>VLOOKUP(A218,'[1]all FNCL'!A$2:B$993,2)</f>
        <v>0.92424960668246803</v>
      </c>
      <c r="H218" s="3" t="s">
        <v>230</v>
      </c>
      <c r="I218">
        <v>0.82271172400250803</v>
      </c>
      <c r="J218">
        <f>VLOOKUP(A218,'YB OAS'!B:F,5,0)</f>
        <v>522.46698000000004</v>
      </c>
      <c r="K218" s="40">
        <f>VLOOKUP(A218,'Refi Universe'!E:F,2,0)</f>
        <v>0.95934121999999999</v>
      </c>
    </row>
    <row r="219" spans="1:11" ht="15" x14ac:dyDescent="0.25">
      <c r="A219" s="14">
        <v>40891</v>
      </c>
      <c r="B219" s="15">
        <v>895</v>
      </c>
      <c r="C219" s="15">
        <v>895</v>
      </c>
      <c r="D219" s="5" t="s">
        <v>2</v>
      </c>
      <c r="E219" s="5" t="s">
        <v>2</v>
      </c>
      <c r="F219" s="5">
        <v>4.3439259999999997</v>
      </c>
      <c r="G219" s="12">
        <f>VLOOKUP(A219,'[1]all FNCL'!A$2:B$993,2)</f>
        <v>0.92424960668246803</v>
      </c>
      <c r="H219" s="3" t="s">
        <v>231</v>
      </c>
      <c r="I219">
        <v>0.82271172400250803</v>
      </c>
      <c r="J219">
        <f>VLOOKUP(A219,'YB OAS'!B:F,5,0)</f>
        <v>544.02117899999996</v>
      </c>
      <c r="K219" s="40">
        <f>VLOOKUP(A219,'Refi Universe'!E:F,2,0)</f>
        <v>0.96184685999999997</v>
      </c>
    </row>
    <row r="220" spans="1:11" ht="15" x14ac:dyDescent="0.25">
      <c r="A220" s="14">
        <v>40892</v>
      </c>
      <c r="B220" s="15">
        <v>883</v>
      </c>
      <c r="C220" s="15">
        <v>883</v>
      </c>
      <c r="D220" s="5" t="s">
        <v>2</v>
      </c>
      <c r="E220" s="5" t="s">
        <v>2</v>
      </c>
      <c r="F220" s="5">
        <v>4.3641240000000003</v>
      </c>
      <c r="G220" s="12">
        <f>VLOOKUP(A220,'[1]all FNCL'!A$2:B$993,2)</f>
        <v>0.95314447637365096</v>
      </c>
      <c r="H220" s="3" t="s">
        <v>232</v>
      </c>
      <c r="I220">
        <v>0.82271172400250803</v>
      </c>
      <c r="J220">
        <f>VLOOKUP(A220,'YB OAS'!B:F,5,0)</f>
        <v>536.22497599999997</v>
      </c>
      <c r="K220" s="40">
        <f>VLOOKUP(A220,'Refi Universe'!E:F,2,0)</f>
        <v>0.95734724999999998</v>
      </c>
    </row>
    <row r="221" spans="1:11" ht="15" x14ac:dyDescent="0.25">
      <c r="A221" s="14">
        <v>40893</v>
      </c>
      <c r="B221" s="15">
        <v>892</v>
      </c>
      <c r="C221" s="15">
        <v>892</v>
      </c>
      <c r="D221" s="5" t="s">
        <v>2</v>
      </c>
      <c r="E221" s="5" t="s">
        <v>2</v>
      </c>
      <c r="F221" s="5">
        <v>4.33324</v>
      </c>
      <c r="G221" s="12">
        <f>VLOOKUP(A221,'[1]all FNCL'!A$2:B$993,2)</f>
        <v>0.95314447637365096</v>
      </c>
      <c r="H221" s="3" t="s">
        <v>233</v>
      </c>
      <c r="I221">
        <v>0.82271172400250803</v>
      </c>
      <c r="J221">
        <f>VLOOKUP(A221,'YB OAS'!B:F,5,0)</f>
        <v>549.69769299999996</v>
      </c>
      <c r="K221" s="40">
        <f>VLOOKUP(A221,'Refi Universe'!E:F,2,0)</f>
        <v>0.96201596</v>
      </c>
    </row>
    <row r="222" spans="1:11" ht="15" x14ac:dyDescent="0.25">
      <c r="A222" s="14">
        <v>40896</v>
      </c>
      <c r="B222" s="15">
        <v>938</v>
      </c>
      <c r="C222" s="15">
        <v>938</v>
      </c>
      <c r="D222" s="5" t="s">
        <v>2</v>
      </c>
      <c r="E222" s="5" t="s">
        <v>2</v>
      </c>
      <c r="F222" s="5">
        <v>4.3227840000000004</v>
      </c>
      <c r="G222" s="12">
        <f>VLOOKUP(A222,'[1]all FNCL'!A$2:B$993,2)</f>
        <v>0.95314447637365096</v>
      </c>
      <c r="H222" s="3" t="s">
        <v>234</v>
      </c>
      <c r="I222">
        <v>0.82271172400250803</v>
      </c>
      <c r="J222">
        <f>VLOOKUP(A222,'YB OAS'!B:F,5,0)</f>
        <v>591.45141599999999</v>
      </c>
      <c r="K222" s="40">
        <f>VLOOKUP(A222,'Refi Universe'!E:F,2,0)</f>
        <v>0.96248904999999996</v>
      </c>
    </row>
    <row r="223" spans="1:11" ht="15" x14ac:dyDescent="0.25">
      <c r="A223" s="14">
        <v>40897</v>
      </c>
      <c r="B223" s="15">
        <v>867</v>
      </c>
      <c r="C223" s="15">
        <v>867</v>
      </c>
      <c r="D223" s="5" t="s">
        <v>2</v>
      </c>
      <c r="E223" s="5" t="s">
        <v>2</v>
      </c>
      <c r="F223" s="5">
        <v>4.3464</v>
      </c>
      <c r="G223" s="12">
        <f>VLOOKUP(A223,'[1]all FNCL'!A$2:B$993,2)</f>
        <v>0.95314447637365096</v>
      </c>
      <c r="H223" s="3" t="s">
        <v>235</v>
      </c>
      <c r="I223">
        <v>0.82271172400250803</v>
      </c>
      <c r="J223">
        <f>VLOOKUP(A223,'YB OAS'!B:F,5,0)</f>
        <v>542.69537400000002</v>
      </c>
      <c r="K223" s="40">
        <f>VLOOKUP(A223,'Refi Universe'!E:F,2,0)</f>
        <v>0.94762259999999998</v>
      </c>
    </row>
    <row r="224" spans="1:11" ht="15" x14ac:dyDescent="0.25">
      <c r="A224" s="14">
        <v>40898</v>
      </c>
      <c r="B224" s="15">
        <v>847</v>
      </c>
      <c r="C224" s="15">
        <v>847</v>
      </c>
      <c r="D224" s="5" t="s">
        <v>2</v>
      </c>
      <c r="E224" s="5" t="s">
        <v>2</v>
      </c>
      <c r="F224" s="5">
        <v>4.3553819999999996</v>
      </c>
      <c r="G224" s="12">
        <f>VLOOKUP(A224,'[1]all FNCL'!A$2:B$993,2)</f>
        <v>0.95314447637365096</v>
      </c>
      <c r="H224" s="3" t="s">
        <v>236</v>
      </c>
      <c r="I224">
        <v>0.82271172400250803</v>
      </c>
      <c r="J224">
        <f>VLOOKUP(A224,'YB OAS'!B:F,5,0)</f>
        <v>532.91687000000002</v>
      </c>
      <c r="K224" s="40">
        <f>VLOOKUP(A224,'Refi Universe'!E:F,2,0)</f>
        <v>0.93509511000000001</v>
      </c>
    </row>
    <row r="225" spans="1:11" ht="15" x14ac:dyDescent="0.25">
      <c r="A225" s="14">
        <v>40899</v>
      </c>
      <c r="B225" s="15">
        <v>804</v>
      </c>
      <c r="C225" s="15">
        <v>804</v>
      </c>
      <c r="D225" s="5" t="s">
        <v>2</v>
      </c>
      <c r="E225" s="5" t="s">
        <v>2</v>
      </c>
      <c r="F225" s="5">
        <v>4.3490960000000003</v>
      </c>
      <c r="G225" s="12">
        <f>VLOOKUP(A225,'[1]all FNCL'!A$2:B$993,2)</f>
        <v>0.96018409449731501</v>
      </c>
      <c r="H225" s="3" t="s">
        <v>237</v>
      </c>
      <c r="I225">
        <v>0.82271172400250803</v>
      </c>
      <c r="J225">
        <f>VLOOKUP(A225,'YB OAS'!B:F,5,0)</f>
        <v>498.67550699999998</v>
      </c>
      <c r="K225" s="40">
        <f>VLOOKUP(A225,'Refi Universe'!E:F,2,0)</f>
        <v>0.94145855000000001</v>
      </c>
    </row>
    <row r="226" spans="1:11" ht="15" x14ac:dyDescent="0.25">
      <c r="A226" s="14">
        <v>40900</v>
      </c>
      <c r="B226" s="15">
        <v>766</v>
      </c>
      <c r="C226" s="15">
        <v>766</v>
      </c>
      <c r="D226" s="5" t="s">
        <v>2</v>
      </c>
      <c r="E226" s="5" t="s">
        <v>2</v>
      </c>
      <c r="F226" s="5">
        <v>4.3767820000000004</v>
      </c>
      <c r="G226" s="12">
        <f>VLOOKUP(A226,'[1]all FNCL'!A$2:B$993,2)</f>
        <v>0.96018409449731501</v>
      </c>
      <c r="H226" s="3" t="s">
        <v>238</v>
      </c>
      <c r="I226">
        <v>0.79171461670661003</v>
      </c>
      <c r="J226">
        <f>VLOOKUP(A226,'YB OAS'!B:F,5,0)</f>
        <v>456.501801</v>
      </c>
      <c r="K226" s="40">
        <f>VLOOKUP(A226,'Refi Universe'!E:F,2,0)</f>
        <v>0.88768075999999996</v>
      </c>
    </row>
    <row r="227" spans="1:11" ht="15" x14ac:dyDescent="0.25">
      <c r="A227" s="14">
        <v>40904</v>
      </c>
      <c r="B227" s="15">
        <v>773</v>
      </c>
      <c r="C227" s="15">
        <v>773</v>
      </c>
      <c r="D227" s="5" t="s">
        <v>2</v>
      </c>
      <c r="E227" s="5" t="s">
        <v>2</v>
      </c>
      <c r="F227" s="5">
        <v>4.3723979999999996</v>
      </c>
      <c r="G227" s="12">
        <f>VLOOKUP(A227,'[1]all FNCL'!A$2:B$993,2)</f>
        <v>0.96018409449731501</v>
      </c>
      <c r="H227" s="3" t="s">
        <v>239</v>
      </c>
      <c r="I227">
        <v>0.79171461670661003</v>
      </c>
      <c r="J227">
        <f>VLOOKUP(A227,'YB OAS'!B:F,5,0)</f>
        <v>461.38189699999998</v>
      </c>
      <c r="K227" s="40">
        <f>VLOOKUP(A227,'Refi Universe'!E:F,2,0)</f>
        <v>0.90153247000000003</v>
      </c>
    </row>
    <row r="228" spans="1:11" ht="15" x14ac:dyDescent="0.25">
      <c r="A228" s="14">
        <v>40905</v>
      </c>
      <c r="B228" s="15">
        <v>829</v>
      </c>
      <c r="C228" s="15">
        <v>829</v>
      </c>
      <c r="D228" s="5" t="s">
        <v>2</v>
      </c>
      <c r="E228" s="5" t="s">
        <v>2</v>
      </c>
      <c r="F228" s="5">
        <v>4.349526</v>
      </c>
      <c r="G228" s="12">
        <f>VLOOKUP(A228,'[1]all FNCL'!A$2:B$993,2)</f>
        <v>0.96018409449731501</v>
      </c>
      <c r="H228" s="3" t="s">
        <v>240</v>
      </c>
      <c r="I228">
        <v>0.79171461670661003</v>
      </c>
      <c r="J228">
        <f>VLOOKUP(A228,'YB OAS'!B:F,5,0)</f>
        <v>497.535889</v>
      </c>
      <c r="K228" s="40">
        <f>VLOOKUP(A228,'Refi Universe'!E:F,2,0)</f>
        <v>0.96203097000000004</v>
      </c>
    </row>
    <row r="229" spans="1:11" ht="15" x14ac:dyDescent="0.25">
      <c r="A229" s="14">
        <v>40906</v>
      </c>
      <c r="B229" s="15">
        <v>825</v>
      </c>
      <c r="C229" s="15">
        <v>825</v>
      </c>
      <c r="D229" s="5" t="s">
        <v>2</v>
      </c>
      <c r="E229" s="5" t="s">
        <v>2</v>
      </c>
      <c r="F229" s="5">
        <v>4.32179</v>
      </c>
      <c r="G229" s="12">
        <f>VLOOKUP(A229,'[1]all FNCL'!A$2:B$993,2)</f>
        <v>0.946426701963341</v>
      </c>
      <c r="H229" s="3" t="s">
        <v>241</v>
      </c>
      <c r="I229">
        <v>0.79171461670661003</v>
      </c>
      <c r="J229">
        <f>VLOOKUP(A229,'YB OAS'!B:F,5,0)</f>
        <v>511.15978999999999</v>
      </c>
      <c r="K229" s="40">
        <f>VLOOKUP(A229,'Refi Universe'!E:F,2,0)</f>
        <v>0.96316809000000003</v>
      </c>
    </row>
    <row r="230" spans="1:11" ht="15" x14ac:dyDescent="0.25">
      <c r="A230" s="14">
        <v>40907</v>
      </c>
      <c r="B230" s="15">
        <v>838</v>
      </c>
      <c r="C230" s="15">
        <v>838</v>
      </c>
      <c r="D230" s="5" t="s">
        <v>2</v>
      </c>
      <c r="E230" s="5" t="s">
        <v>2</v>
      </c>
      <c r="F230" s="5">
        <v>4.3215000000000003</v>
      </c>
      <c r="G230" s="12">
        <f>VLOOKUP(A230,'[1]all FNCL'!A$2:B$993,2)</f>
        <v>0.946426701963341</v>
      </c>
      <c r="H230" s="3" t="s">
        <v>242</v>
      </c>
      <c r="I230">
        <v>0.79171461670661003</v>
      </c>
      <c r="J230">
        <f>VLOOKUP(A230,'YB OAS'!B:F,5,0)</f>
        <v>531.68841599999996</v>
      </c>
      <c r="K230" s="40">
        <f>VLOOKUP(A230,'Refi Universe'!E:F,2,0)</f>
        <v>0.96357256000000002</v>
      </c>
    </row>
    <row r="231" spans="1:11" ht="15" x14ac:dyDescent="0.25">
      <c r="A231" s="14">
        <v>40911</v>
      </c>
      <c r="B231" s="15">
        <v>741</v>
      </c>
      <c r="C231" s="15">
        <v>741</v>
      </c>
      <c r="D231" s="5" t="s">
        <v>2</v>
      </c>
      <c r="E231" s="5" t="s">
        <v>2</v>
      </c>
      <c r="F231" s="5">
        <v>4.2710499999999998</v>
      </c>
      <c r="G231" s="12">
        <f>VLOOKUP(A231,'[1]all FNCL'!A$2:B$993,2)</f>
        <v>0.93504552892939297</v>
      </c>
      <c r="H231" s="3" t="s">
        <v>243</v>
      </c>
      <c r="I231">
        <v>0.83664177858148003</v>
      </c>
      <c r="J231">
        <f>VLOOKUP(A231,'YB OAS'!B:F,5,0)</f>
        <v>234.40919500000001</v>
      </c>
      <c r="K231" s="40">
        <f>VLOOKUP(A231,'Refi Universe'!E:F,2,0)</f>
        <v>0.95525888999999997</v>
      </c>
    </row>
    <row r="232" spans="1:11" ht="15" x14ac:dyDescent="0.25">
      <c r="A232" s="14">
        <v>40912</v>
      </c>
      <c r="B232" s="15">
        <v>715</v>
      </c>
      <c r="C232" s="15">
        <v>715</v>
      </c>
      <c r="D232" s="5" t="s">
        <v>2</v>
      </c>
      <c r="E232" s="5" t="s">
        <v>2</v>
      </c>
      <c r="F232" s="5">
        <v>4.2682330000000004</v>
      </c>
      <c r="G232" s="12">
        <f>VLOOKUP(A232,'[1]all FNCL'!A$2:B$993,2)</f>
        <v>0.93504552892939297</v>
      </c>
      <c r="H232" s="3" t="s">
        <v>244</v>
      </c>
      <c r="I232">
        <v>0.81851206223084805</v>
      </c>
      <c r="J232">
        <f>VLOOKUP(A232,'YB OAS'!B:F,5,0)</f>
        <v>220.58659399999999</v>
      </c>
      <c r="K232" s="40">
        <f>VLOOKUP(A232,'Refi Universe'!E:F,2,0)</f>
        <v>0.94976475000000005</v>
      </c>
    </row>
    <row r="233" spans="1:11" ht="15" x14ac:dyDescent="0.25">
      <c r="A233" s="14">
        <v>40913</v>
      </c>
      <c r="B233" s="15">
        <v>736</v>
      </c>
      <c r="C233" s="15">
        <v>736</v>
      </c>
      <c r="D233" s="5" t="s">
        <v>2</v>
      </c>
      <c r="E233" s="5" t="s">
        <v>2</v>
      </c>
      <c r="F233" s="5">
        <v>4.2383309999999996</v>
      </c>
      <c r="G233" s="12">
        <f>VLOOKUP(A233,'[1]all FNCL'!A$2:B$993,2)</f>
        <v>0.951307534663687</v>
      </c>
      <c r="H233" s="3" t="s">
        <v>245</v>
      </c>
      <c r="I233">
        <v>0.81851206223084805</v>
      </c>
      <c r="J233">
        <f>VLOOKUP(A233,'YB OAS'!B:F,5,0)</f>
        <v>240.911697</v>
      </c>
      <c r="K233" s="40">
        <f>VLOOKUP(A233,'Refi Universe'!E:F,2,0)</f>
        <v>0.95518174</v>
      </c>
    </row>
    <row r="234" spans="1:11" ht="15" x14ac:dyDescent="0.25">
      <c r="A234" s="14">
        <v>40914</v>
      </c>
      <c r="B234" s="15">
        <v>752</v>
      </c>
      <c r="C234" s="15">
        <v>752</v>
      </c>
      <c r="D234" s="5" t="s">
        <v>2</v>
      </c>
      <c r="E234" s="5" t="s">
        <v>2</v>
      </c>
      <c r="F234" s="5">
        <v>4.2052719999999999</v>
      </c>
      <c r="G234" s="12">
        <f>VLOOKUP(A234,'[1]all FNCL'!A$2:B$993,2)</f>
        <v>0.951307534663687</v>
      </c>
      <c r="H234" s="3" t="s">
        <v>246</v>
      </c>
      <c r="I234">
        <v>0.81851206223084805</v>
      </c>
      <c r="J234">
        <f>VLOOKUP(A234,'YB OAS'!B:F,5,0)</f>
        <v>266.53460699999999</v>
      </c>
      <c r="K234" s="40">
        <f>VLOOKUP(A234,'Refi Universe'!E:F,2,0)</f>
        <v>0.95598488999999998</v>
      </c>
    </row>
    <row r="235" spans="1:11" ht="15" x14ac:dyDescent="0.25">
      <c r="A235" s="14">
        <v>40917</v>
      </c>
      <c r="B235" s="15">
        <v>711</v>
      </c>
      <c r="C235" s="15">
        <v>711</v>
      </c>
      <c r="D235" s="5" t="s">
        <v>2</v>
      </c>
      <c r="E235" s="5" t="s">
        <v>2</v>
      </c>
      <c r="F235" s="5">
        <v>4.1875090000000004</v>
      </c>
      <c r="G235" s="12">
        <f>VLOOKUP(A235,'[1]all FNCL'!A$2:B$993,2)</f>
        <v>0.951307534663687</v>
      </c>
      <c r="H235" s="3" t="s">
        <v>247</v>
      </c>
      <c r="I235">
        <v>0.81851206223084805</v>
      </c>
      <c r="J235">
        <f>VLOOKUP(A235,'YB OAS'!B:F,5,0)</f>
        <v>270.11138899999997</v>
      </c>
      <c r="K235" s="40">
        <f>VLOOKUP(A235,'Refi Universe'!E:F,2,0)</f>
        <v>0.95587529999999998</v>
      </c>
    </row>
    <row r="236" spans="1:11" ht="15" x14ac:dyDescent="0.25">
      <c r="A236" s="14">
        <v>40918</v>
      </c>
      <c r="B236" s="15">
        <v>677</v>
      </c>
      <c r="C236" s="15">
        <v>677</v>
      </c>
      <c r="D236" s="5" t="s">
        <v>2</v>
      </c>
      <c r="E236" s="5" t="s">
        <v>2</v>
      </c>
      <c r="F236" s="5">
        <v>4.2121389999999996</v>
      </c>
      <c r="G236" s="12">
        <f>VLOOKUP(A236,'[1]all FNCL'!A$2:B$993,2)</f>
        <v>0.951307534663687</v>
      </c>
      <c r="H236" s="3" t="s">
        <v>248</v>
      </c>
      <c r="I236">
        <v>0.81207127811354496</v>
      </c>
      <c r="J236">
        <f>VLOOKUP(A236,'YB OAS'!B:F,5,0)</f>
        <v>222.23039199999999</v>
      </c>
      <c r="K236" s="40">
        <f>VLOOKUP(A236,'Refi Universe'!E:F,2,0)</f>
        <v>0.95494785000000004</v>
      </c>
    </row>
    <row r="237" spans="1:11" ht="15" x14ac:dyDescent="0.25">
      <c r="A237" s="14">
        <v>40919</v>
      </c>
      <c r="B237" s="15">
        <v>719</v>
      </c>
      <c r="C237" s="15">
        <v>719</v>
      </c>
      <c r="D237" s="5" t="s">
        <v>2</v>
      </c>
      <c r="E237" s="5" t="s">
        <v>2</v>
      </c>
      <c r="F237" s="5">
        <v>4.213279</v>
      </c>
      <c r="G237" s="12">
        <f>VLOOKUP(A237,'[1]all FNCL'!A$2:B$993,2)</f>
        <v>0.951307534663687</v>
      </c>
      <c r="H237" s="3" t="s">
        <v>249</v>
      </c>
      <c r="I237">
        <v>0.81207127811354496</v>
      </c>
      <c r="J237">
        <f>VLOOKUP(A237,'YB OAS'!B:F,5,0)</f>
        <v>254.002396</v>
      </c>
      <c r="K237" s="40">
        <f>VLOOKUP(A237,'Refi Universe'!E:F,2,0)</f>
        <v>0.95327545000000002</v>
      </c>
    </row>
    <row r="238" spans="1:11" ht="15" x14ac:dyDescent="0.25">
      <c r="A238" s="14">
        <v>40920</v>
      </c>
      <c r="B238" s="15">
        <v>722</v>
      </c>
      <c r="C238" s="15">
        <v>722</v>
      </c>
      <c r="D238" s="5" t="s">
        <v>2</v>
      </c>
      <c r="E238" s="5" t="s">
        <v>2</v>
      </c>
      <c r="F238" s="5">
        <v>4.2027010000000002</v>
      </c>
      <c r="G238" s="12">
        <f>VLOOKUP(A238,'[1]all FNCL'!A$2:B$993,2)</f>
        <v>0.95320351892281396</v>
      </c>
      <c r="H238" s="3" t="s">
        <v>250</v>
      </c>
      <c r="I238">
        <v>0.81207127811354496</v>
      </c>
      <c r="J238">
        <f>VLOOKUP(A238,'YB OAS'!B:F,5,0)</f>
        <v>252.30360400000001</v>
      </c>
      <c r="K238" s="40">
        <f>VLOOKUP(A238,'Refi Universe'!E:F,2,0)</f>
        <v>0.95488927999999995</v>
      </c>
    </row>
    <row r="239" spans="1:11" ht="15" x14ac:dyDescent="0.25">
      <c r="A239" s="14">
        <v>40921</v>
      </c>
      <c r="B239" s="15">
        <v>791</v>
      </c>
      <c r="C239" s="15">
        <v>791</v>
      </c>
      <c r="D239" s="5" t="s">
        <v>2</v>
      </c>
      <c r="E239" s="5" t="s">
        <v>2</v>
      </c>
      <c r="F239" s="5">
        <v>4.1891780000000001</v>
      </c>
      <c r="G239" s="12">
        <f>VLOOKUP(A239,'[1]all FNCL'!A$2:B$993,2)</f>
        <v>0.95320351892281396</v>
      </c>
      <c r="H239" s="3" t="s">
        <v>251</v>
      </c>
      <c r="I239">
        <v>0.81207127811354496</v>
      </c>
      <c r="J239">
        <f>VLOOKUP(A239,'YB OAS'!B:F,5,0)</f>
        <v>318.09210200000001</v>
      </c>
      <c r="K239" s="40">
        <f>VLOOKUP(A239,'Refi Universe'!E:F,2,0)</f>
        <v>0.95582394000000004</v>
      </c>
    </row>
    <row r="240" spans="1:11" ht="15" x14ac:dyDescent="0.25">
      <c r="A240" s="14">
        <v>40925</v>
      </c>
      <c r="B240" s="15">
        <v>791</v>
      </c>
      <c r="C240" s="15">
        <v>791</v>
      </c>
      <c r="D240" s="5" t="s">
        <v>2</v>
      </c>
      <c r="E240" s="5" t="s">
        <v>2</v>
      </c>
      <c r="F240" s="5">
        <v>4.2145149999999996</v>
      </c>
      <c r="G240" s="12">
        <f>VLOOKUP(A240,'[1]all FNCL'!A$2:B$993,2)</f>
        <v>0.95320351892281396</v>
      </c>
      <c r="H240" s="3" t="s">
        <v>252</v>
      </c>
      <c r="I240">
        <v>0.81207127811354496</v>
      </c>
      <c r="J240">
        <f>VLOOKUP(A240,'YB OAS'!B:F,5,0)</f>
        <v>309.236603</v>
      </c>
      <c r="K240" s="40">
        <f>VLOOKUP(A240,'Refi Universe'!E:F,2,0)</f>
        <v>0.95436023999999997</v>
      </c>
    </row>
    <row r="241" spans="1:11" ht="15" x14ac:dyDescent="0.25">
      <c r="A241" s="14">
        <v>40926</v>
      </c>
      <c r="B241" s="15">
        <v>759</v>
      </c>
      <c r="C241" s="15">
        <v>759</v>
      </c>
      <c r="D241" s="5" t="s">
        <v>2</v>
      </c>
      <c r="E241" s="5" t="s">
        <v>2</v>
      </c>
      <c r="F241" s="5">
        <v>4.2291660000000002</v>
      </c>
      <c r="G241" s="12">
        <f>VLOOKUP(A241,'[1]all FNCL'!A$2:B$993,2)</f>
        <v>0.95320351892281396</v>
      </c>
      <c r="H241" s="3" t="s">
        <v>253</v>
      </c>
      <c r="I241">
        <v>0.71228035501776499</v>
      </c>
      <c r="J241">
        <f>VLOOKUP(A241,'YB OAS'!B:F,5,0)</f>
        <v>279.54901100000001</v>
      </c>
      <c r="K241" s="40">
        <f>VLOOKUP(A241,'Refi Universe'!E:F,2,0)</f>
        <v>0.93659367999999998</v>
      </c>
    </row>
    <row r="242" spans="1:11" ht="15" x14ac:dyDescent="0.25">
      <c r="A242" s="14">
        <v>40927</v>
      </c>
      <c r="B242" s="15">
        <v>708</v>
      </c>
      <c r="C242" s="15">
        <v>708</v>
      </c>
      <c r="D242" s="5" t="s">
        <v>2</v>
      </c>
      <c r="E242" s="5" t="s">
        <v>2</v>
      </c>
      <c r="F242" s="5">
        <v>4.259557</v>
      </c>
      <c r="G242" s="12">
        <f>VLOOKUP(A242,'[1]all FNCL'!A$2:B$993,2)</f>
        <v>0.95352518495215399</v>
      </c>
      <c r="H242" s="3" t="s">
        <v>254</v>
      </c>
      <c r="I242">
        <v>0.71228035501776499</v>
      </c>
      <c r="J242">
        <f>VLOOKUP(A242,'YB OAS'!B:F,5,0)</f>
        <v>219.23280299999999</v>
      </c>
      <c r="K242" s="40">
        <f>VLOOKUP(A242,'Refi Universe'!E:F,2,0)</f>
        <v>0.89227334999999997</v>
      </c>
    </row>
    <row r="243" spans="1:11" ht="15" x14ac:dyDescent="0.25">
      <c r="A243" s="14">
        <v>40928</v>
      </c>
      <c r="B243" s="15">
        <v>678</v>
      </c>
      <c r="C243" s="15">
        <v>678</v>
      </c>
      <c r="D243" s="5" t="s">
        <v>2</v>
      </c>
      <c r="E243" s="5" t="s">
        <v>2</v>
      </c>
      <c r="F243" s="5">
        <v>4.2546869999999997</v>
      </c>
      <c r="G243" s="12">
        <f>VLOOKUP(A243,'[1]all FNCL'!A$2:B$993,2)</f>
        <v>0.95352518495215399</v>
      </c>
      <c r="H243" s="3" t="s">
        <v>255</v>
      </c>
      <c r="I243">
        <v>0.71228035501776499</v>
      </c>
      <c r="J243">
        <f>VLOOKUP(A243,'YB OAS'!B:F,5,0)</f>
        <v>190.48629800000001</v>
      </c>
      <c r="K243" s="40">
        <f>VLOOKUP(A243,'Refi Universe'!E:F,2,0)</f>
        <v>0.88538640000000002</v>
      </c>
    </row>
    <row r="244" spans="1:11" ht="15" x14ac:dyDescent="0.25">
      <c r="A244" s="14">
        <v>40931</v>
      </c>
      <c r="B244" s="15">
        <v>655</v>
      </c>
      <c r="C244" s="15">
        <v>655</v>
      </c>
      <c r="D244" s="5" t="s">
        <v>2</v>
      </c>
      <c r="E244" s="5" t="s">
        <v>2</v>
      </c>
      <c r="F244" s="5">
        <v>4.2392620000000001</v>
      </c>
      <c r="G244" s="12">
        <f>VLOOKUP(A244,'[1]all FNCL'!A$2:B$993,2)</f>
        <v>0.95352518495215399</v>
      </c>
      <c r="H244" s="3" t="s">
        <v>256</v>
      </c>
      <c r="I244">
        <v>0.71228035501776499</v>
      </c>
      <c r="J244">
        <f>VLOOKUP(A244,'YB OAS'!B:F,5,0)</f>
        <v>178.72200000000001</v>
      </c>
      <c r="K244" s="40">
        <f>VLOOKUP(A244,'Refi Universe'!E:F,2,0)</f>
        <v>0.88732091000000002</v>
      </c>
    </row>
    <row r="245" spans="1:11" ht="15" x14ac:dyDescent="0.25">
      <c r="A245" s="14">
        <v>40932</v>
      </c>
      <c r="B245" s="15">
        <v>689</v>
      </c>
      <c r="C245" s="15">
        <v>689</v>
      </c>
      <c r="D245" s="5" t="s">
        <v>2</v>
      </c>
      <c r="E245" s="5" t="s">
        <v>2</v>
      </c>
      <c r="F245" s="5">
        <v>4.2351720000000004</v>
      </c>
      <c r="G245" s="12">
        <f>VLOOKUP(A245,'[1]all FNCL'!A$2:B$993,2)</f>
        <v>0.95352518495215399</v>
      </c>
      <c r="H245" s="3" t="s">
        <v>257</v>
      </c>
      <c r="I245">
        <v>0.71228035501776499</v>
      </c>
      <c r="J245">
        <f>VLOOKUP(A245,'YB OAS'!B:F,5,0)</f>
        <v>207.017303</v>
      </c>
      <c r="K245" s="40">
        <f>VLOOKUP(A245,'Refi Universe'!E:F,2,0)</f>
        <v>0.89611079000000005</v>
      </c>
    </row>
    <row r="246" spans="1:11" ht="15" x14ac:dyDescent="0.25">
      <c r="A246" s="14">
        <v>40933</v>
      </c>
      <c r="B246" s="15">
        <v>782</v>
      </c>
      <c r="C246" s="15">
        <v>782</v>
      </c>
      <c r="D246" s="5" t="s">
        <v>2</v>
      </c>
      <c r="E246" s="5" t="s">
        <v>2</v>
      </c>
      <c r="F246" s="5">
        <v>4.2307360000000003</v>
      </c>
      <c r="G246" s="12">
        <f>VLOOKUP(A246,'[1]all FNCL'!A$2:B$993,2)</f>
        <v>0.95352518495215399</v>
      </c>
      <c r="H246" s="3" t="s">
        <v>258</v>
      </c>
      <c r="I246">
        <v>0.79257538531726102</v>
      </c>
      <c r="J246">
        <f>VLOOKUP(A246,'YB OAS'!B:F,5,0)</f>
        <v>286.08599900000002</v>
      </c>
      <c r="K246" s="40">
        <f>VLOOKUP(A246,'Refi Universe'!E:F,2,0)</f>
        <v>0.94870708999999998</v>
      </c>
    </row>
    <row r="247" spans="1:11" ht="15" x14ac:dyDescent="0.25">
      <c r="A247" s="14">
        <v>40934</v>
      </c>
      <c r="B247" s="15">
        <v>891</v>
      </c>
      <c r="C247" s="15">
        <v>891</v>
      </c>
      <c r="D247" s="5" t="s">
        <v>2</v>
      </c>
      <c r="E247" s="5" t="s">
        <v>2</v>
      </c>
      <c r="F247" s="5">
        <v>4.226229</v>
      </c>
      <c r="G247" s="12">
        <f>VLOOKUP(A247,'[1]all FNCL'!A$2:B$993,2)</f>
        <v>0.91861521434498905</v>
      </c>
      <c r="H247" s="3" t="s">
        <v>259</v>
      </c>
      <c r="I247">
        <v>0.79257538531726102</v>
      </c>
      <c r="J247">
        <f>VLOOKUP(A247,'YB OAS'!B:F,5,0)</f>
        <v>377.079498</v>
      </c>
      <c r="K247" s="40">
        <f>VLOOKUP(A247,'Refi Universe'!E:F,2,0)</f>
        <v>0.95396824999999996</v>
      </c>
    </row>
    <row r="248" spans="1:11" ht="15" x14ac:dyDescent="0.25">
      <c r="A248" s="14">
        <v>40935</v>
      </c>
      <c r="B248" s="15">
        <v>873</v>
      </c>
      <c r="C248" s="15">
        <v>873</v>
      </c>
      <c r="D248" s="5" t="s">
        <v>2</v>
      </c>
      <c r="E248" s="5" t="s">
        <v>2</v>
      </c>
      <c r="F248" s="5">
        <v>4.1677949999999999</v>
      </c>
      <c r="G248" s="12">
        <f>VLOOKUP(A248,'[1]all FNCL'!A$2:B$993,2)</f>
        <v>0.91861521434498905</v>
      </c>
      <c r="H248" s="3" t="s">
        <v>260</v>
      </c>
      <c r="I248">
        <v>0.79257538531726102</v>
      </c>
      <c r="J248">
        <f>VLOOKUP(A248,'YB OAS'!B:F,5,0)</f>
        <v>404.96490499999999</v>
      </c>
      <c r="K248" s="40">
        <f>VLOOKUP(A248,'Refi Universe'!E:F,2,0)</f>
        <v>0.95520771000000004</v>
      </c>
    </row>
    <row r="249" spans="1:11" ht="15" x14ac:dyDescent="0.25">
      <c r="A249" s="14">
        <v>40938</v>
      </c>
      <c r="B249" s="15">
        <v>932</v>
      </c>
      <c r="C249" s="15">
        <v>932</v>
      </c>
      <c r="D249" s="5" t="s">
        <v>2</v>
      </c>
      <c r="E249" s="5" t="s">
        <v>2</v>
      </c>
      <c r="F249" s="5">
        <v>4.1892800000000001</v>
      </c>
      <c r="G249" s="12">
        <f>VLOOKUP(A249,'[1]all FNCL'!A$2:B$993,2)</f>
        <v>0.91861521434498905</v>
      </c>
      <c r="H249" s="3" t="s">
        <v>261</v>
      </c>
      <c r="I249">
        <v>0.79257538531726102</v>
      </c>
      <c r="J249">
        <f>VLOOKUP(A249,'YB OAS'!B:F,5,0)</f>
        <v>438.29830900000002</v>
      </c>
      <c r="K249" s="40">
        <f>VLOOKUP(A249,'Refi Universe'!E:F,2,0)</f>
        <v>0.95519228</v>
      </c>
    </row>
    <row r="250" spans="1:11" ht="15" x14ac:dyDescent="0.25">
      <c r="A250" s="14">
        <v>40939</v>
      </c>
      <c r="B250" s="15">
        <v>939</v>
      </c>
      <c r="C250" s="15">
        <v>939</v>
      </c>
      <c r="D250" s="5" t="s">
        <v>2</v>
      </c>
      <c r="E250" s="5" t="s">
        <v>2</v>
      </c>
      <c r="F250" s="5">
        <v>4.1739940000000004</v>
      </c>
      <c r="G250" s="12">
        <f>VLOOKUP(A250,'[1]all FNCL'!A$2:B$993,2)</f>
        <v>0.91861521434498905</v>
      </c>
      <c r="H250" s="3" t="s">
        <v>262</v>
      </c>
      <c r="I250">
        <v>0.79257538531726102</v>
      </c>
      <c r="J250">
        <f>VLOOKUP(A250,'YB OAS'!B:F,5,0)</f>
        <v>457.81469700000002</v>
      </c>
      <c r="K250" s="40">
        <f>VLOOKUP(A250,'Refi Universe'!E:F,2,0)</f>
        <v>0.95587728000000005</v>
      </c>
    </row>
    <row r="251" spans="1:11" ht="15" x14ac:dyDescent="0.25">
      <c r="A251" s="14">
        <v>40940</v>
      </c>
      <c r="B251" s="15">
        <v>936</v>
      </c>
      <c r="C251" s="15">
        <v>936</v>
      </c>
      <c r="D251" s="5" t="s">
        <v>2</v>
      </c>
      <c r="E251" s="5" t="s">
        <v>2</v>
      </c>
      <c r="F251" s="5">
        <v>4.1375159999999997</v>
      </c>
      <c r="G251" s="12">
        <f>VLOOKUP(A251,'[1]all FNCL'!A$2:B$993,2)</f>
        <v>0.90547247005091003</v>
      </c>
      <c r="H251" s="3" t="s">
        <v>263</v>
      </c>
      <c r="I251">
        <v>0.76303866278122401</v>
      </c>
      <c r="J251">
        <f>VLOOKUP(A251,'YB OAS'!B:F,5,0)</f>
        <v>466.91738900000001</v>
      </c>
      <c r="K251" s="40">
        <f>VLOOKUP(A251,'Refi Universe'!E:F,2,0)</f>
        <v>0.94277608000000002</v>
      </c>
    </row>
    <row r="252" spans="1:11" ht="15" x14ac:dyDescent="0.25">
      <c r="A252" s="14">
        <v>40941</v>
      </c>
      <c r="B252" s="15">
        <v>933</v>
      </c>
      <c r="C252" s="15">
        <v>933</v>
      </c>
      <c r="D252" s="5" t="s">
        <v>2</v>
      </c>
      <c r="E252" s="5" t="s">
        <v>2</v>
      </c>
      <c r="F252" s="5">
        <v>4.0878160000000001</v>
      </c>
      <c r="G252" s="12">
        <f>VLOOKUP(A252,'[1]all FNCL'!A$2:B$993,2)</f>
        <v>0.942309298561672</v>
      </c>
      <c r="H252" s="3" t="s">
        <v>264</v>
      </c>
      <c r="I252">
        <v>0.743473360501545</v>
      </c>
      <c r="J252">
        <f>VLOOKUP(A252,'YB OAS'!B:F,5,0)</f>
        <v>490.40579200000002</v>
      </c>
      <c r="K252" s="40">
        <f>VLOOKUP(A252,'Refi Universe'!E:F,2,0)</f>
        <v>0.94442683999999999</v>
      </c>
    </row>
    <row r="253" spans="1:11" ht="15" x14ac:dyDescent="0.25">
      <c r="A253" s="14">
        <v>40942</v>
      </c>
      <c r="B253" s="15">
        <v>807</v>
      </c>
      <c r="C253" s="15">
        <v>807</v>
      </c>
      <c r="D253" s="5" t="s">
        <v>2</v>
      </c>
      <c r="E253" s="5" t="s">
        <v>2</v>
      </c>
      <c r="F253" s="5">
        <v>4.1226399999999996</v>
      </c>
      <c r="G253" s="12">
        <f>VLOOKUP(A253,'[1]all FNCL'!A$2:B$993,2)</f>
        <v>0.942309298561672</v>
      </c>
      <c r="H253" s="3" t="s">
        <v>265</v>
      </c>
      <c r="I253">
        <v>0.743473360501545</v>
      </c>
      <c r="J253">
        <f>VLOOKUP(A253,'YB OAS'!B:F,5,0)</f>
        <v>365.53659099999999</v>
      </c>
      <c r="K253" s="40">
        <f>VLOOKUP(A253,'Refi Universe'!E:F,2,0)</f>
        <v>0.94026103000000005</v>
      </c>
    </row>
    <row r="254" spans="1:11" ht="15" x14ac:dyDescent="0.25">
      <c r="A254" s="14">
        <v>40945</v>
      </c>
      <c r="B254" s="15">
        <v>813</v>
      </c>
      <c r="C254" s="15">
        <v>813</v>
      </c>
      <c r="D254" s="5" t="s">
        <v>2</v>
      </c>
      <c r="E254" s="5" t="s">
        <v>2</v>
      </c>
      <c r="F254" s="5">
        <v>4.1002840000000003</v>
      </c>
      <c r="G254" s="12">
        <f>VLOOKUP(A254,'[1]all FNCL'!A$2:B$993,2)</f>
        <v>0.942309298561672</v>
      </c>
      <c r="H254" s="3" t="s">
        <v>266</v>
      </c>
      <c r="I254">
        <v>0.743473360501545</v>
      </c>
      <c r="J254">
        <f>VLOOKUP(A254,'YB OAS'!B:F,5,0)</f>
        <v>383.16290299999997</v>
      </c>
      <c r="K254" s="40">
        <f>VLOOKUP(A254,'Refi Universe'!E:F,2,0)</f>
        <v>0.94331547000000004</v>
      </c>
    </row>
    <row r="255" spans="1:11" ht="15" x14ac:dyDescent="0.25">
      <c r="A255" s="14">
        <v>40946</v>
      </c>
      <c r="B255" s="15">
        <v>735</v>
      </c>
      <c r="C255" s="15">
        <v>735</v>
      </c>
      <c r="D255" s="5" t="s">
        <v>2</v>
      </c>
      <c r="E255" s="5" t="s">
        <v>2</v>
      </c>
      <c r="F255" s="5">
        <v>4.1018530000000002</v>
      </c>
      <c r="G255" s="12">
        <f>VLOOKUP(A255,'[1]all FNCL'!A$2:B$993,2)</f>
        <v>0.942309298561672</v>
      </c>
      <c r="H255" s="3" t="s">
        <v>267</v>
      </c>
      <c r="I255">
        <v>0.77315817508860396</v>
      </c>
      <c r="J255">
        <f>VLOOKUP(A255,'YB OAS'!B:F,5,0)</f>
        <v>319.17748999999998</v>
      </c>
      <c r="K255" s="40">
        <f>VLOOKUP(A255,'Refi Universe'!E:F,2,0)</f>
        <v>0.94164957999999999</v>
      </c>
    </row>
    <row r="256" spans="1:11" ht="15" x14ac:dyDescent="0.25">
      <c r="A256" s="14">
        <v>40947</v>
      </c>
      <c r="B256" s="15">
        <v>726</v>
      </c>
      <c r="C256" s="15">
        <v>726</v>
      </c>
      <c r="D256" s="5" t="s">
        <v>2</v>
      </c>
      <c r="E256" s="5" t="s">
        <v>2</v>
      </c>
      <c r="F256" s="5">
        <v>4.0807799999999999</v>
      </c>
      <c r="G256" s="12">
        <f>VLOOKUP(A256,'[1]all FNCL'!A$2:B$993,2)</f>
        <v>0.942309298561672</v>
      </c>
      <c r="H256" s="3" t="s">
        <v>268</v>
      </c>
      <c r="I256">
        <v>0.77315817508860396</v>
      </c>
      <c r="J256">
        <f>VLOOKUP(A256,'YB OAS'!B:F,5,0)</f>
        <v>313.64639299999999</v>
      </c>
      <c r="K256" s="40">
        <f>VLOOKUP(A256,'Refi Universe'!E:F,2,0)</f>
        <v>0.94154565999999995</v>
      </c>
    </row>
    <row r="257" spans="1:11" ht="15" x14ac:dyDescent="0.25">
      <c r="A257" s="14">
        <v>40948</v>
      </c>
      <c r="B257" s="15">
        <v>687</v>
      </c>
      <c r="C257" s="15">
        <v>687</v>
      </c>
      <c r="D257" s="5" t="s">
        <v>2</v>
      </c>
      <c r="E257" s="5" t="s">
        <v>2</v>
      </c>
      <c r="F257" s="5">
        <v>4.1298620000000001</v>
      </c>
      <c r="G257" s="12">
        <f>VLOOKUP(A257,'[1]all FNCL'!A$2:B$993,2)</f>
        <v>0.942309298561672</v>
      </c>
      <c r="H257" s="3" t="s">
        <v>269</v>
      </c>
      <c r="I257">
        <v>0.77315817508860396</v>
      </c>
      <c r="J257">
        <f>VLOOKUP(A257,'YB OAS'!B:F,5,0)</f>
        <v>259.65728799999999</v>
      </c>
      <c r="K257" s="40">
        <f>VLOOKUP(A257,'Refi Universe'!E:F,2,0)</f>
        <v>0.91185605000000003</v>
      </c>
    </row>
    <row r="258" spans="1:11" ht="15" x14ac:dyDescent="0.25">
      <c r="A258" s="14">
        <v>40949</v>
      </c>
      <c r="B258" s="15">
        <v>735</v>
      </c>
      <c r="C258" s="15">
        <v>735</v>
      </c>
      <c r="D258" s="5" t="s">
        <v>2</v>
      </c>
      <c r="E258" s="5" t="s">
        <v>2</v>
      </c>
      <c r="F258" s="5">
        <v>4.1271110000000002</v>
      </c>
      <c r="G258" s="12">
        <f>VLOOKUP(A258,'[1]all FNCL'!A$2:B$993,2)</f>
        <v>0.942309298561672</v>
      </c>
      <c r="H258" s="3" t="s">
        <v>270</v>
      </c>
      <c r="I258">
        <v>0.77315817508860396</v>
      </c>
      <c r="J258">
        <f>VLOOKUP(A258,'YB OAS'!B:F,5,0)</f>
        <v>297.07180799999998</v>
      </c>
      <c r="K258" s="40">
        <f>VLOOKUP(A258,'Refi Universe'!E:F,2,0)</f>
        <v>0.93276685999999998</v>
      </c>
    </row>
    <row r="259" spans="1:11" ht="15" x14ac:dyDescent="0.25">
      <c r="A259" s="14">
        <v>40952</v>
      </c>
      <c r="B259" s="15">
        <v>679</v>
      </c>
      <c r="C259" s="15">
        <v>679</v>
      </c>
      <c r="D259" s="5" t="s">
        <v>2</v>
      </c>
      <c r="E259" s="5" t="s">
        <v>2</v>
      </c>
      <c r="F259" s="5">
        <v>4.1264130000000003</v>
      </c>
      <c r="G259" s="12">
        <f>VLOOKUP(A259,'[1]all FNCL'!A$2:B$993,2)</f>
        <v>0.942309298561672</v>
      </c>
      <c r="H259" s="3" t="s">
        <v>271</v>
      </c>
      <c r="I259">
        <v>0.77315817508860396</v>
      </c>
      <c r="J259">
        <f>VLOOKUP(A259,'YB OAS'!B:F,5,0)</f>
        <v>247.52720600000001</v>
      </c>
      <c r="K259" s="40">
        <f>VLOOKUP(A259,'Refi Universe'!E:F,2,0)</f>
        <v>0.92851982</v>
      </c>
    </row>
    <row r="260" spans="1:11" ht="15" x14ac:dyDescent="0.25">
      <c r="A260" s="14">
        <v>40953</v>
      </c>
      <c r="B260" s="15">
        <v>707</v>
      </c>
      <c r="C260" s="15">
        <v>707</v>
      </c>
      <c r="D260" s="5" t="s">
        <v>2</v>
      </c>
      <c r="E260" s="5" t="s">
        <v>2</v>
      </c>
      <c r="F260" s="5">
        <v>4.1067970000000003</v>
      </c>
      <c r="G260" s="12">
        <f>VLOOKUP(A260,'[1]all FNCL'!A$2:B$993,2)</f>
        <v>0.942309298561672</v>
      </c>
      <c r="H260" s="3" t="s">
        <v>272</v>
      </c>
      <c r="I260">
        <v>0.82454142309345102</v>
      </c>
      <c r="J260">
        <f>VLOOKUP(A260,'YB OAS'!B:F,5,0)</f>
        <v>286.90188599999999</v>
      </c>
      <c r="K260" s="40">
        <f>VLOOKUP(A260,'Refi Universe'!E:F,2,0)</f>
        <v>0.94156269999999997</v>
      </c>
    </row>
    <row r="261" spans="1:11" ht="15" x14ac:dyDescent="0.25">
      <c r="A261" s="14">
        <v>40954</v>
      </c>
      <c r="B261" s="15">
        <v>718</v>
      </c>
      <c r="C261" s="15">
        <v>718</v>
      </c>
      <c r="D261" s="5" t="s">
        <v>2</v>
      </c>
      <c r="E261" s="5" t="s">
        <v>2</v>
      </c>
      <c r="F261" s="5">
        <v>4.1094949999999999</v>
      </c>
      <c r="G261" s="12">
        <f>VLOOKUP(A261,'[1]all FNCL'!A$2:B$993,2)</f>
        <v>0.942309298561672</v>
      </c>
      <c r="H261" s="3" t="s">
        <v>273</v>
      </c>
      <c r="I261">
        <v>0.82454142309345102</v>
      </c>
      <c r="J261">
        <f>VLOOKUP(A261,'YB OAS'!B:F,5,0)</f>
        <v>306.90368699999999</v>
      </c>
      <c r="K261" s="40">
        <f>VLOOKUP(A261,'Refi Universe'!E:F,2,0)</f>
        <v>0.94226847000000002</v>
      </c>
    </row>
    <row r="262" spans="1:11" ht="15" x14ac:dyDescent="0.25">
      <c r="A262" s="14">
        <v>40955</v>
      </c>
      <c r="B262" s="15">
        <v>664</v>
      </c>
      <c r="C262" s="15">
        <v>664</v>
      </c>
      <c r="D262" s="5" t="s">
        <v>2</v>
      </c>
      <c r="E262" s="5" t="s">
        <v>2</v>
      </c>
      <c r="F262" s="5">
        <v>4.1389899999999997</v>
      </c>
      <c r="G262" s="12">
        <f>VLOOKUP(A262,'[1]all FNCL'!A$2:B$993,2)</f>
        <v>0.942309298561672</v>
      </c>
      <c r="H262" s="3" t="s">
        <v>274</v>
      </c>
      <c r="I262">
        <v>0.82454142309345102</v>
      </c>
      <c r="J262">
        <f>VLOOKUP(A262,'YB OAS'!B:F,5,0)</f>
        <v>238.676804</v>
      </c>
      <c r="K262" s="40">
        <f>VLOOKUP(A262,'Refi Universe'!E:F,2,0)</f>
        <v>0.93815767000000005</v>
      </c>
    </row>
    <row r="263" spans="1:11" ht="15" x14ac:dyDescent="0.25">
      <c r="A263" s="14">
        <v>40956</v>
      </c>
      <c r="B263" s="15">
        <v>664</v>
      </c>
      <c r="C263" s="15">
        <v>664</v>
      </c>
      <c r="D263" s="5" t="s">
        <v>2</v>
      </c>
      <c r="E263" s="5" t="s">
        <v>2</v>
      </c>
      <c r="F263" s="5">
        <v>4.1629240000000003</v>
      </c>
      <c r="G263" s="12">
        <f>VLOOKUP(A263,'[1]all FNCL'!A$2:B$993,2)</f>
        <v>0.942309298561672</v>
      </c>
      <c r="H263" s="3" t="s">
        <v>275</v>
      </c>
      <c r="I263">
        <v>0.82454142309345102</v>
      </c>
      <c r="J263">
        <f>VLOOKUP(A263,'YB OAS'!B:F,5,0)</f>
        <v>227.82620199999999</v>
      </c>
      <c r="K263" s="40">
        <f>VLOOKUP(A263,'Refi Universe'!E:F,2,0)</f>
        <v>0.91906602999999998</v>
      </c>
    </row>
    <row r="264" spans="1:11" ht="15" x14ac:dyDescent="0.25">
      <c r="A264" s="14">
        <v>40960</v>
      </c>
      <c r="B264" s="15">
        <v>650</v>
      </c>
      <c r="C264" s="15">
        <v>650</v>
      </c>
      <c r="D264" s="5" t="s">
        <v>2</v>
      </c>
      <c r="E264" s="5" t="s">
        <v>2</v>
      </c>
      <c r="F264" s="5">
        <v>4.1958849999999996</v>
      </c>
      <c r="G264" s="12">
        <f>VLOOKUP(A264,'[1]all FNCL'!A$2:B$993,2)</f>
        <v>0.942309298561672</v>
      </c>
      <c r="H264" s="3" t="s">
        <v>276</v>
      </c>
      <c r="I264">
        <v>0.82454142309345102</v>
      </c>
      <c r="J264">
        <f>VLOOKUP(A264,'YB OAS'!B:F,5,0)</f>
        <v>201.929596</v>
      </c>
      <c r="K264" s="40">
        <f>VLOOKUP(A264,'Refi Universe'!E:F,2,0)</f>
        <v>0.87658771000000002</v>
      </c>
    </row>
    <row r="265" spans="1:11" ht="15" x14ac:dyDescent="0.25">
      <c r="A265" s="14">
        <v>40961</v>
      </c>
      <c r="B265" s="15">
        <v>682</v>
      </c>
      <c r="C265" s="15">
        <v>682</v>
      </c>
      <c r="D265" s="5" t="s">
        <v>2</v>
      </c>
      <c r="E265" s="5" t="s">
        <v>2</v>
      </c>
      <c r="F265" s="5">
        <v>4.1722780000000004</v>
      </c>
      <c r="G265" s="12">
        <f>VLOOKUP(A265,'[1]all FNCL'!A$2:B$993,2)</f>
        <v>0.942309298561672</v>
      </c>
      <c r="H265" s="3" t="s">
        <v>277</v>
      </c>
      <c r="I265">
        <v>0.82630589885428396</v>
      </c>
      <c r="J265">
        <f>VLOOKUP(A265,'YB OAS'!B:F,5,0)</f>
        <v>242.471802</v>
      </c>
      <c r="K265" s="40">
        <f>VLOOKUP(A265,'Refi Universe'!E:F,2,0)</f>
        <v>0.90921328999999995</v>
      </c>
    </row>
    <row r="266" spans="1:11" ht="15" x14ac:dyDescent="0.25">
      <c r="A266" s="14">
        <v>40962</v>
      </c>
      <c r="B266" s="15">
        <v>661</v>
      </c>
      <c r="C266" s="15">
        <v>661</v>
      </c>
      <c r="D266" s="5" t="s">
        <v>2</v>
      </c>
      <c r="E266" s="5" t="s">
        <v>2</v>
      </c>
      <c r="F266" s="5">
        <v>4.1403350000000003</v>
      </c>
      <c r="G266" s="12">
        <f>VLOOKUP(A266,'[1]all FNCL'!A$2:B$993,2)</f>
        <v>0.92275139849227505</v>
      </c>
      <c r="H266" s="3" t="s">
        <v>278</v>
      </c>
      <c r="I266">
        <v>0.82630589885428396</v>
      </c>
      <c r="J266">
        <f>VLOOKUP(A266,'YB OAS'!B:F,5,0)</f>
        <v>240.480896</v>
      </c>
      <c r="K266" s="40">
        <f>VLOOKUP(A266,'Refi Universe'!E:F,2,0)</f>
        <v>0.93221748000000004</v>
      </c>
    </row>
    <row r="267" spans="1:11" ht="15" x14ac:dyDescent="0.25">
      <c r="A267" s="14">
        <v>40963</v>
      </c>
      <c r="B267" s="15">
        <v>650</v>
      </c>
      <c r="C267" s="15">
        <v>650</v>
      </c>
      <c r="D267" s="5" t="s">
        <v>2</v>
      </c>
      <c r="E267" s="5" t="s">
        <v>2</v>
      </c>
      <c r="F267" s="5">
        <v>4.1568290000000001</v>
      </c>
      <c r="G267" s="12">
        <f>VLOOKUP(A267,'[1]all FNCL'!A$2:B$993,2)</f>
        <v>0.942309298561672</v>
      </c>
      <c r="H267" s="3" t="s">
        <v>279</v>
      </c>
      <c r="I267">
        <v>0.82630589885428396</v>
      </c>
      <c r="J267">
        <f>VLOOKUP(A267,'YB OAS'!B:F,5,0)</f>
        <v>223.970901</v>
      </c>
      <c r="K267" s="40">
        <f>VLOOKUP(A267,'Refi Universe'!E:F,2,0)</f>
        <v>0.92626867999999996</v>
      </c>
    </row>
    <row r="268" spans="1:11" ht="15" x14ac:dyDescent="0.25">
      <c r="A268" s="14">
        <v>40966</v>
      </c>
      <c r="B268" s="15">
        <v>658</v>
      </c>
      <c r="C268" s="15">
        <v>658</v>
      </c>
      <c r="D268" s="5" t="s">
        <v>2</v>
      </c>
      <c r="E268" s="5" t="s">
        <v>2</v>
      </c>
      <c r="F268" s="5">
        <v>4.1518490000000003</v>
      </c>
      <c r="G268" s="12">
        <f>VLOOKUP(A268,'[1]all FNCL'!A$2:B$993,2)</f>
        <v>0.92275139849227505</v>
      </c>
      <c r="H268" s="3" t="s">
        <v>280</v>
      </c>
      <c r="I268">
        <v>0.82630589885428396</v>
      </c>
      <c r="J268">
        <f>VLOOKUP(A268,'YB OAS'!B:F,5,0)</f>
        <v>236.057602</v>
      </c>
      <c r="K268" s="40">
        <f>VLOOKUP(A268,'Refi Universe'!E:F,2,0)</f>
        <v>0.93817786999999997</v>
      </c>
    </row>
    <row r="269" spans="1:11" ht="15" x14ac:dyDescent="0.25">
      <c r="A269" s="14">
        <v>40967</v>
      </c>
      <c r="B269" s="15">
        <v>641</v>
      </c>
      <c r="C269" s="15">
        <v>641</v>
      </c>
      <c r="D269" s="5" t="s">
        <v>2</v>
      </c>
      <c r="E269" s="5" t="s">
        <v>2</v>
      </c>
      <c r="F269" s="5">
        <v>4.1470130000000003</v>
      </c>
      <c r="G269" s="12">
        <f>VLOOKUP(A269,'[1]all FNCL'!A$2:B$993,2)</f>
        <v>0.92275139849227505</v>
      </c>
      <c r="H269" s="3" t="s">
        <v>281</v>
      </c>
      <c r="I269">
        <v>0.82630589885428396</v>
      </c>
      <c r="J269">
        <f>VLOOKUP(A269,'YB OAS'!B:F,5,0)</f>
        <v>220.4785</v>
      </c>
      <c r="K269" s="40">
        <f>VLOOKUP(A269,'Refi Universe'!E:F,2,0)</f>
        <v>0.93960624999999998</v>
      </c>
    </row>
    <row r="270" spans="1:11" ht="15" x14ac:dyDescent="0.25">
      <c r="A270" s="14">
        <v>40968</v>
      </c>
      <c r="B270" s="15">
        <v>605</v>
      </c>
      <c r="C270" s="15">
        <v>605</v>
      </c>
      <c r="D270" s="5" t="s">
        <v>2</v>
      </c>
      <c r="E270" s="5" t="s">
        <v>2</v>
      </c>
      <c r="F270" s="5">
        <v>4.189012</v>
      </c>
      <c r="G270" s="12">
        <f>VLOOKUP(A270,'[1]all FNCL'!A$2:B$993,2)</f>
        <v>0.92275139849227505</v>
      </c>
      <c r="H270" s="3" t="s">
        <v>282</v>
      </c>
      <c r="I270">
        <v>0.82751009126472896</v>
      </c>
      <c r="J270">
        <f>VLOOKUP(A270,'YB OAS'!B:F,5,0)</f>
        <v>162.42820699999999</v>
      </c>
      <c r="K270" s="40">
        <f>VLOOKUP(A270,'Refi Universe'!E:F,2,0)</f>
        <v>0.91287035999999999</v>
      </c>
    </row>
    <row r="271" spans="1:11" ht="15" x14ac:dyDescent="0.25">
      <c r="A271" s="14">
        <v>40969</v>
      </c>
      <c r="B271" s="15">
        <v>578</v>
      </c>
      <c r="C271" s="15">
        <v>578</v>
      </c>
      <c r="D271" s="5" t="s">
        <v>2</v>
      </c>
      <c r="E271" s="5" t="s">
        <v>2</v>
      </c>
      <c r="F271" s="5">
        <v>4.196428</v>
      </c>
      <c r="G271" s="12">
        <f>VLOOKUP(A271,'[1]all FNCL'!A$2:B$993,2)</f>
        <v>0.91952398603163898</v>
      </c>
      <c r="H271" s="3" t="s">
        <v>283</v>
      </c>
      <c r="I271">
        <v>0.82751009126472896</v>
      </c>
      <c r="J271">
        <f>VLOOKUP(A271,'YB OAS'!B:F,5,0)</f>
        <v>129.48699999999999</v>
      </c>
      <c r="K271" s="40">
        <f>VLOOKUP(A271,'Refi Universe'!E:F,2,0)</f>
        <v>0.85102255000000004</v>
      </c>
    </row>
    <row r="272" spans="1:11" ht="15" x14ac:dyDescent="0.25">
      <c r="A272" s="14">
        <v>40970</v>
      </c>
      <c r="B272" s="15">
        <v>596</v>
      </c>
      <c r="C272" s="15">
        <v>596</v>
      </c>
      <c r="D272" s="5" t="s">
        <v>2</v>
      </c>
      <c r="E272" s="5" t="s">
        <v>2</v>
      </c>
      <c r="F272" s="5">
        <v>4.1804949999999996</v>
      </c>
      <c r="G272" s="12">
        <f>VLOOKUP(A272,'[1]all FNCL'!A$2:B$993,2)</f>
        <v>0.91952398603163898</v>
      </c>
      <c r="H272" s="3" t="s">
        <v>284</v>
      </c>
      <c r="I272">
        <v>0.82751009126472896</v>
      </c>
      <c r="J272">
        <f>VLOOKUP(A272,'YB OAS'!B:F,5,0)</f>
        <v>160.42860400000001</v>
      </c>
      <c r="K272" s="40">
        <f>VLOOKUP(A272,'Refi Universe'!E:F,2,0)</f>
        <v>0.88433985999999998</v>
      </c>
    </row>
    <row r="273" spans="1:11" ht="15" x14ac:dyDescent="0.25">
      <c r="A273" s="14">
        <v>40973</v>
      </c>
      <c r="B273" s="15">
        <v>584</v>
      </c>
      <c r="C273" s="15">
        <v>584</v>
      </c>
      <c r="D273" s="5" t="s">
        <v>2</v>
      </c>
      <c r="E273" s="5" t="s">
        <v>2</v>
      </c>
      <c r="F273" s="5">
        <v>4.1834639999999998</v>
      </c>
      <c r="G273" s="12">
        <f>VLOOKUP(A273,'[1]all FNCL'!A$2:B$993,2)</f>
        <v>0.91952398603163898</v>
      </c>
      <c r="H273" s="3" t="s">
        <v>285</v>
      </c>
      <c r="I273">
        <v>0.82751009126472896</v>
      </c>
      <c r="J273">
        <f>VLOOKUP(A273,'YB OAS'!B:F,5,0)</f>
        <v>145.221802</v>
      </c>
      <c r="K273" s="40">
        <f>VLOOKUP(A273,'Refi Universe'!E:F,2,0)</f>
        <v>0.87754933999999996</v>
      </c>
    </row>
    <row r="274" spans="1:11" ht="15" x14ac:dyDescent="0.25">
      <c r="A274" s="14">
        <v>40974</v>
      </c>
      <c r="B274" s="15">
        <v>605</v>
      </c>
      <c r="C274" s="15">
        <v>605</v>
      </c>
      <c r="D274" s="5" t="s">
        <v>2</v>
      </c>
      <c r="E274" s="5" t="s">
        <v>2</v>
      </c>
      <c r="F274" s="5">
        <v>4.171818</v>
      </c>
      <c r="G274" s="12">
        <f>VLOOKUP(A274,'[1]all FNCL'!A$2:B$993,2)</f>
        <v>0.91952398603163898</v>
      </c>
      <c r="H274" s="3" t="s">
        <v>286</v>
      </c>
      <c r="I274">
        <v>0.81036703654126596</v>
      </c>
      <c r="J274">
        <f>VLOOKUP(A274,'YB OAS'!B:F,5,0)</f>
        <v>163.85519400000001</v>
      </c>
      <c r="K274" s="40">
        <f>VLOOKUP(A274,'Refi Universe'!E:F,2,0)</f>
        <v>0.90010062000000002</v>
      </c>
    </row>
    <row r="275" spans="1:11" ht="15" x14ac:dyDescent="0.25">
      <c r="A275" s="14">
        <v>40975</v>
      </c>
      <c r="B275" s="15">
        <v>613</v>
      </c>
      <c r="C275" s="15">
        <v>613</v>
      </c>
      <c r="D275" s="5" t="s">
        <v>2</v>
      </c>
      <c r="E275" s="5" t="s">
        <v>2</v>
      </c>
      <c r="F275" s="5">
        <v>4.1874209999999996</v>
      </c>
      <c r="G275" s="12">
        <f>VLOOKUP(A275,'[1]all FNCL'!A$2:B$993,2)</f>
        <v>0.91952398603163898</v>
      </c>
      <c r="H275" s="3" t="s">
        <v>287</v>
      </c>
      <c r="I275">
        <v>0.81666056757909999</v>
      </c>
      <c r="J275">
        <f>VLOOKUP(A275,'YB OAS'!B:F,5,0)</f>
        <v>169.16520700000001</v>
      </c>
      <c r="K275" s="40">
        <f>VLOOKUP(A275,'Refi Universe'!E:F,2,0)</f>
        <v>0.91867080999999995</v>
      </c>
    </row>
    <row r="276" spans="1:11" ht="15" x14ac:dyDescent="0.25">
      <c r="A276" s="14">
        <v>40976</v>
      </c>
      <c r="B276" s="15">
        <v>613</v>
      </c>
      <c r="C276" s="15">
        <v>613</v>
      </c>
      <c r="D276" s="5" t="s">
        <v>2</v>
      </c>
      <c r="E276" s="5" t="s">
        <v>2</v>
      </c>
      <c r="F276" s="5">
        <v>4.1941569999999997</v>
      </c>
      <c r="G276" s="12">
        <f>VLOOKUP(A276,'[1]all FNCL'!A$2:B$993,2)</f>
        <v>0.920801695575303</v>
      </c>
      <c r="H276" s="3" t="s">
        <v>288</v>
      </c>
      <c r="I276">
        <v>0.81666056757909999</v>
      </c>
      <c r="J276">
        <f>VLOOKUP(A276,'YB OAS'!B:F,5,0)</f>
        <v>170.226303</v>
      </c>
      <c r="K276" s="40">
        <f>VLOOKUP(A276,'Refi Universe'!E:F,2,0)</f>
        <v>0.90661466999999996</v>
      </c>
    </row>
    <row r="277" spans="1:11" ht="15" x14ac:dyDescent="0.25">
      <c r="A277" s="14">
        <v>40977</v>
      </c>
      <c r="B277" s="15">
        <v>591</v>
      </c>
      <c r="C277" s="15">
        <v>591</v>
      </c>
      <c r="D277" s="5" t="s">
        <v>2</v>
      </c>
      <c r="E277" s="5" t="s">
        <v>2</v>
      </c>
      <c r="F277" s="5">
        <v>4.1827889999999996</v>
      </c>
      <c r="G277" s="12">
        <f>VLOOKUP(A277,'[1]all FNCL'!A$2:B$993,2)</f>
        <v>0.920801695575303</v>
      </c>
      <c r="H277" s="3" t="s">
        <v>289</v>
      </c>
      <c r="I277">
        <v>0.81666056757909999</v>
      </c>
      <c r="J277">
        <f>VLOOKUP(A277,'YB OAS'!B:F,5,0)</f>
        <v>154.49949599999999</v>
      </c>
      <c r="K277" s="40">
        <f>VLOOKUP(A277,'Refi Universe'!E:F,2,0)</f>
        <v>0.91488800000000003</v>
      </c>
    </row>
    <row r="278" spans="1:11" ht="15" x14ac:dyDescent="0.25">
      <c r="A278" s="14">
        <v>40980</v>
      </c>
      <c r="B278" s="15">
        <v>610</v>
      </c>
      <c r="C278" s="15">
        <v>610</v>
      </c>
      <c r="D278" s="5" t="s">
        <v>2</v>
      </c>
      <c r="E278" s="5" t="s">
        <v>2</v>
      </c>
      <c r="F278" s="5">
        <v>4.1863619999999999</v>
      </c>
      <c r="G278" s="12">
        <f>VLOOKUP(A278,'[1]all FNCL'!A$2:B$993,2)</f>
        <v>0.920801695575303</v>
      </c>
      <c r="H278" s="3" t="s">
        <v>290</v>
      </c>
      <c r="I278">
        <v>0.81666056757909999</v>
      </c>
      <c r="J278">
        <f>VLOOKUP(A278,'YB OAS'!B:F,5,0)</f>
        <v>167.63699299999999</v>
      </c>
      <c r="K278" s="40">
        <f>VLOOKUP(A278,'Refi Universe'!E:F,2,0)</f>
        <v>0.91615384</v>
      </c>
    </row>
    <row r="279" spans="1:11" ht="15" x14ac:dyDescent="0.25">
      <c r="A279" s="14">
        <v>40981</v>
      </c>
      <c r="B279" s="15">
        <v>579</v>
      </c>
      <c r="C279" s="15">
        <v>579</v>
      </c>
      <c r="D279" s="5" t="s">
        <v>2</v>
      </c>
      <c r="E279" s="5" t="s">
        <v>2</v>
      </c>
      <c r="F279" s="5">
        <v>4.2155259999999997</v>
      </c>
      <c r="G279" s="12">
        <f>VLOOKUP(A279,'[1]all FNCL'!A$2:B$993,2)</f>
        <v>0.920801695575303</v>
      </c>
      <c r="H279" s="3" t="s">
        <v>291</v>
      </c>
      <c r="I279">
        <v>0.81666056757909999</v>
      </c>
      <c r="J279">
        <f>VLOOKUP(A279,'YB OAS'!B:F,5,0)</f>
        <v>125.08719600000001</v>
      </c>
      <c r="K279" s="40">
        <f>VLOOKUP(A279,'Refi Universe'!E:F,2,0)</f>
        <v>0.86420087999999995</v>
      </c>
    </row>
    <row r="280" spans="1:11" ht="15" x14ac:dyDescent="0.25">
      <c r="A280" s="14">
        <v>40982</v>
      </c>
      <c r="B280" s="15">
        <v>565</v>
      </c>
      <c r="C280" s="15">
        <v>565</v>
      </c>
      <c r="D280" s="5" t="s">
        <v>2</v>
      </c>
      <c r="E280" s="5" t="s">
        <v>2</v>
      </c>
      <c r="F280" s="5">
        <v>4.2940240000000003</v>
      </c>
      <c r="G280" s="12">
        <f>VLOOKUP(A280,'[1]all FNCL'!A$2:B$993,2)</f>
        <v>0.920801695575303</v>
      </c>
      <c r="H280" s="3" t="s">
        <v>292</v>
      </c>
      <c r="I280">
        <v>0.80807149473903706</v>
      </c>
      <c r="J280">
        <f>VLOOKUP(A280,'YB OAS'!B:F,5,0)</f>
        <v>56.842799999999997</v>
      </c>
      <c r="K280" s="40">
        <f>VLOOKUP(A280,'Refi Universe'!E:F,2,0)</f>
        <v>0.77113012000000003</v>
      </c>
    </row>
    <row r="281" spans="1:11" ht="15" x14ac:dyDescent="0.25">
      <c r="A281" s="14">
        <v>40983</v>
      </c>
      <c r="B281" s="15">
        <v>568</v>
      </c>
      <c r="C281" s="15">
        <v>568</v>
      </c>
      <c r="D281" s="5" t="s">
        <v>2</v>
      </c>
      <c r="E281" s="5" t="s">
        <v>2</v>
      </c>
      <c r="F281" s="5">
        <v>4.2760509999999998</v>
      </c>
      <c r="G281" s="12">
        <f>VLOOKUP(A281,'[1]all FNCL'!A$2:B$993,2)</f>
        <v>0.91685044012466899</v>
      </c>
      <c r="H281" s="3" t="s">
        <v>293</v>
      </c>
      <c r="I281">
        <v>0.80807149473903706</v>
      </c>
      <c r="J281">
        <f>VLOOKUP(A281,'YB OAS'!B:F,5,0)</f>
        <v>71.837303000000006</v>
      </c>
      <c r="K281" s="40">
        <f>VLOOKUP(A281,'Refi Universe'!E:F,2,0)</f>
        <v>0.77902583999999997</v>
      </c>
    </row>
    <row r="282" spans="1:11" ht="15" x14ac:dyDescent="0.25">
      <c r="A282" s="14">
        <v>40984</v>
      </c>
      <c r="B282" s="15">
        <v>545</v>
      </c>
      <c r="C282" s="15">
        <v>545</v>
      </c>
      <c r="D282" s="5" t="s">
        <v>2</v>
      </c>
      <c r="E282" s="5" t="s">
        <v>2</v>
      </c>
      <c r="F282" s="5">
        <v>4.2607949999999999</v>
      </c>
      <c r="G282" s="12">
        <f>VLOOKUP(A282,'[1]all FNCL'!A$2:B$993,2)</f>
        <v>0.91685044012466899</v>
      </c>
      <c r="H282" s="3" t="s">
        <v>294</v>
      </c>
      <c r="I282">
        <v>0.80807149473903706</v>
      </c>
      <c r="J282">
        <f>VLOOKUP(A282,'YB OAS'!B:F,5,0)</f>
        <v>60.188400000000001</v>
      </c>
      <c r="K282" s="40">
        <f>VLOOKUP(A282,'Refi Universe'!E:F,2,0)</f>
        <v>0.80057159</v>
      </c>
    </row>
    <row r="283" spans="1:11" ht="15" x14ac:dyDescent="0.25">
      <c r="A283" s="14">
        <v>40987</v>
      </c>
      <c r="B283" s="15">
        <v>498</v>
      </c>
      <c r="C283" s="15">
        <v>498</v>
      </c>
      <c r="D283" s="5" t="s">
        <v>2</v>
      </c>
      <c r="E283" s="5" t="s">
        <v>2</v>
      </c>
      <c r="F283" s="5">
        <v>4.3025539999999998</v>
      </c>
      <c r="G283" s="12">
        <f>VLOOKUP(A283,'[1]all FNCL'!A$2:B$993,2)</f>
        <v>0.91685044012466899</v>
      </c>
      <c r="H283" s="3" t="s">
        <v>295</v>
      </c>
      <c r="I283">
        <v>0.80807149473903706</v>
      </c>
      <c r="J283">
        <f>VLOOKUP(A283,'YB OAS'!B:F,5,0)</f>
        <v>-4.1496000000000004</v>
      </c>
      <c r="K283" s="40">
        <f>VLOOKUP(A283,'Refi Universe'!E:F,2,0)</f>
        <v>0.74698810999999998</v>
      </c>
    </row>
    <row r="284" spans="1:11" ht="15" x14ac:dyDescent="0.25">
      <c r="A284" s="14">
        <v>40988</v>
      </c>
      <c r="B284" s="15">
        <v>488</v>
      </c>
      <c r="C284" s="15">
        <v>488</v>
      </c>
      <c r="D284" s="5" t="s">
        <v>2</v>
      </c>
      <c r="E284" s="5" t="s">
        <v>2</v>
      </c>
      <c r="F284" s="5">
        <v>4.3029299999999999</v>
      </c>
      <c r="G284" s="12">
        <f>VLOOKUP(A284,'[1]all FNCL'!A$2:B$993,2)</f>
        <v>0.91685044012466899</v>
      </c>
      <c r="H284" s="3" t="s">
        <v>296</v>
      </c>
      <c r="I284">
        <v>0.80807149473903706</v>
      </c>
      <c r="J284">
        <f>VLOOKUP(A284,'YB OAS'!B:F,5,0)</f>
        <v>-16.381001000000001</v>
      </c>
      <c r="K284" s="40">
        <f>VLOOKUP(A284,'Refi Universe'!E:F,2,0)</f>
        <v>0.74634694000000001</v>
      </c>
    </row>
    <row r="285" spans="1:11" ht="15" x14ac:dyDescent="0.25">
      <c r="A285" s="14">
        <v>40989</v>
      </c>
      <c r="B285" s="15">
        <v>500</v>
      </c>
      <c r="C285" s="15">
        <v>500</v>
      </c>
      <c r="D285" s="5" t="s">
        <v>2</v>
      </c>
      <c r="E285" s="5" t="s">
        <v>2</v>
      </c>
      <c r="F285" s="5">
        <v>4.2703110000000004</v>
      </c>
      <c r="G285" s="12">
        <f>VLOOKUP(A285,'[1]all FNCL'!A$2:B$993,2)</f>
        <v>0.91685044012466899</v>
      </c>
      <c r="H285" s="3" t="s">
        <v>297</v>
      </c>
      <c r="I285">
        <v>0.77783403735744605</v>
      </c>
      <c r="J285">
        <f>VLOOKUP(A285,'YB OAS'!B:F,5,0)</f>
        <v>15.536</v>
      </c>
      <c r="K285" s="40">
        <f>VLOOKUP(A285,'Refi Universe'!E:F,2,0)</f>
        <v>0.80795808999999996</v>
      </c>
    </row>
    <row r="286" spans="1:11" ht="15" x14ac:dyDescent="0.25">
      <c r="A286" s="14">
        <v>40990</v>
      </c>
      <c r="B286" s="15">
        <v>497</v>
      </c>
      <c r="C286" s="15">
        <v>497</v>
      </c>
      <c r="D286" s="5" t="s">
        <v>2</v>
      </c>
      <c r="E286" s="5" t="s">
        <v>2</v>
      </c>
      <c r="F286" s="5">
        <v>4.2727779999999997</v>
      </c>
      <c r="G286" s="12">
        <f>VLOOKUP(A286,'[1]all FNCL'!A$2:B$993,2)</f>
        <v>0.80564025680948503</v>
      </c>
      <c r="H286" s="3" t="s">
        <v>298</v>
      </c>
      <c r="I286">
        <v>0.77783403735744605</v>
      </c>
      <c r="J286">
        <f>VLOOKUP(A286,'YB OAS'!B:F,5,0)</f>
        <v>15.0131</v>
      </c>
      <c r="K286" s="40">
        <f>VLOOKUP(A286,'Refi Universe'!E:F,2,0)</f>
        <v>0.80795808999999996</v>
      </c>
    </row>
    <row r="287" spans="1:11" ht="15" x14ac:dyDescent="0.25">
      <c r="A287" s="14">
        <v>40991</v>
      </c>
      <c r="B287" s="15">
        <v>497</v>
      </c>
      <c r="C287" s="15">
        <v>497</v>
      </c>
      <c r="D287" s="5" t="s">
        <v>2</v>
      </c>
      <c r="E287" s="5" t="s">
        <v>2</v>
      </c>
      <c r="F287" s="5">
        <v>4.2702980000000004</v>
      </c>
      <c r="G287" s="12">
        <f>VLOOKUP(A287,'[1]all FNCL'!A$2:B$993,2)</f>
        <v>0.80564025680948503</v>
      </c>
      <c r="H287" s="3" t="s">
        <v>299</v>
      </c>
      <c r="I287">
        <v>0.77783403735744605</v>
      </c>
      <c r="J287">
        <f>VLOOKUP(A287,'YB OAS'!B:F,5,0)</f>
        <v>16.662399000000001</v>
      </c>
      <c r="K287" s="40">
        <f>VLOOKUP(A287,'Refi Universe'!E:F,2,0)</f>
        <v>0.8216253</v>
      </c>
    </row>
    <row r="288" spans="1:11" ht="15" x14ac:dyDescent="0.25">
      <c r="A288" s="14">
        <v>40994</v>
      </c>
      <c r="B288" s="15">
        <v>493</v>
      </c>
      <c r="C288" s="15">
        <v>493</v>
      </c>
      <c r="D288" s="5" t="s">
        <v>2</v>
      </c>
      <c r="E288" s="5" t="s">
        <v>2</v>
      </c>
      <c r="F288" s="5">
        <v>4.2615910000000001</v>
      </c>
      <c r="G288" s="12">
        <f>VLOOKUP(A288,'[1]all FNCL'!A$2:B$993,2)</f>
        <v>0.80564025680948503</v>
      </c>
      <c r="H288" s="3" t="s">
        <v>300</v>
      </c>
      <c r="I288">
        <v>0.69478056772037999</v>
      </c>
      <c r="J288">
        <f>VLOOKUP(A288,'YB OAS'!B:F,5,0)</f>
        <v>19.258400000000002</v>
      </c>
      <c r="K288" s="40">
        <f>VLOOKUP(A288,'Refi Universe'!E:F,2,0)</f>
        <v>0.83154335000000001</v>
      </c>
    </row>
    <row r="289" spans="1:11" ht="15" x14ac:dyDescent="0.25">
      <c r="A289" s="14">
        <v>40995</v>
      </c>
      <c r="B289" s="15">
        <v>512</v>
      </c>
      <c r="C289" s="15">
        <v>512</v>
      </c>
      <c r="D289" s="5" t="s">
        <v>2</v>
      </c>
      <c r="E289" s="5" t="s">
        <v>2</v>
      </c>
      <c r="F289" s="5">
        <v>4.2358859999999998</v>
      </c>
      <c r="G289" s="12">
        <f>VLOOKUP(A289,'[1]all FNCL'!A$2:B$993,2)</f>
        <v>0.80564025680948503</v>
      </c>
      <c r="H289" s="3" t="s">
        <v>301</v>
      </c>
      <c r="I289">
        <v>0.69478056772037999</v>
      </c>
      <c r="J289">
        <f>VLOOKUP(A289,'YB OAS'!B:F,5,0)</f>
        <v>57.465302000000001</v>
      </c>
      <c r="K289" s="40">
        <f>VLOOKUP(A289,'Refi Universe'!E:F,2,0)</f>
        <v>0.89567198000000003</v>
      </c>
    </row>
    <row r="290" spans="1:11" ht="15" x14ac:dyDescent="0.25">
      <c r="A290" s="14">
        <v>40996</v>
      </c>
      <c r="B290" s="15">
        <v>507</v>
      </c>
      <c r="C290" s="15">
        <v>507</v>
      </c>
      <c r="D290" s="5" t="s">
        <v>2</v>
      </c>
      <c r="E290" s="5" t="s">
        <v>2</v>
      </c>
      <c r="F290" s="5">
        <v>4.2435479999999997</v>
      </c>
      <c r="G290" s="12">
        <f>VLOOKUP(A290,'[1]all FNCL'!A$2:B$993,2)</f>
        <v>0.80564025680948503</v>
      </c>
      <c r="H290" s="3" t="s">
        <v>302</v>
      </c>
      <c r="I290">
        <v>0.69478056772037999</v>
      </c>
      <c r="J290">
        <f>VLOOKUP(A290,'YB OAS'!B:F,5,0)</f>
        <v>47.925700999999997</v>
      </c>
      <c r="K290" s="40">
        <f>VLOOKUP(A290,'Refi Universe'!E:F,2,0)</f>
        <v>0.90486840999999996</v>
      </c>
    </row>
    <row r="291" spans="1:11" ht="15" x14ac:dyDescent="0.25">
      <c r="A291" s="14">
        <v>40997</v>
      </c>
      <c r="B291" s="15">
        <v>503</v>
      </c>
      <c r="C291" s="15">
        <v>503</v>
      </c>
      <c r="D291" s="5" t="s">
        <v>2</v>
      </c>
      <c r="E291" s="5" t="s">
        <v>2</v>
      </c>
      <c r="F291" s="5">
        <v>4.2249290000000004</v>
      </c>
      <c r="G291" s="12">
        <f>VLOOKUP(A291,'[1]all FNCL'!A$2:B$993,2)</f>
        <v>0.87350901373716205</v>
      </c>
      <c r="H291" s="3" t="s">
        <v>303</v>
      </c>
      <c r="I291">
        <v>0.635194452728709</v>
      </c>
      <c r="J291">
        <f>VLOOKUP(A291,'YB OAS'!B:F,5,0)</f>
        <v>63.045898000000001</v>
      </c>
      <c r="K291" s="40">
        <f>VLOOKUP(A291,'Refi Universe'!E:F,2,0)</f>
        <v>0.91831567999999997</v>
      </c>
    </row>
    <row r="292" spans="1:11" ht="15" x14ac:dyDescent="0.25">
      <c r="A292" s="14">
        <v>40998</v>
      </c>
      <c r="B292" s="15">
        <v>464</v>
      </c>
      <c r="C292" s="15">
        <v>464</v>
      </c>
      <c r="D292" s="5" t="s">
        <v>2</v>
      </c>
      <c r="E292" s="5" t="s">
        <v>2</v>
      </c>
      <c r="F292" s="5">
        <v>4.2346640000000004</v>
      </c>
      <c r="G292" s="12">
        <f>VLOOKUP(A292,'[1]all FNCL'!A$2:B$993,2)</f>
        <v>0.87350901373716205</v>
      </c>
      <c r="H292" s="3" t="s">
        <v>304</v>
      </c>
      <c r="I292">
        <v>0.635194452728709</v>
      </c>
      <c r="J292">
        <f>VLOOKUP(A292,'YB OAS'!B:F,5,0)</f>
        <v>21.704599000000002</v>
      </c>
      <c r="K292" s="40">
        <f>VLOOKUP(A292,'Refi Universe'!E:F,2,0)</f>
        <v>0.89832186999999997</v>
      </c>
    </row>
    <row r="293" spans="1:11" ht="15" x14ac:dyDescent="0.25">
      <c r="A293" s="14">
        <v>41001</v>
      </c>
      <c r="B293" s="15">
        <v>463</v>
      </c>
      <c r="C293" s="15">
        <v>463</v>
      </c>
      <c r="D293" s="5" t="s">
        <v>2</v>
      </c>
      <c r="E293" s="5" t="s">
        <v>2</v>
      </c>
      <c r="F293" s="5">
        <v>4.2145159999999997</v>
      </c>
      <c r="G293" s="12">
        <f>VLOOKUP(A293,'[1]all FNCL'!A$2:B$993,2)</f>
        <v>0.86085196162229005</v>
      </c>
      <c r="H293" s="3" t="s">
        <v>305</v>
      </c>
      <c r="I293">
        <v>0.614848697284054</v>
      </c>
      <c r="J293">
        <f>VLOOKUP(A293,'YB OAS'!B:F,5,0)</f>
        <v>26.460999999999999</v>
      </c>
      <c r="K293" s="40">
        <f>VLOOKUP(A293,'Refi Universe'!E:F,2,0)</f>
        <v>0.89829537000000004</v>
      </c>
    </row>
    <row r="294" spans="1:11" ht="15" x14ac:dyDescent="0.25">
      <c r="A294" s="14">
        <v>41002</v>
      </c>
      <c r="B294" s="15">
        <v>438</v>
      </c>
      <c r="C294" s="15">
        <v>438</v>
      </c>
      <c r="D294" s="5" t="s">
        <v>2</v>
      </c>
      <c r="E294" s="5" t="s">
        <v>2</v>
      </c>
      <c r="F294" s="5">
        <v>4.2592239999999997</v>
      </c>
      <c r="G294" s="12">
        <f>VLOOKUP(A294,'[1]all FNCL'!A$2:B$993,2)</f>
        <v>0.86085196162229005</v>
      </c>
      <c r="H294" s="3" t="s">
        <v>306</v>
      </c>
      <c r="I294">
        <v>0.614848697284054</v>
      </c>
      <c r="J294">
        <f>VLOOKUP(A294,'YB OAS'!B:F,5,0)</f>
        <v>-25.407800999999999</v>
      </c>
      <c r="K294" s="40">
        <f>VLOOKUP(A294,'Refi Universe'!E:F,2,0)</f>
        <v>0.80623690999999997</v>
      </c>
    </row>
    <row r="295" spans="1:11" ht="15" x14ac:dyDescent="0.25">
      <c r="A295" s="14">
        <v>41003</v>
      </c>
      <c r="B295" s="15">
        <v>451</v>
      </c>
      <c r="C295" s="15">
        <v>451</v>
      </c>
      <c r="D295" s="5" t="s">
        <v>2</v>
      </c>
      <c r="E295" s="5" t="s">
        <v>2</v>
      </c>
      <c r="F295" s="5">
        <v>4.2403719999999998</v>
      </c>
      <c r="G295" s="12">
        <f>VLOOKUP(A295,'[1]all FNCL'!A$2:B$993,2)</f>
        <v>0.86085196162229005</v>
      </c>
      <c r="H295" s="3" t="s">
        <v>307</v>
      </c>
      <c r="I295">
        <v>0.614848697284054</v>
      </c>
      <c r="J295">
        <f>VLOOKUP(A295,'YB OAS'!B:F,5,0)</f>
        <v>-9.9998000000000005</v>
      </c>
      <c r="K295" s="40">
        <f>VLOOKUP(A295,'Refi Universe'!E:F,2,0)</f>
        <v>0.84304774000000005</v>
      </c>
    </row>
    <row r="296" spans="1:11" ht="15" x14ac:dyDescent="0.25">
      <c r="A296" s="14">
        <v>41004</v>
      </c>
      <c r="B296" s="15">
        <v>474</v>
      </c>
      <c r="C296" s="15">
        <v>474</v>
      </c>
      <c r="D296" s="5" t="s">
        <v>2</v>
      </c>
      <c r="E296" s="5" t="s">
        <v>2</v>
      </c>
      <c r="F296" s="5">
        <v>4.2239139999999997</v>
      </c>
      <c r="G296" s="12">
        <f>VLOOKUP(A296,'[1]all FNCL'!A$2:B$993,2)</f>
        <v>0.86928745494692705</v>
      </c>
      <c r="H296" s="3" t="s">
        <v>308</v>
      </c>
      <c r="I296">
        <v>0.60559705603105995</v>
      </c>
      <c r="J296">
        <f>VLOOKUP(A296,'YB OAS'!B:F,5,0)</f>
        <v>13.196199999999999</v>
      </c>
      <c r="K296" s="40">
        <f>VLOOKUP(A296,'Refi Universe'!E:F,2,0)</f>
        <v>0.88736484000000004</v>
      </c>
    </row>
    <row r="297" spans="1:11" ht="15" x14ac:dyDescent="0.25">
      <c r="A297" s="14">
        <v>41005</v>
      </c>
      <c r="B297" s="15">
        <v>449</v>
      </c>
      <c r="C297" s="15">
        <v>449</v>
      </c>
      <c r="D297" s="5" t="s">
        <v>2</v>
      </c>
      <c r="E297" s="5" t="s">
        <v>2</v>
      </c>
      <c r="F297" s="5">
        <v>4.181514</v>
      </c>
      <c r="G297" s="12">
        <f>VLOOKUP(A297,'[1]all FNCL'!A$2:B$993,2)</f>
        <v>0.86928745494692705</v>
      </c>
      <c r="H297" s="3" t="s">
        <v>309</v>
      </c>
      <c r="I297">
        <v>0.60559705603105995</v>
      </c>
      <c r="J297">
        <f>VLOOKUP(A297,'YB OAS'!B:F,5,0)</f>
        <v>268.24160799999999</v>
      </c>
      <c r="K297" s="40">
        <f>VLOOKUP(A297,'Refi Universe'!E:F,2,0)</f>
        <v>0.9104373</v>
      </c>
    </row>
    <row r="298" spans="1:11" ht="15" x14ac:dyDescent="0.25">
      <c r="A298" s="14">
        <v>41008</v>
      </c>
      <c r="B298" s="15">
        <v>476</v>
      </c>
      <c r="C298" s="15">
        <v>476</v>
      </c>
      <c r="D298" s="5" t="s">
        <v>2</v>
      </c>
      <c r="E298" s="5" t="s">
        <v>2</v>
      </c>
      <c r="F298" s="5">
        <v>4.1731889999999998</v>
      </c>
      <c r="G298" s="12">
        <f>VLOOKUP(A298,'[1]all FNCL'!A$2:B$993,2)</f>
        <v>0.86928745494692705</v>
      </c>
      <c r="H298" s="3" t="s">
        <v>310</v>
      </c>
      <c r="I298">
        <v>0.60559705603105995</v>
      </c>
      <c r="J298">
        <f>VLOOKUP(A298,'YB OAS'!B:F,5,0)</f>
        <v>65.207297999999994</v>
      </c>
      <c r="K298" s="40">
        <f>VLOOKUP(A298,'Refi Universe'!E:F,2,0)</f>
        <v>0.91119961999999999</v>
      </c>
    </row>
    <row r="299" spans="1:11" ht="15" x14ac:dyDescent="0.25">
      <c r="A299" s="14">
        <v>41009</v>
      </c>
      <c r="B299" s="15">
        <v>516</v>
      </c>
      <c r="C299" s="15">
        <v>516</v>
      </c>
      <c r="D299" s="5" t="s">
        <v>2</v>
      </c>
      <c r="E299" s="5" t="s">
        <v>2</v>
      </c>
      <c r="F299" s="5">
        <v>4.1816969999999998</v>
      </c>
      <c r="G299" s="12">
        <f>VLOOKUP(A299,'[1]all FNCL'!A$2:B$993,2)</f>
        <v>0.86928745494692705</v>
      </c>
      <c r="H299" s="3" t="s">
        <v>311</v>
      </c>
      <c r="I299">
        <v>0.60559705603105995</v>
      </c>
      <c r="J299">
        <f>VLOOKUP(A299,'YB OAS'!B:F,5,0)</f>
        <v>86.164398000000006</v>
      </c>
      <c r="K299" s="40">
        <f>VLOOKUP(A299,'Refi Universe'!E:F,2,0)</f>
        <v>0.91121001999999995</v>
      </c>
    </row>
    <row r="300" spans="1:11" ht="15" x14ac:dyDescent="0.25">
      <c r="A300" s="14">
        <v>41010</v>
      </c>
      <c r="B300" s="15">
        <v>518</v>
      </c>
      <c r="C300" s="15">
        <v>518</v>
      </c>
      <c r="D300" s="5" t="s">
        <v>2</v>
      </c>
      <c r="E300" s="5" t="s">
        <v>2</v>
      </c>
      <c r="F300" s="5">
        <v>4.1978489999999997</v>
      </c>
      <c r="G300" s="12">
        <f>VLOOKUP(A300,'[1]all FNCL'!A$2:B$993,2)</f>
        <v>0.86928745494692705</v>
      </c>
      <c r="H300" s="3" t="s">
        <v>312</v>
      </c>
      <c r="I300">
        <v>0.57343184072471898</v>
      </c>
      <c r="J300">
        <f>VLOOKUP(A300,'YB OAS'!B:F,5,0)</f>
        <v>81.158896999999996</v>
      </c>
      <c r="K300" s="40">
        <f>VLOOKUP(A300,'Refi Universe'!E:F,2,0)</f>
        <v>0.90933637</v>
      </c>
    </row>
    <row r="301" spans="1:11" ht="15" x14ac:dyDescent="0.25">
      <c r="A301" s="14">
        <v>41011</v>
      </c>
      <c r="B301" s="15">
        <v>534</v>
      </c>
      <c r="C301" s="15">
        <v>534</v>
      </c>
      <c r="D301" s="5" t="s">
        <v>2</v>
      </c>
      <c r="E301" s="5" t="s">
        <v>2</v>
      </c>
      <c r="F301" s="5">
        <v>4.2111799999999997</v>
      </c>
      <c r="G301" s="12">
        <f>VLOOKUP(A301,'[1]all FNCL'!A$2:B$993,2)</f>
        <v>0.90843431405369401</v>
      </c>
      <c r="H301" s="3" t="s">
        <v>313</v>
      </c>
      <c r="I301">
        <v>0.57343184072471898</v>
      </c>
      <c r="J301">
        <f>VLOOKUP(A301,'YB OAS'!B:F,5,0)</f>
        <v>80.005095999999995</v>
      </c>
      <c r="K301" s="40">
        <f>VLOOKUP(A301,'Refi Universe'!E:F,2,0)</f>
        <v>0.90710064000000001</v>
      </c>
    </row>
    <row r="302" spans="1:11" ht="15" x14ac:dyDescent="0.25">
      <c r="A302" s="14">
        <v>41012</v>
      </c>
      <c r="B302" s="15">
        <v>560</v>
      </c>
      <c r="C302" s="15">
        <v>560</v>
      </c>
      <c r="D302" s="5" t="s">
        <v>2</v>
      </c>
      <c r="E302" s="5" t="s">
        <v>2</v>
      </c>
      <c r="F302" s="5">
        <v>4.1447099999999999</v>
      </c>
      <c r="G302" s="12">
        <f>VLOOKUP(A302,'[1]all FNCL'!A$2:B$993,2)</f>
        <v>0.90843431405369401</v>
      </c>
      <c r="H302" s="3" t="s">
        <v>314</v>
      </c>
      <c r="I302">
        <v>0.57343184072471898</v>
      </c>
      <c r="J302">
        <f>VLOOKUP(A302,'YB OAS'!B:F,5,0)</f>
        <v>102.285202</v>
      </c>
      <c r="K302" s="40">
        <f>VLOOKUP(A302,'Refi Universe'!E:F,2,0)</f>
        <v>0.90933154999999999</v>
      </c>
    </row>
    <row r="303" spans="1:11" ht="15" x14ac:dyDescent="0.25">
      <c r="A303" s="14">
        <v>41015</v>
      </c>
      <c r="B303" s="15">
        <v>581</v>
      </c>
      <c r="C303" s="15">
        <v>581</v>
      </c>
      <c r="D303" s="5" t="s">
        <v>2</v>
      </c>
      <c r="E303" s="5" t="s">
        <v>2</v>
      </c>
      <c r="F303" s="5">
        <v>4.1417729999999997</v>
      </c>
      <c r="G303" s="12">
        <f>VLOOKUP(A303,'[1]all FNCL'!A$2:B$993,2)</f>
        <v>0.90843431405369401</v>
      </c>
      <c r="H303" s="3" t="s">
        <v>315</v>
      </c>
      <c r="I303">
        <v>0.57343184072471898</v>
      </c>
      <c r="J303">
        <f>VLOOKUP(A303,'YB OAS'!B:F,5,0)</f>
        <v>116.2677</v>
      </c>
      <c r="K303" s="40">
        <f>VLOOKUP(A303,'Refi Universe'!E:F,2,0)</f>
        <v>0.90998736000000002</v>
      </c>
    </row>
    <row r="304" spans="1:11" ht="15" x14ac:dyDescent="0.25">
      <c r="A304" s="14">
        <v>41016</v>
      </c>
      <c r="B304" s="15">
        <v>587</v>
      </c>
      <c r="C304" s="15">
        <v>587</v>
      </c>
      <c r="D304" s="5" t="s">
        <v>2</v>
      </c>
      <c r="E304" s="5" t="s">
        <v>2</v>
      </c>
      <c r="F304" s="5">
        <v>4.1615469999999997</v>
      </c>
      <c r="G304" s="12">
        <f>VLOOKUP(A304,'[1]all FNCL'!A$2:B$993,2)</f>
        <v>0.90843431405369401</v>
      </c>
      <c r="H304" s="3" t="s">
        <v>316</v>
      </c>
      <c r="I304">
        <v>0.57343184072471898</v>
      </c>
      <c r="J304">
        <f>VLOOKUP(A304,'YB OAS'!B:F,5,0)</f>
        <v>129.25959800000001</v>
      </c>
      <c r="K304" s="40">
        <f>VLOOKUP(A304,'Refi Universe'!E:F,2,0)</f>
        <v>0.90800420000000004</v>
      </c>
    </row>
    <row r="305" spans="1:11" ht="15" x14ac:dyDescent="0.25">
      <c r="A305" s="14">
        <v>41017</v>
      </c>
      <c r="B305" s="15">
        <v>618</v>
      </c>
      <c r="C305" s="15">
        <v>618</v>
      </c>
      <c r="D305" s="5" t="s">
        <v>2</v>
      </c>
      <c r="E305" s="5" t="s">
        <v>2</v>
      </c>
      <c r="F305" s="5">
        <v>4.1491490000000004</v>
      </c>
      <c r="G305" s="12">
        <f>VLOOKUP(A305,'[1]all FNCL'!A$2:B$993,2)</f>
        <v>0.90843431405369401</v>
      </c>
      <c r="H305" s="3" t="s">
        <v>317</v>
      </c>
      <c r="I305">
        <v>0.60175540147873097</v>
      </c>
      <c r="J305">
        <f>VLOOKUP(A305,'YB OAS'!B:F,5,0)</f>
        <v>156.50619499999999</v>
      </c>
      <c r="K305" s="40">
        <f>VLOOKUP(A305,'Refi Universe'!E:F,2,0)</f>
        <v>0.90536366999999995</v>
      </c>
    </row>
    <row r="306" spans="1:11" ht="15" x14ac:dyDescent="0.25">
      <c r="A306" s="14">
        <v>41018</v>
      </c>
      <c r="B306" s="15">
        <v>614</v>
      </c>
      <c r="C306" s="15">
        <v>614</v>
      </c>
      <c r="D306" s="5" t="s">
        <v>2</v>
      </c>
      <c r="E306" s="5" t="s">
        <v>2</v>
      </c>
      <c r="F306" s="5">
        <v>4.1225889999999996</v>
      </c>
      <c r="G306" s="12">
        <f>VLOOKUP(A306,'[1]all FNCL'!A$2:B$993,2)</f>
        <v>0.90710064326562501</v>
      </c>
      <c r="H306" s="3" t="s">
        <v>318</v>
      </c>
      <c r="I306">
        <v>0.60175540147873097</v>
      </c>
      <c r="J306">
        <f>VLOOKUP(A306,'YB OAS'!B:F,5,0)</f>
        <v>155.35600299999999</v>
      </c>
      <c r="K306" s="40">
        <f>VLOOKUP(A306,'Refi Universe'!E:F,2,0)</f>
        <v>0.90885141000000003</v>
      </c>
    </row>
    <row r="307" spans="1:11" ht="15" x14ac:dyDescent="0.25">
      <c r="A307" s="14">
        <v>41019</v>
      </c>
      <c r="B307" s="15">
        <v>580</v>
      </c>
      <c r="C307" s="15">
        <v>580</v>
      </c>
      <c r="D307" s="5" t="s">
        <v>2</v>
      </c>
      <c r="E307" s="5" t="s">
        <v>2</v>
      </c>
      <c r="F307" s="5">
        <v>4.1301550000000002</v>
      </c>
      <c r="G307" s="12">
        <f>VLOOKUP(A307,'[1]all FNCL'!A$2:B$993,2)</f>
        <v>0.90710064326562501</v>
      </c>
      <c r="H307" s="3" t="s">
        <v>319</v>
      </c>
      <c r="I307">
        <v>0.60175540147873097</v>
      </c>
      <c r="J307">
        <f>VLOOKUP(A307,'YB OAS'!B:F,5,0)</f>
        <v>128.5121</v>
      </c>
      <c r="K307" s="40">
        <f>VLOOKUP(A307,'Refi Universe'!E:F,2,0)</f>
        <v>0.90806520999999996</v>
      </c>
    </row>
    <row r="308" spans="1:11" ht="15" x14ac:dyDescent="0.25">
      <c r="A308" s="14">
        <v>41022</v>
      </c>
      <c r="B308" s="15">
        <v>593</v>
      </c>
      <c r="C308" s="15">
        <v>593</v>
      </c>
      <c r="D308" s="5" t="s">
        <v>2</v>
      </c>
      <c r="E308" s="5" t="s">
        <v>2</v>
      </c>
      <c r="F308" s="5">
        <v>4.1178749999999997</v>
      </c>
      <c r="G308" s="12">
        <f>VLOOKUP(A308,'[1]all FNCL'!A$2:B$993,2)</f>
        <v>0.90710064326562501</v>
      </c>
      <c r="H308" s="3" t="s">
        <v>320</v>
      </c>
      <c r="I308">
        <v>0.60175540147873097</v>
      </c>
      <c r="J308">
        <f>VLOOKUP(A308,'YB OAS'!B:F,5,0)</f>
        <v>142.64700300000001</v>
      </c>
      <c r="K308" s="40">
        <f>VLOOKUP(A308,'Refi Universe'!E:F,2,0)</f>
        <v>0.90994850999999999</v>
      </c>
    </row>
    <row r="309" spans="1:11" ht="15" x14ac:dyDescent="0.25">
      <c r="A309" s="14">
        <v>41023</v>
      </c>
      <c r="B309" s="15">
        <v>568</v>
      </c>
      <c r="C309" s="15">
        <v>568</v>
      </c>
      <c r="D309" s="5" t="s">
        <v>2</v>
      </c>
      <c r="E309" s="5" t="s">
        <v>2</v>
      </c>
      <c r="F309" s="5">
        <v>4.1239039999999996</v>
      </c>
      <c r="G309" s="12">
        <f>VLOOKUP(A309,'[1]all FNCL'!A$2:B$993,2)</f>
        <v>0.90710064326562501</v>
      </c>
      <c r="H309" s="3" t="s">
        <v>321</v>
      </c>
      <c r="I309">
        <v>0.41370007412069798</v>
      </c>
      <c r="J309">
        <f>VLOOKUP(A309,'YB OAS'!B:F,5,0)</f>
        <v>128.158096</v>
      </c>
      <c r="K309" s="40">
        <f>VLOOKUP(A309,'Refi Universe'!E:F,2,0)</f>
        <v>0.90828774000000001</v>
      </c>
    </row>
    <row r="310" spans="1:11" ht="15" x14ac:dyDescent="0.25">
      <c r="A310" s="14">
        <v>41024</v>
      </c>
      <c r="B310" s="15">
        <v>557</v>
      </c>
      <c r="C310" s="15">
        <v>557</v>
      </c>
      <c r="D310" s="5" t="s">
        <v>2</v>
      </c>
      <c r="E310" s="5" t="s">
        <v>2</v>
      </c>
      <c r="F310" s="5">
        <v>4.1381969999999999</v>
      </c>
      <c r="G310" s="12">
        <f>VLOOKUP(A310,'[1]all FNCL'!A$2:B$993,2)</f>
        <v>0.90710064326562501</v>
      </c>
      <c r="H310" s="3" t="s">
        <v>322</v>
      </c>
      <c r="I310">
        <v>0.41370007412069798</v>
      </c>
      <c r="J310">
        <f>VLOOKUP(A310,'YB OAS'!B:F,5,0)</f>
        <v>110.977997</v>
      </c>
      <c r="K310" s="40">
        <f>VLOOKUP(A310,'Refi Universe'!E:F,2,0)</f>
        <v>0.90652851000000001</v>
      </c>
    </row>
    <row r="311" spans="1:11" ht="15" x14ac:dyDescent="0.25">
      <c r="A311" s="14">
        <v>41025</v>
      </c>
      <c r="B311" s="15">
        <v>562</v>
      </c>
      <c r="C311" s="15">
        <v>562</v>
      </c>
      <c r="D311" s="5" t="s">
        <v>2</v>
      </c>
      <c r="E311" s="5" t="s">
        <v>2</v>
      </c>
      <c r="F311" s="5">
        <v>4.1258939999999997</v>
      </c>
      <c r="G311" s="12">
        <f>VLOOKUP(A311,'[1]all FNCL'!A$2:B$993,2)</f>
        <v>0.90843431405369401</v>
      </c>
      <c r="H311" s="3" t="s">
        <v>323</v>
      </c>
      <c r="I311">
        <v>0.39643390905357601</v>
      </c>
      <c r="J311">
        <f>VLOOKUP(A311,'YB OAS'!B:F,5,0)</f>
        <v>119.915398</v>
      </c>
      <c r="K311" s="40">
        <f>VLOOKUP(A311,'Refi Universe'!E:F,2,0)</f>
        <v>0.90862149000000003</v>
      </c>
    </row>
    <row r="312" spans="1:11" ht="15" x14ac:dyDescent="0.25">
      <c r="A312" s="14">
        <v>41026</v>
      </c>
      <c r="B312" s="15">
        <v>554</v>
      </c>
      <c r="C312" s="15">
        <v>554</v>
      </c>
      <c r="D312" s="5" t="s">
        <v>2</v>
      </c>
      <c r="E312" s="5" t="s">
        <v>2</v>
      </c>
      <c r="F312" s="5">
        <v>4.1105790000000004</v>
      </c>
      <c r="G312" s="12">
        <f>VLOOKUP(A312,'[1]all FNCL'!A$2:B$993,2)</f>
        <v>0.90843431405369401</v>
      </c>
      <c r="H312" s="3" t="s">
        <v>324</v>
      </c>
      <c r="I312">
        <v>0.39643390905357601</v>
      </c>
      <c r="J312">
        <f>VLOOKUP(A312,'YB OAS'!B:F,5,0)</f>
        <v>124.584503</v>
      </c>
      <c r="K312" s="40">
        <f>VLOOKUP(A312,'Refi Universe'!E:F,2,0)</f>
        <v>0.90994850999999999</v>
      </c>
    </row>
    <row r="313" spans="1:11" ht="15" x14ac:dyDescent="0.25">
      <c r="A313" s="14">
        <v>41029</v>
      </c>
      <c r="B313" s="15">
        <v>542</v>
      </c>
      <c r="C313" s="15">
        <v>542</v>
      </c>
      <c r="D313" s="5" t="s">
        <v>2</v>
      </c>
      <c r="E313" s="5" t="s">
        <v>2</v>
      </c>
      <c r="F313" s="5">
        <v>4.1106179999999997</v>
      </c>
      <c r="G313" s="12">
        <f>VLOOKUP(A313,'[1]all FNCL'!A$2:B$993,2)</f>
        <v>0.90843431405369401</v>
      </c>
      <c r="H313" s="3" t="s">
        <v>325</v>
      </c>
      <c r="I313">
        <v>0.43308419457729302</v>
      </c>
      <c r="J313">
        <f>VLOOKUP(A313,'YB OAS'!B:F,5,0)</f>
        <v>103.585098</v>
      </c>
      <c r="K313" s="40">
        <f>VLOOKUP(A313,'Refi Universe'!E:F,2,0)</f>
        <v>0.91020621000000002</v>
      </c>
    </row>
    <row r="314" spans="1:11" ht="15" x14ac:dyDescent="0.25">
      <c r="A314" s="14">
        <v>41030</v>
      </c>
      <c r="B314" s="15">
        <v>503</v>
      </c>
      <c r="C314" s="15">
        <v>503</v>
      </c>
      <c r="D314" s="5" t="s">
        <v>2</v>
      </c>
      <c r="E314" s="5" t="s">
        <v>2</v>
      </c>
      <c r="F314" s="5">
        <v>4.1041040000000004</v>
      </c>
      <c r="G314" s="12">
        <f>VLOOKUP(A314,'[1]all FNCL'!A$2:B$993,2)</f>
        <v>0.89130997835799997</v>
      </c>
      <c r="H314" s="3" t="s">
        <v>326</v>
      </c>
      <c r="I314">
        <v>0.43308419457729302</v>
      </c>
      <c r="J314">
        <f>VLOOKUP(A314,'YB OAS'!B:F,5,0)</f>
        <v>71.352203000000003</v>
      </c>
      <c r="K314" s="40">
        <f>VLOOKUP(A314,'Refi Universe'!E:F,2,0)</f>
        <v>0.89172037999999998</v>
      </c>
    </row>
    <row r="315" spans="1:11" ht="15" x14ac:dyDescent="0.25">
      <c r="A315" s="14">
        <v>41031</v>
      </c>
      <c r="B315" s="15">
        <v>512</v>
      </c>
      <c r="C315" s="15">
        <v>512</v>
      </c>
      <c r="D315" s="5" t="s">
        <v>2</v>
      </c>
      <c r="E315" s="5" t="s">
        <v>2</v>
      </c>
      <c r="F315" s="5">
        <v>4.1126100000000001</v>
      </c>
      <c r="G315" s="12">
        <f>VLOOKUP(A315,'[1]all FNCL'!A$2:B$993,2)</f>
        <v>0.89130997835799997</v>
      </c>
      <c r="H315" s="3" t="s">
        <v>327</v>
      </c>
      <c r="I315">
        <v>0.43308419457729302</v>
      </c>
      <c r="J315">
        <f>VLOOKUP(A315,'YB OAS'!B:F,5,0)</f>
        <v>78.429100000000005</v>
      </c>
      <c r="K315" s="40">
        <f>VLOOKUP(A315,'Refi Universe'!E:F,2,0)</f>
        <v>0.89242913999999995</v>
      </c>
    </row>
    <row r="316" spans="1:11" ht="15" x14ac:dyDescent="0.25">
      <c r="A316" s="14">
        <v>41032</v>
      </c>
      <c r="B316" s="15">
        <v>486</v>
      </c>
      <c r="C316" s="15">
        <v>486</v>
      </c>
      <c r="D316" s="5" t="s">
        <v>2</v>
      </c>
      <c r="E316" s="5" t="s">
        <v>2</v>
      </c>
      <c r="F316" s="5">
        <v>4.1117119999999998</v>
      </c>
      <c r="G316" s="12">
        <f>VLOOKUP(A316,'[1]all FNCL'!A$2:B$993,2)</f>
        <v>0.89320680852935697</v>
      </c>
      <c r="H316" s="3" t="s">
        <v>328</v>
      </c>
      <c r="I316">
        <v>0.43308419457729302</v>
      </c>
      <c r="J316">
        <f>VLOOKUP(A316,'YB OAS'!B:F,5,0)</f>
        <v>59.625599000000001</v>
      </c>
      <c r="K316" s="40">
        <f>VLOOKUP(A316,'Refi Universe'!E:F,2,0)</f>
        <v>0.89178466999999995</v>
      </c>
    </row>
    <row r="317" spans="1:11" ht="15" x14ac:dyDescent="0.25">
      <c r="A317" s="14">
        <v>41033</v>
      </c>
      <c r="B317" s="15">
        <v>496</v>
      </c>
      <c r="C317" s="15">
        <v>496</v>
      </c>
      <c r="D317" s="5" t="s">
        <v>2</v>
      </c>
      <c r="E317" s="5" t="s">
        <v>2</v>
      </c>
      <c r="F317" s="5">
        <v>4.1137829999999997</v>
      </c>
      <c r="G317" s="12">
        <f>VLOOKUP(A317,'[1]all FNCL'!A$2:B$993,2)</f>
        <v>0.89320680852935697</v>
      </c>
      <c r="H317" s="3" t="s">
        <v>329</v>
      </c>
      <c r="I317">
        <v>0.43308419457729302</v>
      </c>
      <c r="J317">
        <f>VLOOKUP(A317,'YB OAS'!B:F,5,0)</f>
        <v>62.234698999999999</v>
      </c>
      <c r="K317" s="40">
        <f>VLOOKUP(A317,'Refi Universe'!E:F,2,0)</f>
        <v>0.89320864</v>
      </c>
    </row>
    <row r="318" spans="1:11" ht="15" x14ac:dyDescent="0.25">
      <c r="A318" s="14">
        <v>41036</v>
      </c>
      <c r="B318" s="15">
        <v>451</v>
      </c>
      <c r="C318" s="15">
        <v>451</v>
      </c>
      <c r="D318" s="5" t="s">
        <v>2</v>
      </c>
      <c r="E318" s="5" t="s">
        <v>2</v>
      </c>
      <c r="F318" s="5">
        <v>4.1128369999999999</v>
      </c>
      <c r="G318" s="12">
        <f>VLOOKUP(A318,'[1]all FNCL'!A$2:B$993,2)</f>
        <v>0.89320680852935697</v>
      </c>
      <c r="H318" s="3" t="s">
        <v>330</v>
      </c>
      <c r="I318">
        <v>0.34039157628197098</v>
      </c>
      <c r="J318">
        <f>VLOOKUP(A318,'YB OAS'!B:F,5,0)</f>
        <v>17.575600000000001</v>
      </c>
      <c r="K318" s="40">
        <f>VLOOKUP(A318,'Refi Universe'!E:F,2,0)</f>
        <v>0.89293347999999995</v>
      </c>
    </row>
    <row r="319" spans="1:11" ht="15" x14ac:dyDescent="0.25">
      <c r="A319" s="14">
        <v>41037</v>
      </c>
      <c r="B319" s="15">
        <v>438</v>
      </c>
      <c r="C319" s="15">
        <v>438</v>
      </c>
      <c r="D319" s="5" t="s">
        <v>2</v>
      </c>
      <c r="E319" s="5" t="s">
        <v>2</v>
      </c>
      <c r="F319" s="5">
        <v>4.114109</v>
      </c>
      <c r="G319" s="12">
        <f>VLOOKUP(A319,'[1]all FNCL'!A$2:B$993,2)</f>
        <v>0.89320680852935697</v>
      </c>
      <c r="H319" s="3" t="s">
        <v>331</v>
      </c>
      <c r="I319">
        <v>0.34039157628197098</v>
      </c>
      <c r="J319">
        <f>VLOOKUP(A319,'YB OAS'!B:F,5,0)</f>
        <v>-2.2479</v>
      </c>
      <c r="K319" s="40">
        <f>VLOOKUP(A319,'Refi Universe'!E:F,2,0)</f>
        <v>0.89332922000000003</v>
      </c>
    </row>
    <row r="320" spans="1:11" ht="15" x14ac:dyDescent="0.25">
      <c r="A320" s="14">
        <v>41038</v>
      </c>
      <c r="B320" s="15">
        <v>412</v>
      </c>
      <c r="C320" s="15">
        <v>412</v>
      </c>
      <c r="D320" s="5" t="s">
        <v>2</v>
      </c>
      <c r="E320" s="5" t="s">
        <v>2</v>
      </c>
      <c r="F320" s="5">
        <v>4.0983749999999999</v>
      </c>
      <c r="G320" s="12">
        <f>VLOOKUP(A320,'[1]all FNCL'!A$2:B$993,2)</f>
        <v>0.89320680852935697</v>
      </c>
      <c r="H320" s="3" t="s">
        <v>332</v>
      </c>
      <c r="I320">
        <v>0.34039157628197098</v>
      </c>
      <c r="J320">
        <f>VLOOKUP(A320,'YB OAS'!B:F,5,0)</f>
        <v>-22.840401</v>
      </c>
      <c r="K320" s="40">
        <f>VLOOKUP(A320,'Refi Universe'!E:F,2,0)</f>
        <v>0.89434619999999998</v>
      </c>
    </row>
    <row r="321" spans="1:11" ht="15" x14ac:dyDescent="0.25">
      <c r="A321" s="14">
        <v>41039</v>
      </c>
      <c r="B321" s="15">
        <v>412</v>
      </c>
      <c r="C321" s="15">
        <v>412</v>
      </c>
      <c r="D321" s="5" t="s">
        <v>2</v>
      </c>
      <c r="E321" s="5" t="s">
        <v>2</v>
      </c>
      <c r="F321" s="5">
        <v>4.0839679999999996</v>
      </c>
      <c r="G321" s="12">
        <f>VLOOKUP(A321,'[1]all FNCL'!A$2:B$993,2)</f>
        <v>0.89335852280722505</v>
      </c>
      <c r="H321" s="3" t="s">
        <v>333</v>
      </c>
      <c r="I321">
        <v>0.34039157628197098</v>
      </c>
      <c r="J321">
        <f>VLOOKUP(A321,'YB OAS'!B:F,5,0)</f>
        <v>-16.379000000000001</v>
      </c>
      <c r="K321" s="40">
        <f>VLOOKUP(A321,'Refi Universe'!E:F,2,0)</f>
        <v>0.89447244000000004</v>
      </c>
    </row>
    <row r="322" spans="1:11" ht="15" x14ac:dyDescent="0.25">
      <c r="A322" s="14">
        <v>41040</v>
      </c>
      <c r="B322" s="15">
        <v>440</v>
      </c>
      <c r="C322" s="15">
        <v>440</v>
      </c>
      <c r="D322" s="5" t="s">
        <v>2</v>
      </c>
      <c r="E322" s="5" t="s">
        <v>2</v>
      </c>
      <c r="F322" s="5">
        <v>4.0767870000000004</v>
      </c>
      <c r="G322" s="12">
        <f>VLOOKUP(A322,'[1]all FNCL'!A$2:B$993,2)</f>
        <v>0.89335852280722505</v>
      </c>
      <c r="H322" s="3" t="s">
        <v>334</v>
      </c>
      <c r="I322">
        <v>0.426207408093986</v>
      </c>
      <c r="J322">
        <f>VLOOKUP(A322,'YB OAS'!B:F,5,0)</f>
        <v>4.6672000000000002</v>
      </c>
      <c r="K322" s="40">
        <f>VLOOKUP(A322,'Refi Universe'!E:F,2,0)</f>
        <v>0.89503811</v>
      </c>
    </row>
    <row r="323" spans="1:11" ht="15" x14ac:dyDescent="0.25">
      <c r="A323" s="14">
        <v>41043</v>
      </c>
      <c r="B323" s="15">
        <v>473</v>
      </c>
      <c r="C323" s="15">
        <v>473</v>
      </c>
      <c r="D323" s="5" t="s">
        <v>2</v>
      </c>
      <c r="E323" s="5" t="s">
        <v>2</v>
      </c>
      <c r="F323" s="5">
        <v>4.0659479999999997</v>
      </c>
      <c r="G323" s="12">
        <f>VLOOKUP(A323,'[1]all FNCL'!A$2:B$993,2)</f>
        <v>0.89335852280722505</v>
      </c>
      <c r="H323" s="3" t="s">
        <v>335</v>
      </c>
      <c r="I323">
        <v>0.426207408093986</v>
      </c>
      <c r="J323">
        <f>VLOOKUP(A323,'YB OAS'!B:F,5,0)</f>
        <v>28.029900000000001</v>
      </c>
      <c r="K323" s="40">
        <f>VLOOKUP(A323,'Refi Universe'!E:F,2,0)</f>
        <v>0.89630202000000003</v>
      </c>
    </row>
    <row r="324" spans="1:11" ht="15" x14ac:dyDescent="0.25">
      <c r="A324" s="14">
        <v>41044</v>
      </c>
      <c r="B324" s="15">
        <v>478</v>
      </c>
      <c r="C324" s="15">
        <v>478</v>
      </c>
      <c r="D324" s="5" t="s">
        <v>2</v>
      </c>
      <c r="E324" s="5" t="s">
        <v>2</v>
      </c>
      <c r="F324" s="5">
        <v>4.066351</v>
      </c>
      <c r="G324" s="12">
        <f>VLOOKUP(A324,'[1]all FNCL'!A$2:B$993,2)</f>
        <v>0.89335852280722505</v>
      </c>
      <c r="H324" s="3" t="s">
        <v>336</v>
      </c>
      <c r="I324">
        <v>0.426207408093986</v>
      </c>
      <c r="J324">
        <f>VLOOKUP(A324,'YB OAS'!B:F,5,0)</f>
        <v>24.404499000000001</v>
      </c>
      <c r="K324" s="40">
        <f>VLOOKUP(A324,'Refi Universe'!E:F,2,0)</f>
        <v>0.89656175000000005</v>
      </c>
    </row>
    <row r="325" spans="1:11" ht="15" x14ac:dyDescent="0.25">
      <c r="A325" s="14">
        <v>41045</v>
      </c>
      <c r="B325" s="15">
        <v>519</v>
      </c>
      <c r="C325" s="15">
        <v>519</v>
      </c>
      <c r="D325" s="5" t="s">
        <v>2</v>
      </c>
      <c r="E325" s="5" t="s">
        <v>2</v>
      </c>
      <c r="F325" s="5">
        <v>4.0528639999999996</v>
      </c>
      <c r="G325" s="12">
        <f>VLOOKUP(A325,'[1]all FNCL'!A$2:B$993,2)</f>
        <v>0.89335852280722505</v>
      </c>
      <c r="H325" s="3" t="s">
        <v>337</v>
      </c>
      <c r="I325">
        <v>0.426207408093986</v>
      </c>
      <c r="J325">
        <f>VLOOKUP(A325,'YB OAS'!B:F,5,0)</f>
        <v>67.080901999999995</v>
      </c>
      <c r="K325" s="40">
        <f>VLOOKUP(A325,'Refi Universe'!E:F,2,0)</f>
        <v>0.89645978000000004</v>
      </c>
    </row>
    <row r="326" spans="1:11" ht="15" x14ac:dyDescent="0.25">
      <c r="A326" s="14">
        <v>41046</v>
      </c>
      <c r="B326" s="15">
        <v>584</v>
      </c>
      <c r="C326" s="15">
        <v>584</v>
      </c>
      <c r="D326" s="5" t="s">
        <v>2</v>
      </c>
      <c r="E326" s="5" t="s">
        <v>2</v>
      </c>
      <c r="F326" s="5">
        <v>4.0314810000000003</v>
      </c>
      <c r="G326" s="12">
        <f>VLOOKUP(A326,'[1]all FNCL'!A$2:B$993,2)</f>
        <v>0.89485932552840397</v>
      </c>
      <c r="H326" s="3" t="s">
        <v>338</v>
      </c>
      <c r="I326">
        <v>0.43167939138876898</v>
      </c>
      <c r="J326">
        <f>VLOOKUP(A326,'YB OAS'!B:F,5,0)</f>
        <v>99.404601999999997</v>
      </c>
      <c r="K326" s="40">
        <f>VLOOKUP(A326,'Refi Universe'!E:F,2,0)</f>
        <v>0.90122015</v>
      </c>
    </row>
    <row r="327" spans="1:11" ht="15" x14ac:dyDescent="0.25">
      <c r="A327" s="14">
        <v>41047</v>
      </c>
      <c r="B327" s="15">
        <v>561</v>
      </c>
      <c r="C327" s="15">
        <v>561</v>
      </c>
      <c r="D327" s="5" t="s">
        <v>2</v>
      </c>
      <c r="E327" s="5" t="s">
        <v>2</v>
      </c>
      <c r="F327" s="5">
        <v>4.0286109999999997</v>
      </c>
      <c r="G327" s="12">
        <f>VLOOKUP(A327,'[1]all FNCL'!A$2:B$993,2)</f>
        <v>0.89485932552840397</v>
      </c>
      <c r="H327" s="3" t="s">
        <v>339</v>
      </c>
      <c r="I327">
        <v>0.43167939138876898</v>
      </c>
      <c r="J327">
        <f>VLOOKUP(A327,'YB OAS'!B:F,5,0)</f>
        <v>102.77829699999999</v>
      </c>
      <c r="K327" s="40">
        <f>VLOOKUP(A327,'Refi Universe'!E:F,2,0)</f>
        <v>0.90049995000000005</v>
      </c>
    </row>
    <row r="328" spans="1:11" ht="15" x14ac:dyDescent="0.25">
      <c r="A328" s="14">
        <v>41050</v>
      </c>
      <c r="B328" s="15">
        <v>629</v>
      </c>
      <c r="C328" s="15">
        <v>629</v>
      </c>
      <c r="D328" s="5" t="s">
        <v>2</v>
      </c>
      <c r="E328" s="5" t="s">
        <v>2</v>
      </c>
      <c r="F328" s="5">
        <v>4.0694509999999999</v>
      </c>
      <c r="G328" s="12">
        <f>VLOOKUP(A328,'[1]all FNCL'!A$2:B$993,2)</f>
        <v>0.89485932552840397</v>
      </c>
      <c r="H328" s="3" t="s">
        <v>340</v>
      </c>
      <c r="I328">
        <v>0.43167939138876898</v>
      </c>
      <c r="J328">
        <f>VLOOKUP(A328,'YB OAS'!B:F,5,0)</f>
        <v>145.88859600000001</v>
      </c>
      <c r="K328" s="40">
        <f>VLOOKUP(A328,'Refi Universe'!E:F,2,0)</f>
        <v>0.89692227999999996</v>
      </c>
    </row>
    <row r="329" spans="1:11" ht="15" x14ac:dyDescent="0.25">
      <c r="A329" s="14">
        <v>41051</v>
      </c>
      <c r="B329" s="15">
        <v>591</v>
      </c>
      <c r="C329" s="15">
        <v>591</v>
      </c>
      <c r="D329" s="5" t="s">
        <v>2</v>
      </c>
      <c r="E329" s="5" t="s">
        <v>2</v>
      </c>
      <c r="F329" s="5">
        <v>4.0768579999999996</v>
      </c>
      <c r="G329" s="12">
        <f>VLOOKUP(A329,'[1]all FNCL'!A$2:B$993,2)</f>
        <v>0.89485932552840397</v>
      </c>
      <c r="H329" s="3" t="s">
        <v>341</v>
      </c>
      <c r="I329">
        <v>0.43167939138876898</v>
      </c>
      <c r="J329">
        <f>VLOOKUP(A329,'YB OAS'!B:F,5,0)</f>
        <v>118.70700100000001</v>
      </c>
      <c r="K329" s="40">
        <f>VLOOKUP(A329,'Refi Universe'!E:F,2,0)</f>
        <v>0.89508783999999997</v>
      </c>
    </row>
    <row r="330" spans="1:11" ht="15" x14ac:dyDescent="0.25">
      <c r="A330" s="14">
        <v>41052</v>
      </c>
      <c r="B330" s="15">
        <v>613</v>
      </c>
      <c r="C330" s="15">
        <v>613</v>
      </c>
      <c r="D330" s="5" t="s">
        <v>2</v>
      </c>
      <c r="E330" s="5" t="s">
        <v>2</v>
      </c>
      <c r="F330" s="5">
        <v>4.0707709999999997</v>
      </c>
      <c r="G330" s="12">
        <f>VLOOKUP(A330,'[1]all FNCL'!A$2:B$993,2)</f>
        <v>0.89485932552840397</v>
      </c>
      <c r="H330" s="3" t="s">
        <v>342</v>
      </c>
      <c r="I330">
        <v>0.43167939138876898</v>
      </c>
      <c r="J330">
        <f>VLOOKUP(A330,'YB OAS'!B:F,5,0)</f>
        <v>121.586502</v>
      </c>
      <c r="K330" s="40">
        <f>VLOOKUP(A330,'Refi Universe'!E:F,2,0)</f>
        <v>0.89398533999999996</v>
      </c>
    </row>
    <row r="331" spans="1:11" ht="15" x14ac:dyDescent="0.25">
      <c r="A331" s="14">
        <v>41053</v>
      </c>
      <c r="B331" s="15">
        <v>620</v>
      </c>
      <c r="C331" s="15">
        <v>620</v>
      </c>
      <c r="D331" s="5" t="s">
        <v>2</v>
      </c>
      <c r="E331" s="5" t="s">
        <v>2</v>
      </c>
      <c r="F331" s="5">
        <v>4.074395</v>
      </c>
      <c r="G331" s="12">
        <f>VLOOKUP(A331,'[1]all FNCL'!A$2:B$993,2)</f>
        <v>0.89505966783361102</v>
      </c>
      <c r="H331" s="3" t="s">
        <v>343</v>
      </c>
      <c r="I331">
        <v>0.40917398895536999</v>
      </c>
      <c r="J331">
        <f>VLOOKUP(A331,'YB OAS'!B:F,5,0)</f>
        <v>136.14830000000001</v>
      </c>
      <c r="K331" s="40">
        <f>VLOOKUP(A331,'Refi Universe'!E:F,2,0)</f>
        <v>0.89292742000000003</v>
      </c>
    </row>
    <row r="332" spans="1:11" ht="15" x14ac:dyDescent="0.25">
      <c r="A332" s="14">
        <v>41054</v>
      </c>
      <c r="B332" s="15">
        <v>621</v>
      </c>
      <c r="C332" s="15">
        <v>621</v>
      </c>
      <c r="D332" s="5" t="s">
        <v>2</v>
      </c>
      <c r="E332" s="5" t="s">
        <v>2</v>
      </c>
      <c r="F332" s="5">
        <v>4.0780799999999999</v>
      </c>
      <c r="G332" s="12">
        <f>VLOOKUP(A332,'[1]all FNCL'!A$2:B$993,2)</f>
        <v>0.89505966783361102</v>
      </c>
      <c r="H332" s="3" t="s">
        <v>344</v>
      </c>
      <c r="I332">
        <v>0.40917398895536999</v>
      </c>
      <c r="J332">
        <f>VLOOKUP(A332,'YB OAS'!B:F,5,0)</f>
        <v>134.78270000000001</v>
      </c>
      <c r="K332" s="40">
        <f>VLOOKUP(A332,'Refi Universe'!E:F,2,0)</f>
        <v>0.89290855000000002</v>
      </c>
    </row>
    <row r="333" spans="1:11" ht="15" x14ac:dyDescent="0.25">
      <c r="A333" s="14">
        <v>41058</v>
      </c>
      <c r="B333" s="15">
        <v>628</v>
      </c>
      <c r="C333" s="15">
        <v>628</v>
      </c>
      <c r="D333" s="5" t="s">
        <v>2</v>
      </c>
      <c r="E333" s="5" t="s">
        <v>2</v>
      </c>
      <c r="F333" s="5">
        <v>4.0881299999999996</v>
      </c>
      <c r="G333" s="12">
        <f>VLOOKUP(A333,'[1]all FNCL'!A$2:B$993,2)</f>
        <v>0.89505966783361102</v>
      </c>
      <c r="H333" s="3" t="s">
        <v>345</v>
      </c>
      <c r="I333">
        <v>0.40917398895536999</v>
      </c>
      <c r="J333">
        <f>VLOOKUP(A333,'YB OAS'!B:F,5,0)</f>
        <v>138.218704</v>
      </c>
      <c r="K333" s="40">
        <f>VLOOKUP(A333,'Refi Universe'!E:F,2,0)</f>
        <v>0.89258269999999995</v>
      </c>
    </row>
    <row r="334" spans="1:11" ht="15" x14ac:dyDescent="0.25">
      <c r="A334" s="14">
        <v>41059</v>
      </c>
      <c r="B334" s="15">
        <v>714</v>
      </c>
      <c r="C334" s="15">
        <v>714</v>
      </c>
      <c r="D334" s="5" t="s">
        <v>2</v>
      </c>
      <c r="E334" s="5" t="s">
        <v>2</v>
      </c>
      <c r="F334" s="5">
        <v>4.0514869999999998</v>
      </c>
      <c r="G334" s="12">
        <f>VLOOKUP(A334,'[1]all FNCL'!A$2:B$993,2)</f>
        <v>0.89505966783361102</v>
      </c>
      <c r="H334" s="3" t="s">
        <v>346</v>
      </c>
      <c r="I334">
        <v>0.40917398895536999</v>
      </c>
      <c r="J334">
        <f>VLOOKUP(A334,'YB OAS'!B:F,5,0)</f>
        <v>210.74279799999999</v>
      </c>
      <c r="K334" s="40">
        <f>VLOOKUP(A334,'Refi Universe'!E:F,2,0)</f>
        <v>0.89845090000000005</v>
      </c>
    </row>
    <row r="335" spans="1:11" ht="15" x14ac:dyDescent="0.25">
      <c r="A335" s="14">
        <v>41060</v>
      </c>
      <c r="B335" s="15">
        <v>765</v>
      </c>
      <c r="C335" s="15">
        <v>765</v>
      </c>
      <c r="D335" s="5" t="s">
        <v>2</v>
      </c>
      <c r="E335" s="5" t="s">
        <v>2</v>
      </c>
      <c r="F335" s="5">
        <v>4.0262029999999998</v>
      </c>
      <c r="G335" s="12">
        <f>VLOOKUP(A335,'[1]all FNCL'!A$2:B$993,2)</f>
        <v>0.89598257612375398</v>
      </c>
      <c r="H335" s="3" t="s">
        <v>347</v>
      </c>
      <c r="I335">
        <v>0.40917398895536999</v>
      </c>
      <c r="J335">
        <f>VLOOKUP(A335,'YB OAS'!B:F,5,0)</f>
        <v>252.547394</v>
      </c>
      <c r="K335" s="40">
        <f>VLOOKUP(A335,'Refi Universe'!E:F,2,0)</f>
        <v>0.90149771000000001</v>
      </c>
    </row>
    <row r="336" spans="1:11" ht="15" x14ac:dyDescent="0.25">
      <c r="A336" s="14">
        <v>41061</v>
      </c>
      <c r="B336" s="15">
        <v>821</v>
      </c>
      <c r="C336" s="15">
        <v>821</v>
      </c>
      <c r="D336" s="5" t="s">
        <v>2</v>
      </c>
      <c r="E336" s="5" t="s">
        <v>2</v>
      </c>
      <c r="F336" s="5">
        <v>3.9641220000000001</v>
      </c>
      <c r="G336" s="12">
        <f>VLOOKUP(A336,'[1]all FNCL'!A$2:B$993,2)</f>
        <v>0.88344911791249303</v>
      </c>
      <c r="H336" s="3" t="s">
        <v>348</v>
      </c>
      <c r="I336">
        <v>0.40794548718226897</v>
      </c>
      <c r="J336">
        <f>VLOOKUP(A336,'YB OAS'!B:F,5,0)</f>
        <v>281.22601300000002</v>
      </c>
      <c r="K336" s="40">
        <f>VLOOKUP(A336,'Refi Universe'!E:F,2,0)</f>
        <v>0.95412836999999995</v>
      </c>
    </row>
    <row r="337" spans="1:11" ht="15" x14ac:dyDescent="0.25">
      <c r="A337" s="14">
        <v>41064</v>
      </c>
      <c r="B337" s="15">
        <v>779</v>
      </c>
      <c r="C337" s="15">
        <v>779</v>
      </c>
      <c r="D337" s="5" t="s">
        <v>2</v>
      </c>
      <c r="E337" s="5" t="s">
        <v>2</v>
      </c>
      <c r="F337" s="5">
        <v>4.0202730000000004</v>
      </c>
      <c r="G337" s="12">
        <f>VLOOKUP(A337,'[1]all FNCL'!A$2:B$993,2)</f>
        <v>0.88344911791249303</v>
      </c>
      <c r="H337" s="3" t="s">
        <v>349</v>
      </c>
      <c r="I337">
        <v>0.40794548718226897</v>
      </c>
      <c r="J337">
        <f>VLOOKUP(A337,'YB OAS'!B:F,5,0)</f>
        <v>237.566406</v>
      </c>
      <c r="K337" s="40">
        <f>VLOOKUP(A337,'Refi Universe'!E:F,2,0)</f>
        <v>0.89625674</v>
      </c>
    </row>
    <row r="338" spans="1:11" ht="15" x14ac:dyDescent="0.25">
      <c r="A338" s="14">
        <v>41065</v>
      </c>
      <c r="B338" s="15">
        <v>754</v>
      </c>
      <c r="C338" s="15">
        <v>754</v>
      </c>
      <c r="D338" s="5" t="s">
        <v>2</v>
      </c>
      <c r="E338" s="5" t="s">
        <v>2</v>
      </c>
      <c r="F338" s="5">
        <v>4.052251</v>
      </c>
      <c r="G338" s="12">
        <f>VLOOKUP(A338,'[1]all FNCL'!A$2:B$993,2)</f>
        <v>0.88344911791249303</v>
      </c>
      <c r="H338" s="3" t="s">
        <v>350</v>
      </c>
      <c r="I338">
        <v>0.40794548718226897</v>
      </c>
      <c r="J338">
        <f>VLOOKUP(A338,'YB OAS'!B:F,5,0)</f>
        <v>280.08108499999997</v>
      </c>
      <c r="K338" s="40">
        <f>VLOOKUP(A338,'Refi Universe'!E:F,2,0)</f>
        <v>0.88786379000000004</v>
      </c>
    </row>
    <row r="339" spans="1:11" ht="15" x14ac:dyDescent="0.25">
      <c r="A339" s="14">
        <v>41066</v>
      </c>
      <c r="B339" s="15">
        <v>687</v>
      </c>
      <c r="C339" s="15">
        <v>687</v>
      </c>
      <c r="D339" s="5" t="s">
        <v>2</v>
      </c>
      <c r="E339" s="5" t="s">
        <v>2</v>
      </c>
      <c r="F339" s="5">
        <v>4.0453780000000004</v>
      </c>
      <c r="G339" s="12">
        <f>VLOOKUP(A339,'[1]all FNCL'!A$2:B$993,2)</f>
        <v>0.88344911791249303</v>
      </c>
      <c r="H339" s="3" t="s">
        <v>351</v>
      </c>
      <c r="I339">
        <v>0.28736143003290598</v>
      </c>
      <c r="J339">
        <f>VLOOKUP(A339,'YB OAS'!B:F,5,0)</f>
        <v>234.496094</v>
      </c>
      <c r="K339" s="40">
        <f>VLOOKUP(A339,'Refi Universe'!E:F,2,0)</f>
        <v>0.88432498999999998</v>
      </c>
    </row>
    <row r="340" spans="1:11" ht="15" x14ac:dyDescent="0.25">
      <c r="A340" s="14">
        <v>41067</v>
      </c>
      <c r="B340" s="15">
        <v>655</v>
      </c>
      <c r="C340" s="15">
        <v>655</v>
      </c>
      <c r="D340" s="5" t="s">
        <v>2</v>
      </c>
      <c r="E340" s="5" t="s">
        <v>2</v>
      </c>
      <c r="F340" s="5">
        <v>4.0191910000000002</v>
      </c>
      <c r="G340" s="12">
        <f>VLOOKUP(A340,'[1]all FNCL'!A$2:B$993,2)</f>
        <v>0.89196946223805695</v>
      </c>
      <c r="H340" s="3" t="s">
        <v>352</v>
      </c>
      <c r="I340">
        <v>0.28736143003290598</v>
      </c>
      <c r="J340">
        <f>VLOOKUP(A340,'YB OAS'!B:F,5,0)</f>
        <v>222.69180299999999</v>
      </c>
      <c r="K340" s="40">
        <f>VLOOKUP(A340,'Refi Universe'!E:F,2,0)</f>
        <v>0.88658915999999999</v>
      </c>
    </row>
    <row r="341" spans="1:11" ht="15" x14ac:dyDescent="0.25">
      <c r="A341" s="14">
        <v>41068</v>
      </c>
      <c r="B341" s="15">
        <v>654</v>
      </c>
      <c r="C341" s="15">
        <v>654</v>
      </c>
      <c r="D341" s="5" t="s">
        <v>2</v>
      </c>
      <c r="E341" s="5" t="s">
        <v>2</v>
      </c>
      <c r="F341" s="5">
        <v>4.0274999999999999</v>
      </c>
      <c r="G341" s="12">
        <f>VLOOKUP(A341,'[1]all FNCL'!A$2:B$993,2)</f>
        <v>0.89196946223805695</v>
      </c>
      <c r="H341" s="3" t="s">
        <v>353</v>
      </c>
      <c r="I341">
        <v>0.28736143003290598</v>
      </c>
      <c r="J341">
        <f>VLOOKUP(A341,'YB OAS'!B:F,5,0)</f>
        <v>216.009094</v>
      </c>
      <c r="K341" s="40">
        <f>VLOOKUP(A341,'Refi Universe'!E:F,2,0)</f>
        <v>0.88642206999999995</v>
      </c>
    </row>
    <row r="342" spans="1:11" ht="15" x14ac:dyDescent="0.25">
      <c r="A342" s="14">
        <v>41071</v>
      </c>
      <c r="B342" s="15">
        <v>684</v>
      </c>
      <c r="C342" s="15">
        <v>684</v>
      </c>
      <c r="D342" s="5" t="s">
        <v>2</v>
      </c>
      <c r="E342" s="5" t="s">
        <v>2</v>
      </c>
      <c r="F342" s="5">
        <v>4.0126090000000003</v>
      </c>
      <c r="G342" s="12">
        <f>VLOOKUP(A342,'[1]all FNCL'!A$2:B$993,2)</f>
        <v>0.89196946223805695</v>
      </c>
      <c r="H342" s="3" t="s">
        <v>354</v>
      </c>
      <c r="I342">
        <v>0.32609160736856702</v>
      </c>
      <c r="J342">
        <f>VLOOKUP(A342,'YB OAS'!B:F,5,0)</f>
        <v>243.88789399999999</v>
      </c>
      <c r="K342" s="40">
        <f>VLOOKUP(A342,'Refi Universe'!E:F,2,0)</f>
        <v>0.89143002999999998</v>
      </c>
    </row>
    <row r="343" spans="1:11" ht="15" x14ac:dyDescent="0.25">
      <c r="A343" s="14">
        <v>41072</v>
      </c>
      <c r="B343" s="15">
        <v>662</v>
      </c>
      <c r="C343" s="15">
        <v>662</v>
      </c>
      <c r="D343" s="5" t="s">
        <v>2</v>
      </c>
      <c r="E343" s="5" t="s">
        <v>2</v>
      </c>
      <c r="F343" s="5">
        <v>4.0417300000000003</v>
      </c>
      <c r="G343" s="12">
        <f>VLOOKUP(A343,'[1]all FNCL'!A$2:B$993,2)</f>
        <v>0.89196946223805695</v>
      </c>
      <c r="H343" s="3" t="s">
        <v>355</v>
      </c>
      <c r="I343">
        <v>0.32609160736856702</v>
      </c>
      <c r="J343">
        <f>VLOOKUP(A343,'YB OAS'!B:F,5,0)</f>
        <v>207.63220200000001</v>
      </c>
      <c r="K343" s="40">
        <f>VLOOKUP(A343,'Refi Universe'!E:F,2,0)</f>
        <v>0.88507773000000001</v>
      </c>
    </row>
    <row r="344" spans="1:11" ht="15" x14ac:dyDescent="0.25">
      <c r="A344" s="14">
        <v>41073</v>
      </c>
      <c r="B344" s="15">
        <v>691</v>
      </c>
      <c r="C344" s="15">
        <v>691</v>
      </c>
      <c r="D344" s="5" t="s">
        <v>2</v>
      </c>
      <c r="E344" s="5" t="s">
        <v>2</v>
      </c>
      <c r="F344" s="5">
        <v>4.0332100000000004</v>
      </c>
      <c r="G344" s="12">
        <f>VLOOKUP(A344,'[1]all FNCL'!A$2:B$993,2)</f>
        <v>0.89196946223805695</v>
      </c>
      <c r="H344" s="3" t="s">
        <v>356</v>
      </c>
      <c r="I344">
        <v>0.315593133253526</v>
      </c>
      <c r="J344">
        <f>VLOOKUP(A344,'YB OAS'!B:F,5,0)</f>
        <v>225.23699999999999</v>
      </c>
      <c r="K344" s="40">
        <f>VLOOKUP(A344,'Refi Universe'!E:F,2,0)</f>
        <v>0.88955698999999999</v>
      </c>
    </row>
    <row r="345" spans="1:11" ht="15" x14ac:dyDescent="0.25">
      <c r="A345" s="14">
        <v>41074</v>
      </c>
      <c r="B345" s="15">
        <v>684</v>
      </c>
      <c r="C345" s="15">
        <v>684</v>
      </c>
      <c r="D345" s="5" t="s">
        <v>2</v>
      </c>
      <c r="E345" s="5" t="s">
        <v>2</v>
      </c>
      <c r="F345" s="5">
        <v>4.0291079999999999</v>
      </c>
      <c r="G345" s="12">
        <f>VLOOKUP(A345,'[1]all FNCL'!A$2:B$993,2)</f>
        <v>0.88661468253780695</v>
      </c>
      <c r="H345" s="3" t="s">
        <v>357</v>
      </c>
      <c r="I345">
        <v>0.315593133253526</v>
      </c>
      <c r="J345">
        <f>VLOOKUP(A345,'YB OAS'!B:F,5,0)</f>
        <v>216.458496</v>
      </c>
      <c r="K345" s="40">
        <f>VLOOKUP(A345,'Refi Universe'!E:F,2,0)</f>
        <v>0.89171836999999998</v>
      </c>
    </row>
    <row r="346" spans="1:11" ht="15" x14ac:dyDescent="0.25">
      <c r="A346" s="14">
        <v>41075</v>
      </c>
      <c r="B346" s="15">
        <v>705</v>
      </c>
      <c r="C346" s="15">
        <v>705</v>
      </c>
      <c r="D346" s="5" t="s">
        <v>2</v>
      </c>
      <c r="E346" s="5" t="s">
        <v>2</v>
      </c>
      <c r="F346" s="5">
        <v>4.0227839999999997</v>
      </c>
      <c r="G346" s="12">
        <f>VLOOKUP(A346,'[1]all FNCL'!A$2:B$993,2)</f>
        <v>0.88661468253780695</v>
      </c>
      <c r="H346" s="3" t="s">
        <v>358</v>
      </c>
      <c r="I346">
        <v>0.28153720559456502</v>
      </c>
      <c r="J346">
        <f>VLOOKUP(A346,'YB OAS'!B:F,5,0)</f>
        <v>244.73980700000001</v>
      </c>
      <c r="K346" s="40">
        <f>VLOOKUP(A346,'Refi Universe'!E:F,2,0)</f>
        <v>0.89594238999999998</v>
      </c>
    </row>
    <row r="347" spans="1:11" ht="15" x14ac:dyDescent="0.25">
      <c r="A347" s="14">
        <v>41078</v>
      </c>
      <c r="B347" s="15">
        <v>724</v>
      </c>
      <c r="C347" s="15">
        <v>724</v>
      </c>
      <c r="D347" s="5" t="s">
        <v>2</v>
      </c>
      <c r="E347" s="5" t="s">
        <v>2</v>
      </c>
      <c r="F347" s="5">
        <v>4.0032209999999999</v>
      </c>
      <c r="G347" s="12">
        <f>VLOOKUP(A347,'[1]all FNCL'!A$2:B$993,2)</f>
        <v>0.88661468253780695</v>
      </c>
      <c r="H347" s="3" t="s">
        <v>359</v>
      </c>
      <c r="I347">
        <v>0.28153720559456502</v>
      </c>
      <c r="J347">
        <f>VLOOKUP(A347,'YB OAS'!B:F,5,0)</f>
        <v>268.31658900000002</v>
      </c>
      <c r="K347" s="40">
        <f>VLOOKUP(A347,'Refi Universe'!E:F,2,0)</f>
        <v>0.90129705000000004</v>
      </c>
    </row>
    <row r="348" spans="1:11" ht="15" x14ac:dyDescent="0.25">
      <c r="A348" s="14">
        <v>41079</v>
      </c>
      <c r="B348" s="15">
        <v>712</v>
      </c>
      <c r="C348" s="15">
        <v>712</v>
      </c>
      <c r="D348" s="5" t="s">
        <v>2</v>
      </c>
      <c r="E348" s="5" t="s">
        <v>2</v>
      </c>
      <c r="F348" s="5">
        <v>3.986564</v>
      </c>
      <c r="G348" s="12">
        <f>VLOOKUP(A348,'[1]all FNCL'!A$2:B$993,2)</f>
        <v>0.88661468253780695</v>
      </c>
      <c r="H348" s="3" t="s">
        <v>360</v>
      </c>
      <c r="I348">
        <v>0.28153720559456502</v>
      </c>
      <c r="J348">
        <f>VLOOKUP(A348,'YB OAS'!B:F,5,0)</f>
        <v>280.94699100000003</v>
      </c>
      <c r="K348" s="40">
        <f>VLOOKUP(A348,'Refi Universe'!E:F,2,0)</f>
        <v>0.90024616000000002</v>
      </c>
    </row>
    <row r="349" spans="1:11" ht="15" x14ac:dyDescent="0.25">
      <c r="A349" s="14">
        <v>41080</v>
      </c>
      <c r="B349" s="15">
        <v>662</v>
      </c>
      <c r="C349" s="15">
        <v>662</v>
      </c>
      <c r="D349" s="5" t="s">
        <v>2</v>
      </c>
      <c r="E349" s="5" t="s">
        <v>2</v>
      </c>
      <c r="F349" s="5">
        <v>4.022545</v>
      </c>
      <c r="G349" s="12">
        <f>VLOOKUP(A349,'[1]all FNCL'!A$2:B$993,2)</f>
        <v>0.88661468253780695</v>
      </c>
      <c r="H349" s="3" t="s">
        <v>361</v>
      </c>
      <c r="I349">
        <v>0.28153720559456502</v>
      </c>
      <c r="J349">
        <f>VLOOKUP(A349,'YB OAS'!B:F,5,0)</f>
        <v>231.11309800000001</v>
      </c>
      <c r="K349" s="40">
        <f>VLOOKUP(A349,'Refi Universe'!E:F,2,0)</f>
        <v>0.89007672000000004</v>
      </c>
    </row>
    <row r="350" spans="1:11" ht="15" x14ac:dyDescent="0.25">
      <c r="A350" s="14">
        <v>41081</v>
      </c>
      <c r="B350" s="15">
        <v>660</v>
      </c>
      <c r="C350" s="15">
        <v>660</v>
      </c>
      <c r="D350" s="5" t="s">
        <v>2</v>
      </c>
      <c r="E350" s="5" t="s">
        <v>2</v>
      </c>
      <c r="F350" s="5">
        <v>3.987371</v>
      </c>
      <c r="G350" s="12">
        <f>VLOOKUP(A350,'[1]all FNCL'!A$2:B$993,2)</f>
        <v>0.89395578636495998</v>
      </c>
      <c r="H350" s="3" t="s">
        <v>362</v>
      </c>
      <c r="I350">
        <v>0.28153720559456502</v>
      </c>
      <c r="J350">
        <f>VLOOKUP(A350,'YB OAS'!B:F,5,0)</f>
        <v>247.57929999999999</v>
      </c>
      <c r="K350" s="40">
        <f>VLOOKUP(A350,'Refi Universe'!E:F,2,0)</f>
        <v>0.89465777999999996</v>
      </c>
    </row>
    <row r="351" spans="1:11" ht="15" x14ac:dyDescent="0.25">
      <c r="A351" s="14">
        <v>41082</v>
      </c>
      <c r="B351" s="15">
        <v>676</v>
      </c>
      <c r="C351" s="15">
        <v>676</v>
      </c>
      <c r="D351" s="5" t="s">
        <v>2</v>
      </c>
      <c r="E351" s="5" t="s">
        <v>2</v>
      </c>
      <c r="F351" s="5">
        <v>4.0102589999999996</v>
      </c>
      <c r="G351" s="12">
        <f>VLOOKUP(A351,'[1]all FNCL'!A$2:B$993,2)</f>
        <v>0.89395578636495998</v>
      </c>
      <c r="H351" s="3" t="s">
        <v>363</v>
      </c>
      <c r="I351">
        <v>0.28153720559456502</v>
      </c>
      <c r="J351">
        <f>VLOOKUP(A351,'YB OAS'!B:F,5,0)</f>
        <v>255.39529400000001</v>
      </c>
      <c r="K351" s="40">
        <f>VLOOKUP(A351,'Refi Universe'!E:F,2,0)</f>
        <v>0.88643691000000002</v>
      </c>
    </row>
    <row r="352" spans="1:11" ht="15" x14ac:dyDescent="0.25">
      <c r="A352" s="14">
        <v>41085</v>
      </c>
      <c r="B352" s="15">
        <v>604</v>
      </c>
      <c r="C352" s="15">
        <v>604</v>
      </c>
      <c r="D352" s="5" t="s">
        <v>2</v>
      </c>
      <c r="E352" s="5" t="s">
        <v>2</v>
      </c>
      <c r="F352" s="5">
        <v>3.899578</v>
      </c>
      <c r="G352" s="12">
        <f>VLOOKUP(A352,'[1]all FNCL'!A$2:B$993,2)</f>
        <v>0.89395578636495998</v>
      </c>
      <c r="H352" s="3" t="s">
        <v>364</v>
      </c>
      <c r="I352">
        <v>0.28153720559456502</v>
      </c>
      <c r="J352">
        <f>VLOOKUP(A352,'YB OAS'!B:F,5,0)</f>
        <v>283.58480800000001</v>
      </c>
      <c r="K352" s="40">
        <f>VLOOKUP(A352,'Refi Universe'!E:F,2,0)</f>
        <v>0.90621494000000002</v>
      </c>
    </row>
    <row r="353" spans="1:11" ht="15" x14ac:dyDescent="0.25">
      <c r="A353" s="14">
        <v>41086</v>
      </c>
      <c r="B353" s="15">
        <v>610</v>
      </c>
      <c r="C353" s="15">
        <v>610</v>
      </c>
      <c r="D353" s="5" t="s">
        <v>2</v>
      </c>
      <c r="E353" s="5" t="s">
        <v>2</v>
      </c>
      <c r="F353" s="5">
        <v>3.9503840000000001</v>
      </c>
      <c r="G353" s="12">
        <f>VLOOKUP(A353,'[1]all FNCL'!A$2:B$993,2)</f>
        <v>0.89395578636495998</v>
      </c>
      <c r="H353" s="3" t="s">
        <v>365</v>
      </c>
      <c r="I353">
        <v>0.28153720559456502</v>
      </c>
      <c r="J353">
        <f>VLOOKUP(A353,'YB OAS'!B:F,5,0)</f>
        <v>261.72378500000002</v>
      </c>
      <c r="K353" s="40">
        <f>VLOOKUP(A353,'Refi Universe'!E:F,2,0)</f>
        <v>0.89395577999999998</v>
      </c>
    </row>
    <row r="354" spans="1:11" ht="15" x14ac:dyDescent="0.25">
      <c r="A354" s="14">
        <v>41087</v>
      </c>
      <c r="B354" s="15">
        <v>595</v>
      </c>
      <c r="C354" s="15">
        <v>595</v>
      </c>
      <c r="D354" s="5" t="s">
        <v>2</v>
      </c>
      <c r="E354" s="5" t="s">
        <v>2</v>
      </c>
      <c r="F354" s="5">
        <v>3.9266779999999999</v>
      </c>
      <c r="G354" s="12">
        <f>VLOOKUP(A354,'[1]all FNCL'!A$2:B$993,2)</f>
        <v>0.89395578636495998</v>
      </c>
      <c r="H354" s="3" t="s">
        <v>366</v>
      </c>
      <c r="I354">
        <v>0.28153720559456502</v>
      </c>
      <c r="J354">
        <f>VLOOKUP(A354,'YB OAS'!B:F,5,0)</f>
        <v>261.79888899999997</v>
      </c>
      <c r="K354" s="40">
        <f>VLOOKUP(A354,'Refi Universe'!E:F,2,0)</f>
        <v>0.90152438999999995</v>
      </c>
    </row>
    <row r="355" spans="1:11" ht="15" x14ac:dyDescent="0.25">
      <c r="A355" s="14">
        <v>41088</v>
      </c>
      <c r="B355" s="15">
        <v>653</v>
      </c>
      <c r="C355" s="15">
        <v>653</v>
      </c>
      <c r="D355" s="5" t="s">
        <v>2</v>
      </c>
      <c r="E355" s="5" t="s">
        <v>2</v>
      </c>
      <c r="F355" s="5">
        <v>3.948744</v>
      </c>
      <c r="G355" s="12">
        <f>VLOOKUP(A355,'[1]all FNCL'!A$2:B$993,2)</f>
        <v>0.89395578636495998</v>
      </c>
      <c r="H355" s="3" t="s">
        <v>367</v>
      </c>
      <c r="I355">
        <v>0.28153720559456502</v>
      </c>
      <c r="J355">
        <f>VLOOKUP(A355,'YB OAS'!B:F,5,0)</f>
        <v>271.69628899999998</v>
      </c>
      <c r="K355" s="40">
        <f>VLOOKUP(A355,'Refi Universe'!E:F,2,0)</f>
        <v>0.91764312000000003</v>
      </c>
    </row>
    <row r="356" spans="1:11" ht="15" x14ac:dyDescent="0.25">
      <c r="A356" s="14">
        <v>41089</v>
      </c>
      <c r="B356" s="15">
        <v>648</v>
      </c>
      <c r="C356" s="15">
        <v>648</v>
      </c>
      <c r="D356" s="5" t="s">
        <v>2</v>
      </c>
      <c r="E356" s="5" t="s">
        <v>2</v>
      </c>
      <c r="F356" s="5">
        <v>3.97756</v>
      </c>
      <c r="G356" s="12">
        <f>VLOOKUP(A356,'[1]all FNCL'!A$2:B$993,2)</f>
        <v>0.89395578636495998</v>
      </c>
      <c r="H356" s="3" t="s">
        <v>368</v>
      </c>
      <c r="I356">
        <v>0.33139494640254802</v>
      </c>
      <c r="J356">
        <f>VLOOKUP(A356,'YB OAS'!B:F,5,0)</f>
        <v>261.36380000000003</v>
      </c>
      <c r="K356" s="40">
        <f>VLOOKUP(A356,'Refi Universe'!E:F,2,0)</f>
        <v>0.89196945999999999</v>
      </c>
    </row>
    <row r="357" spans="1:11" ht="15" x14ac:dyDescent="0.25">
      <c r="A357" s="14">
        <v>41092</v>
      </c>
      <c r="B357" s="15">
        <v>453</v>
      </c>
      <c r="C357" s="15">
        <v>453</v>
      </c>
      <c r="D357" s="5" t="s">
        <v>2</v>
      </c>
      <c r="E357" s="5" t="s">
        <v>2</v>
      </c>
      <c r="F357" s="5">
        <v>3.9210240000000001</v>
      </c>
      <c r="G357" s="12">
        <f>VLOOKUP(A357,'[1]all FNCL'!A$2:B$993,2)</f>
        <v>0.87735489357143903</v>
      </c>
      <c r="H357" s="3" t="s">
        <v>369</v>
      </c>
      <c r="I357">
        <v>0.33139494640254802</v>
      </c>
      <c r="J357">
        <f>VLOOKUP(A357,'YB OAS'!B:F,5,0)</f>
        <v>302.69808999999998</v>
      </c>
      <c r="K357" s="40">
        <f>VLOOKUP(A357,'Refi Universe'!E:F,2,0)</f>
        <v>0.90455958999999997</v>
      </c>
    </row>
    <row r="358" spans="1:11" ht="15" x14ac:dyDescent="0.25">
      <c r="A358" s="14">
        <v>41093</v>
      </c>
      <c r="B358" s="15">
        <v>455</v>
      </c>
      <c r="C358" s="15">
        <v>455</v>
      </c>
      <c r="D358" s="5" t="s">
        <v>2</v>
      </c>
      <c r="E358" s="5" t="s">
        <v>2</v>
      </c>
      <c r="F358" s="5">
        <v>3.9482659999999998</v>
      </c>
      <c r="G358" s="12">
        <f>VLOOKUP(A358,'[1]all FNCL'!A$2:B$993,2)</f>
        <v>0.87735489357143903</v>
      </c>
      <c r="H358" s="3" t="s">
        <v>370</v>
      </c>
      <c r="I358">
        <v>0.33139494640254802</v>
      </c>
      <c r="J358">
        <f>VLOOKUP(A358,'YB OAS'!B:F,5,0)</f>
        <v>290.41229199999998</v>
      </c>
      <c r="K358" s="40">
        <f>VLOOKUP(A358,'Refi Universe'!E:F,2,0)</f>
        <v>0.87981558999999998</v>
      </c>
    </row>
    <row r="359" spans="1:11" ht="15" x14ac:dyDescent="0.25">
      <c r="A359" s="14">
        <v>41095</v>
      </c>
      <c r="B359" s="15">
        <v>467</v>
      </c>
      <c r="C359" s="15">
        <v>467</v>
      </c>
      <c r="D359" s="5" t="s">
        <v>2</v>
      </c>
      <c r="E359" s="5" t="s">
        <v>2</v>
      </c>
      <c r="F359" s="5">
        <v>3.9365169999999998</v>
      </c>
      <c r="G359" s="12">
        <f>VLOOKUP(A359,'[1]all FNCL'!A$2:B$993,2)</f>
        <v>0.89133476417306701</v>
      </c>
      <c r="H359" s="3" t="s">
        <v>371</v>
      </c>
      <c r="I359">
        <v>0.33139494640254802</v>
      </c>
      <c r="J359">
        <f>VLOOKUP(A359,'YB OAS'!B:F,5,0)</f>
        <v>313.41918900000002</v>
      </c>
      <c r="K359" s="40">
        <f>VLOOKUP(A359,'Refi Universe'!E:F,2,0)</f>
        <v>0.88929053000000002</v>
      </c>
    </row>
    <row r="360" spans="1:11" ht="15" x14ac:dyDescent="0.25">
      <c r="A360" s="14">
        <v>41096</v>
      </c>
      <c r="B360" s="15">
        <v>460</v>
      </c>
      <c r="C360" s="15">
        <v>460</v>
      </c>
      <c r="D360" s="5" t="s">
        <v>2</v>
      </c>
      <c r="E360" s="5" t="s">
        <v>2</v>
      </c>
      <c r="F360" s="5">
        <v>3.8826320000000001</v>
      </c>
      <c r="G360" s="12">
        <f>VLOOKUP(A360,'[1]all FNCL'!A$2:B$993,2)</f>
        <v>0.89133476417306701</v>
      </c>
      <c r="H360" s="3" t="s">
        <v>372</v>
      </c>
      <c r="I360">
        <v>0.33139494640254802</v>
      </c>
      <c r="J360">
        <f>VLOOKUP(A360,'YB OAS'!B:F,5,0)</f>
        <v>331.91339099999999</v>
      </c>
      <c r="K360" s="40">
        <f>VLOOKUP(A360,'Refi Universe'!E:F,2,0)</f>
        <v>0.95815527</v>
      </c>
    </row>
    <row r="361" spans="1:11" ht="15" x14ac:dyDescent="0.25">
      <c r="A361" s="14">
        <v>41099</v>
      </c>
      <c r="B361" s="15">
        <v>437</v>
      </c>
      <c r="C361" s="15">
        <v>437</v>
      </c>
      <c r="D361" s="5" t="s">
        <v>2</v>
      </c>
      <c r="E361" s="5" t="s">
        <v>2</v>
      </c>
      <c r="F361" s="5">
        <v>3.8686850000000002</v>
      </c>
      <c r="G361" s="12">
        <f>VLOOKUP(A361,'[1]all FNCL'!A$2:B$993,2)</f>
        <v>0.89133476417306701</v>
      </c>
      <c r="H361" s="3" t="s">
        <v>373</v>
      </c>
      <c r="I361">
        <v>0.404422924260806</v>
      </c>
      <c r="J361">
        <f>VLOOKUP(A361,'YB OAS'!B:F,5,0)</f>
        <v>324.81710800000002</v>
      </c>
      <c r="K361" s="40">
        <f>VLOOKUP(A361,'Refi Universe'!E:F,2,0)</f>
        <v>0.97662514</v>
      </c>
    </row>
    <row r="362" spans="1:11" ht="15" x14ac:dyDescent="0.25">
      <c r="A362" s="14">
        <v>41100</v>
      </c>
      <c r="B362" s="15">
        <v>386</v>
      </c>
      <c r="C362" s="15">
        <v>386</v>
      </c>
      <c r="D362" s="5" t="s">
        <v>2</v>
      </c>
      <c r="E362" s="5" t="s">
        <v>2</v>
      </c>
      <c r="F362" s="5">
        <v>3.8353160000000002</v>
      </c>
      <c r="G362" s="12">
        <f>VLOOKUP(A362,'[1]all FNCL'!A$2:B$993,2)</f>
        <v>0.89133476417306701</v>
      </c>
      <c r="H362" s="3" t="s">
        <v>374</v>
      </c>
      <c r="I362">
        <v>0.404422924260806</v>
      </c>
      <c r="J362">
        <f>VLOOKUP(A362,'YB OAS'!B:F,5,0)</f>
        <v>288.075897</v>
      </c>
      <c r="K362" s="40">
        <f>VLOOKUP(A362,'Refi Universe'!E:F,2,0)</f>
        <v>0.98419075</v>
      </c>
    </row>
    <row r="363" spans="1:11" ht="15" x14ac:dyDescent="0.25">
      <c r="A363" s="14">
        <v>41101</v>
      </c>
      <c r="B363" s="15">
        <v>369</v>
      </c>
      <c r="C363" s="15">
        <v>369</v>
      </c>
      <c r="D363" s="5" t="s">
        <v>2</v>
      </c>
      <c r="E363" s="5" t="s">
        <v>2</v>
      </c>
      <c r="F363" s="5">
        <v>3.8277399999999999</v>
      </c>
      <c r="G363" s="12">
        <f>VLOOKUP(A363,'[1]all FNCL'!A$2:B$993,2)</f>
        <v>0.89133476417306701</v>
      </c>
      <c r="H363" s="3" t="s">
        <v>375</v>
      </c>
      <c r="I363">
        <v>0.404422924260806</v>
      </c>
      <c r="J363">
        <f>VLOOKUP(A363,'YB OAS'!B:F,5,0)</f>
        <v>285.666901</v>
      </c>
      <c r="K363" s="40">
        <f>VLOOKUP(A363,'Refi Universe'!E:F,2,0)</f>
        <v>0.97879925999999995</v>
      </c>
    </row>
    <row r="364" spans="1:11" ht="15" x14ac:dyDescent="0.25">
      <c r="A364" s="14">
        <v>41102</v>
      </c>
      <c r="B364" s="15">
        <v>375</v>
      </c>
      <c r="C364" s="15">
        <v>375</v>
      </c>
      <c r="D364" s="5" t="s">
        <v>2</v>
      </c>
      <c r="E364" s="5" t="s">
        <v>2</v>
      </c>
      <c r="F364" s="5">
        <v>3.8348309999999999</v>
      </c>
      <c r="G364" s="12">
        <f>VLOOKUP(A364,'[1]all FNCL'!A$2:B$993,2)</f>
        <v>0.944528095453952</v>
      </c>
      <c r="H364" s="3" t="s">
        <v>376</v>
      </c>
      <c r="I364">
        <v>0.39753455676891197</v>
      </c>
      <c r="J364">
        <f>VLOOKUP(A364,'YB OAS'!B:F,5,0)</f>
        <v>287.60751299999998</v>
      </c>
      <c r="K364" s="40">
        <f>VLOOKUP(A364,'Refi Universe'!E:F,2,0)</f>
        <v>0.98075705000000002</v>
      </c>
    </row>
    <row r="365" spans="1:11" ht="15" x14ac:dyDescent="0.25">
      <c r="A365" s="14">
        <v>41103</v>
      </c>
      <c r="B365" s="15">
        <v>358</v>
      </c>
      <c r="C365" s="15">
        <v>358</v>
      </c>
      <c r="D365" s="5" t="s">
        <v>2</v>
      </c>
      <c r="E365" s="5" t="s">
        <v>2</v>
      </c>
      <c r="F365" s="5">
        <v>3.8794409999999999</v>
      </c>
      <c r="G365" s="12">
        <f>VLOOKUP(A365,'[1]all FNCL'!A$2:B$993,2)</f>
        <v>0.944528095453952</v>
      </c>
      <c r="H365" s="3" t="s">
        <v>377</v>
      </c>
      <c r="I365">
        <v>0.39753455676891197</v>
      </c>
      <c r="J365">
        <f>VLOOKUP(A365,'YB OAS'!B:F,5,0)</f>
        <v>270.31561299999998</v>
      </c>
      <c r="K365" s="40">
        <f>VLOOKUP(A365,'Refi Universe'!E:F,2,0)</f>
        <v>0.95144748999999995</v>
      </c>
    </row>
    <row r="366" spans="1:11" ht="15" x14ac:dyDescent="0.25">
      <c r="A366" s="14">
        <v>41106</v>
      </c>
      <c r="B366" s="15">
        <v>405</v>
      </c>
      <c r="C366" s="15">
        <v>405</v>
      </c>
      <c r="D366" s="5" t="s">
        <v>2</v>
      </c>
      <c r="E366" s="5" t="s">
        <v>2</v>
      </c>
      <c r="F366" s="5">
        <v>3.8353869999999999</v>
      </c>
      <c r="G366" s="12">
        <f>VLOOKUP(A366,'[1]all FNCL'!A$2:B$993,2)</f>
        <v>0.944528095453952</v>
      </c>
      <c r="H366" s="3" t="s">
        <v>378</v>
      </c>
      <c r="I366">
        <v>0.41492382770581399</v>
      </c>
      <c r="J366">
        <f>VLOOKUP(A366,'YB OAS'!B:F,5,0)</f>
        <v>309.26388500000002</v>
      </c>
      <c r="K366" s="40">
        <f>VLOOKUP(A366,'Refi Universe'!E:F,2,0)</f>
        <v>0.98415346000000004</v>
      </c>
    </row>
    <row r="367" spans="1:11" ht="15" x14ac:dyDescent="0.25">
      <c r="A367" s="14">
        <v>41107</v>
      </c>
      <c r="B367" s="15">
        <v>398</v>
      </c>
      <c r="C367" s="15">
        <v>398</v>
      </c>
      <c r="D367" s="5" t="s">
        <v>2</v>
      </c>
      <c r="E367" s="5" t="s">
        <v>2</v>
      </c>
      <c r="F367" s="5">
        <v>3.8584770000000002</v>
      </c>
      <c r="G367" s="12">
        <f>VLOOKUP(A367,'[1]all FNCL'!A$2:B$993,2)</f>
        <v>0.944528095453952</v>
      </c>
      <c r="H367" s="3" t="s">
        <v>379</v>
      </c>
      <c r="I367">
        <v>0.41492382770581399</v>
      </c>
      <c r="J367">
        <f>VLOOKUP(A367,'YB OAS'!B:F,5,0)</f>
        <v>293.67010499999998</v>
      </c>
      <c r="K367" s="40">
        <f>VLOOKUP(A367,'Refi Universe'!E:F,2,0)</f>
        <v>0.97010662999999997</v>
      </c>
    </row>
    <row r="368" spans="1:11" ht="15" x14ac:dyDescent="0.25">
      <c r="A368" s="14">
        <v>41108</v>
      </c>
      <c r="B368" s="15">
        <v>413</v>
      </c>
      <c r="C368" s="15">
        <v>413</v>
      </c>
      <c r="D368" s="5" t="s">
        <v>2</v>
      </c>
      <c r="E368" s="5" t="s">
        <v>2</v>
      </c>
      <c r="F368" s="5">
        <v>3.8358789999999998</v>
      </c>
      <c r="G368" s="12">
        <f>VLOOKUP(A368,'[1]all FNCL'!A$2:B$993,2)</f>
        <v>0.944528095453952</v>
      </c>
      <c r="H368" s="3" t="s">
        <v>380</v>
      </c>
      <c r="I368">
        <v>0.41492382770581399</v>
      </c>
      <c r="J368">
        <f>VLOOKUP(A368,'YB OAS'!B:F,5,0)</f>
        <v>305.90008499999999</v>
      </c>
      <c r="K368" s="40">
        <f>VLOOKUP(A368,'Refi Universe'!E:F,2,0)</f>
        <v>0.98441588000000002</v>
      </c>
    </row>
    <row r="369" spans="1:11" ht="15" x14ac:dyDescent="0.25">
      <c r="A369" s="14">
        <v>41109</v>
      </c>
      <c r="B369" s="15">
        <v>411</v>
      </c>
      <c r="C369" s="15">
        <v>411</v>
      </c>
      <c r="D369" s="5" t="s">
        <v>2</v>
      </c>
      <c r="E369" s="5" t="s">
        <v>2</v>
      </c>
      <c r="F369" s="5">
        <v>3.8542329999999998</v>
      </c>
      <c r="G369" s="12">
        <f>VLOOKUP(A369,'[1]all FNCL'!A$2:B$993,2)</f>
        <v>0.97186924857157997</v>
      </c>
      <c r="H369" s="3" t="s">
        <v>381</v>
      </c>
      <c r="I369">
        <v>0.41492382770581399</v>
      </c>
      <c r="J369">
        <f>VLOOKUP(A369,'YB OAS'!B:F,5,0)</f>
        <v>298.12649499999998</v>
      </c>
      <c r="K369" s="40">
        <f>VLOOKUP(A369,'Refi Universe'!E:F,2,0)</f>
        <v>0.97879925999999995</v>
      </c>
    </row>
    <row r="370" spans="1:11" ht="15" x14ac:dyDescent="0.25">
      <c r="A370" s="14">
        <v>41110</v>
      </c>
      <c r="B370" s="15">
        <v>396</v>
      </c>
      <c r="C370" s="15">
        <v>396</v>
      </c>
      <c r="D370" s="5" t="s">
        <v>2</v>
      </c>
      <c r="E370" s="5" t="s">
        <v>2</v>
      </c>
      <c r="F370" s="5">
        <v>3.8191510000000002</v>
      </c>
      <c r="G370" s="12">
        <f>VLOOKUP(A370,'[1]all FNCL'!A$2:B$993,2)</f>
        <v>0.97186924857157997</v>
      </c>
      <c r="H370" s="3" t="s">
        <v>382</v>
      </c>
      <c r="I370">
        <v>0.41233771643317702</v>
      </c>
      <c r="J370">
        <f>VLOOKUP(A370,'YB OAS'!B:F,5,0)</f>
        <v>303.14209</v>
      </c>
      <c r="K370" s="40">
        <f>VLOOKUP(A370,'Refi Universe'!E:F,2,0)</f>
        <v>0.98785926000000002</v>
      </c>
    </row>
    <row r="371" spans="1:11" ht="15" x14ac:dyDescent="0.25">
      <c r="A371" s="14">
        <v>41113</v>
      </c>
      <c r="B371" s="15">
        <v>400</v>
      </c>
      <c r="C371" s="15">
        <v>400</v>
      </c>
      <c r="D371" s="5" t="s">
        <v>2</v>
      </c>
      <c r="E371" s="5" t="s">
        <v>2</v>
      </c>
      <c r="F371" s="5">
        <v>3.7896390000000002</v>
      </c>
      <c r="G371" s="12">
        <f>VLOOKUP(A371,'[1]all FNCL'!A$2:B$993,2)</f>
        <v>0.97186924857157997</v>
      </c>
      <c r="H371" s="3" t="s">
        <v>383</v>
      </c>
      <c r="I371">
        <v>0.41233771643317702</v>
      </c>
      <c r="J371">
        <f>VLOOKUP(A371,'YB OAS'!B:F,5,0)</f>
        <v>318.377411</v>
      </c>
      <c r="K371" s="40">
        <f>VLOOKUP(A371,'Refi Universe'!E:F,2,0)</f>
        <v>0.98850773000000003</v>
      </c>
    </row>
    <row r="372" spans="1:11" ht="15" x14ac:dyDescent="0.25">
      <c r="A372" s="14">
        <v>41114</v>
      </c>
      <c r="B372" s="15">
        <v>419</v>
      </c>
      <c r="C372" s="15">
        <v>419</v>
      </c>
      <c r="D372" s="5" t="s">
        <v>2</v>
      </c>
      <c r="E372" s="5" t="s">
        <v>2</v>
      </c>
      <c r="F372" s="5">
        <v>3.7645930000000001</v>
      </c>
      <c r="G372" s="12">
        <f>VLOOKUP(A372,'[1]all FNCL'!A$2:B$993,2)</f>
        <v>0.97186924857157997</v>
      </c>
      <c r="H372" s="3" t="s">
        <v>384</v>
      </c>
      <c r="I372">
        <v>0.41233771643317702</v>
      </c>
      <c r="J372">
        <f>VLOOKUP(A372,'YB OAS'!B:F,5,0)</f>
        <v>344.65121499999998</v>
      </c>
      <c r="K372" s="40">
        <f>VLOOKUP(A372,'Refi Universe'!E:F,2,0)</f>
        <v>0.98959233999999996</v>
      </c>
    </row>
    <row r="373" spans="1:11" ht="15" x14ac:dyDescent="0.25">
      <c r="A373" s="14">
        <v>41115</v>
      </c>
      <c r="B373" s="15">
        <v>416</v>
      </c>
      <c r="C373" s="15">
        <v>416</v>
      </c>
      <c r="D373" s="5" t="s">
        <v>2</v>
      </c>
      <c r="E373" s="5" t="s">
        <v>2</v>
      </c>
      <c r="F373" s="5">
        <v>3.7852109999999999</v>
      </c>
      <c r="G373" s="12">
        <f>VLOOKUP(A373,'[1]all FNCL'!A$2:B$993,2)</f>
        <v>0.97186924857157997</v>
      </c>
      <c r="H373" s="3" t="s">
        <v>385</v>
      </c>
      <c r="I373">
        <v>0.40226083862325102</v>
      </c>
      <c r="J373">
        <f>VLOOKUP(A373,'YB OAS'!B:F,5,0)</f>
        <v>339.24349999999998</v>
      </c>
      <c r="K373" s="40">
        <f>VLOOKUP(A373,'Refi Universe'!E:F,2,0)</f>
        <v>0.98728897999999998</v>
      </c>
    </row>
    <row r="374" spans="1:11" ht="15" x14ac:dyDescent="0.25">
      <c r="A374" s="14">
        <v>41116</v>
      </c>
      <c r="B374" s="15">
        <v>379</v>
      </c>
      <c r="C374" s="15">
        <v>379</v>
      </c>
      <c r="D374" s="5" t="s">
        <v>2</v>
      </c>
      <c r="E374" s="5" t="s">
        <v>2</v>
      </c>
      <c r="F374" s="5">
        <v>3.7980130000000001</v>
      </c>
      <c r="G374" s="12">
        <f>VLOOKUP(A374,'[1]all FNCL'!A$2:B$993,2)</f>
        <v>0.98447138587305705</v>
      </c>
      <c r="H374" s="3" t="s">
        <v>386</v>
      </c>
      <c r="I374">
        <v>0.40226083862325102</v>
      </c>
      <c r="J374">
        <f>VLOOKUP(A374,'YB OAS'!B:F,5,0)</f>
        <v>293.882294</v>
      </c>
      <c r="K374" s="40">
        <f>VLOOKUP(A374,'Refi Universe'!E:F,2,0)</f>
        <v>0.98586468999999999</v>
      </c>
    </row>
    <row r="375" spans="1:11" ht="15" x14ac:dyDescent="0.25">
      <c r="A375" s="14">
        <v>41117</v>
      </c>
      <c r="B375" s="15">
        <v>336</v>
      </c>
      <c r="C375" s="15">
        <v>336</v>
      </c>
      <c r="D375" s="5" t="s">
        <v>2</v>
      </c>
      <c r="E375" s="5" t="s">
        <v>2</v>
      </c>
      <c r="F375" s="5">
        <v>3.8505289999999999</v>
      </c>
      <c r="G375" s="12">
        <f>VLOOKUP(A375,'[1]all FNCL'!A$2:B$993,2)</f>
        <v>0.97186924857157997</v>
      </c>
      <c r="H375" s="3" t="s">
        <v>387</v>
      </c>
      <c r="I375">
        <v>0.40226083862325102</v>
      </c>
      <c r="J375">
        <f>VLOOKUP(A375,'YB OAS'!B:F,5,0)</f>
        <v>249.08770799999999</v>
      </c>
      <c r="K375" s="40">
        <f>VLOOKUP(A375,'Refi Universe'!E:F,2,0)</f>
        <v>0.87809594999999996</v>
      </c>
    </row>
    <row r="376" spans="1:11" ht="15" x14ac:dyDescent="0.25">
      <c r="A376" s="14">
        <v>41120</v>
      </c>
      <c r="B376" s="15">
        <v>320</v>
      </c>
      <c r="C376" s="15">
        <v>320</v>
      </c>
      <c r="D376" s="5" t="s">
        <v>2</v>
      </c>
      <c r="E376" s="5" t="s">
        <v>2</v>
      </c>
      <c r="F376" s="5">
        <v>3.8049110000000002</v>
      </c>
      <c r="G376" s="12">
        <f>VLOOKUP(A376,'[1]all FNCL'!A$2:B$993,2)</f>
        <v>0.98447138587305705</v>
      </c>
      <c r="H376" s="3" t="s">
        <v>388</v>
      </c>
      <c r="I376">
        <v>0.40226083862325102</v>
      </c>
      <c r="J376">
        <f>VLOOKUP(A376,'YB OAS'!B:F,5,0)</f>
        <v>236.45889299999999</v>
      </c>
      <c r="K376" s="40">
        <f>VLOOKUP(A376,'Refi Universe'!E:F,2,0)</f>
        <v>0.97455305999999997</v>
      </c>
    </row>
    <row r="377" spans="1:11" ht="15" x14ac:dyDescent="0.25">
      <c r="A377" s="14">
        <v>41121</v>
      </c>
      <c r="B377" s="15">
        <v>288</v>
      </c>
      <c r="C377" s="15">
        <v>288</v>
      </c>
      <c r="D377" s="5" t="s">
        <v>2</v>
      </c>
      <c r="E377" s="5" t="s">
        <v>2</v>
      </c>
      <c r="F377" s="5">
        <v>3.7738589999999999</v>
      </c>
      <c r="G377" s="12">
        <f>VLOOKUP(A377,'[1]all FNCL'!A$2:B$993,2)</f>
        <v>0.98447138587305705</v>
      </c>
      <c r="H377" s="3" t="s">
        <v>389</v>
      </c>
      <c r="I377">
        <v>0.40226083862325102</v>
      </c>
      <c r="J377">
        <f>VLOOKUP(A377,'YB OAS'!B:F,5,0)</f>
        <v>229.97110000000001</v>
      </c>
      <c r="K377" s="40">
        <f>VLOOKUP(A377,'Refi Universe'!E:F,2,0)</f>
        <v>0.98007849999999996</v>
      </c>
    </row>
    <row r="378" spans="1:11" ht="15" x14ac:dyDescent="0.25">
      <c r="A378" s="14">
        <v>41122</v>
      </c>
      <c r="B378" s="15">
        <v>265</v>
      </c>
      <c r="C378" s="15">
        <v>265</v>
      </c>
      <c r="D378" s="5" t="s">
        <v>2</v>
      </c>
      <c r="E378" s="5" t="s">
        <v>2</v>
      </c>
      <c r="F378" s="5">
        <v>3.7763070000000001</v>
      </c>
      <c r="G378" s="12">
        <f>VLOOKUP(A378,'[1]all FNCL'!A$2:B$993,2)</f>
        <v>0.97289569754528904</v>
      </c>
      <c r="H378" s="3" t="s">
        <v>390</v>
      </c>
      <c r="I378">
        <v>0.44174331286746599</v>
      </c>
      <c r="J378">
        <f>VLOOKUP(A378,'YB OAS'!B:F,5,0)</f>
        <v>201.82839999999999</v>
      </c>
      <c r="K378" s="40">
        <f>VLOOKUP(A378,'Refi Universe'!E:F,2,0)</f>
        <v>0.92603561999999995</v>
      </c>
    </row>
    <row r="379" spans="1:11" ht="15" x14ac:dyDescent="0.25">
      <c r="A379" s="14">
        <v>41123</v>
      </c>
      <c r="B379" s="15">
        <v>271</v>
      </c>
      <c r="C379" s="15">
        <v>271</v>
      </c>
      <c r="D379" s="5" t="s">
        <v>2</v>
      </c>
      <c r="E379" s="5" t="s">
        <v>2</v>
      </c>
      <c r="F379" s="5">
        <v>3.77407</v>
      </c>
      <c r="G379" s="12">
        <f>VLOOKUP(A379,'[1]all FNCL'!A$2:B$993,2)</f>
        <v>0.93852225394978095</v>
      </c>
      <c r="H379" s="3" t="s">
        <v>391</v>
      </c>
      <c r="I379">
        <v>0.44174331286746599</v>
      </c>
      <c r="J379">
        <f>VLOOKUP(A379,'YB OAS'!B:F,5,0)</f>
        <v>200.926605</v>
      </c>
      <c r="K379" s="40">
        <f>VLOOKUP(A379,'Refi Universe'!E:F,2,0)</f>
        <v>0.95403947</v>
      </c>
    </row>
    <row r="380" spans="1:11" ht="15" x14ac:dyDescent="0.25">
      <c r="A380" s="14">
        <v>41124</v>
      </c>
      <c r="B380" s="15">
        <v>286</v>
      </c>
      <c r="C380" s="15">
        <v>286</v>
      </c>
      <c r="D380" s="5" t="s">
        <v>2</v>
      </c>
      <c r="E380" s="5" t="s">
        <v>2</v>
      </c>
      <c r="F380" s="5">
        <v>3.831642</v>
      </c>
      <c r="G380" s="12">
        <f>VLOOKUP(A380,'[1]all FNCL'!A$2:B$993,2)</f>
        <v>0.93852225394978095</v>
      </c>
      <c r="H380" s="3" t="s">
        <v>392</v>
      </c>
      <c r="I380">
        <v>0.44174331286746599</v>
      </c>
      <c r="J380">
        <f>VLOOKUP(A380,'YB OAS'!B:F,5,0)</f>
        <v>172.87600699999999</v>
      </c>
      <c r="K380" s="40">
        <f>VLOOKUP(A380,'Refi Universe'!E:F,2,0)</f>
        <v>0.87064797000000005</v>
      </c>
    </row>
    <row r="381" spans="1:11" ht="15" x14ac:dyDescent="0.25">
      <c r="A381" s="14">
        <v>41127</v>
      </c>
      <c r="B381" s="15">
        <v>296</v>
      </c>
      <c r="C381" s="15">
        <v>296</v>
      </c>
      <c r="D381" s="5" t="s">
        <v>2</v>
      </c>
      <c r="E381" s="5" t="s">
        <v>2</v>
      </c>
      <c r="F381" s="5">
        <v>3.8311890000000002</v>
      </c>
      <c r="G381" s="12">
        <f>VLOOKUP(A381,'[1]all FNCL'!A$2:B$993,2)</f>
        <v>0.93852225394978095</v>
      </c>
      <c r="H381" s="3" t="s">
        <v>393</v>
      </c>
      <c r="I381">
        <v>0.46054051472194202</v>
      </c>
      <c r="J381">
        <f>VLOOKUP(A381,'YB OAS'!B:F,5,0)</f>
        <v>181.199997</v>
      </c>
      <c r="K381" s="40">
        <f>VLOOKUP(A381,'Refi Universe'!E:F,2,0)</f>
        <v>0.87914780000000003</v>
      </c>
    </row>
    <row r="382" spans="1:11" ht="15" x14ac:dyDescent="0.25">
      <c r="A382" s="14">
        <v>41128</v>
      </c>
      <c r="B382" s="15">
        <v>305</v>
      </c>
      <c r="C382" s="15">
        <v>305</v>
      </c>
      <c r="D382" s="5" t="s">
        <v>2</v>
      </c>
      <c r="E382" s="5" t="s">
        <v>2</v>
      </c>
      <c r="F382" s="5">
        <v>3.8464839999999998</v>
      </c>
      <c r="G382" s="12">
        <f>VLOOKUP(A382,'[1]all FNCL'!A$2:B$993,2)</f>
        <v>0.93852225394978095</v>
      </c>
      <c r="H382" s="3" t="s">
        <v>394</v>
      </c>
      <c r="I382">
        <v>0.45992799651573901</v>
      </c>
      <c r="J382">
        <f>VLOOKUP(A382,'YB OAS'!B:F,5,0)</f>
        <v>173.72740200000001</v>
      </c>
      <c r="K382" s="40">
        <f>VLOOKUP(A382,'Refi Universe'!E:F,2,0)</f>
        <v>0.85676613000000001</v>
      </c>
    </row>
    <row r="383" spans="1:11" ht="15" x14ac:dyDescent="0.25">
      <c r="A383" s="14">
        <v>41129</v>
      </c>
      <c r="B383" s="15">
        <v>304</v>
      </c>
      <c r="C383" s="15">
        <v>304</v>
      </c>
      <c r="D383" s="5" t="s">
        <v>2</v>
      </c>
      <c r="E383" s="5" t="s">
        <v>2</v>
      </c>
      <c r="F383" s="5">
        <v>3.8253469999999998</v>
      </c>
      <c r="G383" s="12">
        <f>VLOOKUP(A383,'[1]all FNCL'!A$2:B$993,2)</f>
        <v>0.93852225394978095</v>
      </c>
      <c r="H383" s="3" t="s">
        <v>395</v>
      </c>
      <c r="I383">
        <v>0.45992799651573901</v>
      </c>
      <c r="J383">
        <f>VLOOKUP(A383,'YB OAS'!B:F,5,0)</f>
        <v>176.588898</v>
      </c>
      <c r="K383" s="40">
        <f>VLOOKUP(A383,'Refi Universe'!E:F,2,0)</f>
        <v>0.88188845000000005</v>
      </c>
    </row>
    <row r="384" spans="1:11" ht="15" x14ac:dyDescent="0.25">
      <c r="A384" s="14">
        <v>41130</v>
      </c>
      <c r="B384" s="15">
        <v>285</v>
      </c>
      <c r="C384" s="15">
        <v>285</v>
      </c>
      <c r="D384" s="5" t="s">
        <v>2</v>
      </c>
      <c r="E384" s="5" t="s">
        <v>2</v>
      </c>
      <c r="F384" s="5">
        <v>3.8120690000000002</v>
      </c>
      <c r="G384" s="12">
        <f>VLOOKUP(A384,'[1]all FNCL'!A$2:B$993,2)</f>
        <v>0.88830449257823196</v>
      </c>
      <c r="H384" s="3" t="s">
        <v>396</v>
      </c>
      <c r="I384">
        <v>0.45992799651573901</v>
      </c>
      <c r="J384">
        <f>VLOOKUP(A384,'YB OAS'!B:F,5,0)</f>
        <v>163.587997</v>
      </c>
      <c r="K384" s="40">
        <f>VLOOKUP(A384,'Refi Universe'!E:F,2,0)</f>
        <v>0.87997017</v>
      </c>
    </row>
    <row r="385" spans="1:11" ht="15" x14ac:dyDescent="0.25">
      <c r="A385" s="14">
        <v>41131</v>
      </c>
      <c r="B385" s="15">
        <v>279</v>
      </c>
      <c r="C385" s="15">
        <v>279</v>
      </c>
      <c r="D385" s="5" t="s">
        <v>2</v>
      </c>
      <c r="E385" s="5" t="s">
        <v>2</v>
      </c>
      <c r="F385" s="5">
        <v>3.8045239999999998</v>
      </c>
      <c r="G385" s="12">
        <f>VLOOKUP(A385,'[1]all FNCL'!A$2:B$993,2)</f>
        <v>0.88830449257823196</v>
      </c>
      <c r="H385" s="3" t="s">
        <v>397</v>
      </c>
      <c r="I385">
        <v>0.45992799651573901</v>
      </c>
      <c r="J385">
        <f>VLOOKUP(A385,'YB OAS'!B:F,5,0)</f>
        <v>171.76010099999999</v>
      </c>
      <c r="K385" s="40">
        <f>VLOOKUP(A385,'Refi Universe'!E:F,2,0)</f>
        <v>0.90059957999999996</v>
      </c>
    </row>
    <row r="386" spans="1:11" ht="15" x14ac:dyDescent="0.25">
      <c r="A386" s="14">
        <v>41134</v>
      </c>
      <c r="B386" s="15">
        <v>278</v>
      </c>
      <c r="C386" s="15">
        <v>278</v>
      </c>
      <c r="D386" s="5" t="s">
        <v>2</v>
      </c>
      <c r="E386" s="5" t="s">
        <v>2</v>
      </c>
      <c r="F386" s="5">
        <v>3.8090820000000001</v>
      </c>
      <c r="G386" s="12">
        <f>VLOOKUP(A386,'[1]all FNCL'!A$2:B$993,2)</f>
        <v>0.88830449257823196</v>
      </c>
      <c r="H386" s="3" t="s">
        <v>398</v>
      </c>
      <c r="I386">
        <v>0.42914615919681298</v>
      </c>
      <c r="J386">
        <f>VLOOKUP(A386,'YB OAS'!B:F,5,0)</f>
        <v>162.964294</v>
      </c>
      <c r="K386" s="40">
        <f>VLOOKUP(A386,'Refi Universe'!E:F,2,0)</f>
        <v>0.90519167</v>
      </c>
    </row>
    <row r="387" spans="1:11" ht="15" x14ac:dyDescent="0.25">
      <c r="A387" s="14">
        <v>41135</v>
      </c>
      <c r="B387" s="15">
        <v>284</v>
      </c>
      <c r="C387" s="15">
        <v>284</v>
      </c>
      <c r="D387" s="5" t="s">
        <v>2</v>
      </c>
      <c r="E387" s="5" t="s">
        <v>2</v>
      </c>
      <c r="F387" s="5">
        <v>3.8369450000000001</v>
      </c>
      <c r="G387" s="12">
        <f>VLOOKUP(A387,'[1]all FNCL'!A$2:B$993,2)</f>
        <v>0.88830449257823196</v>
      </c>
      <c r="H387" s="3" t="s">
        <v>399</v>
      </c>
      <c r="I387">
        <v>0.42914615919681298</v>
      </c>
      <c r="J387">
        <f>VLOOKUP(A387,'YB OAS'!B:F,5,0)</f>
        <v>151.04840100000001</v>
      </c>
      <c r="K387" s="40">
        <f>VLOOKUP(A387,'Refi Universe'!E:F,2,0)</f>
        <v>0.85987332000000005</v>
      </c>
    </row>
    <row r="388" spans="1:11" ht="15" x14ac:dyDescent="0.25">
      <c r="A388" s="14">
        <v>41136</v>
      </c>
      <c r="B388" s="15">
        <v>303</v>
      </c>
      <c r="C388" s="15">
        <v>303</v>
      </c>
      <c r="D388" s="5" t="s">
        <v>2</v>
      </c>
      <c r="E388" s="5" t="s">
        <v>2</v>
      </c>
      <c r="F388" s="5">
        <v>3.909599</v>
      </c>
      <c r="G388" s="12">
        <f>VLOOKUP(A388,'[1]all FNCL'!A$2:B$993,2)</f>
        <v>0.88830449257823196</v>
      </c>
      <c r="H388" s="3" t="s">
        <v>400</v>
      </c>
      <c r="I388">
        <v>0.42914615919681298</v>
      </c>
      <c r="J388">
        <f>VLOOKUP(A388,'YB OAS'!B:F,5,0)</f>
        <v>139.95199600000001</v>
      </c>
      <c r="K388" s="40">
        <f>VLOOKUP(A388,'Refi Universe'!E:F,2,0)</f>
        <v>0.84554792000000001</v>
      </c>
    </row>
    <row r="389" spans="1:11" ht="15" x14ac:dyDescent="0.25">
      <c r="A389" s="14">
        <v>41137</v>
      </c>
      <c r="B389" s="15">
        <v>295</v>
      </c>
      <c r="C389" s="15">
        <v>295</v>
      </c>
      <c r="D389" s="5" t="s">
        <v>2</v>
      </c>
      <c r="E389" s="5" t="s">
        <v>2</v>
      </c>
      <c r="F389" s="5">
        <v>3.9317530000000001</v>
      </c>
      <c r="G389" s="12">
        <f>VLOOKUP(A389,'[1]all FNCL'!A$2:B$993,2)</f>
        <v>0.871668034024078</v>
      </c>
      <c r="H389" s="3" t="s">
        <v>401</v>
      </c>
      <c r="I389">
        <v>0.38756459325455</v>
      </c>
      <c r="J389">
        <f>VLOOKUP(A389,'YB OAS'!B:F,5,0)</f>
        <v>111.673203</v>
      </c>
      <c r="K389" s="40">
        <f>VLOOKUP(A389,'Refi Universe'!E:F,2,0)</f>
        <v>0.84291780999999999</v>
      </c>
    </row>
    <row r="390" spans="1:11" ht="15" x14ac:dyDescent="0.25">
      <c r="A390" s="14">
        <v>41138</v>
      </c>
      <c r="B390" s="15">
        <v>291</v>
      </c>
      <c r="C390" s="15">
        <v>291</v>
      </c>
      <c r="D390" s="5" t="s">
        <v>2</v>
      </c>
      <c r="E390" s="5" t="s">
        <v>2</v>
      </c>
      <c r="F390" s="5">
        <v>3.9167260000000002</v>
      </c>
      <c r="G390" s="12">
        <f>VLOOKUP(A390,'[1]all FNCL'!A$2:B$993,2)</f>
        <v>0.871668034024078</v>
      </c>
      <c r="H390" s="3" t="s">
        <v>402</v>
      </c>
      <c r="I390">
        <v>0.38756459325455</v>
      </c>
      <c r="J390">
        <f>VLOOKUP(A390,'YB OAS'!B:F,5,0)</f>
        <v>118.69259599999999</v>
      </c>
      <c r="K390" s="40">
        <f>VLOOKUP(A390,'Refi Universe'!E:F,2,0)</f>
        <v>0.84552031000000005</v>
      </c>
    </row>
    <row r="391" spans="1:11" ht="15" x14ac:dyDescent="0.25">
      <c r="A391" s="14">
        <v>41141</v>
      </c>
      <c r="B391" s="15">
        <v>287</v>
      </c>
      <c r="C391" s="15">
        <v>287</v>
      </c>
      <c r="D391" s="5" t="s">
        <v>2</v>
      </c>
      <c r="E391" s="5" t="s">
        <v>2</v>
      </c>
      <c r="F391" s="5">
        <v>3.905341</v>
      </c>
      <c r="G391" s="12">
        <f>VLOOKUP(A391,'[1]all FNCL'!A$2:B$993,2)</f>
        <v>0.871668034024078</v>
      </c>
      <c r="H391" s="3" t="s">
        <v>403</v>
      </c>
      <c r="I391">
        <v>0.38756459325455</v>
      </c>
      <c r="J391">
        <f>VLOOKUP(A391,'YB OAS'!B:F,5,0)</f>
        <v>125.724403</v>
      </c>
      <c r="K391" s="40">
        <f>VLOOKUP(A391,'Refi Universe'!E:F,2,0)</f>
        <v>0.84702736999999995</v>
      </c>
    </row>
    <row r="392" spans="1:11" ht="15" x14ac:dyDescent="0.25">
      <c r="A392" s="14">
        <v>41142</v>
      </c>
      <c r="B392" s="15">
        <v>279</v>
      </c>
      <c r="C392" s="15">
        <v>279</v>
      </c>
      <c r="D392" s="5" t="s">
        <v>2</v>
      </c>
      <c r="E392" s="5" t="s">
        <v>2</v>
      </c>
      <c r="F392" s="5">
        <v>3.9096850000000001</v>
      </c>
      <c r="G392" s="12">
        <f>VLOOKUP(A392,'[1]all FNCL'!A$2:B$993,2)</f>
        <v>0.871668034024078</v>
      </c>
      <c r="H392" s="3" t="s">
        <v>404</v>
      </c>
      <c r="I392">
        <v>0.38756459325455</v>
      </c>
      <c r="J392">
        <f>VLOOKUP(A392,'YB OAS'!B:F,5,0)</f>
        <v>122.78479799999999</v>
      </c>
      <c r="K392" s="40">
        <f>VLOOKUP(A392,'Refi Universe'!E:F,2,0)</f>
        <v>0.84653082999999996</v>
      </c>
    </row>
    <row r="393" spans="1:11" ht="15" x14ac:dyDescent="0.25">
      <c r="A393" s="14">
        <v>41143</v>
      </c>
      <c r="B393" s="15">
        <v>248</v>
      </c>
      <c r="C393" s="15">
        <v>248</v>
      </c>
      <c r="D393" s="5" t="s">
        <v>2</v>
      </c>
      <c r="E393" s="5" t="s">
        <v>2</v>
      </c>
      <c r="F393" s="5">
        <v>3.862168</v>
      </c>
      <c r="G393" s="12">
        <f>VLOOKUP(A393,'[1]all FNCL'!A$2:B$993,2)</f>
        <v>0.871668034024078</v>
      </c>
      <c r="H393" s="3" t="s">
        <v>405</v>
      </c>
      <c r="I393">
        <v>0.41376095810168201</v>
      </c>
      <c r="J393">
        <f>VLOOKUP(A393,'YB OAS'!B:F,5,0)</f>
        <v>115.84200300000001</v>
      </c>
      <c r="K393" s="40">
        <f>VLOOKUP(A393,'Refi Universe'!E:F,2,0)</f>
        <v>0.92849970000000004</v>
      </c>
    </row>
    <row r="394" spans="1:11" ht="15" x14ac:dyDescent="0.25">
      <c r="A394" s="14">
        <v>41144</v>
      </c>
      <c r="B394" s="15">
        <v>256</v>
      </c>
      <c r="C394" s="15">
        <v>256</v>
      </c>
      <c r="D394" s="5" t="s">
        <v>2</v>
      </c>
      <c r="E394" s="5" t="s">
        <v>2</v>
      </c>
      <c r="F394" s="5">
        <v>3.843178</v>
      </c>
      <c r="G394" s="12">
        <f>VLOOKUP(A394,'[1]all FNCL'!A$2:B$993,2)</f>
        <v>0.85676613742448104</v>
      </c>
      <c r="H394" s="3" t="s">
        <v>406</v>
      </c>
      <c r="I394">
        <v>0.41376095810168201</v>
      </c>
      <c r="J394">
        <f>VLOOKUP(A394,'YB OAS'!B:F,5,0)</f>
        <v>131.06759600000001</v>
      </c>
      <c r="K394" s="40">
        <f>VLOOKUP(A394,'Refi Universe'!E:F,2,0)</f>
        <v>0.97284862999999999</v>
      </c>
    </row>
    <row r="395" spans="1:11" ht="15" x14ac:dyDescent="0.25">
      <c r="A395" s="14">
        <v>41145</v>
      </c>
      <c r="B395" s="15">
        <v>255</v>
      </c>
      <c r="C395" s="15">
        <v>255</v>
      </c>
      <c r="D395" s="5" t="s">
        <v>2</v>
      </c>
      <c r="E395" s="5" t="s">
        <v>2</v>
      </c>
      <c r="F395" s="5">
        <v>3.8624849999999999</v>
      </c>
      <c r="G395" s="12">
        <f>VLOOKUP(A395,'[1]all FNCL'!A$2:B$993,2)</f>
        <v>0.85676613742448104</v>
      </c>
      <c r="H395" s="3" t="s">
        <v>407</v>
      </c>
      <c r="I395">
        <v>0.41376095810168201</v>
      </c>
      <c r="J395">
        <f>VLOOKUP(A395,'YB OAS'!B:F,5,0)</f>
        <v>107.89340199999999</v>
      </c>
      <c r="K395" s="40">
        <f>VLOOKUP(A395,'Refi Universe'!E:F,2,0)</f>
        <v>0.96075451000000001</v>
      </c>
    </row>
    <row r="396" spans="1:11" ht="15" x14ac:dyDescent="0.25">
      <c r="A396" s="14">
        <v>41148</v>
      </c>
      <c r="B396" s="15">
        <v>234</v>
      </c>
      <c r="C396" s="15">
        <v>234</v>
      </c>
      <c r="D396" s="5" t="s">
        <v>2</v>
      </c>
      <c r="E396" s="5" t="s">
        <v>2</v>
      </c>
      <c r="F396" s="5">
        <v>3.845545</v>
      </c>
      <c r="G396" s="12">
        <f>VLOOKUP(A396,'[1]all FNCL'!A$2:B$993,2)</f>
        <v>0.85676613742448104</v>
      </c>
      <c r="H396" s="3" t="s">
        <v>408</v>
      </c>
      <c r="I396">
        <v>0.41376095810168201</v>
      </c>
      <c r="J396">
        <f>VLOOKUP(A396,'YB OAS'!B:F,5,0)</f>
        <v>107.43589799999999</v>
      </c>
      <c r="K396" s="40">
        <f>VLOOKUP(A396,'Refi Universe'!E:F,2,0)</f>
        <v>0.97332927999999996</v>
      </c>
    </row>
    <row r="397" spans="1:11" ht="15" x14ac:dyDescent="0.25">
      <c r="A397" s="14">
        <v>41149</v>
      </c>
      <c r="B397" s="15">
        <v>245</v>
      </c>
      <c r="C397" s="15">
        <v>245</v>
      </c>
      <c r="D397" s="5" t="s">
        <v>2</v>
      </c>
      <c r="E397" s="5" t="s">
        <v>2</v>
      </c>
      <c r="F397" s="5">
        <v>3.8483520000000002</v>
      </c>
      <c r="G397" s="12">
        <f>VLOOKUP(A397,'[1]all FNCL'!A$2:B$993,2)</f>
        <v>0.85676613742448104</v>
      </c>
      <c r="H397" s="3" t="s">
        <v>409</v>
      </c>
      <c r="I397">
        <v>0.39685395177288302</v>
      </c>
      <c r="J397">
        <f>VLOOKUP(A397,'YB OAS'!B:F,5,0)</f>
        <v>92.273598000000007</v>
      </c>
      <c r="K397" s="40">
        <f>VLOOKUP(A397,'Refi Universe'!E:F,2,0)</f>
        <v>0.97623548000000004</v>
      </c>
    </row>
    <row r="398" spans="1:11" ht="15" x14ac:dyDescent="0.25">
      <c r="A398" s="14">
        <v>41150</v>
      </c>
      <c r="B398" s="15">
        <v>261</v>
      </c>
      <c r="C398" s="15">
        <v>261</v>
      </c>
      <c r="D398" s="5" t="s">
        <v>2</v>
      </c>
      <c r="E398" s="5" t="s">
        <v>2</v>
      </c>
      <c r="F398" s="5">
        <v>3.8780429999999999</v>
      </c>
      <c r="G398" s="12">
        <f>VLOOKUP(A398,'[1]all FNCL'!A$2:B$993,2)</f>
        <v>0.85676613742448104</v>
      </c>
      <c r="H398" s="3" t="s">
        <v>410</v>
      </c>
      <c r="I398">
        <v>0.39163572008716802</v>
      </c>
      <c r="J398">
        <f>VLOOKUP(A398,'YB OAS'!B:F,5,0)</f>
        <v>103.21520200000001</v>
      </c>
      <c r="K398" s="40">
        <f>VLOOKUP(A398,'Refi Universe'!E:F,2,0)</f>
        <v>0.89613767</v>
      </c>
    </row>
    <row r="399" spans="1:11" ht="15" x14ac:dyDescent="0.25">
      <c r="A399" s="14">
        <v>41151</v>
      </c>
      <c r="B399" s="15">
        <v>263</v>
      </c>
      <c r="C399" s="15">
        <v>263</v>
      </c>
      <c r="D399" s="5" t="s">
        <v>2</v>
      </c>
      <c r="E399" s="5" t="s">
        <v>2</v>
      </c>
      <c r="F399" s="5">
        <v>3.8618860000000002</v>
      </c>
      <c r="G399" s="12">
        <f>VLOOKUP(A399,'[1]all FNCL'!A$2:B$993,2)</f>
        <v>0.88830449257823196</v>
      </c>
      <c r="H399" s="3" t="s">
        <v>411</v>
      </c>
      <c r="I399">
        <v>0.39163572008716802</v>
      </c>
      <c r="J399">
        <f>VLOOKUP(A399,'YB OAS'!B:F,5,0)</f>
        <v>108.836304</v>
      </c>
      <c r="K399" s="40">
        <f>VLOOKUP(A399,'Refi Universe'!E:F,2,0)</f>
        <v>0.93752537999999996</v>
      </c>
    </row>
    <row r="400" spans="1:11" ht="15" x14ac:dyDescent="0.25">
      <c r="A400" s="14">
        <v>41152</v>
      </c>
      <c r="B400" s="15">
        <v>227</v>
      </c>
      <c r="C400" s="15">
        <v>227</v>
      </c>
      <c r="D400" s="5" t="s">
        <v>2</v>
      </c>
      <c r="E400" s="5" t="s">
        <v>2</v>
      </c>
      <c r="F400" s="5">
        <v>3.8286829999999998</v>
      </c>
      <c r="G400" s="12">
        <f>VLOOKUP(A400,'[1]all FNCL'!A$2:B$993,2)</f>
        <v>0.88830449257823196</v>
      </c>
      <c r="H400" s="3" t="s">
        <v>412</v>
      </c>
      <c r="I400">
        <v>0.39163572008716802</v>
      </c>
      <c r="J400">
        <f>VLOOKUP(A400,'YB OAS'!B:F,5,0)</f>
        <v>126.018501</v>
      </c>
      <c r="K400" s="40">
        <f>VLOOKUP(A400,'Refi Universe'!E:F,2,0)</f>
        <v>0.97362866999999997</v>
      </c>
    </row>
    <row r="401" spans="1:11" ht="15" x14ac:dyDescent="0.25">
      <c r="A401" s="14">
        <v>41156</v>
      </c>
      <c r="B401" s="15">
        <v>251</v>
      </c>
      <c r="C401" s="15">
        <v>251</v>
      </c>
      <c r="D401" s="5" t="s">
        <v>2</v>
      </c>
      <c r="E401" s="5" t="s">
        <v>2</v>
      </c>
      <c r="F401" s="5">
        <v>3.8230680000000001</v>
      </c>
      <c r="G401" s="12">
        <f>VLOOKUP(A401,'[1]all FNCL'!A$2:B$993,2)</f>
        <v>0.86613218698070704</v>
      </c>
      <c r="H401" s="3" t="s">
        <v>413</v>
      </c>
      <c r="I401">
        <v>0.347358703685412</v>
      </c>
      <c r="J401">
        <f>VLOOKUP(A401,'YB OAS'!B:F,5,0)</f>
        <v>136.16789199999999</v>
      </c>
      <c r="K401" s="40">
        <f>VLOOKUP(A401,'Refi Universe'!E:F,2,0)</f>
        <v>0.95103079999999995</v>
      </c>
    </row>
    <row r="402" spans="1:11" ht="15" x14ac:dyDescent="0.25">
      <c r="A402" s="14">
        <v>41157</v>
      </c>
      <c r="B402" s="15">
        <v>260</v>
      </c>
      <c r="C402" s="15">
        <v>260</v>
      </c>
      <c r="D402" s="5" t="s">
        <v>2</v>
      </c>
      <c r="E402" s="5" t="s">
        <v>2</v>
      </c>
      <c r="F402" s="5">
        <v>3.828884</v>
      </c>
      <c r="G402" s="12">
        <f>VLOOKUP(A402,'[1]all FNCL'!A$2:B$993,2)</f>
        <v>0.86613218698070704</v>
      </c>
      <c r="H402" s="3" t="s">
        <v>414</v>
      </c>
      <c r="I402">
        <v>0.347358703685412</v>
      </c>
      <c r="J402">
        <f>VLOOKUP(A402,'YB OAS'!B:F,5,0)</f>
        <v>145.36779799999999</v>
      </c>
      <c r="K402" s="40">
        <f>VLOOKUP(A402,'Refi Universe'!E:F,2,0)</f>
        <v>0.91761037000000001</v>
      </c>
    </row>
    <row r="403" spans="1:11" ht="15" x14ac:dyDescent="0.25">
      <c r="A403" s="14">
        <v>41158</v>
      </c>
      <c r="B403" s="15">
        <v>275</v>
      </c>
      <c r="C403" s="15">
        <v>275</v>
      </c>
      <c r="D403" s="5" t="s">
        <v>2</v>
      </c>
      <c r="E403" s="5" t="s">
        <v>2</v>
      </c>
      <c r="F403" s="5">
        <v>3.8476240000000002</v>
      </c>
      <c r="G403" s="12">
        <f>VLOOKUP(A403,'[1]all FNCL'!A$2:B$993,2)</f>
        <v>0.91761037893987496</v>
      </c>
      <c r="H403" s="3" t="s">
        <v>415</v>
      </c>
      <c r="I403">
        <v>0.347358703685412</v>
      </c>
      <c r="J403">
        <f>VLOOKUP(A403,'YB OAS'!B:F,5,0)</f>
        <v>136.753906</v>
      </c>
      <c r="K403" s="40">
        <f>VLOOKUP(A403,'Refi Universe'!E:F,2,0)</f>
        <v>0.85375016000000004</v>
      </c>
    </row>
    <row r="404" spans="1:11" ht="15" x14ac:dyDescent="0.25">
      <c r="A404" s="14">
        <v>41159</v>
      </c>
      <c r="B404" s="15">
        <v>269</v>
      </c>
      <c r="C404" s="15">
        <v>269</v>
      </c>
      <c r="D404" s="5" t="s">
        <v>2</v>
      </c>
      <c r="E404" s="5" t="s">
        <v>2</v>
      </c>
      <c r="F404" s="5">
        <v>3.774203</v>
      </c>
      <c r="G404" s="12">
        <f>VLOOKUP(A404,'[1]all FNCL'!A$2:B$993,2)</f>
        <v>0.91761037893987496</v>
      </c>
      <c r="H404" s="3" t="s">
        <v>416</v>
      </c>
      <c r="I404">
        <v>0.347358703685412</v>
      </c>
      <c r="J404">
        <f>VLOOKUP(A404,'YB OAS'!B:F,5,0)</f>
        <v>156.40870699999999</v>
      </c>
      <c r="K404" s="40">
        <f>VLOOKUP(A404,'Refi Universe'!E:F,2,0)</f>
        <v>0.93681486000000003</v>
      </c>
    </row>
    <row r="405" spans="1:11" ht="15" x14ac:dyDescent="0.25">
      <c r="A405" s="14">
        <v>41162</v>
      </c>
      <c r="B405" s="15">
        <v>312</v>
      </c>
      <c r="C405" s="15">
        <v>312</v>
      </c>
      <c r="D405" s="5" t="s">
        <v>2</v>
      </c>
      <c r="E405" s="5" t="s">
        <v>2</v>
      </c>
      <c r="F405" s="5">
        <v>3.781809</v>
      </c>
      <c r="G405" s="12">
        <f>VLOOKUP(A405,'[1]all FNCL'!A$2:B$993,2)</f>
        <v>0.91761037893987496</v>
      </c>
      <c r="H405" s="3" t="s">
        <v>417</v>
      </c>
      <c r="I405">
        <v>0.347358703685412</v>
      </c>
      <c r="J405">
        <f>VLOOKUP(A405,'YB OAS'!B:F,5,0)</f>
        <v>182.48620600000001</v>
      </c>
      <c r="K405" s="40">
        <f>VLOOKUP(A405,'Refi Universe'!E:F,2,0)</f>
        <v>0.93394480999999996</v>
      </c>
    </row>
    <row r="406" spans="1:11" ht="15" x14ac:dyDescent="0.25">
      <c r="A406" s="14">
        <v>41163</v>
      </c>
      <c r="B406" s="15">
        <v>304</v>
      </c>
      <c r="C406" s="15">
        <v>304</v>
      </c>
      <c r="D406" s="5" t="s">
        <v>2</v>
      </c>
      <c r="E406" s="5" t="s">
        <v>2</v>
      </c>
      <c r="F406" s="5">
        <v>3.7744070000000001</v>
      </c>
      <c r="G406" s="12">
        <f>VLOOKUP(A406,'[1]all FNCL'!A$2:B$993,2)</f>
        <v>0.91761037893987496</v>
      </c>
      <c r="H406" s="3" t="s">
        <v>418</v>
      </c>
      <c r="I406">
        <v>0.37050298104882501</v>
      </c>
      <c r="J406">
        <f>VLOOKUP(A406,'YB OAS'!B:F,5,0)</f>
        <v>186.86039700000001</v>
      </c>
      <c r="K406" s="40">
        <f>VLOOKUP(A406,'Refi Universe'!E:F,2,0)</f>
        <v>0.91912300000000002</v>
      </c>
    </row>
    <row r="407" spans="1:11" ht="15" x14ac:dyDescent="0.25">
      <c r="A407" s="14">
        <v>41164</v>
      </c>
      <c r="B407" s="15">
        <v>335</v>
      </c>
      <c r="C407" s="15">
        <v>335</v>
      </c>
      <c r="D407" s="5" t="s">
        <v>2</v>
      </c>
      <c r="E407" s="5" t="s">
        <v>2</v>
      </c>
      <c r="F407" s="5">
        <v>3.7847789999999999</v>
      </c>
      <c r="G407" s="12">
        <f>VLOOKUP(A407,'[1]all FNCL'!A$2:B$993,2)</f>
        <v>0.91761037893987496</v>
      </c>
      <c r="H407" s="3" t="s">
        <v>419</v>
      </c>
      <c r="I407">
        <v>0.37050298104882501</v>
      </c>
      <c r="J407">
        <f>VLOOKUP(A407,'YB OAS'!B:F,5,0)</f>
        <v>206.483902</v>
      </c>
      <c r="K407" s="40">
        <f>VLOOKUP(A407,'Refi Universe'!E:F,2,0)</f>
        <v>0.91912300000000002</v>
      </c>
    </row>
    <row r="408" spans="1:11" ht="15" x14ac:dyDescent="0.25">
      <c r="A408" s="14">
        <v>41165</v>
      </c>
      <c r="B408" s="15">
        <v>391</v>
      </c>
      <c r="C408" s="15">
        <v>391</v>
      </c>
      <c r="D408" s="5" t="s">
        <v>2</v>
      </c>
      <c r="E408" s="5" t="s">
        <v>2</v>
      </c>
      <c r="F408" s="5">
        <v>3.6244299999999998</v>
      </c>
      <c r="G408" s="12">
        <f>VLOOKUP(A408,'[1]all FNCL'!A$2:B$993,2)</f>
        <v>0.91761037893987496</v>
      </c>
      <c r="H408" s="3" t="s">
        <v>420</v>
      </c>
      <c r="I408">
        <v>0.37050298104882501</v>
      </c>
      <c r="J408">
        <f>VLOOKUP(A408,'YB OAS'!B:F,5,0)</f>
        <v>289.24529999999999</v>
      </c>
      <c r="K408" s="40">
        <f>VLOOKUP(A408,'Refi Universe'!E:F,2,0)</f>
        <v>0.96609250999999996</v>
      </c>
    </row>
    <row r="409" spans="1:11" ht="15" x14ac:dyDescent="0.25">
      <c r="A409" s="14">
        <v>41166</v>
      </c>
      <c r="B409" s="15">
        <v>397</v>
      </c>
      <c r="C409" s="15">
        <v>397</v>
      </c>
      <c r="D409" s="5" t="s">
        <v>2</v>
      </c>
      <c r="E409" s="5" t="s">
        <v>2</v>
      </c>
      <c r="F409" s="5">
        <v>3.6207959999999999</v>
      </c>
      <c r="G409" s="12">
        <f>VLOOKUP(A409,'[1]all FNCL'!A$2:B$993,2)</f>
        <v>0.91761037893987496</v>
      </c>
      <c r="H409" s="3" t="s">
        <v>421</v>
      </c>
      <c r="I409">
        <v>0.37050298104882501</v>
      </c>
      <c r="J409">
        <f>VLOOKUP(A409,'YB OAS'!B:F,5,0)</f>
        <v>299.248108</v>
      </c>
      <c r="K409" s="40">
        <f>VLOOKUP(A409,'Refi Universe'!E:F,2,0)</f>
        <v>0.96376908999999999</v>
      </c>
    </row>
    <row r="410" spans="1:11" ht="15" x14ac:dyDescent="0.25">
      <c r="A410" s="14">
        <v>41169</v>
      </c>
      <c r="B410" s="15">
        <v>377</v>
      </c>
      <c r="C410" s="15">
        <v>377</v>
      </c>
      <c r="D410" s="5" t="s">
        <v>2</v>
      </c>
      <c r="E410" s="5" t="s">
        <v>2</v>
      </c>
      <c r="F410" s="5">
        <v>3.6348210000000001</v>
      </c>
      <c r="G410" s="12">
        <f>VLOOKUP(A410,'[1]all FNCL'!A$2:B$993,2)</f>
        <v>0.91761037893987496</v>
      </c>
      <c r="H410" s="3" t="s">
        <v>422</v>
      </c>
      <c r="I410">
        <v>0.33802122298332299</v>
      </c>
      <c r="J410">
        <f>VLOOKUP(A410,'YB OAS'!B:F,5,0)</f>
        <v>288.83160400000003</v>
      </c>
      <c r="K410" s="40">
        <f>VLOOKUP(A410,'Refi Universe'!E:F,2,0)</f>
        <v>0.96360314999999996</v>
      </c>
    </row>
    <row r="411" spans="1:11" ht="15" x14ac:dyDescent="0.25">
      <c r="A411" s="14">
        <v>41170</v>
      </c>
      <c r="B411" s="15">
        <v>365</v>
      </c>
      <c r="C411" s="15">
        <v>365</v>
      </c>
      <c r="D411" s="5" t="s">
        <v>2</v>
      </c>
      <c r="E411" s="5" t="s">
        <v>2</v>
      </c>
      <c r="F411" s="5">
        <v>3.6380189999999999</v>
      </c>
      <c r="G411" s="12">
        <f>VLOOKUP(A411,'[1]all FNCL'!A$2:B$993,2)</f>
        <v>0.91761037893987496</v>
      </c>
      <c r="H411" s="3" t="s">
        <v>423</v>
      </c>
      <c r="I411">
        <v>0.33802122298332299</v>
      </c>
      <c r="J411">
        <f>VLOOKUP(A411,'YB OAS'!B:F,5,0)</f>
        <v>295.59310900000003</v>
      </c>
      <c r="K411" s="40">
        <f>VLOOKUP(A411,'Refi Universe'!E:F,2,0)</f>
        <v>0.96375869999999997</v>
      </c>
    </row>
    <row r="412" spans="1:11" ht="15" x14ac:dyDescent="0.25">
      <c r="A412" s="14">
        <v>41171</v>
      </c>
      <c r="B412" s="15">
        <v>374</v>
      </c>
      <c r="C412" s="15">
        <v>374</v>
      </c>
      <c r="D412" s="5" t="s">
        <v>2</v>
      </c>
      <c r="E412" s="5" t="s">
        <v>2</v>
      </c>
      <c r="F412" s="5">
        <v>3.5970010000000001</v>
      </c>
      <c r="G412" s="12">
        <f>VLOOKUP(A412,'[1]all FNCL'!A$2:B$993,2)</f>
        <v>0.91761037893987496</v>
      </c>
      <c r="H412" s="3" t="s">
        <v>424</v>
      </c>
      <c r="I412">
        <v>0.33802122298332299</v>
      </c>
      <c r="J412">
        <f>VLOOKUP(A412,'YB OAS'!B:F,5,0)</f>
        <v>305.35391199999998</v>
      </c>
      <c r="K412" s="40">
        <f>VLOOKUP(A412,'Refi Universe'!E:F,2,0)</f>
        <v>0.96309924999999996</v>
      </c>
    </row>
    <row r="413" spans="1:11" ht="15" x14ac:dyDescent="0.25">
      <c r="A413" s="14">
        <v>41172</v>
      </c>
      <c r="B413" s="15">
        <v>383</v>
      </c>
      <c r="C413" s="15">
        <v>383</v>
      </c>
      <c r="D413" s="5" t="s">
        <v>2</v>
      </c>
      <c r="E413" s="5" t="s">
        <v>2</v>
      </c>
      <c r="F413" s="5">
        <v>3.5755509999999999</v>
      </c>
      <c r="G413" s="12">
        <f>VLOOKUP(A413,'[1]all FNCL'!A$2:B$993,2)</f>
        <v>0.95544116739970197</v>
      </c>
      <c r="H413" s="3" t="s">
        <v>425</v>
      </c>
      <c r="I413">
        <v>0.33802122298332299</v>
      </c>
      <c r="J413">
        <f>VLOOKUP(A413,'YB OAS'!B:F,5,0)</f>
        <v>330.882812</v>
      </c>
      <c r="K413" s="40">
        <f>VLOOKUP(A413,'Refi Universe'!E:F,2,0)</f>
        <v>0.96376908999999999</v>
      </c>
    </row>
    <row r="414" spans="1:11" ht="15" x14ac:dyDescent="0.25">
      <c r="A414" s="14">
        <v>41173</v>
      </c>
      <c r="B414" s="15">
        <v>400</v>
      </c>
      <c r="C414" s="15">
        <v>400</v>
      </c>
      <c r="D414" s="5" t="s">
        <v>2</v>
      </c>
      <c r="E414" s="5" t="s">
        <v>2</v>
      </c>
      <c r="F414" s="5">
        <v>3.4866760000000001</v>
      </c>
      <c r="G414" s="12">
        <f>VLOOKUP(A414,'[1]all FNCL'!A$2:B$993,2)</f>
        <v>0.95544116739970197</v>
      </c>
      <c r="H414" s="3" t="s">
        <v>426</v>
      </c>
      <c r="I414">
        <v>0.32957871451229898</v>
      </c>
      <c r="J414">
        <f>VLOOKUP(A414,'YB OAS'!B:F,5,0)</f>
        <v>371.7099</v>
      </c>
      <c r="K414" s="40">
        <f>VLOOKUP(A414,'Refi Universe'!E:F,2,0)</f>
        <v>0.96624732000000002</v>
      </c>
    </row>
    <row r="415" spans="1:11" ht="15" x14ac:dyDescent="0.25">
      <c r="A415" s="14">
        <v>41176</v>
      </c>
      <c r="B415" s="15">
        <v>456</v>
      </c>
      <c r="C415" s="15">
        <v>456</v>
      </c>
      <c r="D415" s="5" t="s">
        <v>2</v>
      </c>
      <c r="E415" s="5" t="s">
        <v>2</v>
      </c>
      <c r="F415" s="5">
        <v>3.4372020000000001</v>
      </c>
      <c r="G415" s="12">
        <f>VLOOKUP(A415,'[1]all FNCL'!A$2:B$993,2)</f>
        <v>0.95544116739970197</v>
      </c>
      <c r="H415" s="3" t="s">
        <v>427</v>
      </c>
      <c r="I415">
        <v>0.32957871451229898</v>
      </c>
      <c r="J415">
        <f>VLOOKUP(A415,'YB OAS'!B:F,5,0)</f>
        <v>447.06280500000003</v>
      </c>
      <c r="K415" s="40">
        <f>VLOOKUP(A415,'Refi Universe'!E:F,2,0)</f>
        <v>0.97373162000000002</v>
      </c>
    </row>
    <row r="416" spans="1:11" ht="15" x14ac:dyDescent="0.25">
      <c r="A416" s="14">
        <v>41177</v>
      </c>
      <c r="B416" s="15">
        <v>506</v>
      </c>
      <c r="C416" s="15">
        <v>506</v>
      </c>
      <c r="D416" s="5" t="s">
        <v>2</v>
      </c>
      <c r="E416" s="5" t="s">
        <v>2</v>
      </c>
      <c r="F416" s="5">
        <v>3.3874789999999999</v>
      </c>
      <c r="G416" s="12">
        <f>VLOOKUP(A416,'[1]all FNCL'!A$2:B$993,2)</f>
        <v>0.95544116739970197</v>
      </c>
      <c r="H416" s="3" t="s">
        <v>428</v>
      </c>
      <c r="I416">
        <v>0.32957871451229898</v>
      </c>
      <c r="J416">
        <f>VLOOKUP(A416,'YB OAS'!B:F,5,0)</f>
        <v>522.47631799999999</v>
      </c>
      <c r="K416" s="40">
        <f>VLOOKUP(A416,'Refi Universe'!E:F,2,0)</f>
        <v>0.98245824000000004</v>
      </c>
    </row>
    <row r="417" spans="1:11" ht="15" x14ac:dyDescent="0.25">
      <c r="A417" s="14">
        <v>41178</v>
      </c>
      <c r="B417" s="15">
        <v>448</v>
      </c>
      <c r="C417" s="15">
        <v>448</v>
      </c>
      <c r="D417" s="5" t="s">
        <v>2</v>
      </c>
      <c r="E417" s="5" t="s">
        <v>2</v>
      </c>
      <c r="F417" s="5">
        <v>3.378342</v>
      </c>
      <c r="G417" s="12">
        <f>VLOOKUP(A417,'[1]all FNCL'!A$2:B$993,2)</f>
        <v>0.95544116739970197</v>
      </c>
      <c r="H417" s="3" t="s">
        <v>429</v>
      </c>
      <c r="I417">
        <v>0.32957871451229898</v>
      </c>
      <c r="J417">
        <f>VLOOKUP(A417,'YB OAS'!B:F,5,0)</f>
        <v>489.41558800000001</v>
      </c>
      <c r="K417" s="40">
        <f>VLOOKUP(A417,'Refi Universe'!E:F,2,0)</f>
        <v>0.96777427999999999</v>
      </c>
    </row>
    <row r="418" spans="1:11" ht="15" x14ac:dyDescent="0.25">
      <c r="A418" s="14">
        <v>41179</v>
      </c>
      <c r="B418" s="15">
        <v>393</v>
      </c>
      <c r="C418" s="15">
        <v>393</v>
      </c>
      <c r="D418" s="5" t="s">
        <v>2</v>
      </c>
      <c r="E418" s="5" t="s">
        <v>2</v>
      </c>
      <c r="F418" s="5">
        <v>3.4208750000000001</v>
      </c>
      <c r="G418" s="12">
        <f>VLOOKUP(A418,'[1]all FNCL'!A$2:B$993,2)</f>
        <v>0.96361365224695705</v>
      </c>
      <c r="H418" s="3" t="s">
        <v>430</v>
      </c>
      <c r="I418">
        <v>0.273381996337976</v>
      </c>
      <c r="J418">
        <f>VLOOKUP(A418,'YB OAS'!B:F,5,0)</f>
        <v>447.58441199999999</v>
      </c>
      <c r="K418" s="40">
        <f>VLOOKUP(A418,'Refi Universe'!E:F,2,0)</f>
        <v>0.96460067999999999</v>
      </c>
    </row>
    <row r="419" spans="1:11" ht="15" x14ac:dyDescent="0.25">
      <c r="A419" s="14">
        <v>41180</v>
      </c>
      <c r="B419" s="15">
        <v>397</v>
      </c>
      <c r="C419" s="15">
        <v>397</v>
      </c>
      <c r="D419" s="5" t="s">
        <v>2</v>
      </c>
      <c r="E419" s="5" t="s">
        <v>2</v>
      </c>
      <c r="F419" s="5">
        <v>3.4257749999999998</v>
      </c>
      <c r="G419" s="12">
        <f>VLOOKUP(A419,'[1]all FNCL'!A$2:B$993,2)</f>
        <v>0.96361365224695705</v>
      </c>
      <c r="H419" s="3" t="s">
        <v>431</v>
      </c>
      <c r="I419">
        <v>0.273381996337976</v>
      </c>
      <c r="J419">
        <f>VLOOKUP(A419,'YB OAS'!B:F,5,0)</f>
        <v>421.34609999999998</v>
      </c>
      <c r="K419" s="40">
        <f>VLOOKUP(A419,'Refi Universe'!E:F,2,0)</f>
        <v>0.96488792999999995</v>
      </c>
    </row>
    <row r="420" spans="1:11" ht="15" x14ac:dyDescent="0.25">
      <c r="A420" s="14">
        <v>41183</v>
      </c>
      <c r="B420" s="15">
        <v>399</v>
      </c>
      <c r="C420" s="15">
        <v>399</v>
      </c>
      <c r="D420" s="5" t="s">
        <v>2</v>
      </c>
      <c r="E420" s="5" t="s">
        <v>2</v>
      </c>
      <c r="F420" s="5">
        <v>3.3922210000000002</v>
      </c>
      <c r="G420" s="12">
        <f>VLOOKUP(A420,'[1]all FNCL'!A$2:B$993,2)</f>
        <v>0.95122523158751304</v>
      </c>
      <c r="H420" s="3" t="s">
        <v>432</v>
      </c>
      <c r="I420">
        <v>0.273381996337976</v>
      </c>
      <c r="J420">
        <f>VLOOKUP(A420,'YB OAS'!B:F,5,0)</f>
        <v>377.69909699999999</v>
      </c>
      <c r="K420" s="40">
        <f>VLOOKUP(A420,'Refi Universe'!E:F,2,0)</f>
        <v>0.95609193999999997</v>
      </c>
    </row>
    <row r="421" spans="1:11" ht="15" x14ac:dyDescent="0.25">
      <c r="A421" s="14">
        <v>41184</v>
      </c>
      <c r="B421" s="15">
        <v>413</v>
      </c>
      <c r="C421" s="15">
        <v>413</v>
      </c>
      <c r="D421" s="5" t="s">
        <v>2</v>
      </c>
      <c r="E421" s="5" t="s">
        <v>2</v>
      </c>
      <c r="F421" s="5">
        <v>3.3690739999999999</v>
      </c>
      <c r="G421" s="12">
        <f>VLOOKUP(A421,'[1]all FNCL'!A$2:B$993,2)</f>
        <v>0.95122523158751304</v>
      </c>
      <c r="H421" s="3" t="s">
        <v>433</v>
      </c>
      <c r="I421">
        <v>0.273381996337976</v>
      </c>
      <c r="J421">
        <f>VLOOKUP(A421,'YB OAS'!B:F,5,0)</f>
        <v>367.17541499999999</v>
      </c>
      <c r="K421" s="40">
        <f>VLOOKUP(A421,'Refi Universe'!E:F,2,0)</f>
        <v>0.97003647000000004</v>
      </c>
    </row>
    <row r="422" spans="1:11" ht="15" x14ac:dyDescent="0.25">
      <c r="A422" s="14">
        <v>41185</v>
      </c>
      <c r="B422" s="15">
        <v>463</v>
      </c>
      <c r="C422" s="15">
        <v>463</v>
      </c>
      <c r="D422" s="5" t="s">
        <v>2</v>
      </c>
      <c r="E422" s="5" t="s">
        <v>2</v>
      </c>
      <c r="F422" s="5">
        <v>3.3973629999999999</v>
      </c>
      <c r="G422" s="12">
        <f>VLOOKUP(A422,'[1]all FNCL'!A$2:B$993,2)</f>
        <v>0.95122523158751304</v>
      </c>
      <c r="H422" s="3" t="s">
        <v>434</v>
      </c>
      <c r="I422">
        <v>0.28943231649708401</v>
      </c>
      <c r="J422">
        <f>VLOOKUP(A422,'YB OAS'!B:F,5,0)</f>
        <v>422.14001500000001</v>
      </c>
      <c r="K422" s="40">
        <f>VLOOKUP(A422,'Refi Universe'!E:F,2,0)</f>
        <v>0.95493826999999998</v>
      </c>
    </row>
    <row r="423" spans="1:11" ht="15" x14ac:dyDescent="0.25">
      <c r="A423" s="14">
        <v>41186</v>
      </c>
      <c r="B423" s="15">
        <v>492</v>
      </c>
      <c r="C423" s="15">
        <v>492</v>
      </c>
      <c r="D423" s="5" t="s">
        <v>2</v>
      </c>
      <c r="E423" s="5" t="s">
        <v>2</v>
      </c>
      <c r="F423" s="5">
        <v>3.4542730000000001</v>
      </c>
      <c r="G423" s="12">
        <f>VLOOKUP(A423,'[1]all FNCL'!A$2:B$993,2)</f>
        <v>0.95295581960362197</v>
      </c>
      <c r="H423" s="3" t="s">
        <v>435</v>
      </c>
      <c r="I423">
        <v>0.28943231649708401</v>
      </c>
      <c r="J423">
        <f>VLOOKUP(A423,'YB OAS'!B:F,5,0)</f>
        <v>436.46109000000001</v>
      </c>
      <c r="K423" s="40">
        <f>VLOOKUP(A423,'Refi Universe'!E:F,2,0)</f>
        <v>0.95072444</v>
      </c>
    </row>
    <row r="424" spans="1:11" ht="15" x14ac:dyDescent="0.25">
      <c r="A424" s="14">
        <v>41187</v>
      </c>
      <c r="B424" s="15">
        <v>527</v>
      </c>
      <c r="C424" s="15">
        <v>527</v>
      </c>
      <c r="D424" s="5" t="s">
        <v>2</v>
      </c>
      <c r="E424" s="5" t="s">
        <v>2</v>
      </c>
      <c r="F424" s="5">
        <v>3.4641609999999998</v>
      </c>
      <c r="G424" s="12">
        <f>VLOOKUP(A424,'[1]all FNCL'!A$2:B$993,2)</f>
        <v>0.95295581960362197</v>
      </c>
      <c r="H424" s="3" t="s">
        <v>436</v>
      </c>
      <c r="I424">
        <v>0.28943231649708401</v>
      </c>
      <c r="J424">
        <f>VLOOKUP(A424,'YB OAS'!B:F,5,0)</f>
        <v>457.66830399999998</v>
      </c>
      <c r="K424" s="40">
        <f>VLOOKUP(A424,'Refi Universe'!E:F,2,0)</f>
        <v>0.94919237000000001</v>
      </c>
    </row>
    <row r="425" spans="1:11" ht="15" x14ac:dyDescent="0.25">
      <c r="A425" s="14">
        <v>41191</v>
      </c>
      <c r="B425" s="15">
        <v>548</v>
      </c>
      <c r="C425" s="15">
        <v>548</v>
      </c>
      <c r="D425" s="5" t="s">
        <v>2</v>
      </c>
      <c r="E425" s="5" t="s">
        <v>2</v>
      </c>
      <c r="F425" s="5">
        <v>3.5105469999999999</v>
      </c>
      <c r="G425" s="12">
        <f>VLOOKUP(A425,'[1]all FNCL'!A$2:B$993,2)</f>
        <v>0.95295581960362197</v>
      </c>
      <c r="H425" s="3" t="s">
        <v>437</v>
      </c>
      <c r="I425">
        <v>0.28943231649708401</v>
      </c>
      <c r="J425">
        <f>VLOOKUP(A425,'YB OAS'!B:F,5,0)</f>
        <v>454.518799</v>
      </c>
      <c r="K425" s="40">
        <f>VLOOKUP(A425,'Refi Universe'!E:F,2,0)</f>
        <v>0.94675193999999996</v>
      </c>
    </row>
    <row r="426" spans="1:11" ht="15" x14ac:dyDescent="0.25">
      <c r="A426" s="14">
        <v>41192</v>
      </c>
      <c r="B426" s="15">
        <v>561</v>
      </c>
      <c r="C426" s="15">
        <v>561</v>
      </c>
      <c r="D426" s="5" t="s">
        <v>2</v>
      </c>
      <c r="E426" s="5" t="s">
        <v>2</v>
      </c>
      <c r="F426" s="5">
        <v>3.4770189999999999</v>
      </c>
      <c r="G426" s="12">
        <f>VLOOKUP(A426,'[1]all FNCL'!A$2:B$993,2)</f>
        <v>0.95295581960362197</v>
      </c>
      <c r="H426" s="3" t="s">
        <v>438</v>
      </c>
      <c r="I426">
        <v>0.28943231649708401</v>
      </c>
      <c r="J426">
        <f>VLOOKUP(A426,'YB OAS'!B:F,5,0)</f>
        <v>483.07650799999999</v>
      </c>
      <c r="K426" s="40">
        <f>VLOOKUP(A426,'Refi Universe'!E:F,2,0)</f>
        <v>0.95291117000000003</v>
      </c>
    </row>
    <row r="427" spans="1:11" ht="15" x14ac:dyDescent="0.25">
      <c r="A427" s="14">
        <v>41193</v>
      </c>
      <c r="B427" s="15">
        <v>532</v>
      </c>
      <c r="C427" s="15">
        <v>532</v>
      </c>
      <c r="D427" s="5" t="s">
        <v>2</v>
      </c>
      <c r="E427" s="5" t="s">
        <v>2</v>
      </c>
      <c r="F427" s="5">
        <v>3.4562680000000001</v>
      </c>
      <c r="G427" s="12">
        <f>VLOOKUP(A427,'[1]all FNCL'!A$2:B$993,2)</f>
        <v>0.95157186742127498</v>
      </c>
      <c r="H427" s="3" t="s">
        <v>439</v>
      </c>
      <c r="I427">
        <v>0.36765798039511299</v>
      </c>
      <c r="J427">
        <f>VLOOKUP(A427,'YB OAS'!B:F,5,0)</f>
        <v>490.89419600000002</v>
      </c>
      <c r="K427" s="40">
        <f>VLOOKUP(A427,'Refi Universe'!E:F,2,0)</f>
        <v>0.95398616999999997</v>
      </c>
    </row>
    <row r="428" spans="1:11" ht="15" x14ac:dyDescent="0.25">
      <c r="A428" s="14">
        <v>41194</v>
      </c>
      <c r="B428" s="15">
        <v>518</v>
      </c>
      <c r="C428" s="15">
        <v>518</v>
      </c>
      <c r="D428" s="5" t="s">
        <v>2</v>
      </c>
      <c r="E428" s="5" t="s">
        <v>2</v>
      </c>
      <c r="F428" s="5">
        <v>3.467177</v>
      </c>
      <c r="G428" s="12">
        <f>VLOOKUP(A428,'[1]all FNCL'!A$2:B$993,2)</f>
        <v>0.95157186742127498</v>
      </c>
      <c r="H428" s="3" t="s">
        <v>440</v>
      </c>
      <c r="I428">
        <v>0.36765798039511299</v>
      </c>
      <c r="J428">
        <f>VLOOKUP(A428,'YB OAS'!B:F,5,0)</f>
        <v>438.64300500000002</v>
      </c>
      <c r="K428" s="40">
        <f>VLOOKUP(A428,'Refi Universe'!E:F,2,0)</f>
        <v>0.95492847000000003</v>
      </c>
    </row>
    <row r="429" spans="1:11" ht="15" x14ac:dyDescent="0.25">
      <c r="A429" s="14">
        <v>41197</v>
      </c>
      <c r="B429" s="15">
        <v>525</v>
      </c>
      <c r="C429" s="15">
        <v>525</v>
      </c>
      <c r="D429" s="5" t="s">
        <v>2</v>
      </c>
      <c r="E429" s="5" t="s">
        <v>2</v>
      </c>
      <c r="F429" s="5">
        <v>3.5022419999999999</v>
      </c>
      <c r="G429" s="12">
        <f>VLOOKUP(A429,'[1]all FNCL'!A$2:B$993,2)</f>
        <v>0.95157186742127498</v>
      </c>
      <c r="H429" s="3" t="s">
        <v>441</v>
      </c>
      <c r="I429">
        <v>0.36765798039511299</v>
      </c>
      <c r="J429">
        <f>VLOOKUP(A429,'YB OAS'!B:F,5,0)</f>
        <v>432.55011000000002</v>
      </c>
      <c r="K429" s="40">
        <f>VLOOKUP(A429,'Refi Universe'!E:F,2,0)</f>
        <v>0.95308886000000004</v>
      </c>
    </row>
    <row r="430" spans="1:11" ht="15" x14ac:dyDescent="0.25">
      <c r="A430" s="14">
        <v>41198</v>
      </c>
      <c r="B430" s="15">
        <v>553</v>
      </c>
      <c r="C430" s="15">
        <v>553</v>
      </c>
      <c r="D430" s="5" t="s">
        <v>2</v>
      </c>
      <c r="E430" s="5" t="s">
        <v>2</v>
      </c>
      <c r="F430" s="5">
        <v>3.531733</v>
      </c>
      <c r="G430" s="12">
        <f>VLOOKUP(A430,'[1]all FNCL'!A$2:B$993,2)</f>
        <v>0.95157186742127498</v>
      </c>
      <c r="H430" s="3" t="s">
        <v>442</v>
      </c>
      <c r="I430">
        <v>0.36765798039511299</v>
      </c>
      <c r="J430">
        <f>VLOOKUP(A430,'YB OAS'!B:F,5,0)</f>
        <v>446.50650000000002</v>
      </c>
      <c r="K430" s="40">
        <f>VLOOKUP(A430,'Refi Universe'!E:F,2,0)</f>
        <v>0.95139426999999999</v>
      </c>
    </row>
    <row r="431" spans="1:11" ht="15" x14ac:dyDescent="0.25">
      <c r="A431" s="14">
        <v>41199</v>
      </c>
      <c r="B431" s="15">
        <v>543</v>
      </c>
      <c r="C431" s="15">
        <v>543</v>
      </c>
      <c r="D431" s="5" t="s">
        <v>2</v>
      </c>
      <c r="E431" s="5" t="s">
        <v>2</v>
      </c>
      <c r="F431" s="5">
        <v>3.5984090000000002</v>
      </c>
      <c r="G431" s="12">
        <f>VLOOKUP(A431,'[1]all FNCL'!A$2:B$993,2)</f>
        <v>0.95157186742127498</v>
      </c>
      <c r="H431" s="3" t="s">
        <v>443</v>
      </c>
      <c r="I431">
        <v>0.37084428304329597</v>
      </c>
      <c r="J431">
        <f>VLOOKUP(A431,'YB OAS'!B:F,5,0)</f>
        <v>416.60400399999997</v>
      </c>
      <c r="K431" s="40">
        <f>VLOOKUP(A431,'Refi Universe'!E:F,2,0)</f>
        <v>0.93914913</v>
      </c>
    </row>
    <row r="432" spans="1:11" ht="15" x14ac:dyDescent="0.25">
      <c r="A432" s="14">
        <v>41200</v>
      </c>
      <c r="B432" s="15">
        <v>529</v>
      </c>
      <c r="C432" s="15">
        <v>529</v>
      </c>
      <c r="D432" s="5" t="s">
        <v>2</v>
      </c>
      <c r="E432" s="5" t="s">
        <v>2</v>
      </c>
      <c r="F432" s="5">
        <v>3.6313390000000001</v>
      </c>
      <c r="G432" s="12">
        <f>VLOOKUP(A432,'[1]all FNCL'!A$2:B$993,2)</f>
        <v>0.95277015909637097</v>
      </c>
      <c r="H432" s="3" t="s">
        <v>444</v>
      </c>
      <c r="I432">
        <v>0.37084428304329597</v>
      </c>
      <c r="J432">
        <f>VLOOKUP(A432,'YB OAS'!B:F,5,0)</f>
        <v>396.82629400000002</v>
      </c>
      <c r="K432" s="40">
        <f>VLOOKUP(A432,'Refi Universe'!E:F,2,0)</f>
        <v>0.91462215999999996</v>
      </c>
    </row>
    <row r="433" spans="1:11" ht="15" x14ac:dyDescent="0.25">
      <c r="A433" s="14">
        <v>41201</v>
      </c>
      <c r="B433" s="15">
        <v>544</v>
      </c>
      <c r="C433" s="15">
        <v>544</v>
      </c>
      <c r="D433" s="5" t="s">
        <v>2</v>
      </c>
      <c r="E433" s="5" t="s">
        <v>2</v>
      </c>
      <c r="F433" s="5">
        <v>3.5881439999999998</v>
      </c>
      <c r="G433" s="12">
        <f>VLOOKUP(A433,'[1]all FNCL'!A$2:B$993,2)</f>
        <v>0.95277015909637097</v>
      </c>
      <c r="H433" s="3" t="s">
        <v>445</v>
      </c>
      <c r="I433">
        <v>0.37084428304329597</v>
      </c>
      <c r="J433">
        <f>VLOOKUP(A433,'YB OAS'!B:F,5,0)</f>
        <v>421.60379</v>
      </c>
      <c r="K433" s="40">
        <f>VLOOKUP(A433,'Refi Universe'!E:F,2,0)</f>
        <v>0.94491190999999997</v>
      </c>
    </row>
    <row r="434" spans="1:11" ht="15" x14ac:dyDescent="0.25">
      <c r="A434" s="14">
        <v>41204</v>
      </c>
      <c r="B434" s="15">
        <v>538</v>
      </c>
      <c r="C434" s="15">
        <v>538</v>
      </c>
      <c r="D434" s="5" t="s">
        <v>2</v>
      </c>
      <c r="E434" s="5" t="s">
        <v>2</v>
      </c>
      <c r="F434" s="5">
        <v>3.593744</v>
      </c>
      <c r="G434" s="12">
        <f>VLOOKUP(A434,'[1]all FNCL'!A$2:B$993,2)</f>
        <v>0.95277015909637097</v>
      </c>
      <c r="H434" s="3" t="s">
        <v>446</v>
      </c>
      <c r="I434">
        <v>0.37084428304329597</v>
      </c>
      <c r="J434">
        <f>VLOOKUP(A434,'YB OAS'!B:F,5,0)</f>
        <v>430.64331099999998</v>
      </c>
      <c r="K434" s="40">
        <f>VLOOKUP(A434,'Refi Universe'!E:F,2,0)</f>
        <v>0.93645276</v>
      </c>
    </row>
    <row r="435" spans="1:11" ht="15" x14ac:dyDescent="0.25">
      <c r="A435" s="14">
        <v>41205</v>
      </c>
      <c r="B435" s="15">
        <v>538</v>
      </c>
      <c r="C435" s="15">
        <v>538</v>
      </c>
      <c r="D435" s="5" t="s">
        <v>2</v>
      </c>
      <c r="E435" s="5" t="s">
        <v>2</v>
      </c>
      <c r="F435" s="5">
        <v>3.5808490000000002</v>
      </c>
      <c r="G435" s="12">
        <f>VLOOKUP(A435,'[1]all FNCL'!A$2:B$993,2)</f>
        <v>0.95277015909637097</v>
      </c>
      <c r="H435" s="3" t="s">
        <v>447</v>
      </c>
      <c r="I435">
        <v>0.37084428304329597</v>
      </c>
      <c r="J435">
        <f>VLOOKUP(A435,'YB OAS'!B:F,5,0)</f>
        <v>445.246307</v>
      </c>
      <c r="K435" s="40">
        <f>VLOOKUP(A435,'Refi Universe'!E:F,2,0)</f>
        <v>0.94267858999999998</v>
      </c>
    </row>
    <row r="436" spans="1:11" ht="15" x14ac:dyDescent="0.25">
      <c r="A436" s="14">
        <v>41206</v>
      </c>
      <c r="B436" s="15">
        <v>515</v>
      </c>
      <c r="C436" s="15">
        <v>515</v>
      </c>
      <c r="D436" s="5" t="s">
        <v>2</v>
      </c>
      <c r="E436" s="5" t="s">
        <v>2</v>
      </c>
      <c r="F436" s="5">
        <v>3.6011229999999999</v>
      </c>
      <c r="G436" s="12">
        <f>VLOOKUP(A436,'[1]all FNCL'!A$2:B$993,2)</f>
        <v>0.95277015909637097</v>
      </c>
      <c r="H436" s="3" t="s">
        <v>448</v>
      </c>
      <c r="I436">
        <v>0.38154102604960499</v>
      </c>
      <c r="J436">
        <f>VLOOKUP(A436,'YB OAS'!B:F,5,0)</f>
        <v>434.46371499999998</v>
      </c>
      <c r="K436" s="40">
        <f>VLOOKUP(A436,'Refi Universe'!E:F,2,0)</f>
        <v>0.95035082999999998</v>
      </c>
    </row>
    <row r="437" spans="1:11" ht="15" x14ac:dyDescent="0.25">
      <c r="A437" s="14">
        <v>41207</v>
      </c>
      <c r="B437" s="15">
        <v>519</v>
      </c>
      <c r="C437" s="15">
        <v>519</v>
      </c>
      <c r="D437" s="5" t="s">
        <v>2</v>
      </c>
      <c r="E437" s="5" t="s">
        <v>2</v>
      </c>
      <c r="F437" s="5">
        <v>3.6235879999999998</v>
      </c>
      <c r="G437" s="12">
        <f>VLOOKUP(A437,'[1]all FNCL'!A$2:B$993,2)</f>
        <v>0.950786071684944</v>
      </c>
      <c r="H437" s="3" t="s">
        <v>449</v>
      </c>
      <c r="I437">
        <v>0.38154102604960499</v>
      </c>
      <c r="J437">
        <f>VLOOKUP(A437,'YB OAS'!B:F,5,0)</f>
        <v>416.21508799999998</v>
      </c>
      <c r="K437" s="40">
        <f>VLOOKUP(A437,'Refi Universe'!E:F,2,0)</f>
        <v>0.94293229999999995</v>
      </c>
    </row>
    <row r="438" spans="1:11" ht="15" x14ac:dyDescent="0.25">
      <c r="A438" s="14">
        <v>41208</v>
      </c>
      <c r="B438" s="15">
        <v>538</v>
      </c>
      <c r="C438" s="15">
        <v>538</v>
      </c>
      <c r="D438" s="5" t="s">
        <v>2</v>
      </c>
      <c r="E438" s="5" t="s">
        <v>2</v>
      </c>
      <c r="F438" s="5">
        <v>3.6019169999999998</v>
      </c>
      <c r="G438" s="12">
        <f>VLOOKUP(A438,'[1]all FNCL'!A$2:B$993,2)</f>
        <v>0.950786071684944</v>
      </c>
      <c r="H438" s="3" t="s">
        <v>450</v>
      </c>
      <c r="I438">
        <v>0.37772565332895602</v>
      </c>
      <c r="J438">
        <f>VLOOKUP(A438,'YB OAS'!B:F,5,0)</f>
        <v>426.57150300000001</v>
      </c>
      <c r="K438" s="40">
        <f>VLOOKUP(A438,'Refi Universe'!E:F,2,0)</f>
        <v>0.95078607000000004</v>
      </c>
    </row>
    <row r="439" spans="1:11" ht="15" x14ac:dyDescent="0.25">
      <c r="A439" s="14">
        <v>41211</v>
      </c>
      <c r="B439" s="15">
        <v>531</v>
      </c>
      <c r="C439" s="15">
        <v>531</v>
      </c>
      <c r="D439" s="5" t="s">
        <v>2</v>
      </c>
      <c r="E439" s="5" t="s">
        <v>2</v>
      </c>
      <c r="F439" s="5">
        <v>3.6006520000000002</v>
      </c>
      <c r="G439" s="12">
        <f>VLOOKUP(A439,'[1]all FNCL'!A$2:B$993,2)</f>
        <v>0.950786071684944</v>
      </c>
      <c r="H439" s="3" t="s">
        <v>451</v>
      </c>
      <c r="I439">
        <v>0.37772565332895602</v>
      </c>
      <c r="J439">
        <f>VLOOKUP(A439,'YB OAS'!B:F,5,0)</f>
        <v>397.405396</v>
      </c>
      <c r="K439" s="40">
        <f>VLOOKUP(A439,'Refi Universe'!E:F,2,0)</f>
        <v>0.95225641000000005</v>
      </c>
    </row>
    <row r="440" spans="1:11" ht="15" x14ac:dyDescent="0.25">
      <c r="A440" s="14">
        <v>41213</v>
      </c>
      <c r="B440" s="15">
        <v>539</v>
      </c>
      <c r="C440" s="15">
        <v>539</v>
      </c>
      <c r="D440" s="5" t="s">
        <v>2</v>
      </c>
      <c r="E440" s="5" t="s">
        <v>2</v>
      </c>
      <c r="F440" s="5">
        <v>3.6030160000000002</v>
      </c>
      <c r="G440" s="12">
        <f>VLOOKUP(A440,'[1]all FNCL'!A$2:B$993,2)</f>
        <v>0.950786071684944</v>
      </c>
      <c r="H440" s="3" t="s">
        <v>452</v>
      </c>
      <c r="I440">
        <v>0.37772565332895602</v>
      </c>
      <c r="J440">
        <f>VLOOKUP(A440,'YB OAS'!B:F,5,0)</f>
        <v>371.07870500000001</v>
      </c>
      <c r="K440" s="40">
        <f>VLOOKUP(A440,'Refi Universe'!E:F,2,0)</f>
        <v>0.95372451000000003</v>
      </c>
    </row>
    <row r="441" spans="1:11" ht="15" x14ac:dyDescent="0.25">
      <c r="A441" s="14">
        <v>41214</v>
      </c>
      <c r="B441" s="15">
        <v>553</v>
      </c>
      <c r="C441" s="15">
        <v>553</v>
      </c>
      <c r="D441" s="5" t="s">
        <v>2</v>
      </c>
      <c r="E441" s="5" t="s">
        <v>2</v>
      </c>
      <c r="F441" s="5">
        <v>3.6319309999999998</v>
      </c>
      <c r="G441" s="12">
        <f>VLOOKUP(A441,'[1]all FNCL'!A$2:B$993,2)</f>
        <v>0.92568594546185101</v>
      </c>
      <c r="H441" s="3" t="s">
        <v>453</v>
      </c>
      <c r="I441">
        <v>0.39983029630913802</v>
      </c>
      <c r="J441">
        <f>VLOOKUP(A441,'YB OAS'!B:F,5,0)</f>
        <v>427.46939099999997</v>
      </c>
      <c r="K441" s="40">
        <f>VLOOKUP(A441,'Refi Universe'!E:F,2,0)</f>
        <v>0.92433999</v>
      </c>
    </row>
    <row r="442" spans="1:11" ht="15" x14ac:dyDescent="0.25">
      <c r="A442" s="14">
        <v>41215</v>
      </c>
      <c r="B442" s="15">
        <v>546</v>
      </c>
      <c r="C442" s="15">
        <v>546</v>
      </c>
      <c r="D442" s="5" t="s">
        <v>2</v>
      </c>
      <c r="E442" s="5" t="s">
        <v>2</v>
      </c>
      <c r="F442" s="5">
        <v>3.6132550000000001</v>
      </c>
      <c r="G442" s="12">
        <f>VLOOKUP(A442,'[1]all FNCL'!A$2:B$993,2)</f>
        <v>0.92568594546185101</v>
      </c>
      <c r="H442" s="3" t="s">
        <v>454</v>
      </c>
      <c r="I442">
        <v>0.39983029630913802</v>
      </c>
      <c r="J442">
        <f>VLOOKUP(A442,'YB OAS'!B:F,5,0)</f>
        <v>422.79849200000001</v>
      </c>
      <c r="K442" s="40">
        <f>VLOOKUP(A442,'Refi Universe'!E:F,2,0)</f>
        <v>0.92607404999999998</v>
      </c>
    </row>
    <row r="443" spans="1:11" ht="15" x14ac:dyDescent="0.25">
      <c r="A443" s="14">
        <v>41218</v>
      </c>
      <c r="B443" s="15">
        <v>535</v>
      </c>
      <c r="C443" s="15">
        <v>535</v>
      </c>
      <c r="D443" s="5" t="s">
        <v>2</v>
      </c>
      <c r="E443" s="5" t="s">
        <v>2</v>
      </c>
      <c r="F443" s="5">
        <v>3.594954</v>
      </c>
      <c r="G443" s="12">
        <f>VLOOKUP(A443,'[1]all FNCL'!A$2:B$993,2)</f>
        <v>0.92568594546185101</v>
      </c>
      <c r="H443" s="3" t="s">
        <v>455</v>
      </c>
      <c r="I443">
        <v>0.39983029630913802</v>
      </c>
      <c r="J443">
        <f>VLOOKUP(A443,'YB OAS'!B:F,5,0)</f>
        <v>427.817993</v>
      </c>
      <c r="K443" s="40">
        <f>VLOOKUP(A443,'Refi Universe'!E:F,2,0)</f>
        <v>0.92775901999999999</v>
      </c>
    </row>
    <row r="444" spans="1:11" ht="15" x14ac:dyDescent="0.25">
      <c r="A444" s="14">
        <v>41219</v>
      </c>
      <c r="B444" s="15">
        <v>558</v>
      </c>
      <c r="C444" s="15">
        <v>558</v>
      </c>
      <c r="D444" s="5" t="s">
        <v>2</v>
      </c>
      <c r="E444" s="5" t="s">
        <v>2</v>
      </c>
      <c r="F444" s="5">
        <v>3.63869</v>
      </c>
      <c r="G444" s="12">
        <f>VLOOKUP(A444,'[1]all FNCL'!A$2:B$993,2)</f>
        <v>0.92568594546185101</v>
      </c>
      <c r="H444" s="3" t="s">
        <v>456</v>
      </c>
      <c r="I444">
        <v>0.39983029630913802</v>
      </c>
      <c r="J444">
        <f>VLOOKUP(A444,'YB OAS'!B:F,5,0)</f>
        <v>418.99508700000001</v>
      </c>
      <c r="K444" s="40">
        <f>VLOOKUP(A444,'Refi Universe'!E:F,2,0)</f>
        <v>0.92380282000000002</v>
      </c>
    </row>
    <row r="445" spans="1:11" ht="15" x14ac:dyDescent="0.25">
      <c r="A445" s="14">
        <v>41220</v>
      </c>
      <c r="B445" s="15">
        <v>528</v>
      </c>
      <c r="C445" s="15">
        <v>528</v>
      </c>
      <c r="D445" s="5" t="s">
        <v>2</v>
      </c>
      <c r="E445" s="5" t="s">
        <v>2</v>
      </c>
      <c r="F445" s="5">
        <v>3.5782750000000001</v>
      </c>
      <c r="G445" s="12">
        <f>VLOOKUP(A445,'[1]all FNCL'!A$2:B$993,2)</f>
        <v>0.92568594546185101</v>
      </c>
      <c r="H445" s="3" t="s">
        <v>457</v>
      </c>
      <c r="I445">
        <v>0.39983029630913802</v>
      </c>
      <c r="J445">
        <f>VLOOKUP(A445,'YB OAS'!B:F,5,0)</f>
        <v>406.77829000000003</v>
      </c>
      <c r="K445" s="40">
        <f>VLOOKUP(A445,'Refi Universe'!E:F,2,0)</f>
        <v>0.93010998</v>
      </c>
    </row>
    <row r="446" spans="1:11" ht="15" x14ac:dyDescent="0.25">
      <c r="A446" s="14">
        <v>41221</v>
      </c>
      <c r="B446" s="15">
        <v>509</v>
      </c>
      <c r="C446" s="15">
        <v>509</v>
      </c>
      <c r="D446" s="5" t="s">
        <v>2</v>
      </c>
      <c r="E446" s="5" t="s">
        <v>2</v>
      </c>
      <c r="F446" s="5">
        <v>3.5608819999999999</v>
      </c>
      <c r="G446" s="12">
        <f>VLOOKUP(A446,'[1]all FNCL'!A$2:B$993,2)</f>
        <v>0.92529425270600996</v>
      </c>
      <c r="H446" s="3" t="s">
        <v>458</v>
      </c>
      <c r="I446">
        <v>0.385235227392075</v>
      </c>
      <c r="J446">
        <f>VLOOKUP(A446,'YB OAS'!B:F,5,0)</f>
        <v>394.187592</v>
      </c>
      <c r="K446" s="40">
        <f>VLOOKUP(A446,'Refi Universe'!E:F,2,0)</f>
        <v>0.93733515999999995</v>
      </c>
    </row>
    <row r="447" spans="1:11" ht="15" x14ac:dyDescent="0.25">
      <c r="A447" s="14">
        <v>41222</v>
      </c>
      <c r="B447" s="15">
        <v>508</v>
      </c>
      <c r="C447" s="15">
        <v>508</v>
      </c>
      <c r="D447" s="5" t="s">
        <v>2</v>
      </c>
      <c r="E447" s="5" t="s">
        <v>2</v>
      </c>
      <c r="F447" s="5">
        <v>3.5582440000000002</v>
      </c>
      <c r="G447" s="12">
        <f>VLOOKUP(A447,'[1]all FNCL'!A$2:B$993,2)</f>
        <v>0.92529425270600996</v>
      </c>
      <c r="H447" s="3" t="s">
        <v>459</v>
      </c>
      <c r="I447">
        <v>0.385235227392075</v>
      </c>
      <c r="J447">
        <f>VLOOKUP(A447,'YB OAS'!B:F,5,0)</f>
        <v>395.87271099999998</v>
      </c>
      <c r="K447" s="40">
        <f>VLOOKUP(A447,'Refi Universe'!E:F,2,0)</f>
        <v>0.93539373000000003</v>
      </c>
    </row>
    <row r="448" spans="1:11" ht="15" x14ac:dyDescent="0.25">
      <c r="A448" s="14">
        <v>41226</v>
      </c>
      <c r="B448" s="15">
        <v>541</v>
      </c>
      <c r="C448" s="15">
        <v>541</v>
      </c>
      <c r="D448" s="5" t="s">
        <v>2</v>
      </c>
      <c r="E448" s="5" t="s">
        <v>2</v>
      </c>
      <c r="F448" s="5">
        <v>3.5886330000000002</v>
      </c>
      <c r="G448" s="12">
        <f>VLOOKUP(A448,'[1]all FNCL'!A$2:B$993,2)</f>
        <v>0.92529425270600996</v>
      </c>
      <c r="H448" s="3" t="s">
        <v>460</v>
      </c>
      <c r="I448">
        <v>0.385235227392075</v>
      </c>
      <c r="J448">
        <f>VLOOKUP(A448,'YB OAS'!B:F,5,0)</f>
        <v>408.692993</v>
      </c>
      <c r="K448" s="40">
        <f>VLOOKUP(A448,'Refi Universe'!E:F,2,0)</f>
        <v>0.93089803000000004</v>
      </c>
    </row>
    <row r="449" spans="1:11" ht="15" x14ac:dyDescent="0.25">
      <c r="A449" s="14">
        <v>41227</v>
      </c>
      <c r="B449" s="15">
        <v>542</v>
      </c>
      <c r="C449" s="15">
        <v>542</v>
      </c>
      <c r="D449" s="5" t="s">
        <v>2</v>
      </c>
      <c r="E449" s="5" t="s">
        <v>2</v>
      </c>
      <c r="F449" s="5">
        <v>3.6350210000000001</v>
      </c>
      <c r="G449" s="12">
        <f>VLOOKUP(A449,'[1]all FNCL'!A$2:B$993,2)</f>
        <v>0.92529425270600996</v>
      </c>
      <c r="H449" s="3" t="s">
        <v>461</v>
      </c>
      <c r="I449">
        <v>0.385235227392075</v>
      </c>
      <c r="J449">
        <f>VLOOKUP(A449,'YB OAS'!B:F,5,0)</f>
        <v>411.519409</v>
      </c>
      <c r="K449" s="40">
        <f>VLOOKUP(A449,'Refi Universe'!E:F,2,0)</f>
        <v>0.92562493000000001</v>
      </c>
    </row>
    <row r="450" spans="1:11" ht="15" x14ac:dyDescent="0.25">
      <c r="A450" s="14">
        <v>41228</v>
      </c>
      <c r="B450" s="15">
        <v>583</v>
      </c>
      <c r="C450" s="15">
        <v>583</v>
      </c>
      <c r="D450" s="5" t="s">
        <v>2</v>
      </c>
      <c r="E450" s="5" t="s">
        <v>2</v>
      </c>
      <c r="F450" s="5">
        <v>3.6059000000000001</v>
      </c>
      <c r="G450" s="12">
        <f>VLOOKUP(A450,'[1]all FNCL'!A$2:B$993,2)</f>
        <v>0.92772026190850898</v>
      </c>
      <c r="H450" s="3" t="s">
        <v>462</v>
      </c>
      <c r="I450">
        <v>0.375411030467661</v>
      </c>
      <c r="J450">
        <f>VLOOKUP(A450,'YB OAS'!B:F,5,0)</f>
        <v>450.192902</v>
      </c>
      <c r="K450" s="40">
        <f>VLOOKUP(A450,'Refi Universe'!E:F,2,0)</f>
        <v>0.92732130000000002</v>
      </c>
    </row>
    <row r="451" spans="1:11" ht="15" x14ac:dyDescent="0.25">
      <c r="A451" s="14">
        <v>41229</v>
      </c>
      <c r="B451" s="15">
        <v>598</v>
      </c>
      <c r="C451" s="15">
        <v>598</v>
      </c>
      <c r="D451" s="5" t="s">
        <v>2</v>
      </c>
      <c r="E451" s="5" t="s">
        <v>2</v>
      </c>
      <c r="F451" s="5">
        <v>3.5767890000000002</v>
      </c>
      <c r="G451" s="12">
        <f>VLOOKUP(A451,'[1]all FNCL'!A$2:B$993,2)</f>
        <v>0.92529425270600996</v>
      </c>
      <c r="H451" s="3" t="s">
        <v>463</v>
      </c>
      <c r="I451">
        <v>0.375411030467661</v>
      </c>
      <c r="J451">
        <f>VLOOKUP(A451,'YB OAS'!B:F,5,0)</f>
        <v>450.903503</v>
      </c>
      <c r="K451" s="40">
        <f>VLOOKUP(A451,'Refi Universe'!E:F,2,0)</f>
        <v>0.93163985000000005</v>
      </c>
    </row>
    <row r="452" spans="1:11" ht="15" x14ac:dyDescent="0.25">
      <c r="A452" s="14">
        <v>41232</v>
      </c>
      <c r="B452" s="15">
        <v>616</v>
      </c>
      <c r="C452" s="15">
        <v>616</v>
      </c>
      <c r="D452" s="5" t="s">
        <v>2</v>
      </c>
      <c r="E452" s="5" t="s">
        <v>2</v>
      </c>
      <c r="F452" s="5">
        <v>3.5873400000000002</v>
      </c>
      <c r="G452" s="12">
        <f>VLOOKUP(A452,'[1]all FNCL'!A$2:B$993,2)</f>
        <v>0.92529425270600996</v>
      </c>
      <c r="H452" s="3" t="s">
        <v>464</v>
      </c>
      <c r="I452">
        <v>0.375411030467661</v>
      </c>
      <c r="J452">
        <f>VLOOKUP(A452,'YB OAS'!B:F,5,0)</f>
        <v>470.38439899999997</v>
      </c>
      <c r="K452" s="40">
        <f>VLOOKUP(A452,'Refi Universe'!E:F,2,0)</f>
        <v>0.92854455999999996</v>
      </c>
    </row>
    <row r="453" spans="1:11" ht="15" x14ac:dyDescent="0.25">
      <c r="A453" s="14">
        <v>41233</v>
      </c>
      <c r="B453" s="15">
        <v>633</v>
      </c>
      <c r="C453" s="15">
        <v>633</v>
      </c>
      <c r="D453" s="5" t="s">
        <v>2</v>
      </c>
      <c r="E453" s="5" t="s">
        <v>2</v>
      </c>
      <c r="F453" s="5">
        <v>3.602201</v>
      </c>
      <c r="G453" s="12">
        <f>VLOOKUP(A453,'[1]all FNCL'!A$2:B$993,2)</f>
        <v>0.92772026190850898</v>
      </c>
      <c r="H453" s="3" t="s">
        <v>465</v>
      </c>
      <c r="I453">
        <v>0.375411030467661</v>
      </c>
      <c r="J453">
        <f>VLOOKUP(A453,'YB OAS'!B:F,5,0)</f>
        <v>514.44281000000001</v>
      </c>
      <c r="K453" s="40">
        <f>VLOOKUP(A453,'Refi Universe'!E:F,2,0)</f>
        <v>0.92526991000000003</v>
      </c>
    </row>
    <row r="454" spans="1:11" ht="15" x14ac:dyDescent="0.25">
      <c r="A454" s="14">
        <v>41234</v>
      </c>
      <c r="B454" s="15">
        <v>601</v>
      </c>
      <c r="C454" s="15">
        <v>601</v>
      </c>
      <c r="D454" s="5" t="s">
        <v>2</v>
      </c>
      <c r="E454" s="5" t="s">
        <v>2</v>
      </c>
      <c r="F454" s="5">
        <v>3.623129</v>
      </c>
      <c r="G454" s="12">
        <f>VLOOKUP(A454,'[1]all FNCL'!A$2:B$993,2)</f>
        <v>0.92772026190850898</v>
      </c>
      <c r="H454" s="3" t="s">
        <v>466</v>
      </c>
      <c r="I454">
        <v>0.375411030467661</v>
      </c>
      <c r="J454">
        <f>VLOOKUP(A454,'YB OAS'!B:F,5,0)</f>
        <v>486.028503</v>
      </c>
      <c r="K454" s="40">
        <f>VLOOKUP(A454,'Refi Universe'!E:F,2,0)</f>
        <v>0.92549680000000001</v>
      </c>
    </row>
    <row r="455" spans="1:11" ht="15" x14ac:dyDescent="0.25">
      <c r="A455" s="14">
        <v>41236</v>
      </c>
      <c r="B455" s="15">
        <v>588</v>
      </c>
      <c r="C455" s="15">
        <v>588</v>
      </c>
      <c r="D455" s="5" t="s">
        <v>2</v>
      </c>
      <c r="E455" s="5" t="s">
        <v>2</v>
      </c>
      <c r="F455" s="5">
        <v>3.6271200000000001</v>
      </c>
      <c r="G455" s="12">
        <f>VLOOKUP(A455,'[1]all FNCL'!A$2:B$993,2)</f>
        <v>0.92988566192488697</v>
      </c>
      <c r="H455" s="3" t="s">
        <v>467</v>
      </c>
      <c r="I455">
        <v>0.36950911021955302</v>
      </c>
      <c r="J455">
        <f>VLOOKUP(A455,'YB OAS'!B:F,5,0)</f>
        <v>471.62148999999999</v>
      </c>
      <c r="K455" s="40">
        <f>VLOOKUP(A455,'Refi Universe'!E:F,2,0)</f>
        <v>0.92490912999999997</v>
      </c>
    </row>
    <row r="456" spans="1:11" ht="15" x14ac:dyDescent="0.25">
      <c r="A456" s="14">
        <v>41239</v>
      </c>
      <c r="B456" s="15">
        <v>561</v>
      </c>
      <c r="C456" s="15">
        <v>561</v>
      </c>
      <c r="D456" s="5" t="s">
        <v>2</v>
      </c>
      <c r="E456" s="5" t="s">
        <v>2</v>
      </c>
      <c r="F456" s="5">
        <v>3.5939549999999998</v>
      </c>
      <c r="G456" s="12">
        <f>VLOOKUP(A456,'[1]all FNCL'!A$2:B$993,2)</f>
        <v>0.92988566192488697</v>
      </c>
      <c r="H456" s="3" t="s">
        <v>468</v>
      </c>
      <c r="I456">
        <v>0.36950911021955302</v>
      </c>
      <c r="J456">
        <f>VLOOKUP(A456,'YB OAS'!B:F,5,0)</f>
        <v>451.07879600000001</v>
      </c>
      <c r="K456" s="40">
        <f>VLOOKUP(A456,'Refi Universe'!E:F,2,0)</f>
        <v>0.92791716999999996</v>
      </c>
    </row>
    <row r="457" spans="1:11" ht="15" x14ac:dyDescent="0.25">
      <c r="A457" s="14">
        <v>41240</v>
      </c>
      <c r="B457" s="15">
        <v>560</v>
      </c>
      <c r="C457" s="15">
        <v>560</v>
      </c>
      <c r="D457" s="5" t="s">
        <v>2</v>
      </c>
      <c r="E457" s="5" t="s">
        <v>2</v>
      </c>
      <c r="F457" s="5">
        <v>3.56521</v>
      </c>
      <c r="G457" s="12">
        <f>VLOOKUP(A457,'[1]all FNCL'!A$2:B$993,2)</f>
        <v>0.92988566192488697</v>
      </c>
      <c r="H457" s="3" t="s">
        <v>469</v>
      </c>
      <c r="I457">
        <v>0.36618748344447</v>
      </c>
      <c r="J457">
        <f>VLOOKUP(A457,'YB OAS'!B:F,5,0)</f>
        <v>428.36749300000002</v>
      </c>
      <c r="K457" s="40">
        <f>VLOOKUP(A457,'Refi Universe'!E:F,2,0)</f>
        <v>0.94132097000000003</v>
      </c>
    </row>
    <row r="458" spans="1:11" ht="15" x14ac:dyDescent="0.25">
      <c r="A458" s="14">
        <v>41241</v>
      </c>
      <c r="B458" s="15">
        <v>548</v>
      </c>
      <c r="C458" s="15">
        <v>548</v>
      </c>
      <c r="D458" s="5" t="s">
        <v>2</v>
      </c>
      <c r="E458" s="5" t="s">
        <v>2</v>
      </c>
      <c r="F458" s="5">
        <v>3.5719699999999999</v>
      </c>
      <c r="G458" s="12">
        <f>VLOOKUP(A458,'[1]all FNCL'!A$2:B$993,2)</f>
        <v>0.92988566192488697</v>
      </c>
      <c r="H458" s="3" t="s">
        <v>470</v>
      </c>
      <c r="I458">
        <v>0.36618748344447</v>
      </c>
      <c r="J458">
        <f>VLOOKUP(A458,'YB OAS'!B:F,5,0)</f>
        <v>422.72460899999999</v>
      </c>
      <c r="K458" s="40">
        <f>VLOOKUP(A458,'Refi Universe'!E:F,2,0)</f>
        <v>0.93272887999999998</v>
      </c>
    </row>
    <row r="459" spans="1:11" ht="15" x14ac:dyDescent="0.25">
      <c r="A459" s="14">
        <v>41242</v>
      </c>
      <c r="B459" s="15">
        <v>564</v>
      </c>
      <c r="C459" s="15">
        <v>564</v>
      </c>
      <c r="D459" s="5" t="s">
        <v>2</v>
      </c>
      <c r="E459" s="5" t="s">
        <v>2</v>
      </c>
      <c r="F459" s="5">
        <v>3.5800580000000002</v>
      </c>
      <c r="G459" s="12">
        <f>VLOOKUP(A459,'[1]all FNCL'!A$2:B$993,2)</f>
        <v>0.92962672480790898</v>
      </c>
      <c r="H459" s="3" t="s">
        <v>471</v>
      </c>
      <c r="I459">
        <v>0.36618748344447</v>
      </c>
      <c r="J459">
        <f>VLOOKUP(A459,'YB OAS'!B:F,5,0)</f>
        <v>436.41198700000001</v>
      </c>
      <c r="K459" s="40">
        <f>VLOOKUP(A459,'Refi Universe'!E:F,2,0)</f>
        <v>0.92988565999999995</v>
      </c>
    </row>
    <row r="460" spans="1:11" ht="15" x14ac:dyDescent="0.25">
      <c r="A460" s="14">
        <v>41243</v>
      </c>
      <c r="B460" s="15">
        <v>571</v>
      </c>
      <c r="C460" s="15">
        <v>571</v>
      </c>
      <c r="D460" s="5" t="s">
        <v>2</v>
      </c>
      <c r="E460" s="5" t="s">
        <v>2</v>
      </c>
      <c r="F460" s="5">
        <v>3.5763229999999999</v>
      </c>
      <c r="G460" s="12">
        <f>VLOOKUP(A460,'[1]all FNCL'!A$2:B$993,2)</f>
        <v>0.92962672480790898</v>
      </c>
      <c r="H460" s="3" t="s">
        <v>472</v>
      </c>
      <c r="I460">
        <v>0.38305038505575201</v>
      </c>
      <c r="J460">
        <f>VLOOKUP(A460,'YB OAS'!B:F,5,0)</f>
        <v>446.99420199999997</v>
      </c>
      <c r="K460" s="40">
        <f>VLOOKUP(A460,'Refi Universe'!E:F,2,0)</f>
        <v>0.92988565999999995</v>
      </c>
    </row>
    <row r="461" spans="1:11" ht="15" x14ac:dyDescent="0.25">
      <c r="A461" s="14">
        <v>41246</v>
      </c>
      <c r="B461" s="15">
        <v>565</v>
      </c>
      <c r="C461" s="15">
        <v>565</v>
      </c>
      <c r="D461" s="5" t="s">
        <v>2</v>
      </c>
      <c r="E461" s="5" t="s">
        <v>2</v>
      </c>
      <c r="F461" s="5">
        <v>3.5711059999999999</v>
      </c>
      <c r="G461" s="12">
        <f>VLOOKUP(A461,'[1]all FNCL'!A$2:B$993,2)</f>
        <v>0.91261368517922603</v>
      </c>
      <c r="H461" s="3" t="s">
        <v>473</v>
      </c>
      <c r="I461">
        <v>0.38305038505575201</v>
      </c>
      <c r="J461">
        <f>VLOOKUP(A461,'YB OAS'!B:F,5,0)</f>
        <v>447.60180700000001</v>
      </c>
      <c r="K461" s="40">
        <f>VLOOKUP(A461,'Refi Universe'!E:F,2,0)</f>
        <v>0.91182074000000002</v>
      </c>
    </row>
    <row r="462" spans="1:11" ht="15" x14ac:dyDescent="0.25">
      <c r="A462" s="14">
        <v>41247</v>
      </c>
      <c r="B462" s="15">
        <v>576</v>
      </c>
      <c r="C462" s="15">
        <v>576</v>
      </c>
      <c r="D462" s="5" t="s">
        <v>2</v>
      </c>
      <c r="E462" s="5" t="s">
        <v>2</v>
      </c>
      <c r="F462" s="5">
        <v>3.5647579999999999</v>
      </c>
      <c r="G462" s="12">
        <f>VLOOKUP(A462,'[1]all FNCL'!A$2:B$993,2)</f>
        <v>0.91261368517922603</v>
      </c>
      <c r="H462" s="3" t="s">
        <v>474</v>
      </c>
      <c r="I462">
        <v>0.38305038505575201</v>
      </c>
      <c r="J462">
        <f>VLOOKUP(A462,'YB OAS'!B:F,5,0)</f>
        <v>461.79840100000001</v>
      </c>
      <c r="K462" s="40">
        <f>VLOOKUP(A462,'Refi Universe'!E:F,2,0)</f>
        <v>0.91340927999999999</v>
      </c>
    </row>
    <row r="463" spans="1:11" ht="15" x14ac:dyDescent="0.25">
      <c r="A463" s="14">
        <v>41248</v>
      </c>
      <c r="B463" s="15">
        <v>628</v>
      </c>
      <c r="C463" s="15">
        <v>628</v>
      </c>
      <c r="D463" s="5" t="s">
        <v>2</v>
      </c>
      <c r="E463" s="5" t="s">
        <v>2</v>
      </c>
      <c r="F463" s="5">
        <v>3.5767850000000001</v>
      </c>
      <c r="G463" s="12">
        <f>VLOOKUP(A463,'[1]all FNCL'!A$2:B$993,2)</f>
        <v>0.91261368517922603</v>
      </c>
      <c r="H463" s="3" t="s">
        <v>475</v>
      </c>
      <c r="I463">
        <v>0.38305038505575201</v>
      </c>
      <c r="J463">
        <f>VLOOKUP(A463,'YB OAS'!B:F,5,0)</f>
        <v>509.06100500000002</v>
      </c>
      <c r="K463" s="40">
        <f>VLOOKUP(A463,'Refi Universe'!E:F,2,0)</f>
        <v>0.91038313999999998</v>
      </c>
    </row>
    <row r="464" spans="1:11" ht="15" x14ac:dyDescent="0.25">
      <c r="A464" s="14">
        <v>41249</v>
      </c>
      <c r="B464" s="15">
        <v>634</v>
      </c>
      <c r="C464" s="15">
        <v>634</v>
      </c>
      <c r="D464" s="5" t="s">
        <v>2</v>
      </c>
      <c r="E464" s="5" t="s">
        <v>2</v>
      </c>
      <c r="F464" s="5">
        <v>3.598795</v>
      </c>
      <c r="G464" s="12">
        <f>VLOOKUP(A464,'[1]all FNCL'!A$2:B$993,2)</f>
        <v>0.91054790878492298</v>
      </c>
      <c r="H464" s="3" t="s">
        <v>476</v>
      </c>
      <c r="I464">
        <v>0.38305038505575201</v>
      </c>
      <c r="J464">
        <f>VLOOKUP(A464,'YB OAS'!B:F,5,0)</f>
        <v>508.70831299999998</v>
      </c>
      <c r="K464" s="40">
        <f>VLOOKUP(A464,'Refi Universe'!E:F,2,0)</f>
        <v>0.90949672000000004</v>
      </c>
    </row>
    <row r="465" spans="1:11" ht="15" x14ac:dyDescent="0.25">
      <c r="A465" s="14">
        <v>41250</v>
      </c>
      <c r="B465" s="15">
        <v>608</v>
      </c>
      <c r="C465" s="15">
        <v>608</v>
      </c>
      <c r="D465" s="5" t="s">
        <v>2</v>
      </c>
      <c r="E465" s="5" t="s">
        <v>2</v>
      </c>
      <c r="F465" s="5">
        <v>3.6169069999999999</v>
      </c>
      <c r="G465" s="12">
        <f>VLOOKUP(A465,'[1]all FNCL'!A$2:B$993,2)</f>
        <v>0.91054790878492298</v>
      </c>
      <c r="H465" s="3" t="s">
        <v>477</v>
      </c>
      <c r="I465">
        <v>0.36618748344447</v>
      </c>
      <c r="J465">
        <f>VLOOKUP(A465,'YB OAS'!B:F,5,0)</f>
        <v>497.20111100000003</v>
      </c>
      <c r="K465" s="40">
        <f>VLOOKUP(A465,'Refi Universe'!E:F,2,0)</f>
        <v>0.90648165999999997</v>
      </c>
    </row>
    <row r="466" spans="1:11" ht="15" x14ac:dyDescent="0.25">
      <c r="A466" s="14">
        <v>41253</v>
      </c>
      <c r="B466" s="15">
        <v>598</v>
      </c>
      <c r="C466" s="15">
        <v>598</v>
      </c>
      <c r="D466" s="5" t="s">
        <v>2</v>
      </c>
      <c r="E466" s="5" t="s">
        <v>2</v>
      </c>
      <c r="F466" s="5">
        <v>3.5843889999999998</v>
      </c>
      <c r="G466" s="12">
        <f>VLOOKUP(A466,'[1]all FNCL'!A$2:B$993,2)</f>
        <v>0.91054790878492298</v>
      </c>
      <c r="H466" s="3" t="s">
        <v>478</v>
      </c>
      <c r="I466">
        <v>0.36618748344447</v>
      </c>
      <c r="J466">
        <f>VLOOKUP(A466,'YB OAS'!B:F,5,0)</f>
        <v>487.79708900000003</v>
      </c>
      <c r="K466" s="40">
        <f>VLOOKUP(A466,'Refi Universe'!E:F,2,0)</f>
        <v>0.90822765000000005</v>
      </c>
    </row>
    <row r="467" spans="1:11" ht="15" x14ac:dyDescent="0.25">
      <c r="A467" s="14">
        <v>41254</v>
      </c>
      <c r="B467" s="15">
        <v>591</v>
      </c>
      <c r="C467" s="15">
        <v>591</v>
      </c>
      <c r="D467" s="5" t="s">
        <v>2</v>
      </c>
      <c r="E467" s="5" t="s">
        <v>2</v>
      </c>
      <c r="F467" s="5">
        <v>3.573909</v>
      </c>
      <c r="G467" s="12">
        <f>VLOOKUP(A467,'[1]all FNCL'!A$2:B$993,2)</f>
        <v>0.91054790878492298</v>
      </c>
      <c r="H467" s="3" t="s">
        <v>479</v>
      </c>
      <c r="I467">
        <v>0.36618748344447</v>
      </c>
      <c r="J467">
        <f>VLOOKUP(A467,'YB OAS'!B:F,5,0)</f>
        <v>495.26080300000001</v>
      </c>
      <c r="K467" s="40">
        <f>VLOOKUP(A467,'Refi Universe'!E:F,2,0)</f>
        <v>0.90824320000000003</v>
      </c>
    </row>
    <row r="468" spans="1:11" ht="15" x14ac:dyDescent="0.25">
      <c r="A468" s="14">
        <v>41255</v>
      </c>
      <c r="B468" s="15">
        <v>616</v>
      </c>
      <c r="C468" s="15">
        <v>616</v>
      </c>
      <c r="D468" s="5" t="s">
        <v>2</v>
      </c>
      <c r="E468" s="5" t="s">
        <v>2</v>
      </c>
      <c r="F468" s="5">
        <v>3.5826159999999998</v>
      </c>
      <c r="G468" s="12">
        <f>VLOOKUP(A468,'[1]all FNCL'!A$2:B$993,2)</f>
        <v>0.91054790878492298</v>
      </c>
      <c r="H468" s="3" t="s">
        <v>480</v>
      </c>
      <c r="I468">
        <v>0.36618748344447</v>
      </c>
      <c r="J468">
        <f>VLOOKUP(A468,'YB OAS'!B:F,5,0)</f>
        <v>512.666382</v>
      </c>
      <c r="K468" s="40">
        <f>VLOOKUP(A468,'Refi Universe'!E:F,2,0)</f>
        <v>0.91013454000000005</v>
      </c>
    </row>
    <row r="469" spans="1:11" ht="15" x14ac:dyDescent="0.25">
      <c r="A469" s="14">
        <v>41256</v>
      </c>
      <c r="B469" s="15">
        <v>604</v>
      </c>
      <c r="C469" s="15">
        <v>604</v>
      </c>
      <c r="D469" s="5" t="s">
        <v>2</v>
      </c>
      <c r="E469" s="5" t="s">
        <v>2</v>
      </c>
      <c r="F469" s="5">
        <v>3.5843850000000002</v>
      </c>
      <c r="G469" s="12">
        <f>VLOOKUP(A469,'[1]all FNCL'!A$2:B$993,2)</f>
        <v>0.91261368517922603</v>
      </c>
      <c r="H469" s="3" t="s">
        <v>481</v>
      </c>
      <c r="I469">
        <v>0.36618748344447</v>
      </c>
      <c r="J469">
        <f>VLOOKUP(A469,'YB OAS'!B:F,5,0)</f>
        <v>496.30120799999997</v>
      </c>
      <c r="K469" s="40">
        <f>VLOOKUP(A469,'Refi Universe'!E:F,2,0)</f>
        <v>0.90995208000000005</v>
      </c>
    </row>
    <row r="470" spans="1:11" ht="15" x14ac:dyDescent="0.25">
      <c r="A470" s="14">
        <v>41257</v>
      </c>
      <c r="B470" s="15">
        <v>608</v>
      </c>
      <c r="C470" s="15">
        <v>608</v>
      </c>
      <c r="D470" s="5" t="s">
        <v>2</v>
      </c>
      <c r="E470" s="5" t="s">
        <v>2</v>
      </c>
      <c r="F470" s="5">
        <v>3.5794250000000001</v>
      </c>
      <c r="G470" s="12">
        <f>VLOOKUP(A470,'[1]all FNCL'!A$2:B$993,2)</f>
        <v>0.91261368517922603</v>
      </c>
      <c r="H470" s="3" t="s">
        <v>482</v>
      </c>
      <c r="I470">
        <v>0.37473459168456602</v>
      </c>
      <c r="J470">
        <f>VLOOKUP(A470,'YB OAS'!B:F,5,0)</f>
        <v>496.901794</v>
      </c>
      <c r="K470" s="40">
        <f>VLOOKUP(A470,'Refi Universe'!E:F,2,0)</f>
        <v>0.91004114000000003</v>
      </c>
    </row>
    <row r="471" spans="1:11" ht="15" x14ac:dyDescent="0.25">
      <c r="A471" s="14">
        <v>41260</v>
      </c>
      <c r="B471" s="15">
        <v>602</v>
      </c>
      <c r="C471" s="15">
        <v>602</v>
      </c>
      <c r="D471" s="5" t="s">
        <v>2</v>
      </c>
      <c r="E471" s="5" t="s">
        <v>2</v>
      </c>
      <c r="F471" s="5">
        <v>3.586138</v>
      </c>
      <c r="G471" s="12">
        <f>VLOOKUP(A471,'[1]all FNCL'!A$2:B$993,2)</f>
        <v>0.91261368517922603</v>
      </c>
      <c r="H471" s="3" t="s">
        <v>483</v>
      </c>
      <c r="I471">
        <v>0.37473459168456602</v>
      </c>
      <c r="J471">
        <f>VLOOKUP(A471,'YB OAS'!B:F,5,0)</f>
        <v>496.850098</v>
      </c>
      <c r="K471" s="40">
        <f>VLOOKUP(A471,'Refi Universe'!E:F,2,0)</f>
        <v>0.90980081999999995</v>
      </c>
    </row>
    <row r="472" spans="1:11" ht="15" x14ac:dyDescent="0.25">
      <c r="A472" s="14">
        <v>41261</v>
      </c>
      <c r="B472" s="15">
        <v>625</v>
      </c>
      <c r="C472" s="15">
        <v>625</v>
      </c>
      <c r="D472" s="5" t="s">
        <v>2</v>
      </c>
      <c r="E472" s="5" t="s">
        <v>2</v>
      </c>
      <c r="F472" s="5">
        <v>3.5999780000000001</v>
      </c>
      <c r="G472" s="12">
        <f>VLOOKUP(A472,'[1]all FNCL'!A$2:B$993,2)</f>
        <v>0.91261368517922603</v>
      </c>
      <c r="H472" s="3" t="s">
        <v>484</v>
      </c>
      <c r="I472">
        <v>0.37473459168456602</v>
      </c>
      <c r="J472">
        <f>VLOOKUP(A472,'YB OAS'!B:F,5,0)</f>
        <v>499.73190299999999</v>
      </c>
      <c r="K472" s="40">
        <f>VLOOKUP(A472,'Refi Universe'!E:F,2,0)</f>
        <v>0.90632723999999998</v>
      </c>
    </row>
    <row r="473" spans="1:11" ht="15" x14ac:dyDescent="0.25">
      <c r="A473" s="14">
        <v>41262</v>
      </c>
      <c r="B473" s="15">
        <v>635</v>
      </c>
      <c r="C473" s="15">
        <v>635</v>
      </c>
      <c r="D473" s="5" t="s">
        <v>2</v>
      </c>
      <c r="E473" s="5" t="s">
        <v>2</v>
      </c>
      <c r="F473" s="5">
        <v>3.5899830000000001</v>
      </c>
      <c r="G473" s="12">
        <f>VLOOKUP(A473,'[1]all FNCL'!A$2:B$993,2)</f>
        <v>0.91261368517922603</v>
      </c>
      <c r="H473" s="3" t="s">
        <v>485</v>
      </c>
      <c r="I473">
        <v>0.37473459168456602</v>
      </c>
      <c r="J473">
        <f>VLOOKUP(A473,'YB OAS'!B:F,5,0)</f>
        <v>499.44241299999999</v>
      </c>
      <c r="K473" s="40">
        <f>VLOOKUP(A473,'Refi Universe'!E:F,2,0)</f>
        <v>0.90929634999999998</v>
      </c>
    </row>
    <row r="474" spans="1:11" ht="15" x14ac:dyDescent="0.25">
      <c r="A474" s="14">
        <v>41263</v>
      </c>
      <c r="B474" s="15">
        <v>612</v>
      </c>
      <c r="C474" s="15">
        <v>612</v>
      </c>
      <c r="D474" s="5" t="s">
        <v>2</v>
      </c>
      <c r="E474" s="5" t="s">
        <v>2</v>
      </c>
      <c r="F474" s="5">
        <v>3.5770759999999999</v>
      </c>
      <c r="G474" s="12">
        <f>VLOOKUP(A474,'[1]all FNCL'!A$2:B$993,2)</f>
        <v>0.90964878851271103</v>
      </c>
      <c r="H474" s="3" t="s">
        <v>486</v>
      </c>
      <c r="I474">
        <v>0.37473459168456602</v>
      </c>
      <c r="J474">
        <f>VLOOKUP(A474,'YB OAS'!B:F,5,0)</f>
        <v>507.09789999999998</v>
      </c>
      <c r="K474" s="40">
        <f>VLOOKUP(A474,'Refi Universe'!E:F,2,0)</f>
        <v>0.90996273999999999</v>
      </c>
    </row>
    <row r="475" spans="1:11" ht="15" x14ac:dyDescent="0.25">
      <c r="A475" s="14">
        <v>41264</v>
      </c>
      <c r="B475" s="15">
        <v>627</v>
      </c>
      <c r="C475" s="15">
        <v>627</v>
      </c>
      <c r="D475" s="5" t="s">
        <v>2</v>
      </c>
      <c r="E475" s="5" t="s">
        <v>2</v>
      </c>
      <c r="F475" s="5">
        <v>3.5686710000000001</v>
      </c>
      <c r="G475" s="12">
        <f>VLOOKUP(A475,'[1]all FNCL'!A$2:B$993,2)</f>
        <v>0.90964878851271103</v>
      </c>
      <c r="H475" s="3" t="s">
        <v>487</v>
      </c>
      <c r="I475">
        <v>0.36106783694827599</v>
      </c>
      <c r="J475">
        <f>VLOOKUP(A475,'YB OAS'!B:F,5,0)</f>
        <v>525.70159899999999</v>
      </c>
      <c r="K475" s="40">
        <f>VLOOKUP(A475,'Refi Universe'!E:F,2,0)</f>
        <v>0.91263181000000004</v>
      </c>
    </row>
    <row r="476" spans="1:11" ht="15" x14ac:dyDescent="0.25">
      <c r="A476" s="14">
        <v>41267</v>
      </c>
      <c r="B476" s="15">
        <v>639</v>
      </c>
      <c r="C476" s="15">
        <v>639</v>
      </c>
      <c r="D476" s="5" t="s">
        <v>2</v>
      </c>
      <c r="E476" s="5" t="s">
        <v>2</v>
      </c>
      <c r="F476" s="5">
        <v>3.574284</v>
      </c>
      <c r="G476" s="12">
        <f>VLOOKUP(A476,'[1]all FNCL'!A$2:B$993,2)</f>
        <v>0.90964878851271103</v>
      </c>
      <c r="H476" s="3" t="s">
        <v>488</v>
      </c>
      <c r="I476">
        <v>0.36106783694827599</v>
      </c>
      <c r="J476">
        <f>VLOOKUP(A476,'YB OAS'!B:F,5,0)</f>
        <v>534.29370100000006</v>
      </c>
      <c r="K476" s="40">
        <f>VLOOKUP(A476,'Refi Universe'!E:F,2,0)</f>
        <v>0.91023827000000002</v>
      </c>
    </row>
    <row r="477" spans="1:11" ht="15" x14ac:dyDescent="0.25">
      <c r="A477" s="14">
        <v>41269</v>
      </c>
      <c r="B477" s="15">
        <v>640</v>
      </c>
      <c r="C477" s="15">
        <v>640</v>
      </c>
      <c r="D477" s="5" t="s">
        <v>2</v>
      </c>
      <c r="E477" s="5" t="s">
        <v>2</v>
      </c>
      <c r="F477" s="5">
        <v>3.5705019999999998</v>
      </c>
      <c r="G477" s="12">
        <f>VLOOKUP(A477,'[1]all FNCL'!A$2:B$993,2)</f>
        <v>0.90964878851271103</v>
      </c>
      <c r="H477" s="3" t="s">
        <v>489</v>
      </c>
      <c r="I477">
        <v>0.36106783694827599</v>
      </c>
      <c r="J477">
        <f>VLOOKUP(A477,'YB OAS'!B:F,5,0)</f>
        <v>530.948486</v>
      </c>
      <c r="K477" s="40">
        <f>VLOOKUP(A477,'Refi Universe'!E:F,2,0)</f>
        <v>0.91054997000000004</v>
      </c>
    </row>
    <row r="478" spans="1:11" ht="15" x14ac:dyDescent="0.25">
      <c r="A478" s="14">
        <v>41270</v>
      </c>
      <c r="B478" s="15">
        <v>642</v>
      </c>
      <c r="C478" s="15">
        <v>642</v>
      </c>
      <c r="D478" s="5" t="s">
        <v>2</v>
      </c>
      <c r="E478" s="5" t="s">
        <v>2</v>
      </c>
      <c r="F478" s="5">
        <v>3.5626959999999999</v>
      </c>
      <c r="G478" s="12">
        <f>VLOOKUP(A478,'[1]all FNCL'!A$2:B$993,2)</f>
        <v>0.91013454847674702</v>
      </c>
      <c r="H478" s="3" t="s">
        <v>490</v>
      </c>
      <c r="I478">
        <v>0.35665287918352401</v>
      </c>
      <c r="J478">
        <f>VLOOKUP(A478,'YB OAS'!B:F,5,0)</f>
        <v>537.15277100000003</v>
      </c>
      <c r="K478" s="40">
        <f>VLOOKUP(A478,'Refi Universe'!E:F,2,0)</f>
        <v>0.91356859000000001</v>
      </c>
    </row>
    <row r="479" spans="1:11" ht="15" x14ac:dyDescent="0.25">
      <c r="A479" s="14">
        <v>41271</v>
      </c>
      <c r="B479" s="15">
        <v>636</v>
      </c>
      <c r="C479" s="15">
        <v>636</v>
      </c>
      <c r="D479" s="5" t="s">
        <v>2</v>
      </c>
      <c r="E479" s="5" t="s">
        <v>2</v>
      </c>
      <c r="F479" s="5">
        <v>3.5737809999999999</v>
      </c>
      <c r="G479" s="12">
        <f>VLOOKUP(A479,'[1]all FNCL'!A$2:B$993,2)</f>
        <v>0.91013454847674702</v>
      </c>
      <c r="H479" s="3" t="s">
        <v>491</v>
      </c>
      <c r="I479">
        <v>0.35665287918352401</v>
      </c>
      <c r="J479">
        <f>VLOOKUP(A479,'YB OAS'!B:F,5,0)</f>
        <v>531.53991699999995</v>
      </c>
      <c r="K479" s="40">
        <f>VLOOKUP(A479,'Refi Universe'!E:F,2,0)</f>
        <v>0.91245498999999997</v>
      </c>
    </row>
    <row r="480" spans="1:11" ht="15" x14ac:dyDescent="0.25">
      <c r="A480" s="14">
        <v>41274</v>
      </c>
      <c r="B480" s="15">
        <v>667</v>
      </c>
      <c r="C480" s="15">
        <v>667</v>
      </c>
      <c r="D480" s="5" t="s">
        <v>2</v>
      </c>
      <c r="E480" s="5" t="s">
        <v>2</v>
      </c>
      <c r="F480" s="5">
        <v>3.5737830000000002</v>
      </c>
      <c r="G480" s="12">
        <f>VLOOKUP(A480,'[1]all FNCL'!A$2:B$993,2)</f>
        <v>0.91013454847674702</v>
      </c>
      <c r="H480" s="3" t="s">
        <v>492</v>
      </c>
      <c r="I480">
        <v>0.35514156438481698</v>
      </c>
      <c r="J480">
        <f>VLOOKUP(A480,'YB OAS'!B:F,5,0)</f>
        <v>548.32458499999996</v>
      </c>
      <c r="K480" s="40">
        <f>VLOOKUP(A480,'Refi Universe'!E:F,2,0)</f>
        <v>0.91103829999999997</v>
      </c>
    </row>
    <row r="481" spans="1:11" ht="15" x14ac:dyDescent="0.25">
      <c r="A481" s="14">
        <v>41276</v>
      </c>
      <c r="B481" s="15">
        <v>684</v>
      </c>
      <c r="C481" s="15">
        <v>684</v>
      </c>
      <c r="D481" s="5" t="s">
        <v>2</v>
      </c>
      <c r="E481" s="5" t="s">
        <v>2</v>
      </c>
      <c r="F481" s="5">
        <v>3.569725</v>
      </c>
      <c r="G481" s="12">
        <f>VLOOKUP(A481,'[1]all FNCL'!A$2:B$993,2)</f>
        <v>0.88776607960810605</v>
      </c>
      <c r="H481" s="3" t="s">
        <v>493</v>
      </c>
      <c r="I481">
        <v>0.35514156438481698</v>
      </c>
      <c r="J481">
        <f>VLOOKUP(A481,'YB OAS'!B:F,5,0)</f>
        <v>537.22491500000001</v>
      </c>
      <c r="K481" s="40">
        <f>VLOOKUP(A481,'Refi Universe'!E:F,2,0)</f>
        <v>0.88507237000000005</v>
      </c>
    </row>
    <row r="482" spans="1:11" ht="15" x14ac:dyDescent="0.25">
      <c r="A482" s="14">
        <v>41277</v>
      </c>
      <c r="B482" s="15">
        <v>663</v>
      </c>
      <c r="C482" s="15">
        <v>663</v>
      </c>
      <c r="D482" s="5" t="s">
        <v>2</v>
      </c>
      <c r="E482" s="5" t="s">
        <v>2</v>
      </c>
      <c r="F482" s="5">
        <v>3.613594</v>
      </c>
      <c r="G482" s="12">
        <f>VLOOKUP(A482,'[1]all FNCL'!A$2:B$993,2)</f>
        <v>0.88829814088555903</v>
      </c>
      <c r="H482" s="3" t="s">
        <v>494</v>
      </c>
      <c r="I482">
        <v>0.35514156438481698</v>
      </c>
      <c r="J482">
        <f>VLOOKUP(A482,'YB OAS'!B:F,5,0)</f>
        <v>515.91803000000004</v>
      </c>
      <c r="K482" s="40">
        <f>VLOOKUP(A482,'Refi Universe'!E:F,2,0)</f>
        <v>0.85458392999999999</v>
      </c>
    </row>
    <row r="483" spans="1:11" ht="15" x14ac:dyDescent="0.25">
      <c r="A483" s="14">
        <v>41278</v>
      </c>
      <c r="B483" s="15">
        <v>661</v>
      </c>
      <c r="C483" s="15">
        <v>661</v>
      </c>
      <c r="D483" s="5" t="s">
        <v>2</v>
      </c>
      <c r="E483" s="5" t="s">
        <v>2</v>
      </c>
      <c r="F483" s="5">
        <v>3.6265070000000001</v>
      </c>
      <c r="G483" s="12">
        <f>VLOOKUP(A483,'[1]all FNCL'!A$2:B$993,2)</f>
        <v>0.88829814088555903</v>
      </c>
      <c r="H483" s="3" t="s">
        <v>495</v>
      </c>
      <c r="I483">
        <v>0.35514156438481698</v>
      </c>
      <c r="J483">
        <f>VLOOKUP(A483,'YB OAS'!B:F,5,0)</f>
        <v>505.35791</v>
      </c>
      <c r="K483" s="40">
        <f>VLOOKUP(A483,'Refi Universe'!E:F,2,0)</f>
        <v>0.83571636000000005</v>
      </c>
    </row>
    <row r="484" spans="1:11" ht="15" x14ac:dyDescent="0.25">
      <c r="A484" s="14">
        <v>41281</v>
      </c>
      <c r="B484" s="15">
        <v>663</v>
      </c>
      <c r="C484" s="15">
        <v>663</v>
      </c>
      <c r="D484" s="5" t="s">
        <v>2</v>
      </c>
      <c r="E484" s="5" t="s">
        <v>2</v>
      </c>
      <c r="F484" s="5">
        <v>3.609645</v>
      </c>
      <c r="G484" s="12">
        <f>VLOOKUP(A484,'[1]all FNCL'!A$2:B$993,2)</f>
        <v>0.88829814088555903</v>
      </c>
      <c r="H484" s="3" t="s">
        <v>496</v>
      </c>
      <c r="I484">
        <v>0.35514156438481698</v>
      </c>
      <c r="J484">
        <f>VLOOKUP(A484,'YB OAS'!B:F,5,0)</f>
        <v>506.56811499999998</v>
      </c>
      <c r="K484" s="40">
        <f>VLOOKUP(A484,'Refi Universe'!E:F,2,0)</f>
        <v>0.86736603000000001</v>
      </c>
    </row>
    <row r="485" spans="1:11" ht="15" x14ac:dyDescent="0.25">
      <c r="A485" s="14">
        <v>41282</v>
      </c>
      <c r="B485" s="15">
        <v>707</v>
      </c>
      <c r="C485" s="15">
        <v>707</v>
      </c>
      <c r="D485" s="5" t="s">
        <v>2</v>
      </c>
      <c r="E485" s="5" t="s">
        <v>2</v>
      </c>
      <c r="F485" s="5">
        <v>3.608908</v>
      </c>
      <c r="G485" s="12">
        <f>VLOOKUP(A485,'[1]all FNCL'!A$2:B$993,2)</f>
        <v>0.88829814088555903</v>
      </c>
      <c r="H485" s="3" t="s">
        <v>497</v>
      </c>
      <c r="I485">
        <v>0.36665858727100598</v>
      </c>
      <c r="J485">
        <f>VLOOKUP(A485,'YB OAS'!B:F,5,0)</f>
        <v>534.92401099999995</v>
      </c>
      <c r="K485" s="40">
        <f>VLOOKUP(A485,'Refi Universe'!E:F,2,0)</f>
        <v>0.87519625000000001</v>
      </c>
    </row>
    <row r="486" spans="1:11" ht="15" x14ac:dyDescent="0.25">
      <c r="A486" s="14">
        <v>41283</v>
      </c>
      <c r="B486" s="15">
        <v>707</v>
      </c>
      <c r="C486" s="15">
        <v>707</v>
      </c>
      <c r="D486" s="5" t="s">
        <v>2</v>
      </c>
      <c r="E486" s="5" t="s">
        <v>2</v>
      </c>
      <c r="F486" s="5">
        <v>3.5986220000000002</v>
      </c>
      <c r="G486" s="12">
        <f>VLOOKUP(A486,'[1]all FNCL'!A$2:B$993,2)</f>
        <v>0.88829814088555903</v>
      </c>
      <c r="H486" s="3" t="s">
        <v>498</v>
      </c>
      <c r="I486">
        <v>0.36665858727100598</v>
      </c>
      <c r="J486">
        <f>VLOOKUP(A486,'YB OAS'!B:F,5,0)</f>
        <v>541.43518099999994</v>
      </c>
      <c r="K486" s="40">
        <f>VLOOKUP(A486,'Refi Universe'!E:F,2,0)</f>
        <v>0.88797930000000003</v>
      </c>
    </row>
    <row r="487" spans="1:11" ht="15" x14ac:dyDescent="0.25">
      <c r="A487" s="14">
        <v>41284</v>
      </c>
      <c r="B487" s="15">
        <v>665</v>
      </c>
      <c r="C487" s="15">
        <v>665</v>
      </c>
      <c r="D487" s="5" t="s">
        <v>2</v>
      </c>
      <c r="E487" s="5" t="s">
        <v>2</v>
      </c>
      <c r="F487" s="5">
        <v>3.5937899999999998</v>
      </c>
      <c r="G487" s="12">
        <f>VLOOKUP(A487,'[1]all FNCL'!A$2:B$993,2)</f>
        <v>0.88507237465235999</v>
      </c>
      <c r="H487" s="3" t="s">
        <v>499</v>
      </c>
      <c r="I487">
        <v>0.36665858727100598</v>
      </c>
      <c r="J487">
        <f>VLOOKUP(A487,'YB OAS'!B:F,5,0)</f>
        <v>533.29400599999997</v>
      </c>
      <c r="K487" s="40">
        <f>VLOOKUP(A487,'Refi Universe'!E:F,2,0)</f>
        <v>0.88539641000000002</v>
      </c>
    </row>
    <row r="488" spans="1:11" ht="15" x14ac:dyDescent="0.25">
      <c r="A488" s="14">
        <v>41285</v>
      </c>
      <c r="B488" s="15">
        <v>665</v>
      </c>
      <c r="C488" s="15">
        <v>665</v>
      </c>
      <c r="D488" s="5" t="s">
        <v>2</v>
      </c>
      <c r="E488" s="5" t="s">
        <v>2</v>
      </c>
      <c r="F488" s="5">
        <v>3.5885929999999999</v>
      </c>
      <c r="G488" s="12">
        <f>VLOOKUP(A488,'[1]all FNCL'!A$2:B$993,2)</f>
        <v>0.88507237465235999</v>
      </c>
      <c r="H488" s="3" t="s">
        <v>500</v>
      </c>
      <c r="I488">
        <v>0.36665858727100598</v>
      </c>
      <c r="J488">
        <f>VLOOKUP(A488,'YB OAS'!B:F,5,0)</f>
        <v>533.34899900000005</v>
      </c>
      <c r="K488" s="40">
        <f>VLOOKUP(A488,'Refi Universe'!E:F,2,0)</f>
        <v>0.88689883999999997</v>
      </c>
    </row>
    <row r="489" spans="1:11" ht="15" x14ac:dyDescent="0.25">
      <c r="A489" s="14">
        <v>41288</v>
      </c>
      <c r="B489" s="15">
        <v>595</v>
      </c>
      <c r="C489" s="15">
        <v>595</v>
      </c>
      <c r="D489" s="5" t="s">
        <v>2</v>
      </c>
      <c r="E489" s="5" t="s">
        <v>2</v>
      </c>
      <c r="F489" s="5">
        <v>3.5807009999999999</v>
      </c>
      <c r="G489" s="12">
        <f>VLOOKUP(A489,'[1]all FNCL'!A$2:B$993,2)</f>
        <v>0.88507237465235999</v>
      </c>
      <c r="H489" s="3" t="s">
        <v>501</v>
      </c>
      <c r="I489">
        <v>0.36665858727100598</v>
      </c>
      <c r="J489">
        <f>VLOOKUP(A489,'YB OAS'!B:F,5,0)</f>
        <v>528.99530000000004</v>
      </c>
      <c r="K489" s="40">
        <f>VLOOKUP(A489,'Refi Universe'!E:F,2,0)</f>
        <v>0.88696178000000003</v>
      </c>
    </row>
    <row r="490" spans="1:11" ht="15" x14ac:dyDescent="0.25">
      <c r="A490" s="14">
        <v>41289</v>
      </c>
      <c r="B490" s="15">
        <v>704</v>
      </c>
      <c r="C490" s="15">
        <v>704</v>
      </c>
      <c r="D490" s="5" t="s">
        <v>2</v>
      </c>
      <c r="E490" s="5" t="s">
        <v>2</v>
      </c>
      <c r="F490" s="5">
        <v>3.5911360000000001</v>
      </c>
      <c r="G490" s="12">
        <f>VLOOKUP(A490,'[1]all FNCL'!A$2:B$993,2)</f>
        <v>0.88507237465235999</v>
      </c>
      <c r="H490" s="3" t="s">
        <v>502</v>
      </c>
      <c r="I490">
        <v>0.38166972699665502</v>
      </c>
      <c r="J490">
        <f>VLOOKUP(A490,'YB OAS'!B:F,5,0)</f>
        <v>546.03057899999999</v>
      </c>
      <c r="K490" s="40">
        <f>VLOOKUP(A490,'Refi Universe'!E:F,2,0)</f>
        <v>0.88589474999999995</v>
      </c>
    </row>
    <row r="491" spans="1:11" ht="15" x14ac:dyDescent="0.25">
      <c r="A491" s="14">
        <v>41290</v>
      </c>
      <c r="B491" s="15">
        <v>699</v>
      </c>
      <c r="C491" s="15">
        <v>699</v>
      </c>
      <c r="D491" s="5" t="s">
        <v>2</v>
      </c>
      <c r="E491" s="5" t="s">
        <v>2</v>
      </c>
      <c r="F491" s="5">
        <v>3.5959180000000002</v>
      </c>
      <c r="G491" s="12">
        <f>VLOOKUP(A491,'[1]all FNCL'!A$2:B$993,2)</f>
        <v>0.88507237465235999</v>
      </c>
      <c r="H491" s="3" t="s">
        <v>503</v>
      </c>
      <c r="I491">
        <v>0.38166972699665502</v>
      </c>
      <c r="J491">
        <f>VLOOKUP(A491,'YB OAS'!B:F,5,0)</f>
        <v>537.03900099999998</v>
      </c>
      <c r="K491" s="40">
        <f>VLOOKUP(A491,'Refi Universe'!E:F,2,0)</f>
        <v>0.88589474999999995</v>
      </c>
    </row>
    <row r="492" spans="1:11" ht="15" x14ac:dyDescent="0.25">
      <c r="A492" s="14">
        <v>41291</v>
      </c>
      <c r="B492" s="15">
        <v>686</v>
      </c>
      <c r="C492" s="15">
        <v>686</v>
      </c>
      <c r="D492" s="5" t="s">
        <v>2</v>
      </c>
      <c r="E492" s="5" t="s">
        <v>2</v>
      </c>
      <c r="F492" s="5">
        <v>3.6203940000000001</v>
      </c>
      <c r="G492" s="12">
        <f>VLOOKUP(A492,'[1]all FNCL'!A$2:B$993,2)</f>
        <v>0.88631407683414698</v>
      </c>
      <c r="H492" s="3" t="s">
        <v>504</v>
      </c>
      <c r="I492">
        <v>0.38166972699665502</v>
      </c>
      <c r="J492">
        <f>VLOOKUP(A492,'YB OAS'!B:F,5,0)</f>
        <v>532.76092500000004</v>
      </c>
      <c r="K492" s="40">
        <f>VLOOKUP(A492,'Refi Universe'!E:F,2,0)</f>
        <v>0.87804391999999998</v>
      </c>
    </row>
    <row r="493" spans="1:11" ht="15" x14ac:dyDescent="0.25">
      <c r="A493" s="14">
        <v>41292</v>
      </c>
      <c r="B493" s="15">
        <v>687</v>
      </c>
      <c r="C493" s="15">
        <v>687</v>
      </c>
      <c r="D493" s="5" t="s">
        <v>2</v>
      </c>
      <c r="E493" s="5" t="s">
        <v>2</v>
      </c>
      <c r="F493" s="5">
        <v>3.6171820000000001</v>
      </c>
      <c r="G493" s="12">
        <f>VLOOKUP(A493,'[1]all FNCL'!A$2:B$993,2)</f>
        <v>0.88631407683414698</v>
      </c>
      <c r="H493" s="3" t="s">
        <v>505</v>
      </c>
      <c r="I493">
        <v>0.38166972699665502</v>
      </c>
      <c r="J493">
        <f>VLOOKUP(A493,'YB OAS'!B:F,5,0)</f>
        <v>523.73211700000002</v>
      </c>
      <c r="K493" s="40">
        <f>VLOOKUP(A493,'Refi Universe'!E:F,2,0)</f>
        <v>0.88249445999999998</v>
      </c>
    </row>
    <row r="494" spans="1:11" ht="15" x14ac:dyDescent="0.25">
      <c r="A494" s="14">
        <v>41296</v>
      </c>
      <c r="B494" s="15">
        <v>719</v>
      </c>
      <c r="C494" s="15">
        <v>719</v>
      </c>
      <c r="D494" s="5" t="s">
        <v>2</v>
      </c>
      <c r="E494" s="5" t="s">
        <v>2</v>
      </c>
      <c r="F494" s="5">
        <v>3.6288079999999998</v>
      </c>
      <c r="G494" s="12">
        <f>VLOOKUP(A494,'[1]all FNCL'!A$2:B$993,2)</f>
        <v>0.88631407683414698</v>
      </c>
      <c r="H494" s="3" t="s">
        <v>506</v>
      </c>
      <c r="I494">
        <v>0.36809292035715802</v>
      </c>
      <c r="J494">
        <f>VLOOKUP(A494,'YB OAS'!B:F,5,0)</f>
        <v>539.84112500000003</v>
      </c>
      <c r="K494" s="40">
        <f>VLOOKUP(A494,'Refi Universe'!E:F,2,0)</f>
        <v>0.88215476000000004</v>
      </c>
    </row>
    <row r="495" spans="1:11" ht="15" x14ac:dyDescent="0.25">
      <c r="A495" s="14">
        <v>41297</v>
      </c>
      <c r="B495" s="15">
        <v>717</v>
      </c>
      <c r="C495" s="15">
        <v>717</v>
      </c>
      <c r="D495" s="5" t="s">
        <v>2</v>
      </c>
      <c r="E495" s="5" t="s">
        <v>2</v>
      </c>
      <c r="F495" s="5">
        <v>3.6235439999999999</v>
      </c>
      <c r="G495" s="12">
        <f>VLOOKUP(A495,'[1]all FNCL'!A$2:B$993,2)</f>
        <v>0.88631407683414698</v>
      </c>
      <c r="H495" s="3" t="s">
        <v>507</v>
      </c>
      <c r="I495">
        <v>0.36809292035715802</v>
      </c>
      <c r="J495">
        <f>VLOOKUP(A495,'YB OAS'!B:F,5,0)</f>
        <v>544.07849099999999</v>
      </c>
      <c r="K495" s="40">
        <f>VLOOKUP(A495,'Refi Universe'!E:F,2,0)</f>
        <v>0.88439003000000005</v>
      </c>
    </row>
    <row r="496" spans="1:11" ht="15" x14ac:dyDescent="0.25">
      <c r="A496" s="14">
        <v>41298</v>
      </c>
      <c r="B496" s="15">
        <v>713</v>
      </c>
      <c r="C496" s="15">
        <v>713</v>
      </c>
      <c r="D496" s="5" t="s">
        <v>2</v>
      </c>
      <c r="E496" s="5" t="s">
        <v>2</v>
      </c>
      <c r="F496" s="5">
        <v>3.633705</v>
      </c>
      <c r="G496" s="12">
        <f>VLOOKUP(A496,'[1]all FNCL'!A$2:B$993,2)</f>
        <v>0.88379536104531298</v>
      </c>
      <c r="H496" s="3" t="s">
        <v>508</v>
      </c>
      <c r="I496">
        <v>0.36809292035715802</v>
      </c>
      <c r="J496">
        <f>VLOOKUP(A496,'YB OAS'!B:F,5,0)</f>
        <v>538.75329599999998</v>
      </c>
      <c r="K496" s="40">
        <f>VLOOKUP(A496,'Refi Universe'!E:F,2,0)</f>
        <v>0.88296931999999995</v>
      </c>
    </row>
    <row r="497" spans="1:11" ht="15" x14ac:dyDescent="0.25">
      <c r="A497" s="14">
        <v>41299</v>
      </c>
      <c r="B497" s="15">
        <v>666</v>
      </c>
      <c r="C497" s="15">
        <v>666</v>
      </c>
      <c r="D497" s="5" t="s">
        <v>2</v>
      </c>
      <c r="E497" s="5" t="s">
        <v>2</v>
      </c>
      <c r="F497" s="5">
        <v>3.6995849999999999</v>
      </c>
      <c r="G497" s="12">
        <f>VLOOKUP(A497,'[1]all FNCL'!A$2:B$993,2)</f>
        <v>0.88379536104531298</v>
      </c>
      <c r="H497" s="3" t="s">
        <v>509</v>
      </c>
      <c r="I497">
        <v>0.36809292035715802</v>
      </c>
      <c r="J497">
        <f>VLOOKUP(A497,'YB OAS'!B:F,5,0)</f>
        <v>491.72479199999998</v>
      </c>
      <c r="K497" s="40">
        <f>VLOOKUP(A497,'Refi Universe'!E:F,2,0)</f>
        <v>0.80504880000000001</v>
      </c>
    </row>
    <row r="498" spans="1:11" ht="15" x14ac:dyDescent="0.25">
      <c r="A498" s="14">
        <v>41302</v>
      </c>
      <c r="B498" s="15">
        <v>661</v>
      </c>
      <c r="C498" s="15">
        <v>661</v>
      </c>
      <c r="D498" s="5" t="s">
        <v>2</v>
      </c>
      <c r="E498" s="5" t="s">
        <v>2</v>
      </c>
      <c r="F498" s="5">
        <v>3.7182580000000001</v>
      </c>
      <c r="G498" s="12">
        <f>VLOOKUP(A498,'[1]all FNCL'!A$2:B$993,2)</f>
        <v>0.88379536104531298</v>
      </c>
      <c r="H498" s="3" t="s">
        <v>510</v>
      </c>
      <c r="I498">
        <v>0.36809292035715802</v>
      </c>
      <c r="J498">
        <f>VLOOKUP(A498,'YB OAS'!B:F,5,0)</f>
        <v>488.58358800000002</v>
      </c>
      <c r="K498" s="40">
        <f>VLOOKUP(A498,'Refi Universe'!E:F,2,0)</f>
        <v>0.76767467</v>
      </c>
    </row>
    <row r="499" spans="1:11" ht="15" x14ac:dyDescent="0.25">
      <c r="A499" s="14">
        <v>41303</v>
      </c>
      <c r="B499" s="15">
        <v>663</v>
      </c>
      <c r="C499" s="15">
        <v>663</v>
      </c>
      <c r="D499" s="5" t="s">
        <v>2</v>
      </c>
      <c r="E499" s="5" t="s">
        <v>2</v>
      </c>
      <c r="F499" s="5">
        <v>3.7236560000000001</v>
      </c>
      <c r="G499" s="12">
        <f>VLOOKUP(A499,'[1]all FNCL'!A$2:B$993,2)</f>
        <v>0.88379536104531298</v>
      </c>
      <c r="H499" s="3" t="s">
        <v>511</v>
      </c>
      <c r="I499">
        <v>0.37329753351950501</v>
      </c>
      <c r="J499">
        <f>VLOOKUP(A499,'YB OAS'!B:F,5,0)</f>
        <v>490.69641100000001</v>
      </c>
      <c r="K499" s="40">
        <f>VLOOKUP(A499,'Refi Universe'!E:F,2,0)</f>
        <v>0.75705208999999996</v>
      </c>
    </row>
    <row r="500" spans="1:11" ht="15" x14ac:dyDescent="0.25">
      <c r="A500" s="14">
        <v>41304</v>
      </c>
      <c r="B500" s="15">
        <v>643</v>
      </c>
      <c r="C500" s="15">
        <v>643</v>
      </c>
      <c r="D500" s="5" t="s">
        <v>2</v>
      </c>
      <c r="E500" s="5" t="s">
        <v>2</v>
      </c>
      <c r="F500" s="5">
        <v>3.733206</v>
      </c>
      <c r="G500" s="12">
        <f>VLOOKUP(A500,'[1]all FNCL'!A$2:B$993,2)</f>
        <v>0.88379536104531298</v>
      </c>
      <c r="H500" s="3" t="s">
        <v>512</v>
      </c>
      <c r="I500">
        <v>0.37329753351950501</v>
      </c>
      <c r="J500">
        <f>VLOOKUP(A500,'YB OAS'!B:F,5,0)</f>
        <v>476.41549700000002</v>
      </c>
      <c r="K500" s="40">
        <f>VLOOKUP(A500,'Refi Universe'!E:F,2,0)</f>
        <v>0.77275377999999995</v>
      </c>
    </row>
    <row r="501" spans="1:11" ht="15" x14ac:dyDescent="0.25">
      <c r="A501" s="14">
        <v>41305</v>
      </c>
      <c r="B501" s="15">
        <v>663</v>
      </c>
      <c r="C501" s="15">
        <v>663</v>
      </c>
      <c r="D501" s="5" t="s">
        <v>2</v>
      </c>
      <c r="E501" s="5" t="s">
        <v>2</v>
      </c>
      <c r="F501" s="5">
        <v>3.7355179999999999</v>
      </c>
      <c r="G501" s="12">
        <f>VLOOKUP(A501,'[1]all FNCL'!A$2:B$993,2)</f>
        <v>0.84748759806752005</v>
      </c>
      <c r="H501" s="3" t="s">
        <v>513</v>
      </c>
      <c r="I501">
        <v>0.37329753351950501</v>
      </c>
      <c r="J501">
        <f>VLOOKUP(A501,'YB OAS'!B:F,5,0)</f>
        <v>487.00070199999999</v>
      </c>
      <c r="K501" s="40">
        <f>VLOOKUP(A501,'Refi Universe'!E:F,2,0)</f>
        <v>0.77474962999999997</v>
      </c>
    </row>
    <row r="502" spans="1:11" ht="15" x14ac:dyDescent="0.25">
      <c r="A502" s="14">
        <v>41306</v>
      </c>
      <c r="B502" s="15">
        <v>656</v>
      </c>
      <c r="C502" s="15">
        <v>656</v>
      </c>
      <c r="D502" s="5" t="s">
        <v>2</v>
      </c>
      <c r="E502" s="5" t="s">
        <v>2</v>
      </c>
      <c r="F502" s="5">
        <v>3.734969</v>
      </c>
      <c r="G502" s="12">
        <f>VLOOKUP(A502,'[1]all FNCL'!A$2:B$993,2)</f>
        <v>0.82271172400250803</v>
      </c>
      <c r="H502" s="3" t="s">
        <v>514</v>
      </c>
      <c r="I502">
        <v>0.37329753351950501</v>
      </c>
      <c r="J502">
        <f>VLOOKUP(A502,'YB OAS'!B:F,5,0)</f>
        <v>486.68618800000002</v>
      </c>
      <c r="K502" s="40">
        <f>VLOOKUP(A502,'Refi Universe'!E:F,2,0)</f>
        <v>0.74042772999999995</v>
      </c>
    </row>
    <row r="503" spans="1:11" ht="15" x14ac:dyDescent="0.25">
      <c r="A503" s="14">
        <v>41309</v>
      </c>
      <c r="B503" s="15">
        <v>645</v>
      </c>
      <c r="C503" s="15">
        <v>645</v>
      </c>
      <c r="D503" s="5" t="s">
        <v>2</v>
      </c>
      <c r="E503" s="5" t="s">
        <v>2</v>
      </c>
      <c r="F503" s="5">
        <v>3.72092</v>
      </c>
      <c r="G503" s="12">
        <f>VLOOKUP(A503,'[1]all FNCL'!A$2:B$993,2)</f>
        <v>0.82271172400250803</v>
      </c>
      <c r="H503" s="3" t="s">
        <v>515</v>
      </c>
      <c r="I503">
        <v>0.37329753351950501</v>
      </c>
      <c r="J503">
        <f>VLOOKUP(A503,'YB OAS'!B:F,5,0)</f>
        <v>470.776703</v>
      </c>
      <c r="K503" s="40">
        <f>VLOOKUP(A503,'Refi Universe'!E:F,2,0)</f>
        <v>0.77338823999999995</v>
      </c>
    </row>
    <row r="504" spans="1:11" ht="15" x14ac:dyDescent="0.25">
      <c r="A504" s="14">
        <v>41310</v>
      </c>
      <c r="B504" s="15">
        <v>622</v>
      </c>
      <c r="C504" s="15">
        <v>622</v>
      </c>
      <c r="D504" s="5" t="s">
        <v>2</v>
      </c>
      <c r="E504" s="5" t="s">
        <v>2</v>
      </c>
      <c r="F504" s="5">
        <v>3.7497929999999999</v>
      </c>
      <c r="G504" s="12">
        <f>VLOOKUP(A504,'[1]all FNCL'!A$2:B$993,2)</f>
        <v>0.82271172400250803</v>
      </c>
      <c r="H504" s="3" t="s">
        <v>516</v>
      </c>
      <c r="I504">
        <v>0.40121753760358098</v>
      </c>
      <c r="J504">
        <f>VLOOKUP(A504,'YB OAS'!B:F,5,0)</f>
        <v>446.41970800000001</v>
      </c>
      <c r="K504" s="40">
        <f>VLOOKUP(A504,'Refi Universe'!E:F,2,0)</f>
        <v>0.73569048000000004</v>
      </c>
    </row>
    <row r="505" spans="1:11" ht="15" x14ac:dyDescent="0.25">
      <c r="A505" s="14">
        <v>41311</v>
      </c>
      <c r="B505" s="15">
        <v>623</v>
      </c>
      <c r="C505" s="15">
        <v>623</v>
      </c>
      <c r="D505" s="5" t="s">
        <v>2</v>
      </c>
      <c r="E505" s="5" t="s">
        <v>2</v>
      </c>
      <c r="F505" s="5">
        <v>3.7293219999999998</v>
      </c>
      <c r="G505" s="12">
        <f>VLOOKUP(A505,'[1]all FNCL'!A$2:B$993,2)</f>
        <v>0.82271172400250803</v>
      </c>
      <c r="H505" s="3" t="s">
        <v>517</v>
      </c>
      <c r="I505">
        <v>0.40121753760358098</v>
      </c>
      <c r="J505">
        <f>VLOOKUP(A505,'YB OAS'!B:F,5,0)</f>
        <v>448.96319599999998</v>
      </c>
      <c r="K505" s="40">
        <f>VLOOKUP(A505,'Refi Universe'!E:F,2,0)</f>
        <v>0.81304865000000004</v>
      </c>
    </row>
    <row r="506" spans="1:11" ht="15" x14ac:dyDescent="0.25">
      <c r="A506" s="14">
        <v>41312</v>
      </c>
      <c r="B506" s="15">
        <v>606</v>
      </c>
      <c r="C506" s="15">
        <v>606</v>
      </c>
      <c r="D506" s="5" t="s">
        <v>2</v>
      </c>
      <c r="E506" s="5" t="s">
        <v>2</v>
      </c>
      <c r="F506" s="5">
        <v>3.724774</v>
      </c>
      <c r="G506" s="12">
        <f>VLOOKUP(A506,'[1]all FNCL'!A$2:B$993,2)</f>
        <v>0.82271172400250803</v>
      </c>
      <c r="H506" s="3" t="s">
        <v>518</v>
      </c>
      <c r="I506">
        <v>0.40121753760358098</v>
      </c>
      <c r="J506">
        <f>VLOOKUP(A506,'YB OAS'!B:F,5,0)</f>
        <v>450.426514</v>
      </c>
      <c r="K506" s="40">
        <f>VLOOKUP(A506,'Refi Universe'!E:F,2,0)</f>
        <v>0.82222097000000005</v>
      </c>
    </row>
    <row r="507" spans="1:11" ht="15" x14ac:dyDescent="0.25">
      <c r="A507" s="14">
        <v>41313</v>
      </c>
      <c r="B507" s="15">
        <v>546</v>
      </c>
      <c r="C507" s="15">
        <v>546</v>
      </c>
      <c r="D507" s="5" t="s">
        <v>2</v>
      </c>
      <c r="E507" s="5" t="s">
        <v>2</v>
      </c>
      <c r="F507" s="5">
        <v>3.7215220000000002</v>
      </c>
      <c r="G507" s="12">
        <f>VLOOKUP(A507,'[1]all FNCL'!A$2:B$993,2)</f>
        <v>0.82271172400250803</v>
      </c>
      <c r="H507" s="3" t="s">
        <v>519</v>
      </c>
      <c r="I507">
        <v>0.40121753760358098</v>
      </c>
      <c r="J507">
        <f>VLOOKUP(A507,'YB OAS'!B:F,5,0)</f>
        <v>451.46679699999999</v>
      </c>
      <c r="K507" s="40">
        <f>VLOOKUP(A507,'Refi Universe'!E:F,2,0)</f>
        <v>0.79899058000000001</v>
      </c>
    </row>
    <row r="508" spans="1:11" ht="15" x14ac:dyDescent="0.25">
      <c r="A508" s="14">
        <v>41316</v>
      </c>
      <c r="B508" s="15">
        <v>607</v>
      </c>
      <c r="C508" s="15">
        <v>607</v>
      </c>
      <c r="D508" s="5">
        <v>307</v>
      </c>
      <c r="E508" s="5">
        <v>235</v>
      </c>
      <c r="F508" s="5">
        <v>3.7114240000000001</v>
      </c>
      <c r="G508" s="12">
        <f>VLOOKUP(A508,'[1]all FNCL'!A$2:B$993,2)</f>
        <v>0.82271172400250803</v>
      </c>
      <c r="H508" s="3" t="s">
        <v>520</v>
      </c>
      <c r="I508">
        <v>0.40121753760358098</v>
      </c>
      <c r="J508">
        <f>VLOOKUP(A508,'YB OAS'!B:F,5,0)</f>
        <v>478.33621199999999</v>
      </c>
      <c r="K508" s="40">
        <f>VLOOKUP(A508,'Refi Universe'!E:F,2,0)</f>
        <v>0.80855876999999998</v>
      </c>
    </row>
    <row r="509" spans="1:11" ht="15" x14ac:dyDescent="0.25">
      <c r="A509" s="14">
        <v>41317</v>
      </c>
      <c r="B509" s="15">
        <v>562</v>
      </c>
      <c r="C509" s="15">
        <v>562</v>
      </c>
      <c r="D509" s="5">
        <v>302</v>
      </c>
      <c r="E509" s="5">
        <v>171</v>
      </c>
      <c r="F509" s="5">
        <v>3.7370019999999999</v>
      </c>
      <c r="G509" s="12">
        <f>VLOOKUP(A509,'[1]all FNCL'!A$2:B$993,2)</f>
        <v>0.82271172400250803</v>
      </c>
      <c r="H509" s="3" t="s">
        <v>521</v>
      </c>
      <c r="I509">
        <v>0.40418715867892502</v>
      </c>
      <c r="J509">
        <f>VLOOKUP(A509,'YB OAS'!B:F,5,0)</f>
        <v>477.54089399999998</v>
      </c>
      <c r="K509" s="40">
        <f>VLOOKUP(A509,'Refi Universe'!E:F,2,0)</f>
        <v>0.75767121000000004</v>
      </c>
    </row>
    <row r="510" spans="1:11" ht="15" x14ac:dyDescent="0.25">
      <c r="A510" s="14">
        <v>41318</v>
      </c>
      <c r="B510" s="15">
        <v>569</v>
      </c>
      <c r="C510" s="15">
        <v>569</v>
      </c>
      <c r="D510" s="5">
        <v>296</v>
      </c>
      <c r="E510" s="5">
        <v>175</v>
      </c>
      <c r="F510" s="5">
        <v>3.765228</v>
      </c>
      <c r="G510" s="12">
        <f>VLOOKUP(A510,'[1]all FNCL'!A$2:B$993,2)</f>
        <v>0.82271172400250803</v>
      </c>
      <c r="H510" s="3" t="s">
        <v>522</v>
      </c>
      <c r="I510">
        <v>0.40418715867892502</v>
      </c>
      <c r="J510">
        <f>VLOOKUP(A510,'YB OAS'!B:F,5,0)</f>
        <v>476.40798999999998</v>
      </c>
      <c r="K510" s="40">
        <f>VLOOKUP(A510,'Refi Universe'!E:F,2,0)</f>
        <v>0.73648318000000002</v>
      </c>
    </row>
    <row r="511" spans="1:11" ht="15" x14ac:dyDescent="0.25">
      <c r="A511" s="14">
        <v>41319</v>
      </c>
      <c r="B511" s="15">
        <v>567</v>
      </c>
      <c r="C511" s="15">
        <v>567</v>
      </c>
      <c r="D511" s="5">
        <v>302</v>
      </c>
      <c r="E511" s="5">
        <v>176</v>
      </c>
      <c r="F511" s="5">
        <v>3.7383660000000001</v>
      </c>
      <c r="G511" s="12">
        <f>VLOOKUP(A511,'[1]all FNCL'!A$2:B$993,2)</f>
        <v>0.82271172400250803</v>
      </c>
      <c r="H511" s="3" t="s">
        <v>523</v>
      </c>
      <c r="I511">
        <v>0.40418715867892502</v>
      </c>
      <c r="J511">
        <f>VLOOKUP(A511,'YB OAS'!B:F,5,0)</f>
        <v>479.40008499999999</v>
      </c>
      <c r="K511" s="40">
        <f>VLOOKUP(A511,'Refi Universe'!E:F,2,0)</f>
        <v>0.77547370000000004</v>
      </c>
    </row>
    <row r="512" spans="1:11" ht="15" x14ac:dyDescent="0.25">
      <c r="A512" s="14">
        <v>41320</v>
      </c>
      <c r="B512" s="15">
        <v>582</v>
      </c>
      <c r="C512" s="15">
        <v>582</v>
      </c>
      <c r="D512" s="5">
        <v>319</v>
      </c>
      <c r="E512" s="5">
        <v>177</v>
      </c>
      <c r="F512" s="5">
        <v>3.7448959999999998</v>
      </c>
      <c r="G512" s="12">
        <f>VLOOKUP(A512,'[1]all FNCL'!A$2:B$993,2)</f>
        <v>0.82271172400250803</v>
      </c>
      <c r="H512" s="3" t="s">
        <v>524</v>
      </c>
      <c r="I512">
        <v>0.40418715867892502</v>
      </c>
      <c r="J512">
        <f>VLOOKUP(A512,'YB OAS'!B:F,5,0)</f>
        <v>490.98278800000003</v>
      </c>
      <c r="K512" s="40">
        <f>VLOOKUP(A512,'Refi Universe'!E:F,2,0)</f>
        <v>0.75767121000000004</v>
      </c>
    </row>
    <row r="513" spans="1:11" ht="15" x14ac:dyDescent="0.25">
      <c r="A513" s="14">
        <v>41324</v>
      </c>
      <c r="B513" s="15">
        <v>623</v>
      </c>
      <c r="C513" s="15">
        <v>623</v>
      </c>
      <c r="D513" s="5">
        <v>313</v>
      </c>
      <c r="E513" s="5">
        <v>187</v>
      </c>
      <c r="F513" s="5">
        <v>3.7579989999999999</v>
      </c>
      <c r="G513" s="12">
        <f>VLOOKUP(A513,'[1]all FNCL'!A$2:B$993,2)</f>
        <v>0.82271172400250803</v>
      </c>
      <c r="H513" s="3" t="s">
        <v>525</v>
      </c>
      <c r="I513">
        <v>0.40418715867892502</v>
      </c>
      <c r="J513">
        <f>VLOOKUP(A513,'YB OAS'!B:F,5,0)</f>
        <v>523.18981900000006</v>
      </c>
      <c r="K513" s="40">
        <f>VLOOKUP(A513,'Refi Universe'!E:F,2,0)</f>
        <v>0.74506516</v>
      </c>
    </row>
    <row r="514" spans="1:11" ht="15" x14ac:dyDescent="0.25">
      <c r="A514" s="14">
        <v>41325</v>
      </c>
      <c r="B514" s="15">
        <v>620</v>
      </c>
      <c r="C514" s="15">
        <v>620</v>
      </c>
      <c r="D514" s="5">
        <v>315</v>
      </c>
      <c r="E514" s="5">
        <v>192</v>
      </c>
      <c r="F514" s="5">
        <v>3.7600950000000002</v>
      </c>
      <c r="G514" s="12">
        <f>VLOOKUP(A514,'[1]all FNCL'!A$2:B$993,2)</f>
        <v>0.82271172400250803</v>
      </c>
      <c r="H514" s="3" t="s">
        <v>526</v>
      </c>
      <c r="I514">
        <v>0.43156044404796001</v>
      </c>
      <c r="J514">
        <f>VLOOKUP(A514,'YB OAS'!B:F,5,0)</f>
        <v>523.54882799999996</v>
      </c>
      <c r="K514" s="40">
        <f>VLOOKUP(A514,'Refi Universe'!E:F,2,0)</f>
        <v>0.74910363000000002</v>
      </c>
    </row>
    <row r="515" spans="1:11" ht="15" x14ac:dyDescent="0.25">
      <c r="A515" s="14">
        <v>41326</v>
      </c>
      <c r="B515" s="15">
        <v>622</v>
      </c>
      <c r="C515" s="15">
        <v>622</v>
      </c>
      <c r="D515" s="5">
        <v>317</v>
      </c>
      <c r="E515" s="5">
        <v>190</v>
      </c>
      <c r="F515" s="5">
        <v>3.7462399999999998</v>
      </c>
      <c r="G515" s="12">
        <f>VLOOKUP(A515,'[1]all FNCL'!A$2:B$993,2)</f>
        <v>0.79171461670661003</v>
      </c>
      <c r="H515" s="3" t="s">
        <v>527</v>
      </c>
      <c r="I515">
        <v>0.43156044404796001</v>
      </c>
      <c r="J515">
        <f>VLOOKUP(A515,'YB OAS'!B:F,5,0)</f>
        <v>540.18280000000004</v>
      </c>
      <c r="K515" s="40">
        <f>VLOOKUP(A515,'Refi Universe'!E:F,2,0)</f>
        <v>0.75956073000000002</v>
      </c>
    </row>
    <row r="516" spans="1:11" ht="15" x14ac:dyDescent="0.25">
      <c r="A516" s="14">
        <v>41327</v>
      </c>
      <c r="B516" s="15">
        <v>624</v>
      </c>
      <c r="C516" s="15">
        <v>624</v>
      </c>
      <c r="D516" s="5">
        <v>321</v>
      </c>
      <c r="E516" s="5">
        <v>169</v>
      </c>
      <c r="F516" s="5">
        <v>3.749736</v>
      </c>
      <c r="G516" s="12">
        <f>VLOOKUP(A516,'[1]all FNCL'!A$2:B$993,2)</f>
        <v>0.79171461670661003</v>
      </c>
      <c r="H516" s="3" t="s">
        <v>528</v>
      </c>
      <c r="I516">
        <v>0.43156044404796001</v>
      </c>
      <c r="J516">
        <f>VLOOKUP(A516,'YB OAS'!B:F,5,0)</f>
        <v>530.26147500000002</v>
      </c>
      <c r="K516" s="40">
        <f>VLOOKUP(A516,'Refi Universe'!E:F,2,0)</f>
        <v>0.76181047000000002</v>
      </c>
    </row>
    <row r="517" spans="1:11" ht="15" x14ac:dyDescent="0.25">
      <c r="A517" s="14">
        <v>41330</v>
      </c>
      <c r="B517" s="15">
        <v>636</v>
      </c>
      <c r="C517" s="15">
        <v>636</v>
      </c>
      <c r="D517" s="5">
        <v>321</v>
      </c>
      <c r="E517" s="5">
        <v>151</v>
      </c>
      <c r="F517" s="5">
        <v>3.7135729999999998</v>
      </c>
      <c r="G517" s="12">
        <f>VLOOKUP(A517,'[1]all FNCL'!A$2:B$993,2)</f>
        <v>0.79171461670661003</v>
      </c>
      <c r="H517" s="3" t="s">
        <v>529</v>
      </c>
      <c r="I517">
        <v>0.43156044404796001</v>
      </c>
      <c r="J517">
        <f>VLOOKUP(A517,'YB OAS'!B:F,5,0)</f>
        <v>544.89648399999999</v>
      </c>
      <c r="K517" s="40">
        <f>VLOOKUP(A517,'Refi Universe'!E:F,2,0)</f>
        <v>0.83204617000000003</v>
      </c>
    </row>
    <row r="518" spans="1:11" ht="15" x14ac:dyDescent="0.25">
      <c r="A518" s="14">
        <v>41331</v>
      </c>
      <c r="B518" s="15">
        <v>649</v>
      </c>
      <c r="C518" s="15">
        <v>649</v>
      </c>
      <c r="D518" s="5">
        <v>324</v>
      </c>
      <c r="E518" s="5">
        <v>159</v>
      </c>
      <c r="F518" s="5">
        <v>3.701635</v>
      </c>
      <c r="G518" s="12">
        <f>VLOOKUP(A518,'[1]all FNCL'!A$2:B$993,2)</f>
        <v>0.79171461670661003</v>
      </c>
      <c r="H518" s="3" t="s">
        <v>530</v>
      </c>
      <c r="I518">
        <v>0.44289145430937299</v>
      </c>
      <c r="J518">
        <f>VLOOKUP(A518,'YB OAS'!B:F,5,0)</f>
        <v>548.72937000000002</v>
      </c>
      <c r="K518" s="40">
        <f>VLOOKUP(A518,'Refi Universe'!E:F,2,0)</f>
        <v>0.84215019999999996</v>
      </c>
    </row>
    <row r="519" spans="1:11" ht="15" x14ac:dyDescent="0.25">
      <c r="A519" s="14">
        <v>41332</v>
      </c>
      <c r="B519" s="15">
        <v>642</v>
      </c>
      <c r="C519" s="15">
        <v>642</v>
      </c>
      <c r="D519" s="5">
        <v>320</v>
      </c>
      <c r="E519" s="5">
        <v>164</v>
      </c>
      <c r="F519" s="5">
        <v>3.717285</v>
      </c>
      <c r="G519" s="12">
        <f>VLOOKUP(A519,'[1]all FNCL'!A$2:B$993,2)</f>
        <v>0.79171461670661003</v>
      </c>
      <c r="H519" s="3" t="s">
        <v>531</v>
      </c>
      <c r="I519">
        <v>0.44289145430937299</v>
      </c>
      <c r="J519">
        <f>VLOOKUP(A519,'YB OAS'!B:F,5,0)</f>
        <v>548.00591999999995</v>
      </c>
      <c r="K519" s="40">
        <f>VLOOKUP(A519,'Refi Universe'!E:F,2,0)</f>
        <v>0.82756768000000003</v>
      </c>
    </row>
    <row r="520" spans="1:11" ht="15" x14ac:dyDescent="0.25">
      <c r="A520" s="14">
        <v>41333</v>
      </c>
      <c r="B520" s="15">
        <v>614</v>
      </c>
      <c r="C520" s="15">
        <v>614</v>
      </c>
      <c r="D520" s="5">
        <v>299</v>
      </c>
      <c r="E520" s="5">
        <v>157</v>
      </c>
      <c r="F520" s="5">
        <v>3.7038720000000001</v>
      </c>
      <c r="G520" s="12">
        <f>VLOOKUP(A520,'[1]all FNCL'!A$2:B$993,2)</f>
        <v>0.83664177858148003</v>
      </c>
      <c r="H520" s="3" t="s">
        <v>532</v>
      </c>
      <c r="I520">
        <v>0.44150761506791297</v>
      </c>
      <c r="J520">
        <f>VLOOKUP(A520,'YB OAS'!B:F,5,0)</f>
        <v>517.53558299999997</v>
      </c>
      <c r="K520" s="40">
        <f>VLOOKUP(A520,'Refi Universe'!E:F,2,0)</f>
        <v>0.84309752999999998</v>
      </c>
    </row>
    <row r="521" spans="1:11" ht="15" x14ac:dyDescent="0.25">
      <c r="A521" s="14">
        <v>41334</v>
      </c>
      <c r="B521" s="15">
        <v>619</v>
      </c>
      <c r="C521" s="15">
        <v>619</v>
      </c>
      <c r="D521" s="5">
        <v>314</v>
      </c>
      <c r="E521" s="5">
        <v>152</v>
      </c>
      <c r="F521" s="5">
        <v>3.6902650000000001</v>
      </c>
      <c r="G521" s="12">
        <f>VLOOKUP(A521,'[1]all FNCL'!A$2:B$993,2)</f>
        <v>0.81851206223084805</v>
      </c>
      <c r="H521" s="3" t="s">
        <v>533</v>
      </c>
      <c r="I521">
        <v>0.44150761506791297</v>
      </c>
      <c r="J521">
        <f>VLOOKUP(A521,'YB OAS'!B:F,5,0)</f>
        <v>500.531586</v>
      </c>
      <c r="K521" s="40">
        <f>VLOOKUP(A521,'Refi Universe'!E:F,2,0)</f>
        <v>0.83067533000000005</v>
      </c>
    </row>
    <row r="522" spans="1:11" ht="15" x14ac:dyDescent="0.25">
      <c r="A522" s="14">
        <v>41337</v>
      </c>
      <c r="B522" s="15">
        <v>621</v>
      </c>
      <c r="C522" s="15">
        <v>621</v>
      </c>
      <c r="D522" s="5">
        <v>327</v>
      </c>
      <c r="E522" s="5">
        <v>164</v>
      </c>
      <c r="F522" s="5">
        <v>3.6998989999999998</v>
      </c>
      <c r="G522" s="12">
        <f>VLOOKUP(A522,'[1]all FNCL'!A$2:B$993,2)</f>
        <v>0.81851206223084805</v>
      </c>
      <c r="H522" s="3" t="s">
        <v>534</v>
      </c>
      <c r="I522">
        <v>0.44150761506791297</v>
      </c>
      <c r="J522">
        <f>VLOOKUP(A522,'YB OAS'!B:F,5,0)</f>
        <v>504.18170199999997</v>
      </c>
      <c r="K522" s="40">
        <f>VLOOKUP(A522,'Refi Universe'!E:F,2,0)</f>
        <v>0.82448531000000003</v>
      </c>
    </row>
    <row r="523" spans="1:11" ht="15" x14ac:dyDescent="0.25">
      <c r="A523" s="14">
        <v>41338</v>
      </c>
      <c r="B523" s="15">
        <v>576</v>
      </c>
      <c r="C523" s="15">
        <v>576</v>
      </c>
      <c r="D523" s="5">
        <v>292</v>
      </c>
      <c r="E523" s="5">
        <v>140</v>
      </c>
      <c r="F523" s="5">
        <v>3.7090839999999998</v>
      </c>
      <c r="G523" s="12">
        <f>VLOOKUP(A523,'[1]all FNCL'!A$2:B$993,2)</f>
        <v>0.81851206223084805</v>
      </c>
      <c r="H523" s="3" t="s">
        <v>535</v>
      </c>
      <c r="I523">
        <v>0.429907169996321</v>
      </c>
      <c r="J523">
        <f>VLOOKUP(A523,'YB OAS'!B:F,5,0)</f>
        <v>470.27270499999997</v>
      </c>
      <c r="K523" s="40">
        <f>VLOOKUP(A523,'Refi Universe'!E:F,2,0)</f>
        <v>0.81743252</v>
      </c>
    </row>
    <row r="524" spans="1:11" ht="15" x14ac:dyDescent="0.25">
      <c r="A524" s="14">
        <v>41339</v>
      </c>
      <c r="B524" s="15">
        <v>585</v>
      </c>
      <c r="C524" s="15">
        <v>585</v>
      </c>
      <c r="D524" s="5">
        <v>304</v>
      </c>
      <c r="E524" s="5">
        <v>157</v>
      </c>
      <c r="F524" s="5">
        <v>3.7366389999999998</v>
      </c>
      <c r="G524" s="12">
        <f>VLOOKUP(A524,'[1]all FNCL'!A$2:B$993,2)</f>
        <v>0.81851206223084805</v>
      </c>
      <c r="H524" s="3" t="s">
        <v>536</v>
      </c>
      <c r="I524">
        <v>0.429907169996321</v>
      </c>
      <c r="J524">
        <f>VLOOKUP(A524,'YB OAS'!B:F,5,0)</f>
        <v>474.43780500000003</v>
      </c>
      <c r="K524" s="40">
        <f>VLOOKUP(A524,'Refi Universe'!E:F,2,0)</f>
        <v>0.75669235000000001</v>
      </c>
    </row>
    <row r="525" spans="1:11" ht="15" x14ac:dyDescent="0.25">
      <c r="A525" s="14">
        <v>41340</v>
      </c>
      <c r="B525" s="15">
        <v>567</v>
      </c>
      <c r="C525" s="15">
        <v>567</v>
      </c>
      <c r="D525" s="5">
        <v>281</v>
      </c>
      <c r="E525" s="5">
        <v>149</v>
      </c>
      <c r="F525" s="5">
        <v>3.7730139999999999</v>
      </c>
      <c r="G525" s="12">
        <f>VLOOKUP(A525,'[1]all FNCL'!A$2:B$993,2)</f>
        <v>0.81207127811354496</v>
      </c>
      <c r="H525" s="3" t="s">
        <v>537</v>
      </c>
      <c r="I525">
        <v>0.429907169996321</v>
      </c>
      <c r="J525">
        <f>VLOOKUP(A525,'YB OAS'!B:F,5,0)</f>
        <v>469.47000100000002</v>
      </c>
      <c r="K525" s="40">
        <f>VLOOKUP(A525,'Refi Universe'!E:F,2,0)</f>
        <v>0.71013143999999995</v>
      </c>
    </row>
    <row r="526" spans="1:11" ht="15" x14ac:dyDescent="0.25">
      <c r="A526" s="14">
        <v>41341</v>
      </c>
      <c r="B526" s="15">
        <v>533</v>
      </c>
      <c r="C526" s="15">
        <v>533</v>
      </c>
      <c r="D526" s="5">
        <v>255</v>
      </c>
      <c r="E526" s="5">
        <v>140</v>
      </c>
      <c r="F526" s="5">
        <v>3.818473</v>
      </c>
      <c r="G526" s="12">
        <f>VLOOKUP(A526,'[1]all FNCL'!A$2:B$993,2)</f>
        <v>0.81207127811354496</v>
      </c>
      <c r="H526" s="3" t="s">
        <v>538</v>
      </c>
      <c r="I526">
        <v>0.429907169996321</v>
      </c>
      <c r="J526">
        <f>VLOOKUP(A526,'YB OAS'!B:F,5,0)</f>
        <v>442.77890000000002</v>
      </c>
      <c r="K526" s="40">
        <f>VLOOKUP(A526,'Refi Universe'!E:F,2,0)</f>
        <v>0.68844536999999995</v>
      </c>
    </row>
    <row r="527" spans="1:11" ht="15" x14ac:dyDescent="0.25">
      <c r="A527" s="14">
        <v>41344</v>
      </c>
      <c r="B527" s="15">
        <v>535</v>
      </c>
      <c r="C527" s="15">
        <v>535</v>
      </c>
      <c r="D527" s="5">
        <v>259</v>
      </c>
      <c r="E527" s="5">
        <v>142</v>
      </c>
      <c r="F527" s="5">
        <v>3.8116509999999999</v>
      </c>
      <c r="G527" s="12">
        <f>VLOOKUP(A527,'[1]all FNCL'!A$2:B$993,2)</f>
        <v>0.81207127811354496</v>
      </c>
      <c r="H527" s="3" t="s">
        <v>539</v>
      </c>
      <c r="I527">
        <v>0.429907169996321</v>
      </c>
      <c r="J527">
        <f>VLOOKUP(A527,'YB OAS'!B:F,5,0)</f>
        <v>447.121399</v>
      </c>
      <c r="K527" s="40">
        <f>VLOOKUP(A527,'Refi Universe'!E:F,2,0)</f>
        <v>0.69041534999999998</v>
      </c>
    </row>
    <row r="528" spans="1:11" ht="15" x14ac:dyDescent="0.25">
      <c r="A528" s="14">
        <v>41345</v>
      </c>
      <c r="B528" s="15">
        <v>537</v>
      </c>
      <c r="C528" s="15">
        <v>537</v>
      </c>
      <c r="D528" s="5">
        <v>255</v>
      </c>
      <c r="E528" s="5">
        <v>132</v>
      </c>
      <c r="F528" s="5">
        <v>3.7911419999999998</v>
      </c>
      <c r="G528" s="12">
        <f>VLOOKUP(A528,'[1]all FNCL'!A$2:B$993,2)</f>
        <v>0.81207127811354496</v>
      </c>
      <c r="H528" s="3" t="s">
        <v>540</v>
      </c>
      <c r="I528">
        <v>0.40128471016646999</v>
      </c>
      <c r="J528">
        <f>VLOOKUP(A528,'YB OAS'!B:F,5,0)</f>
        <v>451.67028800000003</v>
      </c>
      <c r="K528" s="40">
        <f>VLOOKUP(A528,'Refi Universe'!E:F,2,0)</f>
        <v>0.69888139000000005</v>
      </c>
    </row>
    <row r="529" spans="1:11" ht="15" x14ac:dyDescent="0.25">
      <c r="A529" s="14">
        <v>41346</v>
      </c>
      <c r="B529" s="15">
        <v>535</v>
      </c>
      <c r="C529" s="15">
        <v>535</v>
      </c>
      <c r="D529" s="5">
        <v>242</v>
      </c>
      <c r="E529" s="5">
        <v>121</v>
      </c>
      <c r="F529" s="5">
        <v>3.7874829999999999</v>
      </c>
      <c r="G529" s="12">
        <f>VLOOKUP(A529,'[1]all FNCL'!A$2:B$993,2)</f>
        <v>0.81207127811354496</v>
      </c>
      <c r="H529" s="3" t="s">
        <v>541</v>
      </c>
      <c r="I529">
        <v>0.40128471016646999</v>
      </c>
      <c r="J529">
        <f>VLOOKUP(A529,'YB OAS'!B:F,5,0)</f>
        <v>444.16000400000001</v>
      </c>
      <c r="K529" s="40">
        <f>VLOOKUP(A529,'Refi Universe'!E:F,2,0)</f>
        <v>0.70688881999999997</v>
      </c>
    </row>
    <row r="530" spans="1:11" ht="15" x14ac:dyDescent="0.25">
      <c r="A530" s="14">
        <v>41347</v>
      </c>
      <c r="B530" s="15">
        <v>544</v>
      </c>
      <c r="C530" s="15">
        <v>544</v>
      </c>
      <c r="D530" s="5">
        <v>237</v>
      </c>
      <c r="E530" s="5">
        <v>129</v>
      </c>
      <c r="F530" s="5">
        <v>3.7886959999999998</v>
      </c>
      <c r="G530" s="12">
        <f>VLOOKUP(A530,'[1]all FNCL'!A$2:B$993,2)</f>
        <v>0.71228035501776499</v>
      </c>
      <c r="H530" s="3" t="s">
        <v>542</v>
      </c>
      <c r="I530">
        <v>0.40128471016646999</v>
      </c>
      <c r="J530">
        <f>VLOOKUP(A530,'YB OAS'!B:F,5,0)</f>
        <v>436.50628699999999</v>
      </c>
      <c r="K530" s="40">
        <f>VLOOKUP(A530,'Refi Universe'!E:F,2,0)</f>
        <v>0.70558498000000003</v>
      </c>
    </row>
    <row r="531" spans="1:11" ht="15" x14ac:dyDescent="0.25">
      <c r="A531" s="14">
        <v>41348</v>
      </c>
      <c r="B531" s="15">
        <v>532</v>
      </c>
      <c r="C531" s="15">
        <v>532</v>
      </c>
      <c r="D531" s="5">
        <v>231</v>
      </c>
      <c r="E531" s="5">
        <v>142</v>
      </c>
      <c r="F531" s="5">
        <v>3.7677040000000002</v>
      </c>
      <c r="G531" s="12">
        <f>VLOOKUP(A531,'[1]all FNCL'!A$2:B$993,2)</f>
        <v>0.71228035501776499</v>
      </c>
      <c r="H531" s="3" t="s">
        <v>543</v>
      </c>
      <c r="I531">
        <v>0.40128471016646999</v>
      </c>
      <c r="J531">
        <f>VLOOKUP(A531,'YB OAS'!B:F,5,0)</f>
        <v>425.44808999999998</v>
      </c>
      <c r="K531" s="40">
        <f>VLOOKUP(A531,'Refi Universe'!E:F,2,0)</f>
        <v>0.72532763</v>
      </c>
    </row>
    <row r="532" spans="1:11" ht="15" x14ac:dyDescent="0.25">
      <c r="A532" s="14">
        <v>41351</v>
      </c>
      <c r="B532" s="15">
        <v>541</v>
      </c>
      <c r="C532" s="15">
        <v>541</v>
      </c>
      <c r="D532" s="5">
        <v>244</v>
      </c>
      <c r="E532" s="5">
        <v>120</v>
      </c>
      <c r="F532" s="5">
        <v>3.7468080000000001</v>
      </c>
      <c r="G532" s="12">
        <f>VLOOKUP(A532,'[1]all FNCL'!A$2:B$993,2)</f>
        <v>0.71228035501776499</v>
      </c>
      <c r="H532" s="3" t="s">
        <v>544</v>
      </c>
      <c r="I532">
        <v>0.40128471016646999</v>
      </c>
      <c r="J532">
        <f>VLOOKUP(A532,'YB OAS'!B:F,5,0)</f>
        <v>439.53921500000001</v>
      </c>
      <c r="K532" s="40">
        <f>VLOOKUP(A532,'Refi Universe'!E:F,2,0)</f>
        <v>0.76202199999999998</v>
      </c>
    </row>
    <row r="533" spans="1:11" ht="15" x14ac:dyDescent="0.25">
      <c r="A533" s="14">
        <v>41352</v>
      </c>
      <c r="B533" s="15">
        <v>548</v>
      </c>
      <c r="C533" s="15">
        <v>548</v>
      </c>
      <c r="D533" s="5">
        <v>233</v>
      </c>
      <c r="E533" s="5">
        <v>125</v>
      </c>
      <c r="F533" s="5">
        <v>3.7326199999999998</v>
      </c>
      <c r="G533" s="12">
        <f>VLOOKUP(A533,'[1]all FNCL'!A$2:B$993,2)</f>
        <v>0.71228035501776499</v>
      </c>
      <c r="H533" s="3" t="s">
        <v>545</v>
      </c>
      <c r="I533">
        <v>0.41370374077875499</v>
      </c>
      <c r="J533">
        <f>VLOOKUP(A533,'YB OAS'!B:F,5,0)</f>
        <v>432.89279199999999</v>
      </c>
      <c r="K533" s="40">
        <f>VLOOKUP(A533,'Refi Universe'!E:F,2,0)</f>
        <v>0.78695435999999996</v>
      </c>
    </row>
    <row r="534" spans="1:11" ht="15" x14ac:dyDescent="0.25">
      <c r="A534" s="14">
        <v>41353</v>
      </c>
      <c r="B534" s="15">
        <v>547</v>
      </c>
      <c r="C534" s="15">
        <v>547</v>
      </c>
      <c r="D534" s="5">
        <v>239</v>
      </c>
      <c r="E534" s="5">
        <v>134</v>
      </c>
      <c r="F534" s="5">
        <v>3.7560690000000001</v>
      </c>
      <c r="G534" s="12">
        <f>VLOOKUP(A534,'[1]all FNCL'!A$2:B$993,2)</f>
        <v>0.71228035501776499</v>
      </c>
      <c r="H534" s="3" t="s">
        <v>546</v>
      </c>
      <c r="I534">
        <v>0.41370374077875499</v>
      </c>
      <c r="J534">
        <f>VLOOKUP(A534,'YB OAS'!B:F,5,0)</f>
        <v>438.42880200000002</v>
      </c>
      <c r="K534" s="40">
        <f>VLOOKUP(A534,'Refi Universe'!E:F,2,0)</f>
        <v>0.77084069</v>
      </c>
    </row>
    <row r="535" spans="1:11" ht="15" x14ac:dyDescent="0.25">
      <c r="A535" s="14">
        <v>41354</v>
      </c>
      <c r="B535" s="15">
        <v>536</v>
      </c>
      <c r="C535" s="15">
        <v>536</v>
      </c>
      <c r="D535" s="5">
        <v>236</v>
      </c>
      <c r="E535" s="5">
        <v>137</v>
      </c>
      <c r="F535" s="5">
        <v>3.7719969999999998</v>
      </c>
      <c r="G535" s="12">
        <f>VLOOKUP(A535,'[1]all FNCL'!A$2:B$993,2)</f>
        <v>0.79257538531726102</v>
      </c>
      <c r="H535" s="3" t="s">
        <v>547</v>
      </c>
      <c r="I535">
        <v>0.41370374077875499</v>
      </c>
      <c r="J535">
        <f>VLOOKUP(A535,'YB OAS'!B:F,5,0)</f>
        <v>433.79119900000001</v>
      </c>
      <c r="K535" s="40">
        <f>VLOOKUP(A535,'Refi Universe'!E:F,2,0)</f>
        <v>0.73465606999999999</v>
      </c>
    </row>
    <row r="536" spans="1:11" ht="15" x14ac:dyDescent="0.25">
      <c r="A536" s="14">
        <v>41355</v>
      </c>
      <c r="B536" s="15">
        <v>594</v>
      </c>
      <c r="C536" s="15">
        <v>594</v>
      </c>
      <c r="D536" s="5">
        <v>222</v>
      </c>
      <c r="E536" s="5">
        <v>124</v>
      </c>
      <c r="F536" s="5">
        <v>3.7549290000000002</v>
      </c>
      <c r="G536" s="12">
        <f>VLOOKUP(A536,'[1]all FNCL'!A$2:B$993,2)</f>
        <v>0.79257538531726102</v>
      </c>
      <c r="H536" s="3" t="s">
        <v>548</v>
      </c>
      <c r="I536">
        <v>0.41370374077875499</v>
      </c>
      <c r="J536">
        <f>VLOOKUP(A536,'YB OAS'!B:F,5,0)</f>
        <v>423.377411</v>
      </c>
      <c r="K536" s="40">
        <f>VLOOKUP(A536,'Refi Universe'!E:F,2,0)</f>
        <v>0.77786171000000004</v>
      </c>
    </row>
    <row r="537" spans="1:11" ht="15" x14ac:dyDescent="0.25">
      <c r="A537" s="14">
        <v>41358</v>
      </c>
      <c r="B537" s="15">
        <v>536</v>
      </c>
      <c r="C537" s="15">
        <v>536</v>
      </c>
      <c r="D537" s="5">
        <v>227</v>
      </c>
      <c r="E537" s="5">
        <v>128</v>
      </c>
      <c r="F537" s="5">
        <v>3.7518600000000002</v>
      </c>
      <c r="G537" s="12">
        <f>VLOOKUP(A537,'[1]all FNCL'!A$2:B$993,2)</f>
        <v>0.79257538531726102</v>
      </c>
      <c r="H537" s="3" t="s">
        <v>549</v>
      </c>
      <c r="I537">
        <v>0.41370374077875499</v>
      </c>
      <c r="J537">
        <f>VLOOKUP(A537,'YB OAS'!B:F,5,0)</f>
        <v>426.44039900000001</v>
      </c>
      <c r="K537" s="40">
        <f>VLOOKUP(A537,'Refi Universe'!E:F,2,0)</f>
        <v>0.77926318999999999</v>
      </c>
    </row>
    <row r="538" spans="1:11" ht="15" x14ac:dyDescent="0.25">
      <c r="A538" s="14">
        <v>41359</v>
      </c>
      <c r="B538" s="15">
        <v>529</v>
      </c>
      <c r="C538" s="15">
        <v>529</v>
      </c>
      <c r="D538" s="5">
        <v>228</v>
      </c>
      <c r="E538" s="5">
        <v>130</v>
      </c>
      <c r="F538" s="5">
        <v>3.7549109999999999</v>
      </c>
      <c r="G538" s="12">
        <f>VLOOKUP(A538,'[1]all FNCL'!A$2:B$993,2)</f>
        <v>0.79257538531726102</v>
      </c>
      <c r="H538" s="3" t="s">
        <v>550</v>
      </c>
      <c r="I538">
        <v>0.429907169996321</v>
      </c>
      <c r="J538">
        <f>VLOOKUP(A538,'YB OAS'!B:F,5,0)</f>
        <v>426.839294</v>
      </c>
      <c r="K538" s="40">
        <f>VLOOKUP(A538,'Refi Universe'!E:F,2,0)</f>
        <v>0.77702022999999998</v>
      </c>
    </row>
    <row r="539" spans="1:11" ht="15" x14ac:dyDescent="0.25">
      <c r="A539" s="14">
        <v>41360</v>
      </c>
      <c r="B539" s="15">
        <v>534</v>
      </c>
      <c r="C539" s="15">
        <v>534</v>
      </c>
      <c r="D539" s="5">
        <v>223</v>
      </c>
      <c r="E539" s="5">
        <v>123</v>
      </c>
      <c r="F539" s="5">
        <v>3.7369500000000002</v>
      </c>
      <c r="G539" s="12">
        <f>VLOOKUP(A539,'[1]all FNCL'!A$2:B$993,2)</f>
        <v>0.79257538531726102</v>
      </c>
      <c r="H539" s="3" t="s">
        <v>551</v>
      </c>
      <c r="I539">
        <v>0.429907169996321</v>
      </c>
      <c r="J539">
        <f>VLOOKUP(A539,'YB OAS'!B:F,5,0)</f>
        <v>424.76019300000002</v>
      </c>
      <c r="K539" s="40">
        <f>VLOOKUP(A539,'Refi Universe'!E:F,2,0)</f>
        <v>0.77084069</v>
      </c>
    </row>
    <row r="540" spans="1:11" ht="15" x14ac:dyDescent="0.25">
      <c r="A540" s="14">
        <v>41361</v>
      </c>
      <c r="B540" s="15">
        <v>538</v>
      </c>
      <c r="C540" s="15">
        <v>538</v>
      </c>
      <c r="D540" s="5">
        <v>227</v>
      </c>
      <c r="E540" s="5">
        <v>125</v>
      </c>
      <c r="F540" s="5">
        <v>3.7394340000000001</v>
      </c>
      <c r="G540" s="12">
        <f>VLOOKUP(A540,'[1]all FNCL'!A$2:B$993,2)</f>
        <v>0.76303866278122401</v>
      </c>
      <c r="H540" s="3" t="s">
        <v>552</v>
      </c>
      <c r="I540">
        <v>0.429907169996321</v>
      </c>
      <c r="J540">
        <f>VLOOKUP(A540,'YB OAS'!B:F,5,0)</f>
        <v>423.56549100000001</v>
      </c>
      <c r="K540" s="40">
        <f>VLOOKUP(A540,'Refi Universe'!E:F,2,0)</f>
        <v>0.76515105000000005</v>
      </c>
    </row>
    <row r="541" spans="1:11" ht="15" x14ac:dyDescent="0.25">
      <c r="A541" s="14">
        <v>41365</v>
      </c>
      <c r="B541" s="15">
        <v>543</v>
      </c>
      <c r="C541" s="15">
        <v>543</v>
      </c>
      <c r="D541" s="5">
        <v>245</v>
      </c>
      <c r="E541" s="5">
        <v>119</v>
      </c>
      <c r="F541" s="5">
        <v>3.7238410000000002</v>
      </c>
      <c r="G541" s="12">
        <f>VLOOKUP(A541,'[1]all FNCL'!A$2:B$993,2)</f>
        <v>0.743473360501545</v>
      </c>
      <c r="H541" s="3" t="s">
        <v>553</v>
      </c>
      <c r="I541">
        <v>0.42761316319375098</v>
      </c>
      <c r="J541">
        <f>VLOOKUP(A541,'YB OAS'!B:F,5,0)</f>
        <v>423.157196</v>
      </c>
      <c r="K541" s="40">
        <f>VLOOKUP(A541,'Refi Universe'!E:F,2,0)</f>
        <v>0.76571301000000003</v>
      </c>
    </row>
    <row r="542" spans="1:11" ht="15" x14ac:dyDescent="0.25">
      <c r="A542" s="14">
        <v>41366</v>
      </c>
      <c r="B542" s="15">
        <v>583</v>
      </c>
      <c r="C542" s="15">
        <v>583</v>
      </c>
      <c r="D542" s="5">
        <v>262</v>
      </c>
      <c r="E542" s="5">
        <v>149</v>
      </c>
      <c r="F542" s="5">
        <v>3.7293409999999998</v>
      </c>
      <c r="G542" s="12">
        <f>VLOOKUP(A542,'[1]all FNCL'!A$2:B$993,2)</f>
        <v>0.743473360501545</v>
      </c>
      <c r="H542" s="3" t="s">
        <v>554</v>
      </c>
      <c r="I542">
        <v>0.42761316319375098</v>
      </c>
      <c r="J542">
        <f>VLOOKUP(A542,'YB OAS'!B:F,5,0)</f>
        <v>453.75509599999998</v>
      </c>
      <c r="K542" s="40">
        <f>VLOOKUP(A542,'Refi Universe'!E:F,2,0)</f>
        <v>0.74944891000000002</v>
      </c>
    </row>
    <row r="543" spans="1:11" ht="15" x14ac:dyDescent="0.25">
      <c r="A543" s="14">
        <v>41367</v>
      </c>
      <c r="B543" s="15">
        <v>602</v>
      </c>
      <c r="C543" s="15">
        <v>602</v>
      </c>
      <c r="D543" s="5">
        <v>276</v>
      </c>
      <c r="E543" s="5">
        <v>158</v>
      </c>
      <c r="F543" s="5">
        <v>3.7121919999999999</v>
      </c>
      <c r="G543" s="12">
        <f>VLOOKUP(A543,'[1]all FNCL'!A$2:B$993,2)</f>
        <v>0.743473360501545</v>
      </c>
      <c r="H543" s="3" t="s">
        <v>555</v>
      </c>
      <c r="I543">
        <v>0.43906416657041802</v>
      </c>
      <c r="J543">
        <f>VLOOKUP(A543,'YB OAS'!B:F,5,0)</f>
        <v>474.43960600000003</v>
      </c>
      <c r="K543" s="40">
        <f>VLOOKUP(A543,'Refi Universe'!E:F,2,0)</f>
        <v>0.77887764000000004</v>
      </c>
    </row>
    <row r="544" spans="1:11" ht="15" x14ac:dyDescent="0.25">
      <c r="A544" s="14">
        <v>41368</v>
      </c>
      <c r="B544" s="15">
        <v>648</v>
      </c>
      <c r="C544" s="15">
        <v>648</v>
      </c>
      <c r="D544" s="5">
        <v>285</v>
      </c>
      <c r="E544" s="5">
        <v>150</v>
      </c>
      <c r="F544" s="5">
        <v>3.6750259999999999</v>
      </c>
      <c r="G544" s="12">
        <f>VLOOKUP(A544,'[1]all FNCL'!A$2:B$993,2)</f>
        <v>0.77315817508860396</v>
      </c>
      <c r="H544" s="3" t="s">
        <v>556</v>
      </c>
      <c r="I544">
        <v>0.43906416657041802</v>
      </c>
      <c r="J544">
        <f>VLOOKUP(A544,'YB OAS'!B:F,5,0)</f>
        <v>507.92480499999999</v>
      </c>
      <c r="K544" s="40">
        <f>VLOOKUP(A544,'Refi Universe'!E:F,2,0)</f>
        <v>0.81980116999999997</v>
      </c>
    </row>
    <row r="545" spans="1:11" ht="15" x14ac:dyDescent="0.25">
      <c r="A545" s="14">
        <v>41369</v>
      </c>
      <c r="B545" s="15">
        <v>702</v>
      </c>
      <c r="C545" s="15">
        <v>702</v>
      </c>
      <c r="D545" s="5">
        <v>300</v>
      </c>
      <c r="E545" s="5">
        <v>133</v>
      </c>
      <c r="F545" s="5">
        <v>3.6373410000000002</v>
      </c>
      <c r="G545" s="12">
        <f>VLOOKUP(A545,'[1]all FNCL'!A$2:B$993,2)</f>
        <v>0.77315817508860396</v>
      </c>
      <c r="H545" s="3" t="s">
        <v>557</v>
      </c>
      <c r="I545">
        <v>0.43906416657041802</v>
      </c>
      <c r="J545">
        <f>VLOOKUP(A545,'YB OAS'!B:F,5,0)</f>
        <v>568.78887899999995</v>
      </c>
      <c r="K545" s="40">
        <f>VLOOKUP(A545,'Refi Universe'!E:F,2,0)</f>
        <v>0.82856768000000003</v>
      </c>
    </row>
    <row r="546" spans="1:11" ht="15" x14ac:dyDescent="0.25">
      <c r="A546" s="14">
        <v>41372</v>
      </c>
      <c r="B546" s="15">
        <v>695</v>
      </c>
      <c r="C546" s="15">
        <v>695</v>
      </c>
      <c r="D546" s="5">
        <v>316</v>
      </c>
      <c r="E546" s="5">
        <v>136</v>
      </c>
      <c r="F546" s="5">
        <v>3.6693169999999999</v>
      </c>
      <c r="G546" s="12">
        <f>VLOOKUP(A546,'[1]all FNCL'!A$2:B$993,2)</f>
        <v>0.77315817508860396</v>
      </c>
      <c r="H546" s="3" t="s">
        <v>558</v>
      </c>
      <c r="I546">
        <v>0.43906416657041802</v>
      </c>
      <c r="J546">
        <f>VLOOKUP(A546,'YB OAS'!B:F,5,0)</f>
        <v>563.00451699999996</v>
      </c>
      <c r="K546" s="40">
        <f>VLOOKUP(A546,'Refi Universe'!E:F,2,0)</f>
        <v>0.82265425999999997</v>
      </c>
    </row>
    <row r="547" spans="1:11" ht="15" x14ac:dyDescent="0.25">
      <c r="A547" s="14">
        <v>41373</v>
      </c>
      <c r="B547" s="15">
        <v>688</v>
      </c>
      <c r="C547" s="15">
        <v>688</v>
      </c>
      <c r="D547" s="5">
        <v>298</v>
      </c>
      <c r="E547" s="5">
        <v>107</v>
      </c>
      <c r="F547" s="5">
        <v>3.670442</v>
      </c>
      <c r="G547" s="12">
        <f>VLOOKUP(A547,'[1]all FNCL'!A$2:B$993,2)</f>
        <v>0.77315817508860396</v>
      </c>
      <c r="H547" s="3" t="s">
        <v>559</v>
      </c>
      <c r="I547">
        <v>0.420794457847457</v>
      </c>
      <c r="J547">
        <f>VLOOKUP(A547,'YB OAS'!B:F,5,0)</f>
        <v>563.78057899999999</v>
      </c>
      <c r="K547" s="40">
        <f>VLOOKUP(A547,'Refi Universe'!E:F,2,0)</f>
        <v>0.81850336999999995</v>
      </c>
    </row>
    <row r="548" spans="1:11" ht="15" x14ac:dyDescent="0.25">
      <c r="A548" s="14">
        <v>41374</v>
      </c>
      <c r="B548" s="15">
        <v>682</v>
      </c>
      <c r="C548" s="15">
        <v>682</v>
      </c>
      <c r="D548" s="5">
        <v>292</v>
      </c>
      <c r="E548" s="5">
        <v>119</v>
      </c>
      <c r="F548" s="5">
        <v>3.6980300000000002</v>
      </c>
      <c r="G548" s="12">
        <f>VLOOKUP(A548,'[1]all FNCL'!A$2:B$993,2)</f>
        <v>0.77315817508860396</v>
      </c>
      <c r="H548" s="3" t="s">
        <v>560</v>
      </c>
      <c r="I548">
        <v>0.420794457847457</v>
      </c>
      <c r="J548">
        <f>VLOOKUP(A548,'YB OAS'!B:F,5,0)</f>
        <v>554.84619099999998</v>
      </c>
      <c r="K548" s="40">
        <f>VLOOKUP(A548,'Refi Universe'!E:F,2,0)</f>
        <v>0.79452882999999996</v>
      </c>
    </row>
    <row r="549" spans="1:11" ht="15" x14ac:dyDescent="0.25">
      <c r="A549" s="14">
        <v>41375</v>
      </c>
      <c r="B549" s="15">
        <v>668</v>
      </c>
      <c r="C549" s="15">
        <v>668</v>
      </c>
      <c r="D549" s="5">
        <v>289</v>
      </c>
      <c r="E549" s="5">
        <v>114</v>
      </c>
      <c r="F549" s="5">
        <v>3.6832630000000002</v>
      </c>
      <c r="G549" s="12">
        <f>VLOOKUP(A549,'[1]all FNCL'!A$2:B$993,2)</f>
        <v>0.82454142309345102</v>
      </c>
      <c r="H549" s="3" t="s">
        <v>561</v>
      </c>
      <c r="I549">
        <v>0.420794457847457</v>
      </c>
      <c r="J549">
        <f>VLOOKUP(A549,'YB OAS'!B:F,5,0)</f>
        <v>560.88207999999997</v>
      </c>
      <c r="K549" s="40">
        <f>VLOOKUP(A549,'Refi Universe'!E:F,2,0)</f>
        <v>0.80849727999999998</v>
      </c>
    </row>
    <row r="550" spans="1:11" ht="15" x14ac:dyDescent="0.25">
      <c r="A550" s="14">
        <v>41376</v>
      </c>
      <c r="B550" s="15">
        <v>686</v>
      </c>
      <c r="C550" s="15">
        <v>686</v>
      </c>
      <c r="D550" s="5">
        <v>287</v>
      </c>
      <c r="E550" s="5">
        <v>97</v>
      </c>
      <c r="F550" s="5">
        <v>3.6509070000000001</v>
      </c>
      <c r="G550" s="12">
        <f>VLOOKUP(A550,'[1]all FNCL'!A$2:B$993,2)</f>
        <v>0.82454142309345102</v>
      </c>
      <c r="H550" s="3" t="s">
        <v>562</v>
      </c>
      <c r="I550">
        <v>0.420794457847457</v>
      </c>
      <c r="J550">
        <f>VLOOKUP(A550,'YB OAS'!B:F,5,0)</f>
        <v>554.40118399999994</v>
      </c>
      <c r="K550" s="40">
        <f>VLOOKUP(A550,'Refi Universe'!E:F,2,0)</f>
        <v>0.82477339000000005</v>
      </c>
    </row>
    <row r="551" spans="1:11" ht="15" x14ac:dyDescent="0.25">
      <c r="A551" s="14">
        <v>41379</v>
      </c>
      <c r="B551" s="15">
        <v>705</v>
      </c>
      <c r="C551" s="15">
        <v>705</v>
      </c>
      <c r="D551" s="5">
        <v>308</v>
      </c>
      <c r="E551" s="5">
        <v>104</v>
      </c>
      <c r="F551" s="5">
        <v>3.6414</v>
      </c>
      <c r="G551" s="12">
        <f>VLOOKUP(A551,'[1]all FNCL'!A$2:B$993,2)</f>
        <v>0.82454142309345102</v>
      </c>
      <c r="H551" s="3" t="s">
        <v>563</v>
      </c>
      <c r="I551">
        <v>0.420794457847457</v>
      </c>
      <c r="J551">
        <f>VLOOKUP(A551,'YB OAS'!B:F,5,0)</f>
        <v>568.81982400000004</v>
      </c>
      <c r="K551" s="40">
        <f>VLOOKUP(A551,'Refi Universe'!E:F,2,0)</f>
        <v>0.82715181999999998</v>
      </c>
    </row>
    <row r="552" spans="1:11" ht="15" x14ac:dyDescent="0.25">
      <c r="A552" s="14">
        <v>41380</v>
      </c>
      <c r="B552" s="15">
        <v>694</v>
      </c>
      <c r="C552" s="15">
        <v>694</v>
      </c>
      <c r="D552" s="5">
        <v>308</v>
      </c>
      <c r="E552" s="5">
        <v>105</v>
      </c>
      <c r="F552" s="5">
        <v>3.650299</v>
      </c>
      <c r="G552" s="12">
        <f>VLOOKUP(A552,'[1]all FNCL'!A$2:B$993,2)</f>
        <v>0.82454142309345102</v>
      </c>
      <c r="H552" s="3" t="s">
        <v>564</v>
      </c>
      <c r="I552">
        <v>0.43231309412176999</v>
      </c>
      <c r="J552">
        <f>VLOOKUP(A552,'YB OAS'!B:F,5,0)</f>
        <v>562.39190699999995</v>
      </c>
      <c r="K552" s="40">
        <f>VLOOKUP(A552,'Refi Universe'!E:F,2,0)</f>
        <v>0.82470003999999997</v>
      </c>
    </row>
    <row r="553" spans="1:11" ht="15" x14ac:dyDescent="0.25">
      <c r="A553" s="14">
        <v>41381</v>
      </c>
      <c r="B553" s="15">
        <v>688</v>
      </c>
      <c r="C553" s="15">
        <v>688</v>
      </c>
      <c r="D553" s="5">
        <v>302</v>
      </c>
      <c r="E553" s="5">
        <v>98</v>
      </c>
      <c r="F553" s="5">
        <v>3.647726</v>
      </c>
      <c r="G553" s="12">
        <f>VLOOKUP(A553,'[1]all FNCL'!A$2:B$993,2)</f>
        <v>0.82454142309345102</v>
      </c>
      <c r="H553" s="3" t="s">
        <v>565</v>
      </c>
      <c r="I553">
        <v>0.43231309412176999</v>
      </c>
      <c r="J553">
        <f>VLOOKUP(A553,'YB OAS'!B:F,5,0)</f>
        <v>565.21832300000005</v>
      </c>
      <c r="K553" s="40">
        <f>VLOOKUP(A553,'Refi Universe'!E:F,2,0)</f>
        <v>0.82774426000000001</v>
      </c>
    </row>
    <row r="554" spans="1:11" ht="15" x14ac:dyDescent="0.25">
      <c r="A554" s="14">
        <v>41382</v>
      </c>
      <c r="B554" s="15">
        <v>687</v>
      </c>
      <c r="C554" s="15">
        <v>687</v>
      </c>
      <c r="D554" s="5">
        <v>300</v>
      </c>
      <c r="E554" s="5">
        <v>91</v>
      </c>
      <c r="F554" s="5">
        <v>3.6407500000000002</v>
      </c>
      <c r="G554" s="12">
        <f>VLOOKUP(A554,'[1]all FNCL'!A$2:B$993,2)</f>
        <v>0.82630589885428396</v>
      </c>
      <c r="H554" s="3" t="s">
        <v>566</v>
      </c>
      <c r="I554">
        <v>0.43231309412176999</v>
      </c>
      <c r="J554">
        <f>VLOOKUP(A554,'YB OAS'!B:F,5,0)</f>
        <v>556.05279499999995</v>
      </c>
      <c r="K554" s="40">
        <f>VLOOKUP(A554,'Refi Universe'!E:F,2,0)</f>
        <v>0.82956596000000005</v>
      </c>
    </row>
    <row r="555" spans="1:11" ht="15" x14ac:dyDescent="0.25">
      <c r="A555" s="14">
        <v>41383</v>
      </c>
      <c r="B555" s="15">
        <v>688</v>
      </c>
      <c r="C555" s="15">
        <v>688</v>
      </c>
      <c r="D555" s="5">
        <v>302</v>
      </c>
      <c r="E555" s="5">
        <v>84</v>
      </c>
      <c r="F555" s="5">
        <v>3.6501860000000002</v>
      </c>
      <c r="G555" s="12">
        <f>VLOOKUP(A555,'[1]all FNCL'!A$2:B$993,2)</f>
        <v>0.82630589885428396</v>
      </c>
      <c r="H555" s="3" t="s">
        <v>567</v>
      </c>
      <c r="I555">
        <v>0.43231309412176999</v>
      </c>
      <c r="J555">
        <f>VLOOKUP(A555,'YB OAS'!B:F,5,0)</f>
        <v>556.02221699999996</v>
      </c>
      <c r="K555" s="40">
        <f>VLOOKUP(A555,'Refi Universe'!E:F,2,0)</f>
        <v>0.82800551</v>
      </c>
    </row>
    <row r="556" spans="1:11" ht="15" x14ac:dyDescent="0.25">
      <c r="A556" s="14">
        <v>41386</v>
      </c>
      <c r="B556" s="15">
        <v>694</v>
      </c>
      <c r="C556" s="15">
        <v>694</v>
      </c>
      <c r="D556" s="5">
        <v>305</v>
      </c>
      <c r="E556" s="5">
        <v>85</v>
      </c>
      <c r="F556" s="5">
        <v>3.648174</v>
      </c>
      <c r="G556" s="12">
        <f>VLOOKUP(A556,'[1]all FNCL'!A$2:B$993,2)</f>
        <v>0.82630589885428396</v>
      </c>
      <c r="H556" s="3" t="s">
        <v>568</v>
      </c>
      <c r="I556">
        <v>0.43231309412176999</v>
      </c>
      <c r="J556">
        <f>VLOOKUP(A556,'YB OAS'!B:F,5,0)</f>
        <v>559.52459699999997</v>
      </c>
      <c r="K556" s="40">
        <f>VLOOKUP(A556,'Refi Universe'!E:F,2,0)</f>
        <v>0.82804226999999997</v>
      </c>
    </row>
    <row r="557" spans="1:11" ht="15" x14ac:dyDescent="0.25">
      <c r="A557" s="14">
        <v>41387</v>
      </c>
      <c r="B557" s="15">
        <v>704</v>
      </c>
      <c r="C557" s="15">
        <v>704</v>
      </c>
      <c r="D557" s="5">
        <v>306</v>
      </c>
      <c r="E557" s="5">
        <v>83</v>
      </c>
      <c r="F557" s="5">
        <v>3.6452619999999998</v>
      </c>
      <c r="G557" s="12">
        <f>VLOOKUP(A557,'[1]all FNCL'!A$2:B$993,2)</f>
        <v>0.82630589885428396</v>
      </c>
      <c r="H557" s="3" t="s">
        <v>569</v>
      </c>
      <c r="I557">
        <v>0.43231309412176999</v>
      </c>
      <c r="J557">
        <f>VLOOKUP(A557,'YB OAS'!B:F,5,0)</f>
        <v>558.00567599999999</v>
      </c>
      <c r="K557" s="40">
        <f>VLOOKUP(A557,'Refi Universe'!E:F,2,0)</f>
        <v>0.82856768000000003</v>
      </c>
    </row>
    <row r="558" spans="1:11" ht="15" x14ac:dyDescent="0.25">
      <c r="A558" s="14">
        <v>41388</v>
      </c>
      <c r="B558" s="15">
        <v>686</v>
      </c>
      <c r="C558" s="15">
        <v>686</v>
      </c>
      <c r="D558" s="5">
        <v>300</v>
      </c>
      <c r="E558" s="5">
        <v>77</v>
      </c>
      <c r="F558" s="5">
        <v>3.6425350000000001</v>
      </c>
      <c r="G558" s="12">
        <f>VLOOKUP(A558,'[1]all FNCL'!A$2:B$993,2)</f>
        <v>0.82630589885428396</v>
      </c>
      <c r="H558" s="3" t="s">
        <v>570</v>
      </c>
      <c r="I558">
        <v>0.43231309412176999</v>
      </c>
      <c r="J558">
        <f>VLOOKUP(A558,'YB OAS'!B:F,5,0)</f>
        <v>553.82379200000003</v>
      </c>
      <c r="K558" s="40">
        <f>VLOOKUP(A558,'Refi Universe'!E:F,2,0)</f>
        <v>0.82574130999999995</v>
      </c>
    </row>
    <row r="559" spans="1:11" ht="15" x14ac:dyDescent="0.25">
      <c r="A559" s="14">
        <v>41389</v>
      </c>
      <c r="B559" s="15">
        <v>705</v>
      </c>
      <c r="C559" s="15">
        <v>705</v>
      </c>
      <c r="D559" s="5">
        <v>314</v>
      </c>
      <c r="E559" s="5">
        <v>92</v>
      </c>
      <c r="F559" s="5">
        <v>3.6417440000000001</v>
      </c>
      <c r="G559" s="12">
        <f>VLOOKUP(A559,'[1]all FNCL'!A$2:B$993,2)</f>
        <v>0.82751009126472896</v>
      </c>
      <c r="H559" s="3" t="s">
        <v>571</v>
      </c>
      <c r="I559">
        <v>0.43231309412176999</v>
      </c>
      <c r="J559">
        <f>VLOOKUP(A559,'YB OAS'!B:F,5,0)</f>
        <v>571.955872</v>
      </c>
      <c r="K559" s="40">
        <f>VLOOKUP(A559,'Refi Universe'!E:F,2,0)</f>
        <v>0.82574130999999995</v>
      </c>
    </row>
    <row r="560" spans="1:11" ht="15" x14ac:dyDescent="0.25">
      <c r="A560" s="14">
        <v>41390</v>
      </c>
      <c r="B560" s="15">
        <v>713</v>
      </c>
      <c r="C560" s="15">
        <v>713</v>
      </c>
      <c r="D560" s="5">
        <v>312</v>
      </c>
      <c r="E560" s="5">
        <v>74</v>
      </c>
      <c r="F560" s="5">
        <v>3.626255</v>
      </c>
      <c r="G560" s="12">
        <f>VLOOKUP(A560,'[1]all FNCL'!A$2:B$993,2)</f>
        <v>0.82751009126472896</v>
      </c>
      <c r="H560" s="3" t="s">
        <v>572</v>
      </c>
      <c r="I560">
        <v>0.43231309412176999</v>
      </c>
      <c r="J560">
        <f>VLOOKUP(A560,'YB OAS'!B:F,5,0)</f>
        <v>581.40502900000001</v>
      </c>
      <c r="K560" s="40">
        <f>VLOOKUP(A560,'Refi Universe'!E:F,2,0)</f>
        <v>0.83113250999999999</v>
      </c>
    </row>
    <row r="561" spans="1:11" ht="15" x14ac:dyDescent="0.25">
      <c r="A561" s="14">
        <v>41393</v>
      </c>
      <c r="B561" s="15">
        <v>749</v>
      </c>
      <c r="C561" s="15">
        <v>749</v>
      </c>
      <c r="D561" s="5">
        <v>317</v>
      </c>
      <c r="E561" s="5">
        <v>73</v>
      </c>
      <c r="F561" s="5">
        <v>3.625337</v>
      </c>
      <c r="G561" s="12">
        <f>VLOOKUP(A561,'[1]all FNCL'!A$2:B$993,2)</f>
        <v>0.82751009126472896</v>
      </c>
      <c r="H561" s="3" t="s">
        <v>573</v>
      </c>
      <c r="I561">
        <v>0.43231309412176999</v>
      </c>
      <c r="J561">
        <f>VLOOKUP(A561,'YB OAS'!B:F,5,0)</f>
        <v>594.21179199999995</v>
      </c>
      <c r="K561" s="40">
        <f>VLOOKUP(A561,'Refi Universe'!E:F,2,0)</f>
        <v>0.83156322999999999</v>
      </c>
    </row>
    <row r="562" spans="1:11" ht="15" x14ac:dyDescent="0.25">
      <c r="A562" s="14">
        <v>41394</v>
      </c>
      <c r="B562" s="15">
        <v>784</v>
      </c>
      <c r="C562" s="15">
        <v>784</v>
      </c>
      <c r="D562" s="5">
        <v>359</v>
      </c>
      <c r="E562" s="5">
        <v>93</v>
      </c>
      <c r="F562" s="5">
        <v>3.6207479999999999</v>
      </c>
      <c r="G562" s="12">
        <f>VLOOKUP(A562,'[1]all FNCL'!A$2:B$993,2)</f>
        <v>0.82751009126472896</v>
      </c>
      <c r="H562" s="3" t="s">
        <v>574</v>
      </c>
      <c r="I562">
        <v>0.43906416657041802</v>
      </c>
      <c r="J562">
        <f>VLOOKUP(A562,'YB OAS'!B:F,5,0)</f>
        <v>617.55328399999996</v>
      </c>
      <c r="K562" s="40">
        <f>VLOOKUP(A562,'Refi Universe'!E:F,2,0)</f>
        <v>0.83356730999999995</v>
      </c>
    </row>
    <row r="563" spans="1:11" ht="15" x14ac:dyDescent="0.25">
      <c r="A563" s="14">
        <v>41395</v>
      </c>
      <c r="B563" s="15">
        <v>817</v>
      </c>
      <c r="C563" s="15">
        <v>817</v>
      </c>
      <c r="D563" s="5">
        <v>390</v>
      </c>
      <c r="E563" s="5">
        <v>101</v>
      </c>
      <c r="F563" s="5">
        <v>3.6005929999999999</v>
      </c>
      <c r="G563" s="12">
        <f>VLOOKUP(A563,'[1]all FNCL'!A$2:B$993,2)</f>
        <v>0.81036703654126596</v>
      </c>
      <c r="H563" s="3" t="s">
        <v>575</v>
      </c>
      <c r="I563">
        <v>0.43538889187038299</v>
      </c>
      <c r="J563">
        <f>VLOOKUP(A563,'YB OAS'!B:F,5,0)</f>
        <v>630.77587900000003</v>
      </c>
      <c r="K563" s="40">
        <f>VLOOKUP(A563,'Refi Universe'!E:F,2,0)</f>
        <v>0.82752897000000003</v>
      </c>
    </row>
    <row r="564" spans="1:11" ht="15" x14ac:dyDescent="0.25">
      <c r="A564" s="14">
        <v>41396</v>
      </c>
      <c r="B564" s="15">
        <v>748</v>
      </c>
      <c r="C564" s="15">
        <v>748</v>
      </c>
      <c r="D564" s="5">
        <v>356</v>
      </c>
      <c r="E564" s="5">
        <v>71</v>
      </c>
      <c r="F564" s="5">
        <v>3.6084969999999998</v>
      </c>
      <c r="G564" s="12">
        <f>VLOOKUP(A564,'[1]all FNCL'!A$2:B$993,2)</f>
        <v>0.81666056757909999</v>
      </c>
      <c r="H564" s="3" t="s">
        <v>576</v>
      </c>
      <c r="I564">
        <v>0.43538889187038299</v>
      </c>
      <c r="J564">
        <f>VLOOKUP(A564,'YB OAS'!B:F,5,0)</f>
        <v>588.15759300000002</v>
      </c>
      <c r="K564" s="40">
        <f>VLOOKUP(A564,'Refi Universe'!E:F,2,0)</f>
        <v>0.82159804000000003</v>
      </c>
    </row>
    <row r="565" spans="1:11" ht="15" x14ac:dyDescent="0.25">
      <c r="A565" s="14">
        <v>41397</v>
      </c>
      <c r="B565" s="15">
        <v>704</v>
      </c>
      <c r="C565" s="15">
        <v>704</v>
      </c>
      <c r="D565" s="5">
        <v>331</v>
      </c>
      <c r="E565" s="5">
        <v>84</v>
      </c>
      <c r="F565" s="5">
        <v>3.6440769999999998</v>
      </c>
      <c r="G565" s="12">
        <f>VLOOKUP(A565,'[1]all FNCL'!A$2:B$993,2)</f>
        <v>0.81666056757909999</v>
      </c>
      <c r="H565" s="3" t="s">
        <v>577</v>
      </c>
      <c r="I565">
        <v>0.43538889187038299</v>
      </c>
      <c r="J565">
        <f>VLOOKUP(A565,'YB OAS'!B:F,5,0)</f>
        <v>563.77081299999998</v>
      </c>
      <c r="K565" s="40">
        <f>VLOOKUP(A565,'Refi Universe'!E:F,2,0)</f>
        <v>0.80593608999999999</v>
      </c>
    </row>
    <row r="566" spans="1:11" ht="15" x14ac:dyDescent="0.25">
      <c r="A566" s="14">
        <v>41400</v>
      </c>
      <c r="B566" s="15">
        <v>715</v>
      </c>
      <c r="C566" s="15">
        <v>715</v>
      </c>
      <c r="D566" s="5">
        <v>335</v>
      </c>
      <c r="E566" s="5">
        <v>91</v>
      </c>
      <c r="F566" s="5">
        <v>3.6517949999999999</v>
      </c>
      <c r="G566" s="12">
        <f>VLOOKUP(A566,'[1]all FNCL'!A$2:B$993,2)</f>
        <v>0.81666056757909999</v>
      </c>
      <c r="H566" s="3" t="s">
        <v>578</v>
      </c>
      <c r="I566">
        <v>0.43538889187038299</v>
      </c>
      <c r="J566">
        <f>VLOOKUP(A566,'YB OAS'!B:F,5,0)</f>
        <v>579.62457300000005</v>
      </c>
      <c r="K566" s="40">
        <f>VLOOKUP(A566,'Refi Universe'!E:F,2,0)</f>
        <v>0.80165001999999996</v>
      </c>
    </row>
    <row r="567" spans="1:11" ht="15" x14ac:dyDescent="0.25">
      <c r="A567" s="14">
        <v>41401</v>
      </c>
      <c r="B567" s="15">
        <v>695</v>
      </c>
      <c r="C567" s="15">
        <v>695</v>
      </c>
      <c r="D567" s="5">
        <v>316</v>
      </c>
      <c r="E567" s="5">
        <v>81</v>
      </c>
      <c r="F567" s="5">
        <v>3.6582940000000002</v>
      </c>
      <c r="G567" s="12">
        <f>VLOOKUP(A567,'[1]all FNCL'!A$2:B$993,2)</f>
        <v>0.81666056757909999</v>
      </c>
      <c r="H567" s="3" t="s">
        <v>579</v>
      </c>
      <c r="I567">
        <v>0.42413376349642801</v>
      </c>
      <c r="J567">
        <f>VLOOKUP(A567,'YB OAS'!B:F,5,0)</f>
        <v>565.71710199999995</v>
      </c>
      <c r="K567" s="40">
        <f>VLOOKUP(A567,'Refi Universe'!E:F,2,0)</f>
        <v>0.79431673999999997</v>
      </c>
    </row>
    <row r="568" spans="1:11" ht="15" x14ac:dyDescent="0.25">
      <c r="A568" s="14">
        <v>41402</v>
      </c>
      <c r="B568" s="15">
        <v>721</v>
      </c>
      <c r="C568" s="15">
        <v>721</v>
      </c>
      <c r="D568" s="5">
        <v>317</v>
      </c>
      <c r="E568" s="5">
        <v>82</v>
      </c>
      <c r="F568" s="5">
        <v>3.6484079999999999</v>
      </c>
      <c r="G568" s="12">
        <f>VLOOKUP(A568,'[1]all FNCL'!A$2:B$993,2)</f>
        <v>0.81666056757909999</v>
      </c>
      <c r="H568" s="3" t="s">
        <v>580</v>
      </c>
      <c r="I568">
        <v>0.42413376349642801</v>
      </c>
      <c r="J568">
        <f>VLOOKUP(A568,'YB OAS'!B:F,5,0)</f>
        <v>585.81347700000003</v>
      </c>
      <c r="K568" s="40">
        <f>VLOOKUP(A568,'Refi Universe'!E:F,2,0)</f>
        <v>0.80403139000000001</v>
      </c>
    </row>
    <row r="569" spans="1:11" ht="15" x14ac:dyDescent="0.25">
      <c r="A569" s="14">
        <v>41403</v>
      </c>
      <c r="B569" s="15">
        <v>736</v>
      </c>
      <c r="C569" s="15">
        <v>736</v>
      </c>
      <c r="D569" s="5">
        <v>316</v>
      </c>
      <c r="E569" s="5">
        <v>83</v>
      </c>
      <c r="F569" s="5">
        <v>3.6567099999999999</v>
      </c>
      <c r="G569" s="12">
        <f>VLOOKUP(A569,'[1]all FNCL'!A$2:B$993,2)</f>
        <v>0.80807149473903706</v>
      </c>
      <c r="H569" s="3" t="s">
        <v>581</v>
      </c>
      <c r="I569">
        <v>0.42413376349642801</v>
      </c>
      <c r="J569">
        <f>VLOOKUP(A569,'YB OAS'!B:F,5,0)</f>
        <v>615.71478300000001</v>
      </c>
      <c r="K569" s="40">
        <f>VLOOKUP(A569,'Refi Universe'!E:F,2,0)</f>
        <v>0.79380801000000001</v>
      </c>
    </row>
    <row r="570" spans="1:11" ht="15" x14ac:dyDescent="0.25">
      <c r="A570" s="14">
        <v>41404</v>
      </c>
      <c r="B570" s="15">
        <v>684</v>
      </c>
      <c r="C570" s="15">
        <v>684</v>
      </c>
      <c r="D570" s="5">
        <v>309</v>
      </c>
      <c r="E570" s="5">
        <v>108</v>
      </c>
      <c r="F570" s="5">
        <v>3.6968770000000002</v>
      </c>
      <c r="G570" s="12">
        <f>VLOOKUP(A570,'[1]all FNCL'!A$2:B$993,2)</f>
        <v>0.80807149473903706</v>
      </c>
      <c r="H570" s="3" t="s">
        <v>582</v>
      </c>
      <c r="I570">
        <v>0.42413376349642801</v>
      </c>
      <c r="J570">
        <f>VLOOKUP(A570,'YB OAS'!B:F,5,0)</f>
        <v>586.34960899999999</v>
      </c>
      <c r="K570" s="40">
        <f>VLOOKUP(A570,'Refi Universe'!E:F,2,0)</f>
        <v>0.73210434000000002</v>
      </c>
    </row>
    <row r="571" spans="1:11" ht="15" x14ac:dyDescent="0.25">
      <c r="A571" s="14">
        <v>41407</v>
      </c>
      <c r="B571" s="15">
        <v>657</v>
      </c>
      <c r="C571" s="15">
        <v>657</v>
      </c>
      <c r="D571" s="5">
        <v>278</v>
      </c>
      <c r="E571" s="5">
        <v>102</v>
      </c>
      <c r="F571" s="5">
        <v>3.7128809999999999</v>
      </c>
      <c r="G571" s="12">
        <f>VLOOKUP(A571,'[1]all FNCL'!A$2:B$993,2)</f>
        <v>0.80807149473903706</v>
      </c>
      <c r="H571" s="3" t="s">
        <v>583</v>
      </c>
      <c r="I571">
        <v>0.42413376349642801</v>
      </c>
      <c r="J571">
        <f>VLOOKUP(A571,'YB OAS'!B:F,5,0)</f>
        <v>559.482483</v>
      </c>
      <c r="K571" s="40">
        <f>VLOOKUP(A571,'Refi Universe'!E:F,2,0)</f>
        <v>0.69142342000000001</v>
      </c>
    </row>
    <row r="572" spans="1:11" ht="15" x14ac:dyDescent="0.25">
      <c r="A572" s="14">
        <v>41408</v>
      </c>
      <c r="B572" s="15">
        <v>659</v>
      </c>
      <c r="C572" s="15">
        <v>659</v>
      </c>
      <c r="D572" s="5">
        <v>285</v>
      </c>
      <c r="E572" s="5">
        <v>112</v>
      </c>
      <c r="F572" s="5">
        <v>3.7311070000000002</v>
      </c>
      <c r="G572" s="12">
        <f>VLOOKUP(A572,'[1]all FNCL'!A$2:B$993,2)</f>
        <v>0.80807149473903706</v>
      </c>
      <c r="H572" s="3" t="s">
        <v>584</v>
      </c>
      <c r="I572">
        <v>0.43538889187038299</v>
      </c>
      <c r="J572">
        <f>VLOOKUP(A572,'YB OAS'!B:F,5,0)</f>
        <v>562.56280500000003</v>
      </c>
      <c r="K572" s="40">
        <f>VLOOKUP(A572,'Refi Universe'!E:F,2,0)</f>
        <v>0.66956373000000002</v>
      </c>
    </row>
    <row r="573" spans="1:11" ht="15" x14ac:dyDescent="0.25">
      <c r="A573" s="14">
        <v>41409</v>
      </c>
      <c r="B573" s="15">
        <v>664</v>
      </c>
      <c r="C573" s="15">
        <v>664</v>
      </c>
      <c r="D573" s="5">
        <v>276</v>
      </c>
      <c r="E573" s="5">
        <v>107</v>
      </c>
      <c r="F573" s="5">
        <v>3.7349019999999999</v>
      </c>
      <c r="G573" s="12">
        <f>VLOOKUP(A573,'[1]all FNCL'!A$2:B$993,2)</f>
        <v>0.80807149473903706</v>
      </c>
      <c r="H573" s="3" t="s">
        <v>585</v>
      </c>
      <c r="I573">
        <v>0.43538889187038299</v>
      </c>
      <c r="J573">
        <f>VLOOKUP(A573,'YB OAS'!B:F,5,0)</f>
        <v>553.22668499999997</v>
      </c>
      <c r="K573" s="40">
        <f>VLOOKUP(A573,'Refi Universe'!E:F,2,0)</f>
        <v>0.72537130999999999</v>
      </c>
    </row>
    <row r="574" spans="1:11" ht="15" x14ac:dyDescent="0.25">
      <c r="A574" s="14">
        <v>41410</v>
      </c>
      <c r="B574" s="15">
        <v>704</v>
      </c>
      <c r="C574" s="15">
        <v>704</v>
      </c>
      <c r="D574" s="5">
        <v>278</v>
      </c>
      <c r="E574" s="5">
        <v>78</v>
      </c>
      <c r="F574" s="5">
        <v>3.686512</v>
      </c>
      <c r="G574" s="12">
        <f>VLOOKUP(A574,'[1]all FNCL'!A$2:B$993,2)</f>
        <v>0.80807149473903706</v>
      </c>
      <c r="H574" s="3" t="s">
        <v>586</v>
      </c>
      <c r="I574">
        <v>0.43538889187038299</v>
      </c>
      <c r="J574">
        <f>VLOOKUP(A574,'YB OAS'!B:F,5,0)</f>
        <v>576.79821800000002</v>
      </c>
      <c r="K574" s="40">
        <f>VLOOKUP(A574,'Refi Universe'!E:F,2,0)</f>
        <v>0.79431673999999997</v>
      </c>
    </row>
    <row r="575" spans="1:11" ht="15" x14ac:dyDescent="0.25">
      <c r="A575" s="14">
        <v>41411</v>
      </c>
      <c r="B575" s="15">
        <v>715</v>
      </c>
      <c r="C575" s="15">
        <v>715</v>
      </c>
      <c r="D575" s="5">
        <v>301</v>
      </c>
      <c r="E575" s="5">
        <v>130</v>
      </c>
      <c r="F575" s="5">
        <v>3.746327</v>
      </c>
      <c r="G575" s="12">
        <f>VLOOKUP(A575,'[1]all FNCL'!A$2:B$993,2)</f>
        <v>0.80807149473903706</v>
      </c>
      <c r="H575" s="3" t="s">
        <v>587</v>
      </c>
      <c r="I575">
        <v>0.43538889187038299</v>
      </c>
      <c r="J575">
        <f>VLOOKUP(A575,'YB OAS'!B:F,5,0)</f>
        <v>603.03363000000002</v>
      </c>
      <c r="K575" s="40">
        <f>VLOOKUP(A575,'Refi Universe'!E:F,2,0)</f>
        <v>0.69528027999999997</v>
      </c>
    </row>
    <row r="576" spans="1:11" ht="15" x14ac:dyDescent="0.25">
      <c r="A576" s="14">
        <v>41414</v>
      </c>
      <c r="B576" s="15">
        <v>794</v>
      </c>
      <c r="C576" s="15">
        <v>794</v>
      </c>
      <c r="D576" s="5">
        <v>297</v>
      </c>
      <c r="E576" s="5">
        <v>133</v>
      </c>
      <c r="F576" s="5">
        <v>3.7603580000000001</v>
      </c>
      <c r="G576" s="12">
        <f>VLOOKUP(A576,'[1]all FNCL'!A$2:B$993,2)</f>
        <v>0.77783403735744605</v>
      </c>
      <c r="H576" s="3" t="s">
        <v>588</v>
      </c>
      <c r="I576">
        <v>0.43538889187038299</v>
      </c>
      <c r="J576">
        <f>VLOOKUP(A576,'YB OAS'!B:F,5,0)</f>
        <v>614.75439500000005</v>
      </c>
      <c r="K576" s="40">
        <f>VLOOKUP(A576,'Refi Universe'!E:F,2,0)</f>
        <v>0.67816416000000002</v>
      </c>
    </row>
    <row r="577" spans="1:11" ht="15" x14ac:dyDescent="0.25">
      <c r="A577" s="14">
        <v>41415</v>
      </c>
      <c r="B577" s="15">
        <v>734</v>
      </c>
      <c r="C577" s="15">
        <v>734</v>
      </c>
      <c r="D577" s="5">
        <v>289</v>
      </c>
      <c r="E577" s="5">
        <v>121</v>
      </c>
      <c r="F577" s="5">
        <v>3.7369460000000001</v>
      </c>
      <c r="G577" s="12">
        <f>VLOOKUP(A577,'[1]all FNCL'!A$2:B$993,2)</f>
        <v>0.77783403735744605</v>
      </c>
      <c r="H577" s="3" t="s">
        <v>589</v>
      </c>
      <c r="I577">
        <v>0.45105980423070802</v>
      </c>
      <c r="J577">
        <f>VLOOKUP(A577,'YB OAS'!B:F,5,0)</f>
        <v>622.50628700000004</v>
      </c>
      <c r="K577" s="40">
        <f>VLOOKUP(A577,'Refi Universe'!E:F,2,0)</f>
        <v>0.72319169000000005</v>
      </c>
    </row>
    <row r="578" spans="1:11" ht="15" x14ac:dyDescent="0.25">
      <c r="A578" s="14">
        <v>41416</v>
      </c>
      <c r="B578" s="15">
        <v>660</v>
      </c>
      <c r="C578" s="15">
        <v>660</v>
      </c>
      <c r="D578" s="5">
        <v>249</v>
      </c>
      <c r="E578" s="5">
        <v>103</v>
      </c>
      <c r="F578" s="5">
        <v>3.805679</v>
      </c>
      <c r="G578" s="12">
        <f>VLOOKUP(A578,'[1]all FNCL'!A$2:B$993,2)</f>
        <v>0.77783403735744605</v>
      </c>
      <c r="H578" s="3" t="s">
        <v>590</v>
      </c>
      <c r="I578">
        <v>0.45105980423070802</v>
      </c>
      <c r="J578">
        <f>VLOOKUP(A578,'YB OAS'!B:F,5,0)</f>
        <v>559.74871800000005</v>
      </c>
      <c r="K578" s="40">
        <f>VLOOKUP(A578,'Refi Universe'!E:F,2,0)</f>
        <v>0.65091405000000002</v>
      </c>
    </row>
    <row r="579" spans="1:11" ht="15" x14ac:dyDescent="0.25">
      <c r="A579" s="14">
        <v>41417</v>
      </c>
      <c r="B579" s="15">
        <v>621</v>
      </c>
      <c r="C579" s="15">
        <v>621</v>
      </c>
      <c r="D579" s="5">
        <v>233</v>
      </c>
      <c r="E579" s="5">
        <v>104</v>
      </c>
      <c r="F579" s="5">
        <v>3.8281179999999999</v>
      </c>
      <c r="G579" s="12">
        <f>VLOOKUP(A579,'[1]all FNCL'!A$2:B$993,2)</f>
        <v>0.69478056772037999</v>
      </c>
      <c r="H579" s="3" t="s">
        <v>591</v>
      </c>
      <c r="I579">
        <v>0.45105980423070802</v>
      </c>
      <c r="J579">
        <f>VLOOKUP(A579,'YB OAS'!B:F,5,0)</f>
        <v>538.107483</v>
      </c>
      <c r="K579" s="40">
        <f>VLOOKUP(A579,'Refi Universe'!E:F,2,0)</f>
        <v>0.64488252000000001</v>
      </c>
    </row>
    <row r="580" spans="1:11" ht="15" x14ac:dyDescent="0.25">
      <c r="A580" s="14">
        <v>41418</v>
      </c>
      <c r="B580" s="15">
        <v>622</v>
      </c>
      <c r="C580" s="15">
        <v>622</v>
      </c>
      <c r="D580" s="5">
        <v>250</v>
      </c>
      <c r="E580" s="5">
        <v>107</v>
      </c>
      <c r="F580" s="5">
        <v>3.8223189999999998</v>
      </c>
      <c r="G580" s="12">
        <f>VLOOKUP(A580,'[1]all FNCL'!A$2:B$993,2)</f>
        <v>0.69478056772037999</v>
      </c>
      <c r="H580" s="3" t="s">
        <v>592</v>
      </c>
      <c r="I580">
        <v>0.45105980423070802</v>
      </c>
      <c r="J580">
        <f>VLOOKUP(A580,'YB OAS'!B:F,5,0)</f>
        <v>535.80688499999997</v>
      </c>
      <c r="K580" s="40">
        <f>VLOOKUP(A580,'Refi Universe'!E:F,2,0)</f>
        <v>0.64577068999999998</v>
      </c>
    </row>
    <row r="581" spans="1:11" ht="15" x14ac:dyDescent="0.25">
      <c r="A581" s="14">
        <v>41422</v>
      </c>
      <c r="B581" s="15">
        <v>536</v>
      </c>
      <c r="C581" s="15">
        <v>536</v>
      </c>
      <c r="D581" s="5">
        <v>253</v>
      </c>
      <c r="E581" s="5">
        <v>130</v>
      </c>
      <c r="F581" s="5">
        <v>3.9159259999999998</v>
      </c>
      <c r="G581" s="12">
        <f>VLOOKUP(A581,'[1]all FNCL'!A$2:B$993,2)</f>
        <v>0.69478056772037999</v>
      </c>
      <c r="H581" s="3" t="s">
        <v>593</v>
      </c>
      <c r="I581">
        <v>0.45105980423070802</v>
      </c>
      <c r="J581">
        <f>VLOOKUP(A581,'YB OAS'!B:F,5,0)</f>
        <v>454.04580700000002</v>
      </c>
      <c r="K581" s="40">
        <f>VLOOKUP(A581,'Refi Universe'!E:F,2,0)</f>
        <v>0.63160108999999998</v>
      </c>
    </row>
    <row r="582" spans="1:11" ht="15" x14ac:dyDescent="0.25">
      <c r="A582" s="14">
        <v>41423</v>
      </c>
      <c r="B582" s="15">
        <v>528</v>
      </c>
      <c r="C582" s="15">
        <v>528</v>
      </c>
      <c r="D582" s="5">
        <v>239</v>
      </c>
      <c r="E582" s="5">
        <v>124</v>
      </c>
      <c r="F582" s="5">
        <v>3.8981460000000001</v>
      </c>
      <c r="G582" s="12">
        <f>VLOOKUP(A582,'[1]all FNCL'!A$2:B$993,2)</f>
        <v>0.69478056772037999</v>
      </c>
      <c r="H582" s="3" t="s">
        <v>594</v>
      </c>
      <c r="I582">
        <v>0.45105980423070802</v>
      </c>
      <c r="J582">
        <f>VLOOKUP(A582,'YB OAS'!B:F,5,0)</f>
        <v>440.42199699999998</v>
      </c>
      <c r="K582" s="40">
        <f>VLOOKUP(A582,'Refi Universe'!E:F,2,0)</f>
        <v>0.62947549999999997</v>
      </c>
    </row>
    <row r="583" spans="1:11" ht="15" x14ac:dyDescent="0.25">
      <c r="A583" s="14">
        <v>41424</v>
      </c>
      <c r="B583" s="15">
        <v>550</v>
      </c>
      <c r="C583" s="15">
        <v>550</v>
      </c>
      <c r="D583" s="5">
        <v>252</v>
      </c>
      <c r="E583" s="5">
        <v>130</v>
      </c>
      <c r="F583" s="5">
        <v>3.8840910000000002</v>
      </c>
      <c r="G583" s="12">
        <f>VLOOKUP(A583,'[1]all FNCL'!A$2:B$993,2)</f>
        <v>0.635194452728709</v>
      </c>
      <c r="H583" s="3" t="s">
        <v>595</v>
      </c>
      <c r="I583">
        <v>0.45105980423070802</v>
      </c>
      <c r="J583">
        <f>VLOOKUP(A583,'YB OAS'!B:F,5,0)</f>
        <v>456.204407</v>
      </c>
      <c r="K583" s="40">
        <f>VLOOKUP(A583,'Refi Universe'!E:F,2,0)</f>
        <v>0.63071074000000005</v>
      </c>
    </row>
    <row r="584" spans="1:11" ht="15" x14ac:dyDescent="0.25">
      <c r="A584" s="14">
        <v>41425</v>
      </c>
      <c r="B584" s="15">
        <v>523</v>
      </c>
      <c r="C584" s="15">
        <v>523</v>
      </c>
      <c r="D584" s="5">
        <v>248</v>
      </c>
      <c r="E584" s="5">
        <v>115</v>
      </c>
      <c r="F584" s="5">
        <v>3.9224380000000001</v>
      </c>
      <c r="G584" s="12">
        <f>VLOOKUP(A584,'[1]all FNCL'!A$2:B$993,2)</f>
        <v>0.635194452728709</v>
      </c>
      <c r="H584" s="3" t="s">
        <v>596</v>
      </c>
      <c r="I584">
        <v>0.44686834225614502</v>
      </c>
      <c r="J584">
        <f>VLOOKUP(A584,'YB OAS'!B:F,5,0)</f>
        <v>443.104309</v>
      </c>
      <c r="K584" s="40">
        <f>VLOOKUP(A584,'Refi Universe'!E:F,2,0)</f>
        <v>0.62532821000000005</v>
      </c>
    </row>
    <row r="585" spans="1:11" ht="15" x14ac:dyDescent="0.25">
      <c r="A585" s="14">
        <v>41428</v>
      </c>
      <c r="B585" s="15">
        <v>516</v>
      </c>
      <c r="C585" s="15">
        <v>516</v>
      </c>
      <c r="D585" s="5">
        <v>249</v>
      </c>
      <c r="E585" s="5">
        <v>129</v>
      </c>
      <c r="F585" s="5">
        <v>3.927</v>
      </c>
      <c r="G585" s="12">
        <f>VLOOKUP(A585,'[1]all FNCL'!A$2:B$993,2)</f>
        <v>0.614848697284054</v>
      </c>
      <c r="H585" s="3" t="s">
        <v>597</v>
      </c>
      <c r="I585">
        <v>0.44686834225614502</v>
      </c>
      <c r="J585">
        <f>VLOOKUP(A585,'YB OAS'!B:F,5,0)</f>
        <v>431.718414</v>
      </c>
      <c r="K585" s="40">
        <f>VLOOKUP(A585,'Refi Universe'!E:F,2,0)</f>
        <v>0.60388423000000002</v>
      </c>
    </row>
    <row r="586" spans="1:11" ht="15" x14ac:dyDescent="0.25">
      <c r="A586" s="14">
        <v>41429</v>
      </c>
      <c r="B586" s="15">
        <v>537</v>
      </c>
      <c r="C586" s="15">
        <v>537</v>
      </c>
      <c r="D586" s="5">
        <v>263</v>
      </c>
      <c r="E586" s="5">
        <v>145</v>
      </c>
      <c r="F586" s="5">
        <v>3.9476049999999998</v>
      </c>
      <c r="G586" s="12">
        <f>VLOOKUP(A586,'[1]all FNCL'!A$2:B$993,2)</f>
        <v>0.614848697284054</v>
      </c>
      <c r="H586" s="3" t="s">
        <v>598</v>
      </c>
      <c r="I586">
        <v>0.44686834225614502</v>
      </c>
      <c r="J586">
        <f>VLOOKUP(A586,'YB OAS'!B:F,5,0)</f>
        <v>446.81021099999998</v>
      </c>
      <c r="K586" s="40">
        <f>VLOOKUP(A586,'Refi Universe'!E:F,2,0)</f>
        <v>0.59229140999999996</v>
      </c>
    </row>
    <row r="587" spans="1:11" ht="15" x14ac:dyDescent="0.25">
      <c r="A587" s="14">
        <v>41430</v>
      </c>
      <c r="B587" s="15">
        <v>563</v>
      </c>
      <c r="C587" s="15">
        <v>563</v>
      </c>
      <c r="D587" s="5">
        <v>286</v>
      </c>
      <c r="E587" s="5">
        <v>161</v>
      </c>
      <c r="F587" s="5">
        <v>3.938539</v>
      </c>
      <c r="G587" s="12">
        <f>VLOOKUP(A587,'[1]all FNCL'!A$2:B$993,2)</f>
        <v>0.614848697284054</v>
      </c>
      <c r="H587" s="3" t="s">
        <v>599</v>
      </c>
      <c r="I587">
        <v>0.44686834225614502</v>
      </c>
      <c r="J587">
        <f>VLOOKUP(A587,'YB OAS'!B:F,5,0)</f>
        <v>469.95941199999999</v>
      </c>
      <c r="K587" s="40">
        <f>VLOOKUP(A587,'Refi Universe'!E:F,2,0)</f>
        <v>0.60259748000000002</v>
      </c>
    </row>
    <row r="588" spans="1:11" ht="15" x14ac:dyDescent="0.25">
      <c r="A588" s="14">
        <v>41431</v>
      </c>
      <c r="B588" s="15">
        <v>579</v>
      </c>
      <c r="C588" s="15">
        <v>579</v>
      </c>
      <c r="D588" s="5">
        <v>272</v>
      </c>
      <c r="E588" s="5">
        <v>141</v>
      </c>
      <c r="F588" s="5">
        <v>3.9091450000000001</v>
      </c>
      <c r="G588" s="12">
        <f>VLOOKUP(A588,'[1]all FNCL'!A$2:B$993,2)</f>
        <v>0.60559705603105995</v>
      </c>
      <c r="H588" s="3" t="s">
        <v>600</v>
      </c>
      <c r="I588">
        <v>0.44686834225614502</v>
      </c>
      <c r="J588">
        <f>VLOOKUP(A588,'YB OAS'!B:F,5,0)</f>
        <v>488.51119999999997</v>
      </c>
      <c r="K588" s="40">
        <f>VLOOKUP(A588,'Refi Universe'!E:F,2,0)</f>
        <v>0.60807341999999998</v>
      </c>
    </row>
    <row r="589" spans="1:11" ht="15" x14ac:dyDescent="0.25">
      <c r="A589" s="14">
        <v>41432</v>
      </c>
      <c r="B589" s="15">
        <v>510</v>
      </c>
      <c r="C589" s="15">
        <v>510</v>
      </c>
      <c r="D589" s="5">
        <v>249</v>
      </c>
      <c r="E589" s="5">
        <v>131</v>
      </c>
      <c r="F589" s="5">
        <v>3.9533160000000001</v>
      </c>
      <c r="G589" s="12">
        <f>VLOOKUP(A589,'[1]all FNCL'!A$2:B$993,2)</f>
        <v>0.60559705603105995</v>
      </c>
      <c r="H589" s="3" t="s">
        <v>601</v>
      </c>
      <c r="I589">
        <v>0.44686834225614502</v>
      </c>
      <c r="J589">
        <f>VLOOKUP(A589,'YB OAS'!B:F,5,0)</f>
        <v>444.13970899999998</v>
      </c>
      <c r="K589" s="40">
        <f>VLOOKUP(A589,'Refi Universe'!E:F,2,0)</f>
        <v>0.59389106999999997</v>
      </c>
    </row>
    <row r="590" spans="1:11" ht="15" x14ac:dyDescent="0.25">
      <c r="A590" s="14">
        <v>41435</v>
      </c>
      <c r="B590" s="15">
        <v>498</v>
      </c>
      <c r="C590" s="15">
        <v>498</v>
      </c>
      <c r="D590" s="5">
        <v>236</v>
      </c>
      <c r="E590" s="5">
        <v>116</v>
      </c>
      <c r="F590" s="5">
        <v>3.9747150000000002</v>
      </c>
      <c r="G590" s="12">
        <f>VLOOKUP(A590,'[1]all FNCL'!A$2:B$993,2)</f>
        <v>0.60559705603105995</v>
      </c>
      <c r="H590" s="3" t="s">
        <v>602</v>
      </c>
      <c r="I590">
        <v>0.44686834225614502</v>
      </c>
      <c r="J590">
        <f>VLOOKUP(A590,'YB OAS'!B:F,5,0)</f>
        <v>441.66720600000002</v>
      </c>
      <c r="K590" s="40">
        <f>VLOOKUP(A590,'Refi Universe'!E:F,2,0)</f>
        <v>0.57834057000000005</v>
      </c>
    </row>
    <row r="591" spans="1:11" ht="15" x14ac:dyDescent="0.25">
      <c r="A591" s="14">
        <v>41436</v>
      </c>
      <c r="B591" s="15">
        <v>500</v>
      </c>
      <c r="C591" s="15">
        <v>500</v>
      </c>
      <c r="D591" s="5">
        <v>229</v>
      </c>
      <c r="E591" s="5">
        <v>111</v>
      </c>
      <c r="F591" s="5">
        <v>3.9492229999999999</v>
      </c>
      <c r="G591" s="12">
        <f>VLOOKUP(A591,'[1]all FNCL'!A$2:B$993,2)</f>
        <v>0.60559705603105995</v>
      </c>
      <c r="H591" s="3" t="s">
        <v>603</v>
      </c>
      <c r="I591">
        <v>0.43119648526610799</v>
      </c>
      <c r="J591">
        <f>VLOOKUP(A591,'YB OAS'!B:F,5,0)</f>
        <v>439.63009599999998</v>
      </c>
      <c r="K591" s="40">
        <f>VLOOKUP(A591,'Refi Universe'!E:F,2,0)</f>
        <v>0.59643793000000001</v>
      </c>
    </row>
    <row r="592" spans="1:11" ht="15" x14ac:dyDescent="0.25">
      <c r="A592" s="14">
        <v>41437</v>
      </c>
      <c r="B592" s="15">
        <v>496</v>
      </c>
      <c r="C592" s="15">
        <v>496</v>
      </c>
      <c r="D592" s="5">
        <v>230</v>
      </c>
      <c r="E592" s="5">
        <v>112</v>
      </c>
      <c r="F592" s="5">
        <v>3.9722360000000001</v>
      </c>
      <c r="G592" s="12">
        <f>VLOOKUP(A592,'[1]all FNCL'!A$2:B$993,2)</f>
        <v>0.60559705603105995</v>
      </c>
      <c r="H592" s="3" t="s">
        <v>604</v>
      </c>
      <c r="I592">
        <v>0.43119648526610799</v>
      </c>
      <c r="J592">
        <f>VLOOKUP(A592,'YB OAS'!B:F,5,0)</f>
        <v>425.37008700000001</v>
      </c>
      <c r="K592" s="40">
        <f>VLOOKUP(A592,'Refi Universe'!E:F,2,0)</f>
        <v>0.55153556000000004</v>
      </c>
    </row>
    <row r="593" spans="1:11" ht="15" x14ac:dyDescent="0.25">
      <c r="A593" s="14">
        <v>41438</v>
      </c>
      <c r="B593" s="15">
        <v>494</v>
      </c>
      <c r="C593" s="15">
        <v>494</v>
      </c>
      <c r="D593" s="5">
        <v>237</v>
      </c>
      <c r="E593" s="5">
        <v>107</v>
      </c>
      <c r="F593" s="5">
        <v>3.9353919999999998</v>
      </c>
      <c r="G593" s="12">
        <f>VLOOKUP(A593,'[1]all FNCL'!A$2:B$993,2)</f>
        <v>0.57343184072471898</v>
      </c>
      <c r="H593" s="3" t="s">
        <v>605</v>
      </c>
      <c r="I593">
        <v>0.43119648526610799</v>
      </c>
      <c r="J593">
        <f>VLOOKUP(A593,'YB OAS'!B:F,5,0)</f>
        <v>426.44461100000001</v>
      </c>
      <c r="K593" s="40">
        <f>VLOOKUP(A593,'Refi Universe'!E:F,2,0)</f>
        <v>0.58616818000000004</v>
      </c>
    </row>
    <row r="594" spans="1:11" ht="15" x14ac:dyDescent="0.25">
      <c r="A594" s="14">
        <v>41439</v>
      </c>
      <c r="B594" s="15">
        <v>495</v>
      </c>
      <c r="C594" s="15">
        <v>495</v>
      </c>
      <c r="D594" s="5">
        <v>252</v>
      </c>
      <c r="E594" s="5">
        <v>117</v>
      </c>
      <c r="F594" s="5">
        <v>3.905583</v>
      </c>
      <c r="G594" s="12">
        <f>VLOOKUP(A594,'[1]all FNCL'!A$2:B$993,2)</f>
        <v>0.57343184072471898</v>
      </c>
      <c r="H594" s="3" t="s">
        <v>606</v>
      </c>
      <c r="I594">
        <v>0.43119648526610799</v>
      </c>
      <c r="J594">
        <f>VLOOKUP(A594,'YB OAS'!B:F,5,0)</f>
        <v>435.21530200000001</v>
      </c>
      <c r="K594" s="40">
        <f>VLOOKUP(A594,'Refi Universe'!E:F,2,0)</f>
        <v>0.60357554000000002</v>
      </c>
    </row>
    <row r="595" spans="1:11" ht="15" x14ac:dyDescent="0.25">
      <c r="A595" s="14">
        <v>41442</v>
      </c>
      <c r="B595" s="15">
        <v>489</v>
      </c>
      <c r="C595" s="15">
        <v>489</v>
      </c>
      <c r="D595" s="5">
        <v>249</v>
      </c>
      <c r="E595" s="5">
        <v>123</v>
      </c>
      <c r="F595" s="5">
        <v>3.9459050000000002</v>
      </c>
      <c r="G595" s="12">
        <f>VLOOKUP(A595,'[1]all FNCL'!A$2:B$993,2)</f>
        <v>0.57343184072471898</v>
      </c>
      <c r="H595" s="3" t="s">
        <v>607</v>
      </c>
      <c r="I595">
        <v>0.43119648526610799</v>
      </c>
      <c r="J595">
        <f>VLOOKUP(A595,'YB OAS'!B:F,5,0)</f>
        <v>427.42440800000003</v>
      </c>
      <c r="K595" s="40">
        <f>VLOOKUP(A595,'Refi Universe'!E:F,2,0)</f>
        <v>0.57679937999999997</v>
      </c>
    </row>
    <row r="596" spans="1:11" ht="15" x14ac:dyDescent="0.25">
      <c r="A596" s="14">
        <v>41443</v>
      </c>
      <c r="B596" s="15">
        <v>473</v>
      </c>
      <c r="C596" s="15">
        <v>473</v>
      </c>
      <c r="D596" s="5">
        <v>234</v>
      </c>
      <c r="E596" s="5">
        <v>108</v>
      </c>
      <c r="F596" s="5">
        <v>3.94428</v>
      </c>
      <c r="G596" s="12">
        <f>VLOOKUP(A596,'[1]all FNCL'!A$2:B$993,2)</f>
        <v>0.57343184072471898</v>
      </c>
      <c r="H596" s="3" t="s">
        <v>608</v>
      </c>
      <c r="I596">
        <v>0.37422484012928398</v>
      </c>
      <c r="J596">
        <f>VLOOKUP(A596,'YB OAS'!B:F,5,0)</f>
        <v>416.66519199999999</v>
      </c>
      <c r="K596" s="40">
        <f>VLOOKUP(A596,'Refi Universe'!E:F,2,0)</f>
        <v>0.57834057000000005</v>
      </c>
    </row>
    <row r="597" spans="1:11" ht="15" x14ac:dyDescent="0.25">
      <c r="A597" s="14">
        <v>41444</v>
      </c>
      <c r="B597" s="15">
        <v>441</v>
      </c>
      <c r="C597" s="15">
        <v>441</v>
      </c>
      <c r="D597" s="5">
        <v>222</v>
      </c>
      <c r="E597" s="5">
        <v>110</v>
      </c>
      <c r="F597" s="5">
        <v>4.0609149999999996</v>
      </c>
      <c r="G597" s="12">
        <f>VLOOKUP(A597,'[1]all FNCL'!A$2:B$993,2)</f>
        <v>0.57343184072471898</v>
      </c>
      <c r="H597" s="3" t="s">
        <v>609</v>
      </c>
      <c r="I597">
        <v>0.37422484012928398</v>
      </c>
      <c r="J597">
        <f>VLOOKUP(A597,'YB OAS'!B:F,5,0)</f>
        <v>374.49951199999998</v>
      </c>
      <c r="K597" s="40">
        <f>VLOOKUP(A597,'Refi Universe'!E:F,2,0)</f>
        <v>0.50423591999999995</v>
      </c>
    </row>
    <row r="598" spans="1:11" ht="15" x14ac:dyDescent="0.25">
      <c r="A598" s="14">
        <v>41445</v>
      </c>
      <c r="B598" s="15">
        <v>372</v>
      </c>
      <c r="C598" s="15">
        <v>372</v>
      </c>
      <c r="D598" s="5">
        <v>202</v>
      </c>
      <c r="E598" s="5">
        <v>109</v>
      </c>
      <c r="F598" s="5">
        <v>4.1912469999999997</v>
      </c>
      <c r="G598" s="12">
        <f>VLOOKUP(A598,'[1]all FNCL'!A$2:B$993,2)</f>
        <v>0.60175540147873097</v>
      </c>
      <c r="H598" s="3" t="s">
        <v>610</v>
      </c>
      <c r="I598">
        <v>0.37422484012928398</v>
      </c>
      <c r="J598">
        <f>VLOOKUP(A598,'YB OAS'!B:F,5,0)</f>
        <v>348.81408699999997</v>
      </c>
      <c r="K598" s="40">
        <f>VLOOKUP(A598,'Refi Universe'!E:F,2,0)</f>
        <v>0.45672223000000001</v>
      </c>
    </row>
    <row r="599" spans="1:11" ht="15" x14ac:dyDescent="0.25">
      <c r="A599" s="14">
        <v>41446</v>
      </c>
      <c r="B599" s="15">
        <v>373</v>
      </c>
      <c r="C599" s="15">
        <v>373</v>
      </c>
      <c r="D599" s="5">
        <v>266</v>
      </c>
      <c r="E599" s="5">
        <v>142</v>
      </c>
      <c r="F599" s="5">
        <v>4.332382</v>
      </c>
      <c r="G599" s="12">
        <f>VLOOKUP(A599,'[1]all FNCL'!A$2:B$993,2)</f>
        <v>0.60175540147873097</v>
      </c>
      <c r="H599" s="3" t="s">
        <v>611</v>
      </c>
      <c r="I599">
        <v>0.37422484012928398</v>
      </c>
      <c r="J599">
        <f>VLOOKUP(A599,'YB OAS'!B:F,5,0)</f>
        <v>320.869507</v>
      </c>
      <c r="K599" s="40">
        <f>VLOOKUP(A599,'Refi Universe'!E:F,2,0)</f>
        <v>0.44323100999999998</v>
      </c>
    </row>
    <row r="600" spans="1:11" ht="15" x14ac:dyDescent="0.25">
      <c r="A600" s="14">
        <v>41449</v>
      </c>
      <c r="B600" s="15">
        <v>377</v>
      </c>
      <c r="C600" s="15">
        <v>377</v>
      </c>
      <c r="D600" s="5">
        <v>258</v>
      </c>
      <c r="E600" s="5">
        <v>156</v>
      </c>
      <c r="F600" s="5">
        <v>4.3744639999999997</v>
      </c>
      <c r="G600" s="12">
        <f>VLOOKUP(A600,'[1]all FNCL'!A$2:B$993,2)</f>
        <v>0.60175540147873097</v>
      </c>
      <c r="H600" s="3" t="s">
        <v>612</v>
      </c>
      <c r="I600">
        <v>0.37422484012928398</v>
      </c>
      <c r="J600">
        <f>VLOOKUP(A600,'YB OAS'!B:F,5,0)</f>
        <v>312.10668900000002</v>
      </c>
      <c r="K600" s="40">
        <f>VLOOKUP(A600,'Refi Universe'!E:F,2,0)</f>
        <v>0.42893935</v>
      </c>
    </row>
    <row r="601" spans="1:11" ht="15" x14ac:dyDescent="0.25">
      <c r="A601" s="14">
        <v>41450</v>
      </c>
      <c r="B601" s="15">
        <v>380</v>
      </c>
      <c r="C601" s="15">
        <v>380</v>
      </c>
      <c r="D601" s="5">
        <v>263</v>
      </c>
      <c r="E601" s="5">
        <v>161</v>
      </c>
      <c r="F601" s="5">
        <v>4.3846170000000004</v>
      </c>
      <c r="G601" s="12">
        <f>VLOOKUP(A601,'[1]all FNCL'!A$2:B$993,2)</f>
        <v>0.60175540147873097</v>
      </c>
      <c r="H601" s="3" t="s">
        <v>613</v>
      </c>
      <c r="I601">
        <v>0.38870901214480402</v>
      </c>
      <c r="J601">
        <f>VLOOKUP(A601,'YB OAS'!B:F,5,0)</f>
        <v>318.48089599999997</v>
      </c>
      <c r="K601" s="40">
        <f>VLOOKUP(A601,'Refi Universe'!E:F,2,0)</f>
        <v>0.41918834999999999</v>
      </c>
    </row>
    <row r="602" spans="1:11" ht="15" x14ac:dyDescent="0.25">
      <c r="A602" s="14">
        <v>41451</v>
      </c>
      <c r="B602" s="15">
        <v>400</v>
      </c>
      <c r="C602" s="15">
        <v>400</v>
      </c>
      <c r="D602" s="5">
        <v>277</v>
      </c>
      <c r="E602" s="5">
        <v>165</v>
      </c>
      <c r="F602" s="5">
        <v>4.3424569999999996</v>
      </c>
      <c r="G602" s="12">
        <f>VLOOKUP(A602,'[1]all FNCL'!A$2:B$993,2)</f>
        <v>0.60175540147873097</v>
      </c>
      <c r="H602" s="3" t="s">
        <v>614</v>
      </c>
      <c r="I602">
        <v>0.38870901214480402</v>
      </c>
      <c r="J602">
        <f>VLOOKUP(A602,'YB OAS'!B:F,5,0)</f>
        <v>328.15838600000001</v>
      </c>
      <c r="K602" s="40">
        <f>VLOOKUP(A602,'Refi Universe'!E:F,2,0)</f>
        <v>0.36913066</v>
      </c>
    </row>
    <row r="603" spans="1:11" ht="15" x14ac:dyDescent="0.25">
      <c r="A603" s="14">
        <v>41452</v>
      </c>
      <c r="B603" s="15">
        <v>548</v>
      </c>
      <c r="C603" s="15">
        <v>548</v>
      </c>
      <c r="D603" s="5">
        <v>278</v>
      </c>
      <c r="E603" s="5">
        <v>161</v>
      </c>
      <c r="F603" s="5">
        <v>4.2340200000000001</v>
      </c>
      <c r="G603" s="12">
        <f>VLOOKUP(A603,'[1]all FNCL'!A$2:B$993,2)</f>
        <v>0.41370007412069798</v>
      </c>
      <c r="H603" s="3" t="s">
        <v>615</v>
      </c>
      <c r="I603">
        <v>0.38870901214480402</v>
      </c>
      <c r="J603">
        <f>VLOOKUP(A603,'YB OAS'!B:F,5,0)</f>
        <v>355.79489100000001</v>
      </c>
      <c r="K603" s="40">
        <f>VLOOKUP(A603,'Refi Universe'!E:F,2,0)</f>
        <v>0.44367911999999998</v>
      </c>
    </row>
    <row r="604" spans="1:11" ht="15" x14ac:dyDescent="0.25">
      <c r="A604" s="14">
        <v>41453</v>
      </c>
      <c r="B604" s="15">
        <v>416</v>
      </c>
      <c r="C604" s="15">
        <v>416</v>
      </c>
      <c r="D604" s="5">
        <v>276</v>
      </c>
      <c r="E604" s="5">
        <v>156</v>
      </c>
      <c r="F604" s="5">
        <v>4.2190079999999996</v>
      </c>
      <c r="G604" s="12">
        <f>VLOOKUP(A604,'[1]all FNCL'!A$2:B$993,2)</f>
        <v>0.41370007412069798</v>
      </c>
      <c r="H604" s="3" t="s">
        <v>616</v>
      </c>
      <c r="I604">
        <v>0.38870901214480402</v>
      </c>
      <c r="J604">
        <f>VLOOKUP(A604,'YB OAS'!B:F,5,0)</f>
        <v>347.92450000000002</v>
      </c>
      <c r="K604" s="40">
        <f>VLOOKUP(A604,'Refi Universe'!E:F,2,0)</f>
        <v>0.44439106</v>
      </c>
    </row>
    <row r="605" spans="1:11" ht="15" x14ac:dyDescent="0.25">
      <c r="A605" s="14">
        <v>41456</v>
      </c>
      <c r="B605" s="15">
        <v>421</v>
      </c>
      <c r="C605" s="15">
        <v>421</v>
      </c>
      <c r="D605" s="5">
        <v>255</v>
      </c>
      <c r="E605" s="5">
        <v>139</v>
      </c>
      <c r="F605" s="5">
        <v>4.2146439999999998</v>
      </c>
      <c r="G605" s="12">
        <f>VLOOKUP(A605,'[1]all FNCL'!A$2:B$993,2)</f>
        <v>0.39643390905357601</v>
      </c>
      <c r="H605" s="3" t="s">
        <v>617</v>
      </c>
      <c r="I605">
        <v>0.38430847776478</v>
      </c>
      <c r="J605">
        <f>VLOOKUP(A605,'YB OAS'!B:F,5,0)</f>
        <v>334.00351000000001</v>
      </c>
      <c r="K605" s="40">
        <f>VLOOKUP(A605,'Refi Universe'!E:F,2,0)</f>
        <v>0.42692645000000001</v>
      </c>
    </row>
    <row r="606" spans="1:11" ht="15" x14ac:dyDescent="0.25">
      <c r="A606" s="14">
        <v>41457</v>
      </c>
      <c r="B606" s="15">
        <v>393</v>
      </c>
      <c r="C606" s="15">
        <v>393</v>
      </c>
      <c r="D606" s="5">
        <v>255</v>
      </c>
      <c r="E606" s="5">
        <v>152</v>
      </c>
      <c r="F606" s="5">
        <v>4.2199439999999999</v>
      </c>
      <c r="G606" s="12">
        <f>VLOOKUP(A606,'[1]all FNCL'!A$2:B$993,2)</f>
        <v>0.39643390905357601</v>
      </c>
      <c r="H606" s="3" t="s">
        <v>618</v>
      </c>
      <c r="I606">
        <v>0.38901935972403701</v>
      </c>
      <c r="J606">
        <f>VLOOKUP(A606,'YB OAS'!B:F,5,0)</f>
        <v>329.320312</v>
      </c>
      <c r="K606" s="40">
        <f>VLOOKUP(A606,'Refi Universe'!E:F,2,0)</f>
        <v>0.42614523999999998</v>
      </c>
    </row>
    <row r="607" spans="1:11" ht="15" x14ac:dyDescent="0.25">
      <c r="A607" s="14">
        <v>41458</v>
      </c>
      <c r="B607" s="15">
        <v>386</v>
      </c>
      <c r="C607" s="15">
        <v>386</v>
      </c>
      <c r="D607" s="5">
        <v>256</v>
      </c>
      <c r="E607" s="5">
        <v>153</v>
      </c>
      <c r="F607" s="5">
        <v>4.2733840000000001</v>
      </c>
      <c r="G607" s="12">
        <f>VLOOKUP(A607,'[1]all FNCL'!A$2:B$993,2)</f>
        <v>0.43308419457729302</v>
      </c>
      <c r="H607" s="3" t="s">
        <v>619</v>
      </c>
      <c r="I607">
        <v>0.38901935972403701</v>
      </c>
      <c r="J607">
        <f>VLOOKUP(A607,'YB OAS'!B:F,5,0)</f>
        <v>320.64331099999998</v>
      </c>
      <c r="K607" s="40">
        <f>VLOOKUP(A607,'Refi Universe'!E:F,2,0)</f>
        <v>0.42879772999999999</v>
      </c>
    </row>
    <row r="608" spans="1:11" ht="15" x14ac:dyDescent="0.25">
      <c r="A608" s="14">
        <v>41460</v>
      </c>
      <c r="B608" s="15">
        <v>345</v>
      </c>
      <c r="C608" s="15">
        <v>345</v>
      </c>
      <c r="D608" s="5">
        <v>247</v>
      </c>
      <c r="E608" s="5">
        <v>173</v>
      </c>
      <c r="F608" s="5">
        <v>4.5510130000000002</v>
      </c>
      <c r="G608" s="12">
        <f>VLOOKUP(A608,'[1]all FNCL'!A$2:B$993,2)</f>
        <v>0.43308419457729302</v>
      </c>
      <c r="H608" s="3" t="s">
        <v>620</v>
      </c>
      <c r="I608">
        <v>0.38901935972403701</v>
      </c>
      <c r="J608">
        <f>VLOOKUP(A608,'YB OAS'!B:F,5,0)</f>
        <v>291.90451000000002</v>
      </c>
      <c r="K608" s="40">
        <f>VLOOKUP(A608,'Refi Universe'!E:F,2,0)</f>
        <v>0.28872759999999997</v>
      </c>
    </row>
    <row r="609" spans="1:11" ht="15" x14ac:dyDescent="0.25">
      <c r="A609" s="14">
        <v>41463</v>
      </c>
      <c r="B609" s="15">
        <v>342</v>
      </c>
      <c r="C609" s="15">
        <v>342</v>
      </c>
      <c r="D609" s="5">
        <v>251</v>
      </c>
      <c r="E609" s="5">
        <v>163</v>
      </c>
      <c r="F609" s="5">
        <v>4.4292230000000004</v>
      </c>
      <c r="G609" s="12">
        <f>VLOOKUP(A609,'[1]all FNCL'!A$2:B$993,2)</f>
        <v>0.43308419457729302</v>
      </c>
      <c r="H609" s="3" t="s">
        <v>621</v>
      </c>
      <c r="I609">
        <v>0.38901935972403701</v>
      </c>
      <c r="J609">
        <f>VLOOKUP(A609,'YB OAS'!B:F,5,0)</f>
        <v>284.93368500000003</v>
      </c>
      <c r="K609" s="40">
        <f>VLOOKUP(A609,'Refi Universe'!E:F,2,0)</f>
        <v>0.33666590000000002</v>
      </c>
    </row>
    <row r="610" spans="1:11" ht="15" x14ac:dyDescent="0.25">
      <c r="A610" s="14">
        <v>41464</v>
      </c>
      <c r="B610" s="15">
        <v>326</v>
      </c>
      <c r="C610" s="15">
        <v>326</v>
      </c>
      <c r="D610" s="5">
        <v>238</v>
      </c>
      <c r="E610" s="5">
        <v>149</v>
      </c>
      <c r="F610" s="5">
        <v>4.3838499999999998</v>
      </c>
      <c r="G610" s="12">
        <f>VLOOKUP(A610,'[1]all FNCL'!A$2:B$993,2)</f>
        <v>0.43308419457729302</v>
      </c>
      <c r="H610" s="3" t="s">
        <v>622</v>
      </c>
      <c r="I610">
        <v>0.38901935972403701</v>
      </c>
      <c r="J610">
        <f>VLOOKUP(A610,'YB OAS'!B:F,5,0)</f>
        <v>274.01681500000001</v>
      </c>
      <c r="K610" s="40">
        <f>VLOOKUP(A610,'Refi Universe'!E:F,2,0)</f>
        <v>0.39961025999999999</v>
      </c>
    </row>
    <row r="611" spans="1:11" ht="15" x14ac:dyDescent="0.25">
      <c r="A611" s="14">
        <v>41465</v>
      </c>
      <c r="B611" s="15">
        <v>316</v>
      </c>
      <c r="C611" s="15">
        <v>316</v>
      </c>
      <c r="D611" s="5">
        <v>217</v>
      </c>
      <c r="E611" s="5">
        <v>152</v>
      </c>
      <c r="F611" s="5">
        <v>4.4739620000000002</v>
      </c>
      <c r="G611" s="12">
        <f>VLOOKUP(A611,'[1]all FNCL'!A$2:B$993,2)</f>
        <v>0.43308419457729302</v>
      </c>
      <c r="H611" s="3" t="s">
        <v>623</v>
      </c>
      <c r="I611">
        <v>0.42675826592863297</v>
      </c>
      <c r="J611">
        <f>VLOOKUP(A611,'YB OAS'!B:F,5,0)</f>
        <v>261.736603</v>
      </c>
      <c r="K611" s="40">
        <f>VLOOKUP(A611,'Refi Universe'!E:F,2,0)</f>
        <v>0.31225017999999999</v>
      </c>
    </row>
    <row r="612" spans="1:11" ht="15" x14ac:dyDescent="0.25">
      <c r="A612" s="14">
        <v>41466</v>
      </c>
      <c r="B612" s="15">
        <v>326</v>
      </c>
      <c r="C612" s="15">
        <v>326</v>
      </c>
      <c r="D612" s="5">
        <v>222</v>
      </c>
      <c r="E612" s="5">
        <v>153</v>
      </c>
      <c r="F612" s="5">
        <v>4.3609249999999999</v>
      </c>
      <c r="G612" s="12">
        <f>VLOOKUP(A612,'[1]all FNCL'!A$2:B$993,2)</f>
        <v>0.34039157628197098</v>
      </c>
      <c r="H612" s="3" t="s">
        <v>624</v>
      </c>
      <c r="I612">
        <v>0.42675826592863297</v>
      </c>
      <c r="J612">
        <f>VLOOKUP(A612,'YB OAS'!B:F,5,0)</f>
        <v>272.50949100000003</v>
      </c>
      <c r="K612" s="40">
        <f>VLOOKUP(A612,'Refi Universe'!E:F,2,0)</f>
        <v>0.41506283999999999</v>
      </c>
    </row>
    <row r="613" spans="1:11" ht="15" x14ac:dyDescent="0.25">
      <c r="A613" s="14">
        <v>41467</v>
      </c>
      <c r="B613" s="15">
        <v>329</v>
      </c>
      <c r="C613" s="15">
        <v>329</v>
      </c>
      <c r="D613" s="5">
        <v>222</v>
      </c>
      <c r="E613" s="5">
        <v>148</v>
      </c>
      <c r="F613" s="5">
        <v>4.368252</v>
      </c>
      <c r="G613" s="12">
        <f>VLOOKUP(A613,'[1]all FNCL'!A$2:B$993,2)</f>
        <v>0.34039157628197098</v>
      </c>
      <c r="H613" s="3" t="s">
        <v>625</v>
      </c>
      <c r="I613">
        <v>0.42675826592863297</v>
      </c>
      <c r="J613">
        <f>VLOOKUP(A613,'YB OAS'!B:F,5,0)</f>
        <v>282.134705</v>
      </c>
      <c r="K613" s="40">
        <f>VLOOKUP(A613,'Refi Universe'!E:F,2,0)</f>
        <v>0.41215266</v>
      </c>
    </row>
    <row r="614" spans="1:11" ht="15" x14ac:dyDescent="0.25">
      <c r="A614" s="14">
        <v>41470</v>
      </c>
      <c r="B614" s="15">
        <v>349</v>
      </c>
      <c r="C614" s="15">
        <v>349</v>
      </c>
      <c r="D614" s="5">
        <v>233</v>
      </c>
      <c r="E614" s="5">
        <v>155</v>
      </c>
      <c r="F614" s="5">
        <v>4.3053900000000001</v>
      </c>
      <c r="G614" s="12">
        <f>VLOOKUP(A614,'[1]all FNCL'!A$2:B$993,2)</f>
        <v>0.34039157628197098</v>
      </c>
      <c r="H614" s="3" t="s">
        <v>626</v>
      </c>
      <c r="I614">
        <v>0.42675826592863297</v>
      </c>
      <c r="J614">
        <f>VLOOKUP(A614,'YB OAS'!B:F,5,0)</f>
        <v>294.97000100000002</v>
      </c>
      <c r="K614" s="40">
        <f>VLOOKUP(A614,'Refi Universe'!E:F,2,0)</f>
        <v>0.42632069</v>
      </c>
    </row>
    <row r="615" spans="1:11" ht="15" x14ac:dyDescent="0.25">
      <c r="A615" s="14">
        <v>41471</v>
      </c>
      <c r="B615" s="15">
        <v>365</v>
      </c>
      <c r="C615" s="15">
        <v>365</v>
      </c>
      <c r="D615" s="5">
        <v>243</v>
      </c>
      <c r="E615" s="5">
        <v>165</v>
      </c>
      <c r="F615" s="5">
        <v>4.2927049999999998</v>
      </c>
      <c r="G615" s="12">
        <f>VLOOKUP(A615,'[1]all FNCL'!A$2:B$993,2)</f>
        <v>0.34039157628197098</v>
      </c>
      <c r="H615" s="3" t="s">
        <v>627</v>
      </c>
      <c r="I615">
        <v>0.54988615852829004</v>
      </c>
      <c r="J615">
        <f>VLOOKUP(A615,'YB OAS'!B:F,5,0)</f>
        <v>314.589294</v>
      </c>
      <c r="K615" s="40">
        <f>VLOOKUP(A615,'Refi Universe'!E:F,2,0)</f>
        <v>0.42713065</v>
      </c>
    </row>
    <row r="616" spans="1:11" ht="15" x14ac:dyDescent="0.25">
      <c r="A616" s="14">
        <v>41472</v>
      </c>
      <c r="B616" s="15">
        <v>371</v>
      </c>
      <c r="C616" s="15">
        <v>371</v>
      </c>
      <c r="D616" s="5">
        <v>247</v>
      </c>
      <c r="E616" s="5">
        <v>162</v>
      </c>
      <c r="F616" s="5">
        <v>4.2497429999999996</v>
      </c>
      <c r="G616" s="12">
        <f>VLOOKUP(A616,'[1]all FNCL'!A$2:B$993,2)</f>
        <v>0.34039157628197098</v>
      </c>
      <c r="H616" s="3" t="s">
        <v>628</v>
      </c>
      <c r="I616">
        <v>0.54988615852829004</v>
      </c>
      <c r="J616">
        <f>VLOOKUP(A616,'YB OAS'!B:F,5,0)</f>
        <v>325.76669299999998</v>
      </c>
      <c r="K616" s="40">
        <f>VLOOKUP(A616,'Refi Universe'!E:F,2,0)</f>
        <v>0.43264901</v>
      </c>
    </row>
    <row r="617" spans="1:11" ht="15" x14ac:dyDescent="0.25">
      <c r="A617" s="14">
        <v>41473</v>
      </c>
      <c r="B617" s="15">
        <v>387</v>
      </c>
      <c r="C617" s="15">
        <v>387</v>
      </c>
      <c r="D617" s="5">
        <v>249</v>
      </c>
      <c r="E617" s="5">
        <v>168</v>
      </c>
      <c r="F617" s="5">
        <v>4.2917810000000003</v>
      </c>
      <c r="G617" s="12">
        <f>VLOOKUP(A617,'[1]all FNCL'!A$2:B$993,2)</f>
        <v>0.426207408093986</v>
      </c>
      <c r="H617" s="3" t="s">
        <v>629</v>
      </c>
      <c r="I617">
        <v>0.54988615852829004</v>
      </c>
      <c r="J617">
        <f>VLOOKUP(A617,'YB OAS'!B:F,5,0)</f>
        <v>342.47820999999999</v>
      </c>
      <c r="K617" s="40">
        <f>VLOOKUP(A617,'Refi Universe'!E:F,2,0)</f>
        <v>0.42837238</v>
      </c>
    </row>
    <row r="618" spans="1:11" ht="15" x14ac:dyDescent="0.25">
      <c r="A618" s="14">
        <v>41474</v>
      </c>
      <c r="B618" s="15">
        <v>534</v>
      </c>
      <c r="C618" s="15">
        <v>534</v>
      </c>
      <c r="D618" s="5">
        <v>250</v>
      </c>
      <c r="E618" s="5">
        <v>164</v>
      </c>
      <c r="F618" s="5">
        <v>4.2400859999999998</v>
      </c>
      <c r="G618" s="12">
        <f>VLOOKUP(A618,'[1]all FNCL'!A$2:B$993,2)</f>
        <v>0.426207408093986</v>
      </c>
      <c r="H618" s="3" t="s">
        <v>630</v>
      </c>
      <c r="I618">
        <v>0.54988615852829004</v>
      </c>
      <c r="J618">
        <f>VLOOKUP(A618,'YB OAS'!B:F,5,0)</f>
        <v>344.66949499999998</v>
      </c>
      <c r="K618" s="40">
        <f>VLOOKUP(A618,'Refi Universe'!E:F,2,0)</f>
        <v>0.43340129999999999</v>
      </c>
    </row>
    <row r="619" spans="1:11" ht="15" x14ac:dyDescent="0.25">
      <c r="A619" s="14">
        <v>41477</v>
      </c>
      <c r="B619" s="15">
        <v>533</v>
      </c>
      <c r="C619" s="15">
        <v>533</v>
      </c>
      <c r="D619" s="5">
        <v>249</v>
      </c>
      <c r="E619" s="5">
        <v>162</v>
      </c>
      <c r="F619" s="5">
        <v>4.2313130000000001</v>
      </c>
      <c r="G619" s="12">
        <f>VLOOKUP(A619,'[1]all FNCL'!A$2:B$993,2)</f>
        <v>0.426207408093986</v>
      </c>
      <c r="H619" s="3" t="s">
        <v>631</v>
      </c>
      <c r="I619">
        <v>0.54988615852829004</v>
      </c>
      <c r="J619">
        <f>VLOOKUP(A619,'YB OAS'!B:F,5,0)</f>
        <v>352.96661399999999</v>
      </c>
      <c r="K619" s="40">
        <f>VLOOKUP(A619,'Refi Universe'!E:F,2,0)</f>
        <v>0.43375761000000002</v>
      </c>
    </row>
    <row r="620" spans="1:11" ht="15" x14ac:dyDescent="0.25">
      <c r="A620" s="14">
        <v>41478</v>
      </c>
      <c r="B620" s="15">
        <v>532</v>
      </c>
      <c r="C620" s="15">
        <v>532</v>
      </c>
      <c r="D620" s="5">
        <v>251</v>
      </c>
      <c r="E620" s="5">
        <v>164</v>
      </c>
      <c r="F620" s="5">
        <v>4.2684480000000002</v>
      </c>
      <c r="G620" s="12">
        <f>VLOOKUP(A620,'[1]all FNCL'!A$2:B$993,2)</f>
        <v>0.426207408093986</v>
      </c>
      <c r="H620" s="3" t="s">
        <v>632</v>
      </c>
      <c r="I620">
        <v>0.57517284737260699</v>
      </c>
      <c r="J620">
        <f>VLOOKUP(A620,'YB OAS'!B:F,5,0)</f>
        <v>351.70120200000002</v>
      </c>
      <c r="K620" s="40">
        <f>VLOOKUP(A620,'Refi Universe'!E:F,2,0)</f>
        <v>0.43127566000000001</v>
      </c>
    </row>
    <row r="621" spans="1:11" ht="15" x14ac:dyDescent="0.25">
      <c r="A621" s="14">
        <v>41479</v>
      </c>
      <c r="B621" s="15">
        <v>521</v>
      </c>
      <c r="C621" s="15">
        <v>521</v>
      </c>
      <c r="D621" s="5">
        <v>244</v>
      </c>
      <c r="E621" s="5">
        <v>161</v>
      </c>
      <c r="F621" s="5">
        <v>4.3270160000000004</v>
      </c>
      <c r="G621" s="12">
        <f>VLOOKUP(A621,'[1]all FNCL'!A$2:B$993,2)</f>
        <v>0.426207408093986</v>
      </c>
      <c r="H621" s="3" t="s">
        <v>633</v>
      </c>
      <c r="I621">
        <v>0.57517284737260699</v>
      </c>
      <c r="J621">
        <f>VLOOKUP(A621,'YB OAS'!B:F,5,0)</f>
        <v>339.864014</v>
      </c>
      <c r="K621" s="40">
        <f>VLOOKUP(A621,'Refi Universe'!E:F,2,0)</f>
        <v>0.42334037000000002</v>
      </c>
    </row>
    <row r="622" spans="1:11" ht="15" x14ac:dyDescent="0.25">
      <c r="A622" s="14">
        <v>41480</v>
      </c>
      <c r="B622" s="15">
        <v>528</v>
      </c>
      <c r="C622" s="15">
        <v>528</v>
      </c>
      <c r="D622" s="5">
        <v>242</v>
      </c>
      <c r="E622" s="5">
        <v>158</v>
      </c>
      <c r="F622" s="5">
        <v>4.3333539999999999</v>
      </c>
      <c r="G622" s="12">
        <f>VLOOKUP(A622,'[1]all FNCL'!A$2:B$993,2)</f>
        <v>0.43167939138876898</v>
      </c>
      <c r="H622" s="3" t="s">
        <v>634</v>
      </c>
      <c r="I622">
        <v>0.57517284737260699</v>
      </c>
      <c r="J622">
        <f>VLOOKUP(A622,'YB OAS'!B:F,5,0)</f>
        <v>346.75589000000002</v>
      </c>
      <c r="K622" s="40">
        <f>VLOOKUP(A622,'Refi Universe'!E:F,2,0)</f>
        <v>0.42186098999999999</v>
      </c>
    </row>
    <row r="623" spans="1:11" ht="15" x14ac:dyDescent="0.25">
      <c r="A623" s="14">
        <v>41481</v>
      </c>
      <c r="B623" s="15">
        <v>549</v>
      </c>
      <c r="C623" s="15">
        <v>549</v>
      </c>
      <c r="D623" s="5">
        <v>254</v>
      </c>
      <c r="E623" s="5">
        <v>166</v>
      </c>
      <c r="F623" s="5">
        <v>4.2962660000000001</v>
      </c>
      <c r="G623" s="12">
        <f>VLOOKUP(A623,'[1]all FNCL'!A$2:B$993,2)</f>
        <v>0.43167939138876898</v>
      </c>
      <c r="H623" s="3" t="s">
        <v>635</v>
      </c>
      <c r="I623">
        <v>0.57517284737260699</v>
      </c>
      <c r="J623">
        <f>VLOOKUP(A623,'YB OAS'!B:F,5,0)</f>
        <v>350.84619099999998</v>
      </c>
      <c r="K623" s="40">
        <f>VLOOKUP(A623,'Refi Universe'!E:F,2,0)</f>
        <v>0.42646224999999999</v>
      </c>
    </row>
    <row r="624" spans="1:11" ht="15" x14ac:dyDescent="0.25">
      <c r="A624" s="14">
        <v>41484</v>
      </c>
      <c r="B624" s="15">
        <v>533</v>
      </c>
      <c r="C624" s="15">
        <v>533</v>
      </c>
      <c r="D624" s="5">
        <v>246</v>
      </c>
      <c r="E624" s="5">
        <v>157</v>
      </c>
      <c r="F624" s="5">
        <v>4.3071010000000003</v>
      </c>
      <c r="G624" s="12">
        <f>VLOOKUP(A624,'[1]all FNCL'!A$2:B$993,2)</f>
        <v>0.43167939138876898</v>
      </c>
      <c r="H624" s="3" t="s">
        <v>636</v>
      </c>
      <c r="I624">
        <v>0.57517284737260699</v>
      </c>
      <c r="J624">
        <f>VLOOKUP(A624,'YB OAS'!B:F,5,0)</f>
        <v>346.19799799999998</v>
      </c>
      <c r="K624" s="40">
        <f>VLOOKUP(A624,'Refi Universe'!E:F,2,0)</f>
        <v>0.42603953</v>
      </c>
    </row>
    <row r="625" spans="1:11" ht="15" x14ac:dyDescent="0.25">
      <c r="A625" s="14">
        <v>41485</v>
      </c>
      <c r="B625" s="15">
        <v>499</v>
      </c>
      <c r="C625" s="15">
        <v>499</v>
      </c>
      <c r="D625" s="5">
        <v>229</v>
      </c>
      <c r="E625" s="5">
        <v>142</v>
      </c>
      <c r="F625" s="5">
        <v>4.3269979999999997</v>
      </c>
      <c r="G625" s="12">
        <f>VLOOKUP(A625,'[1]all FNCL'!A$2:B$993,2)</f>
        <v>0.43167939138876898</v>
      </c>
      <c r="H625" s="3" t="s">
        <v>637</v>
      </c>
      <c r="I625">
        <v>0.54355644019764404</v>
      </c>
      <c r="J625">
        <f>VLOOKUP(A625,'YB OAS'!B:F,5,0)</f>
        <v>316.01409899999999</v>
      </c>
      <c r="K625" s="40">
        <f>VLOOKUP(A625,'Refi Universe'!E:F,2,0)</f>
        <v>0.42348314999999997</v>
      </c>
    </row>
    <row r="626" spans="1:11" ht="15" x14ac:dyDescent="0.25">
      <c r="A626" s="14">
        <v>41486</v>
      </c>
      <c r="B626" s="15">
        <v>461</v>
      </c>
      <c r="C626" s="15">
        <v>461</v>
      </c>
      <c r="D626" s="5">
        <v>198</v>
      </c>
      <c r="E626" s="5">
        <v>118</v>
      </c>
      <c r="F626" s="5">
        <v>4.3098179999999999</v>
      </c>
      <c r="G626" s="12">
        <f>VLOOKUP(A626,'[1]all FNCL'!A$2:B$993,2)</f>
        <v>0.43167939138876898</v>
      </c>
      <c r="H626" s="3" t="s">
        <v>638</v>
      </c>
      <c r="I626">
        <v>0.54355644019764404</v>
      </c>
      <c r="J626">
        <f>VLOOKUP(A626,'YB OAS'!B:F,5,0)</f>
        <v>285.19229100000001</v>
      </c>
      <c r="K626" s="40">
        <f>VLOOKUP(A626,'Refi Universe'!E:F,2,0)</f>
        <v>0.42516652999999999</v>
      </c>
    </row>
    <row r="627" spans="1:11" ht="15" x14ac:dyDescent="0.25">
      <c r="A627" s="14">
        <v>41487</v>
      </c>
      <c r="B627" s="15">
        <v>427</v>
      </c>
      <c r="C627" s="15">
        <v>427</v>
      </c>
      <c r="D627" s="5">
        <v>183</v>
      </c>
      <c r="E627" s="5">
        <v>119</v>
      </c>
      <c r="F627" s="5">
        <v>4.4196200000000001</v>
      </c>
      <c r="G627" s="12">
        <f>VLOOKUP(A627,'[1]all FNCL'!A$2:B$993,2)</f>
        <v>0.40917398895536999</v>
      </c>
      <c r="H627" s="3" t="s">
        <v>639</v>
      </c>
      <c r="I627">
        <v>0.54089108147199405</v>
      </c>
      <c r="J627">
        <f>VLOOKUP(A627,'YB OAS'!B:F,5,0)</f>
        <v>252.28999300000001</v>
      </c>
      <c r="K627" s="40">
        <f>VLOOKUP(A627,'Refi Universe'!E:F,2,0)</f>
        <v>0.33232054999999999</v>
      </c>
    </row>
    <row r="628" spans="1:11" ht="15" x14ac:dyDescent="0.25">
      <c r="A628" s="14">
        <v>41488</v>
      </c>
      <c r="B628" s="15">
        <v>448</v>
      </c>
      <c r="C628" s="15">
        <v>448</v>
      </c>
      <c r="D628" s="5">
        <v>201</v>
      </c>
      <c r="E628" s="5">
        <v>122</v>
      </c>
      <c r="F628" s="5">
        <v>4.3046579999999999</v>
      </c>
      <c r="G628" s="12">
        <f>VLOOKUP(A628,'[1]all FNCL'!A$2:B$993,2)</f>
        <v>0.40917398895536999</v>
      </c>
      <c r="H628" s="3" t="s">
        <v>640</v>
      </c>
      <c r="I628">
        <v>0.54089108147199405</v>
      </c>
      <c r="J628">
        <f>VLOOKUP(A628,'YB OAS'!B:F,5,0)</f>
        <v>270.23141500000003</v>
      </c>
      <c r="K628" s="40">
        <f>VLOOKUP(A628,'Refi Universe'!E:F,2,0)</f>
        <v>0.41078564000000001</v>
      </c>
    </row>
    <row r="629" spans="1:11" ht="15" x14ac:dyDescent="0.25">
      <c r="A629" s="14">
        <v>41491</v>
      </c>
      <c r="B629" s="15">
        <v>451</v>
      </c>
      <c r="C629" s="15">
        <v>451</v>
      </c>
      <c r="D629" s="5">
        <v>200</v>
      </c>
      <c r="E629" s="5">
        <v>124</v>
      </c>
      <c r="F629" s="5">
        <v>4.3172980000000001</v>
      </c>
      <c r="G629" s="12">
        <f>VLOOKUP(A629,'[1]all FNCL'!A$2:B$993,2)</f>
        <v>0.40917398895536999</v>
      </c>
      <c r="H629" s="3" t="s">
        <v>641</v>
      </c>
      <c r="I629">
        <v>0.54089108147199405</v>
      </c>
      <c r="J629">
        <f>VLOOKUP(A629,'YB OAS'!B:F,5,0)</f>
        <v>265.58209199999999</v>
      </c>
      <c r="K629" s="40">
        <f>VLOOKUP(A629,'Refi Universe'!E:F,2,0)</f>
        <v>0.40903135000000002</v>
      </c>
    </row>
    <row r="630" spans="1:11" ht="15" x14ac:dyDescent="0.25">
      <c r="A630" s="14">
        <v>41492</v>
      </c>
      <c r="B630" s="15">
        <v>453</v>
      </c>
      <c r="C630" s="15">
        <v>453</v>
      </c>
      <c r="D630" s="5">
        <v>202</v>
      </c>
      <c r="E630" s="5">
        <v>127</v>
      </c>
      <c r="F630" s="5">
        <v>4.3416889999999997</v>
      </c>
      <c r="G630" s="12">
        <f>VLOOKUP(A630,'[1]all FNCL'!A$2:B$993,2)</f>
        <v>0.40917398895536999</v>
      </c>
      <c r="H630" s="3" t="s">
        <v>642</v>
      </c>
      <c r="I630">
        <v>0.505106736466303</v>
      </c>
      <c r="J630">
        <f>VLOOKUP(A630,'YB OAS'!B:F,5,0)</f>
        <v>269.89550800000001</v>
      </c>
      <c r="K630" s="40">
        <f>VLOOKUP(A630,'Refi Universe'!E:F,2,0)</f>
        <v>0.40437019000000002</v>
      </c>
    </row>
    <row r="631" spans="1:11" ht="15" x14ac:dyDescent="0.25">
      <c r="A631" s="14">
        <v>41493</v>
      </c>
      <c r="B631" s="15">
        <v>478</v>
      </c>
      <c r="C631" s="15">
        <v>478</v>
      </c>
      <c r="D631" s="5">
        <v>230</v>
      </c>
      <c r="E631" s="5">
        <v>154</v>
      </c>
      <c r="F631" s="5">
        <v>4.3091879999999998</v>
      </c>
      <c r="G631" s="12">
        <f>VLOOKUP(A631,'[1]all FNCL'!A$2:B$993,2)</f>
        <v>0.40917398895536999</v>
      </c>
      <c r="H631" s="3" t="s">
        <v>643</v>
      </c>
      <c r="I631">
        <v>0.505106736466303</v>
      </c>
      <c r="J631">
        <f>VLOOKUP(A631,'YB OAS'!B:F,5,0)</f>
        <v>295.676086</v>
      </c>
      <c r="K631" s="40">
        <f>VLOOKUP(A631,'Refi Universe'!E:F,2,0)</f>
        <v>0.41115397999999997</v>
      </c>
    </row>
    <row r="632" spans="1:11" ht="15" x14ac:dyDescent="0.25">
      <c r="A632" s="14">
        <v>41494</v>
      </c>
      <c r="B632" s="15">
        <v>493</v>
      </c>
      <c r="C632" s="15">
        <v>493</v>
      </c>
      <c r="D632" s="5">
        <v>228</v>
      </c>
      <c r="E632" s="5">
        <v>158</v>
      </c>
      <c r="F632" s="5">
        <v>4.2849219999999999</v>
      </c>
      <c r="G632" s="12">
        <f>VLOOKUP(A632,'[1]all FNCL'!A$2:B$993,2)</f>
        <v>0.40794548718226897</v>
      </c>
      <c r="H632" s="3" t="s">
        <v>644</v>
      </c>
      <c r="I632">
        <v>0.505106736466303</v>
      </c>
      <c r="J632">
        <f>VLOOKUP(A632,'YB OAS'!B:F,5,0)</f>
        <v>302.75048800000002</v>
      </c>
      <c r="K632" s="40">
        <f>VLOOKUP(A632,'Refi Universe'!E:F,2,0)</f>
        <v>0.41331764999999998</v>
      </c>
    </row>
    <row r="633" spans="1:11" ht="15" x14ac:dyDescent="0.25">
      <c r="A633" s="14">
        <v>41495</v>
      </c>
      <c r="B633" s="15">
        <v>476</v>
      </c>
      <c r="C633" s="15">
        <v>476</v>
      </c>
      <c r="D633" s="5">
        <v>209</v>
      </c>
      <c r="E633" s="5">
        <v>136</v>
      </c>
      <c r="F633" s="5">
        <v>4.2689269999999997</v>
      </c>
      <c r="G633" s="12">
        <f>VLOOKUP(A633,'[1]all FNCL'!A$2:B$993,2)</f>
        <v>0.40794548718226897</v>
      </c>
      <c r="H633" s="3" t="s">
        <v>645</v>
      </c>
      <c r="I633">
        <v>0.505106736466303</v>
      </c>
      <c r="J633">
        <f>VLOOKUP(A633,'YB OAS'!B:F,5,0)</f>
        <v>295.551514</v>
      </c>
      <c r="K633" s="40">
        <f>VLOOKUP(A633,'Refi Universe'!E:F,2,0)</f>
        <v>0.41576205999999999</v>
      </c>
    </row>
    <row r="634" spans="1:11" ht="15" x14ac:dyDescent="0.25">
      <c r="A634" s="14">
        <v>41498</v>
      </c>
      <c r="B634" s="15">
        <v>466</v>
      </c>
      <c r="C634" s="15">
        <v>466</v>
      </c>
      <c r="D634" s="5">
        <v>208</v>
      </c>
      <c r="E634" s="5">
        <v>143</v>
      </c>
      <c r="F634" s="5">
        <v>4.2884739999999999</v>
      </c>
      <c r="G634" s="12">
        <f>VLOOKUP(A634,'[1]all FNCL'!A$2:B$993,2)</f>
        <v>0.40794548718226897</v>
      </c>
      <c r="H634" s="3" t="s">
        <v>646</v>
      </c>
      <c r="I634">
        <v>0.51180256347737196</v>
      </c>
      <c r="J634">
        <f>VLOOKUP(A634,'YB OAS'!B:F,5,0)</f>
        <v>282.70190400000001</v>
      </c>
      <c r="K634" s="40">
        <f>VLOOKUP(A634,'Refi Universe'!E:F,2,0)</f>
        <v>0.41321912</v>
      </c>
    </row>
    <row r="635" spans="1:11" ht="15" x14ac:dyDescent="0.25">
      <c r="A635" s="14">
        <v>41499</v>
      </c>
      <c r="B635" s="15">
        <v>446</v>
      </c>
      <c r="C635" s="15">
        <v>446</v>
      </c>
      <c r="D635" s="5">
        <v>203</v>
      </c>
      <c r="E635" s="5">
        <v>139</v>
      </c>
      <c r="F635" s="5">
        <v>4.3789179999999996</v>
      </c>
      <c r="G635" s="12">
        <f>VLOOKUP(A635,'[1]all FNCL'!A$2:B$993,2)</f>
        <v>0.40794548718226897</v>
      </c>
      <c r="H635" s="3" t="s">
        <v>647</v>
      </c>
      <c r="I635">
        <v>0.51180256347737196</v>
      </c>
      <c r="J635">
        <f>VLOOKUP(A635,'YB OAS'!B:F,5,0)</f>
        <v>260.91198700000001</v>
      </c>
      <c r="K635" s="40">
        <f>VLOOKUP(A635,'Refi Universe'!E:F,2,0)</f>
        <v>0.39312795</v>
      </c>
    </row>
    <row r="636" spans="1:11" ht="15" x14ac:dyDescent="0.25">
      <c r="A636" s="14">
        <v>41500</v>
      </c>
      <c r="B636" s="15">
        <v>432</v>
      </c>
      <c r="C636" s="15">
        <v>432</v>
      </c>
      <c r="D636" s="5">
        <v>193</v>
      </c>
      <c r="E636" s="5">
        <v>130</v>
      </c>
      <c r="F636" s="5">
        <v>4.3761840000000003</v>
      </c>
      <c r="G636" s="12">
        <f>VLOOKUP(A636,'[1]all FNCL'!A$2:B$993,2)</f>
        <v>0.40794548718226897</v>
      </c>
      <c r="H636" s="3" t="s">
        <v>648</v>
      </c>
      <c r="I636">
        <v>0.51180256347737196</v>
      </c>
      <c r="J636">
        <f>VLOOKUP(A636,'YB OAS'!B:F,5,0)</f>
        <v>257.93051100000002</v>
      </c>
      <c r="K636" s="40">
        <f>VLOOKUP(A636,'Refi Universe'!E:F,2,0)</f>
        <v>0.37743947</v>
      </c>
    </row>
    <row r="637" spans="1:11" ht="15" x14ac:dyDescent="0.25">
      <c r="A637" s="14">
        <v>41501</v>
      </c>
      <c r="B637" s="15">
        <v>421</v>
      </c>
      <c r="C637" s="15">
        <v>421</v>
      </c>
      <c r="D637" s="5">
        <v>192</v>
      </c>
      <c r="E637" s="5">
        <v>131</v>
      </c>
      <c r="F637" s="5">
        <v>4.433179</v>
      </c>
      <c r="G637" s="12">
        <f>VLOOKUP(A637,'[1]all FNCL'!A$2:B$993,2)</f>
        <v>0.40794548718226897</v>
      </c>
      <c r="H637" s="3" t="s">
        <v>649</v>
      </c>
      <c r="I637">
        <v>0.51180256347737196</v>
      </c>
      <c r="J637">
        <f>VLOOKUP(A637,'YB OAS'!B:F,5,0)</f>
        <v>252.93469200000001</v>
      </c>
      <c r="K637" s="40">
        <f>VLOOKUP(A637,'Refi Universe'!E:F,2,0)</f>
        <v>0.31455759999999999</v>
      </c>
    </row>
    <row r="638" spans="1:11" ht="15" x14ac:dyDescent="0.25">
      <c r="A638" s="14">
        <v>41502</v>
      </c>
      <c r="B638" s="15">
        <v>430</v>
      </c>
      <c r="C638" s="15">
        <v>430</v>
      </c>
      <c r="D638" s="5">
        <v>207</v>
      </c>
      <c r="E638" s="5">
        <v>146</v>
      </c>
      <c r="F638" s="5">
        <v>4.5159229999999999</v>
      </c>
      <c r="G638" s="12">
        <f>VLOOKUP(A638,'[1]all FNCL'!A$2:B$993,2)</f>
        <v>0.40794548718226897</v>
      </c>
      <c r="H638" s="3" t="s">
        <v>650</v>
      </c>
      <c r="I638">
        <v>0.51180256347737196</v>
      </c>
      <c r="J638">
        <f>VLOOKUP(A638,'YB OAS'!B:F,5,0)</f>
        <v>254.877396</v>
      </c>
      <c r="K638" s="40">
        <f>VLOOKUP(A638,'Refi Universe'!E:F,2,0)</f>
        <v>0.28031014999999998</v>
      </c>
    </row>
    <row r="639" spans="1:11" ht="15" x14ac:dyDescent="0.25">
      <c r="A639" s="14">
        <v>41505</v>
      </c>
      <c r="B639" s="15">
        <v>433</v>
      </c>
      <c r="C639" s="15">
        <v>433</v>
      </c>
      <c r="D639" s="5">
        <v>212</v>
      </c>
      <c r="E639" s="5">
        <v>146</v>
      </c>
      <c r="F639" s="5">
        <v>4.5824210000000001</v>
      </c>
      <c r="G639" s="12">
        <f>VLOOKUP(A639,'[1]all FNCL'!A$2:B$993,2)</f>
        <v>0.40794548718226897</v>
      </c>
      <c r="H639" s="3" t="s">
        <v>651</v>
      </c>
      <c r="I639">
        <v>0.53125439488383197</v>
      </c>
      <c r="J639">
        <f>VLOOKUP(A639,'YB OAS'!B:F,5,0)</f>
        <v>262.54431199999999</v>
      </c>
      <c r="K639" s="40">
        <f>VLOOKUP(A639,'Refi Universe'!E:F,2,0)</f>
        <v>0.27263881000000001</v>
      </c>
    </row>
    <row r="640" spans="1:11" ht="15" x14ac:dyDescent="0.25">
      <c r="A640" s="14">
        <v>41506</v>
      </c>
      <c r="B640" s="15">
        <v>436</v>
      </c>
      <c r="C640" s="15">
        <v>436</v>
      </c>
      <c r="D640" s="5">
        <v>214</v>
      </c>
      <c r="E640" s="5">
        <v>143</v>
      </c>
      <c r="F640" s="5">
        <v>4.5112750000000004</v>
      </c>
      <c r="G640" s="12">
        <f>VLOOKUP(A640,'[1]all FNCL'!A$2:B$993,2)</f>
        <v>0.40794548718226897</v>
      </c>
      <c r="H640" s="3" t="s">
        <v>652</v>
      </c>
      <c r="I640">
        <v>0.53125439488383197</v>
      </c>
      <c r="J640">
        <f>VLOOKUP(A640,'YB OAS'!B:F,5,0)</f>
        <v>263.61129799999998</v>
      </c>
      <c r="K640" s="40">
        <f>VLOOKUP(A640,'Refi Universe'!E:F,2,0)</f>
        <v>0.28096123000000001</v>
      </c>
    </row>
    <row r="641" spans="1:11" ht="15" x14ac:dyDescent="0.25">
      <c r="A641" s="14">
        <v>41507</v>
      </c>
      <c r="B641" s="15">
        <v>433</v>
      </c>
      <c r="C641" s="15">
        <v>433</v>
      </c>
      <c r="D641" s="5">
        <v>220</v>
      </c>
      <c r="E641" s="5">
        <v>153</v>
      </c>
      <c r="F641" s="5">
        <v>4.5430260000000002</v>
      </c>
      <c r="G641" s="12">
        <f>VLOOKUP(A641,'[1]all FNCL'!A$2:B$993,2)</f>
        <v>0.40794548718226897</v>
      </c>
      <c r="H641" s="3" t="s">
        <v>653</v>
      </c>
      <c r="I641">
        <v>0.53125439488383197</v>
      </c>
      <c r="J641">
        <f>VLOOKUP(A641,'YB OAS'!B:F,5,0)</f>
        <v>261.68121300000001</v>
      </c>
      <c r="K641" s="40">
        <f>VLOOKUP(A641,'Refi Universe'!E:F,2,0)</f>
        <v>0.27644807999999998</v>
      </c>
    </row>
    <row r="642" spans="1:11" ht="15" x14ac:dyDescent="0.25">
      <c r="A642" s="14">
        <v>41508</v>
      </c>
      <c r="B642" s="15">
        <v>432</v>
      </c>
      <c r="C642" s="15">
        <v>432</v>
      </c>
      <c r="D642" s="5">
        <v>221</v>
      </c>
      <c r="E642" s="5">
        <v>154</v>
      </c>
      <c r="F642" s="5">
        <v>4.5814560000000002</v>
      </c>
      <c r="G642" s="12">
        <f>VLOOKUP(A642,'[1]all FNCL'!A$2:B$993,2)</f>
        <v>0.28736143003290598</v>
      </c>
      <c r="H642" s="3" t="s">
        <v>654</v>
      </c>
      <c r="I642">
        <v>0.53125439488383197</v>
      </c>
      <c r="J642">
        <f>VLOOKUP(A642,'YB OAS'!B:F,5,0)</f>
        <v>261.37619000000001</v>
      </c>
      <c r="K642" s="40">
        <f>VLOOKUP(A642,'Refi Universe'!E:F,2,0)</f>
        <v>0.27358157</v>
      </c>
    </row>
    <row r="643" spans="1:11" ht="15" x14ac:dyDescent="0.25">
      <c r="A643" s="14">
        <v>41509</v>
      </c>
      <c r="B643" s="15">
        <v>434</v>
      </c>
      <c r="C643" s="15">
        <v>434</v>
      </c>
      <c r="D643" s="5">
        <v>226</v>
      </c>
      <c r="E643" s="5">
        <v>137</v>
      </c>
      <c r="F643" s="5">
        <v>4.4852080000000001</v>
      </c>
      <c r="G643" s="12">
        <f>VLOOKUP(A643,'[1]all FNCL'!A$2:B$993,2)</f>
        <v>0.28736143003290598</v>
      </c>
      <c r="H643" s="3" t="s">
        <v>655</v>
      </c>
      <c r="I643">
        <v>0.54741627949472405</v>
      </c>
      <c r="J643">
        <f>VLOOKUP(A643,'YB OAS'!B:F,5,0)</f>
        <v>254.104004</v>
      </c>
      <c r="K643" s="40">
        <f>VLOOKUP(A643,'Refi Universe'!E:F,2,0)</f>
        <v>0.29198242000000002</v>
      </c>
    </row>
    <row r="644" spans="1:11" ht="15" x14ac:dyDescent="0.25">
      <c r="A644" s="14">
        <v>41512</v>
      </c>
      <c r="B644" s="15">
        <v>421</v>
      </c>
      <c r="C644" s="15">
        <v>421</v>
      </c>
      <c r="D644" s="5">
        <v>202</v>
      </c>
      <c r="E644" s="5">
        <v>127</v>
      </c>
      <c r="F644" s="5">
        <v>4.4500039999999998</v>
      </c>
      <c r="G644" s="12">
        <f>VLOOKUP(A644,'[1]all FNCL'!A$2:B$993,2)</f>
        <v>0.28736143003290598</v>
      </c>
      <c r="H644" s="3" t="s">
        <v>656</v>
      </c>
      <c r="I644">
        <v>0.54741627949472405</v>
      </c>
      <c r="J644">
        <f>VLOOKUP(A644,'YB OAS'!B:F,5,0)</f>
        <v>244.16879299999999</v>
      </c>
      <c r="K644" s="40">
        <f>VLOOKUP(A644,'Refi Universe'!E:F,2,0)</f>
        <v>0.30800234999999998</v>
      </c>
    </row>
    <row r="645" spans="1:11" ht="15" x14ac:dyDescent="0.25">
      <c r="A645" s="14">
        <v>41513</v>
      </c>
      <c r="B645" s="15">
        <v>427</v>
      </c>
      <c r="C645" s="15">
        <v>427</v>
      </c>
      <c r="D645" s="5">
        <v>199</v>
      </c>
      <c r="E645" s="5">
        <v>124</v>
      </c>
      <c r="F645" s="5">
        <v>4.387518</v>
      </c>
      <c r="G645" s="12">
        <f>VLOOKUP(A645,'[1]all FNCL'!A$2:B$993,2)</f>
        <v>0.28736143003290598</v>
      </c>
      <c r="H645" s="3" t="s">
        <v>657</v>
      </c>
      <c r="I645">
        <v>0.54296193584840502</v>
      </c>
      <c r="J645">
        <f>VLOOKUP(A645,'YB OAS'!B:F,5,0)</f>
        <v>248.18440200000001</v>
      </c>
      <c r="K645" s="40">
        <f>VLOOKUP(A645,'Refi Universe'!E:F,2,0)</f>
        <v>0.38014408</v>
      </c>
    </row>
    <row r="646" spans="1:11" ht="15" x14ac:dyDescent="0.25">
      <c r="A646" s="14">
        <v>41514</v>
      </c>
      <c r="B646" s="15">
        <v>425</v>
      </c>
      <c r="C646" s="15">
        <v>425</v>
      </c>
      <c r="D646" s="5">
        <v>209</v>
      </c>
      <c r="E646" s="5">
        <v>120</v>
      </c>
      <c r="F646" s="5">
        <v>4.448137</v>
      </c>
      <c r="G646" s="12">
        <f>VLOOKUP(A646,'[1]all FNCL'!A$2:B$993,2)</f>
        <v>0.28736143003290598</v>
      </c>
      <c r="H646" s="3" t="s">
        <v>658</v>
      </c>
      <c r="I646">
        <v>0.54296193584840502</v>
      </c>
      <c r="J646">
        <f>VLOOKUP(A646,'YB OAS'!B:F,5,0)</f>
        <v>248.15089399999999</v>
      </c>
      <c r="K646" s="40">
        <f>VLOOKUP(A646,'Refi Universe'!E:F,2,0)</f>
        <v>0.35578878000000003</v>
      </c>
    </row>
    <row r="647" spans="1:11" ht="15" x14ac:dyDescent="0.25">
      <c r="A647" s="14">
        <v>41515</v>
      </c>
      <c r="B647" s="15">
        <v>418</v>
      </c>
      <c r="C647" s="15">
        <v>418</v>
      </c>
      <c r="D647" s="5">
        <v>202</v>
      </c>
      <c r="E647" s="5">
        <v>113</v>
      </c>
      <c r="F647" s="5">
        <v>4.4076550000000001</v>
      </c>
      <c r="G647" s="12">
        <f>VLOOKUP(A647,'[1]all FNCL'!A$2:B$993,2)</f>
        <v>0.32609160736856702</v>
      </c>
      <c r="H647" s="3" t="s">
        <v>659</v>
      </c>
      <c r="I647">
        <v>0.54296193584840502</v>
      </c>
      <c r="J647">
        <f>VLOOKUP(A647,'YB OAS'!B:F,5,0)</f>
        <v>243.17559800000001</v>
      </c>
      <c r="K647" s="40">
        <f>VLOOKUP(A647,'Refi Universe'!E:F,2,0)</f>
        <v>0.39563315999999998</v>
      </c>
    </row>
    <row r="648" spans="1:11" ht="15" x14ac:dyDescent="0.25">
      <c r="A648" s="14">
        <v>41516</v>
      </c>
      <c r="B648" s="15">
        <v>409</v>
      </c>
      <c r="C648" s="15">
        <v>409</v>
      </c>
      <c r="D648" s="5">
        <v>197</v>
      </c>
      <c r="E648" s="5">
        <v>110</v>
      </c>
      <c r="F648" s="5">
        <v>4.4122310000000002</v>
      </c>
      <c r="G648" s="12">
        <f>VLOOKUP(A648,'[1]all FNCL'!A$2:B$993,2)</f>
        <v>0.32609160736856702</v>
      </c>
      <c r="H648" s="3" t="s">
        <v>660</v>
      </c>
      <c r="I648">
        <v>0.57616107650745496</v>
      </c>
      <c r="J648">
        <f>VLOOKUP(A648,'YB OAS'!B:F,5,0)</f>
        <v>238.61779799999999</v>
      </c>
      <c r="K648" s="40">
        <f>VLOOKUP(A648,'Refi Universe'!E:F,2,0)</f>
        <v>0.39522167000000002</v>
      </c>
    </row>
    <row r="649" spans="1:11" ht="15" x14ac:dyDescent="0.25">
      <c r="A649" s="14">
        <v>41520</v>
      </c>
      <c r="B649" s="15">
        <v>393</v>
      </c>
      <c r="C649" s="15">
        <v>393</v>
      </c>
      <c r="D649" s="5">
        <v>198</v>
      </c>
      <c r="E649" s="5">
        <v>114</v>
      </c>
      <c r="F649" s="5">
        <v>4.5040579999999997</v>
      </c>
      <c r="G649" s="12">
        <f>VLOOKUP(A649,'[1]all FNCL'!A$2:B$993,2)</f>
        <v>0.315593133253526</v>
      </c>
      <c r="H649" s="3" t="s">
        <v>661</v>
      </c>
      <c r="I649">
        <v>0.57616107650745496</v>
      </c>
      <c r="J649">
        <f>VLOOKUP(A649,'YB OAS'!B:F,5,0)</f>
        <v>229.66279599999999</v>
      </c>
      <c r="K649" s="40">
        <f>VLOOKUP(A649,'Refi Universe'!E:F,2,0)</f>
        <v>0.29002791</v>
      </c>
    </row>
    <row r="650" spans="1:11" ht="15" x14ac:dyDescent="0.25">
      <c r="A650" s="14">
        <v>41521</v>
      </c>
      <c r="B650" s="15">
        <v>379</v>
      </c>
      <c r="C650" s="15">
        <v>379</v>
      </c>
      <c r="D650" s="5">
        <v>179</v>
      </c>
      <c r="E650" s="5">
        <v>109</v>
      </c>
      <c r="F650" s="5">
        <v>4.5572249999999999</v>
      </c>
      <c r="G650" s="12">
        <f>VLOOKUP(A650,'[1]all FNCL'!A$2:B$993,2)</f>
        <v>0.315593133253526</v>
      </c>
      <c r="H650" s="3" t="s">
        <v>662</v>
      </c>
      <c r="I650">
        <v>0.57616107650745496</v>
      </c>
      <c r="J650">
        <f>VLOOKUP(A650,'YB OAS'!B:F,5,0)</f>
        <v>210.88679500000001</v>
      </c>
      <c r="K650" s="40">
        <f>VLOOKUP(A650,'Refi Universe'!E:F,2,0)</f>
        <v>0.26443326</v>
      </c>
    </row>
    <row r="651" spans="1:11" ht="15" x14ac:dyDescent="0.25">
      <c r="A651" s="14">
        <v>41522</v>
      </c>
      <c r="B651" s="15">
        <v>355</v>
      </c>
      <c r="C651" s="15">
        <v>355</v>
      </c>
      <c r="D651" s="5">
        <v>163</v>
      </c>
      <c r="E651" s="5">
        <v>101</v>
      </c>
      <c r="F651" s="5">
        <v>4.6526839999999998</v>
      </c>
      <c r="G651" s="12">
        <f>VLOOKUP(A651,'[1]all FNCL'!A$2:B$993,2)</f>
        <v>0.28153720559456502</v>
      </c>
      <c r="H651" s="3" t="s">
        <v>663</v>
      </c>
      <c r="I651">
        <v>0.57616107650745496</v>
      </c>
      <c r="J651">
        <f>VLOOKUP(A651,'YB OAS'!B:F,5,0)</f>
        <v>187.82550000000001</v>
      </c>
      <c r="K651" s="40">
        <f>VLOOKUP(A651,'Refi Universe'!E:F,2,0)</f>
        <v>0.25826391999999998</v>
      </c>
    </row>
    <row r="652" spans="1:11" ht="15" x14ac:dyDescent="0.25">
      <c r="A652" s="14">
        <v>41523</v>
      </c>
      <c r="B652" s="15">
        <v>358</v>
      </c>
      <c r="C652" s="15">
        <v>358</v>
      </c>
      <c r="D652" s="5">
        <v>160</v>
      </c>
      <c r="E652" s="5">
        <v>98</v>
      </c>
      <c r="F652" s="5">
        <v>4.5937229999999998</v>
      </c>
      <c r="G652" s="12">
        <f>VLOOKUP(A652,'[1]all FNCL'!A$2:B$993,2)</f>
        <v>0.28153720559456502</v>
      </c>
      <c r="H652" s="3" t="s">
        <v>664</v>
      </c>
      <c r="I652">
        <v>0.57616107650745496</v>
      </c>
      <c r="J652">
        <f>VLOOKUP(A652,'YB OAS'!B:F,5,0)</f>
        <v>194.48039199999999</v>
      </c>
      <c r="K652" s="40">
        <f>VLOOKUP(A652,'Refi Universe'!E:F,2,0)</f>
        <v>0.26194300999999998</v>
      </c>
    </row>
    <row r="653" spans="1:11" ht="15" x14ac:dyDescent="0.25">
      <c r="A653" s="14">
        <v>41526</v>
      </c>
      <c r="B653" s="15">
        <v>356</v>
      </c>
      <c r="C653" s="15">
        <v>356</v>
      </c>
      <c r="D653" s="5">
        <v>155</v>
      </c>
      <c r="E653" s="5">
        <v>94</v>
      </c>
      <c r="F653" s="5">
        <v>4.526478</v>
      </c>
      <c r="G653" s="12">
        <f>VLOOKUP(A653,'[1]all FNCL'!A$2:B$993,2)</f>
        <v>0.28153720559456502</v>
      </c>
      <c r="H653" s="3" t="s">
        <v>665</v>
      </c>
      <c r="I653">
        <v>0.56511283574971805</v>
      </c>
      <c r="J653">
        <f>VLOOKUP(A653,'YB OAS'!B:F,5,0)</f>
        <v>185.213303</v>
      </c>
      <c r="K653" s="40">
        <f>VLOOKUP(A653,'Refi Universe'!E:F,2,0)</f>
        <v>0.26769354000000001</v>
      </c>
    </row>
    <row r="654" spans="1:11" ht="15" x14ac:dyDescent="0.25">
      <c r="A654" s="14">
        <v>41527</v>
      </c>
      <c r="B654" s="15">
        <v>330</v>
      </c>
      <c r="C654" s="15">
        <v>330</v>
      </c>
      <c r="D654" s="5">
        <v>132</v>
      </c>
      <c r="E654" s="5">
        <v>77</v>
      </c>
      <c r="F654" s="5">
        <v>4.5759449999999999</v>
      </c>
      <c r="G654" s="12">
        <f>VLOOKUP(A654,'[1]all FNCL'!A$2:B$993,2)</f>
        <v>0.28153720559456502</v>
      </c>
      <c r="H654" s="3" t="s">
        <v>666</v>
      </c>
      <c r="I654">
        <v>0.56511283574971805</v>
      </c>
      <c r="J654">
        <f>VLOOKUP(A654,'YB OAS'!B:F,5,0)</f>
        <v>171.19070400000001</v>
      </c>
      <c r="K654" s="40">
        <f>VLOOKUP(A654,'Refi Universe'!E:F,2,0)</f>
        <v>0.26296286000000002</v>
      </c>
    </row>
    <row r="655" spans="1:11" ht="15" x14ac:dyDescent="0.25">
      <c r="A655" s="14">
        <v>41528</v>
      </c>
      <c r="B655" s="15">
        <v>378</v>
      </c>
      <c r="C655" s="15">
        <v>378</v>
      </c>
      <c r="D655" s="5">
        <v>154</v>
      </c>
      <c r="E655" s="5">
        <v>92</v>
      </c>
      <c r="F655" s="5">
        <v>4.5479190000000003</v>
      </c>
      <c r="G655" s="12">
        <f>VLOOKUP(A655,'[1]all FNCL'!A$2:B$993,2)</f>
        <v>0.28153720559456502</v>
      </c>
      <c r="H655" s="3" t="s">
        <v>667</v>
      </c>
      <c r="I655">
        <v>0.56511283574971805</v>
      </c>
      <c r="J655">
        <f>VLOOKUP(A655,'YB OAS'!B:F,5,0)</f>
        <v>182.796997</v>
      </c>
      <c r="K655" s="40">
        <f>VLOOKUP(A655,'Refi Universe'!E:F,2,0)</f>
        <v>0.28595882</v>
      </c>
    </row>
    <row r="656" spans="1:11" ht="15" x14ac:dyDescent="0.25">
      <c r="A656" s="14">
        <v>41529</v>
      </c>
      <c r="B656" s="15">
        <v>360</v>
      </c>
      <c r="C656" s="15">
        <v>360</v>
      </c>
      <c r="D656" s="5">
        <v>123</v>
      </c>
      <c r="E656" s="5">
        <v>75</v>
      </c>
      <c r="F656" s="5">
        <v>4.5441859999999998</v>
      </c>
      <c r="G656" s="12">
        <f>VLOOKUP(A656,'[1]all FNCL'!A$2:B$993,2)</f>
        <v>0.28153720559456502</v>
      </c>
      <c r="H656" s="3" t="s">
        <v>668</v>
      </c>
      <c r="I656">
        <v>0.56511283574971805</v>
      </c>
      <c r="J656">
        <f>VLOOKUP(A656,'YB OAS'!B:F,5,0)</f>
        <v>189.65159600000001</v>
      </c>
      <c r="K656" s="40">
        <f>VLOOKUP(A656,'Refi Universe'!E:F,2,0)</f>
        <v>0.28637426999999999</v>
      </c>
    </row>
    <row r="657" spans="1:11" ht="15" x14ac:dyDescent="0.25">
      <c r="A657" s="14">
        <v>41530</v>
      </c>
      <c r="B657" s="15">
        <v>347</v>
      </c>
      <c r="C657" s="15">
        <v>347</v>
      </c>
      <c r="D657" s="5">
        <v>115</v>
      </c>
      <c r="E657" s="5">
        <v>69</v>
      </c>
      <c r="F657" s="5">
        <v>4.5283620000000004</v>
      </c>
      <c r="G657" s="12">
        <f>VLOOKUP(A657,'[1]all FNCL'!A$2:B$993,2)</f>
        <v>0.28153720559456502</v>
      </c>
      <c r="H657" s="3" t="s">
        <v>669</v>
      </c>
      <c r="I657">
        <v>0.56511283574971805</v>
      </c>
      <c r="J657">
        <f>VLOOKUP(A657,'YB OAS'!B:F,5,0)</f>
        <v>185.598206</v>
      </c>
      <c r="K657" s="40">
        <f>VLOOKUP(A657,'Refi Universe'!E:F,2,0)</f>
        <v>0.2925217</v>
      </c>
    </row>
    <row r="658" spans="1:11" ht="15" x14ac:dyDescent="0.25">
      <c r="A658" s="14">
        <v>41533</v>
      </c>
      <c r="B658" s="15">
        <v>364</v>
      </c>
      <c r="C658" s="15">
        <v>364</v>
      </c>
      <c r="D658" s="5">
        <v>120</v>
      </c>
      <c r="E658" s="5">
        <v>67</v>
      </c>
      <c r="F658" s="5">
        <v>4.4865870000000001</v>
      </c>
      <c r="G658" s="12">
        <f>VLOOKUP(A658,'[1]all FNCL'!A$2:B$993,2)</f>
        <v>0.28153720559456502</v>
      </c>
      <c r="H658" s="3" t="s">
        <v>670</v>
      </c>
      <c r="I658">
        <v>0.60670206616303102</v>
      </c>
      <c r="J658">
        <f>VLOOKUP(A658,'YB OAS'!B:F,5,0)</f>
        <v>197.18730199999999</v>
      </c>
      <c r="K658" s="40">
        <f>VLOOKUP(A658,'Refi Universe'!E:F,2,0)</f>
        <v>0.33935362000000002</v>
      </c>
    </row>
    <row r="659" spans="1:11" ht="15" x14ac:dyDescent="0.25">
      <c r="A659" s="14">
        <v>41534</v>
      </c>
      <c r="B659" s="15">
        <v>379</v>
      </c>
      <c r="C659" s="15">
        <v>379</v>
      </c>
      <c r="D659" s="5">
        <v>133</v>
      </c>
      <c r="E659" s="5">
        <v>80</v>
      </c>
      <c r="F659" s="5">
        <v>4.4717979999999997</v>
      </c>
      <c r="G659" s="12">
        <f>VLOOKUP(A659,'[1]all FNCL'!A$2:B$993,2)</f>
        <v>0.28153720559456502</v>
      </c>
      <c r="H659" s="3" t="s">
        <v>671</v>
      </c>
      <c r="I659">
        <v>0.60670206616303102</v>
      </c>
      <c r="J659">
        <f>VLOOKUP(A659,'YB OAS'!B:F,5,0)</f>
        <v>213.77229299999999</v>
      </c>
      <c r="K659" s="40">
        <f>VLOOKUP(A659,'Refi Universe'!E:F,2,0)</f>
        <v>0.35600051999999999</v>
      </c>
    </row>
    <row r="660" spans="1:11" ht="15" x14ac:dyDescent="0.25">
      <c r="A660" s="14">
        <v>41535</v>
      </c>
      <c r="B660" s="15">
        <v>426</v>
      </c>
      <c r="C660" s="15">
        <v>426</v>
      </c>
      <c r="D660" s="5">
        <v>146</v>
      </c>
      <c r="E660" s="5">
        <v>79</v>
      </c>
      <c r="F660" s="5">
        <v>4.3142310000000004</v>
      </c>
      <c r="G660" s="12">
        <f>VLOOKUP(A660,'[1]all FNCL'!A$2:B$993,2)</f>
        <v>0.28153720559456502</v>
      </c>
      <c r="H660" s="3" t="s">
        <v>672</v>
      </c>
      <c r="I660">
        <v>0.60670206616303102</v>
      </c>
      <c r="J660">
        <f>VLOOKUP(A660,'YB OAS'!B:F,5,0)</f>
        <v>246.06359900000001</v>
      </c>
      <c r="K660" s="40">
        <f>VLOOKUP(A660,'Refi Universe'!E:F,2,0)</f>
        <v>0.40430395000000002</v>
      </c>
    </row>
    <row r="661" spans="1:11" ht="15" x14ac:dyDescent="0.25">
      <c r="A661" s="14">
        <v>41536</v>
      </c>
      <c r="B661" s="15">
        <v>442</v>
      </c>
      <c r="C661" s="15">
        <v>442</v>
      </c>
      <c r="D661" s="5">
        <v>154</v>
      </c>
      <c r="E661" s="5">
        <v>92</v>
      </c>
      <c r="F661" s="5">
        <v>4.3248689999999996</v>
      </c>
      <c r="G661" s="12">
        <f>VLOOKUP(A661,'[1]all FNCL'!A$2:B$993,2)</f>
        <v>0.33139494640254802</v>
      </c>
      <c r="H661" s="3" t="s">
        <v>673</v>
      </c>
      <c r="I661">
        <v>0.60670206616303102</v>
      </c>
      <c r="J661">
        <f>VLOOKUP(A661,'YB OAS'!B:F,5,0)</f>
        <v>268.52539100000001</v>
      </c>
      <c r="K661" s="40">
        <f>VLOOKUP(A661,'Refi Universe'!E:F,2,0)</f>
        <v>0.40169234999999998</v>
      </c>
    </row>
    <row r="662" spans="1:11" ht="15" x14ac:dyDescent="0.25">
      <c r="A662" s="14">
        <v>41537</v>
      </c>
      <c r="B662" s="15">
        <v>413</v>
      </c>
      <c r="C662" s="15">
        <v>413</v>
      </c>
      <c r="D662" s="5">
        <v>137</v>
      </c>
      <c r="E662" s="5">
        <v>81</v>
      </c>
      <c r="F662" s="5">
        <v>4.3319609999999997</v>
      </c>
      <c r="G662" s="12">
        <f>VLOOKUP(A662,'[1]all FNCL'!A$2:B$993,2)</f>
        <v>0.33139494640254802</v>
      </c>
      <c r="H662" s="3" t="s">
        <v>674</v>
      </c>
      <c r="I662">
        <v>0.59762468592169804</v>
      </c>
      <c r="J662">
        <f>VLOOKUP(A662,'YB OAS'!B:F,5,0)</f>
        <v>248.65289300000001</v>
      </c>
      <c r="K662" s="40">
        <f>VLOOKUP(A662,'Refi Universe'!E:F,2,0)</f>
        <v>0.40062763000000001</v>
      </c>
    </row>
    <row r="663" spans="1:11" ht="15" x14ac:dyDescent="0.25">
      <c r="A663" s="14">
        <v>41540</v>
      </c>
      <c r="B663" s="15">
        <v>424</v>
      </c>
      <c r="C663" s="15">
        <v>424</v>
      </c>
      <c r="D663" s="5">
        <v>141</v>
      </c>
      <c r="E663" s="5">
        <v>86</v>
      </c>
      <c r="F663" s="5">
        <v>4.306292</v>
      </c>
      <c r="G663" s="12">
        <f>VLOOKUP(A663,'[1]all FNCL'!A$2:B$993,2)</f>
        <v>0.33139494640254802</v>
      </c>
      <c r="H663" s="3" t="s">
        <v>675</v>
      </c>
      <c r="I663">
        <v>0.59762468592169804</v>
      </c>
      <c r="J663">
        <f>VLOOKUP(A663,'YB OAS'!B:F,5,0)</f>
        <v>253.808807</v>
      </c>
      <c r="K663" s="40">
        <f>VLOOKUP(A663,'Refi Universe'!E:F,2,0)</f>
        <v>0.40442292000000002</v>
      </c>
    </row>
    <row r="664" spans="1:11" ht="15" x14ac:dyDescent="0.25">
      <c r="A664" s="14">
        <v>41541</v>
      </c>
      <c r="B664" s="15">
        <v>431</v>
      </c>
      <c r="C664" s="15">
        <v>431</v>
      </c>
      <c r="D664" s="5">
        <v>141</v>
      </c>
      <c r="E664" s="5">
        <v>79</v>
      </c>
      <c r="F664" s="5">
        <v>4.2530380000000001</v>
      </c>
      <c r="G664" s="12">
        <f>VLOOKUP(A664,'[1]all FNCL'!A$2:B$993,2)</f>
        <v>0.33139494640254802</v>
      </c>
      <c r="H664" s="3" t="s">
        <v>676</v>
      </c>
      <c r="I664">
        <v>0.59762468592169804</v>
      </c>
      <c r="J664">
        <f>VLOOKUP(A664,'YB OAS'!B:F,5,0)</f>
        <v>250.200897</v>
      </c>
      <c r="K664" s="40">
        <f>VLOOKUP(A664,'Refi Universe'!E:F,2,0)</f>
        <v>0.40942932999999998</v>
      </c>
    </row>
    <row r="665" spans="1:11" ht="15" x14ac:dyDescent="0.25">
      <c r="A665" s="14">
        <v>41542</v>
      </c>
      <c r="B665" s="15">
        <v>441</v>
      </c>
      <c r="C665" s="15">
        <v>441</v>
      </c>
      <c r="D665" s="5">
        <v>147</v>
      </c>
      <c r="E665" s="5">
        <v>83</v>
      </c>
      <c r="F665" s="5">
        <v>4.2150129999999999</v>
      </c>
      <c r="G665" s="12">
        <f>VLOOKUP(A665,'[1]all FNCL'!A$2:B$993,2)</f>
        <v>0.33139494640254802</v>
      </c>
      <c r="H665" s="3" t="s">
        <v>677</v>
      </c>
      <c r="I665">
        <v>0.59762468592169804</v>
      </c>
      <c r="J665">
        <f>VLOOKUP(A665,'YB OAS'!B:F,5,0)</f>
        <v>252.321899</v>
      </c>
      <c r="K665" s="40">
        <f>VLOOKUP(A665,'Refi Universe'!E:F,2,0)</f>
        <v>0.41205318000000002</v>
      </c>
    </row>
    <row r="666" spans="1:11" ht="15" x14ac:dyDescent="0.25">
      <c r="A666" s="14">
        <v>41543</v>
      </c>
      <c r="B666" s="15">
        <v>413</v>
      </c>
      <c r="C666" s="15">
        <v>413</v>
      </c>
      <c r="D666" s="5">
        <v>127</v>
      </c>
      <c r="E666" s="5">
        <v>64</v>
      </c>
      <c r="F666" s="5">
        <v>4.2382929999999996</v>
      </c>
      <c r="G666" s="12">
        <f>VLOOKUP(A666,'[1]all FNCL'!A$2:B$993,2)</f>
        <v>0.404422924260806</v>
      </c>
      <c r="H666" s="3" t="s">
        <v>678</v>
      </c>
      <c r="I666">
        <v>0.58158481943829898</v>
      </c>
      <c r="J666">
        <f>VLOOKUP(A666,'YB OAS'!B:F,5,0)</f>
        <v>231.33169599999999</v>
      </c>
      <c r="K666" s="40">
        <f>VLOOKUP(A666,'Refi Universe'!E:F,2,0)</f>
        <v>0.40892709999999999</v>
      </c>
    </row>
    <row r="667" spans="1:11" ht="15" x14ac:dyDescent="0.25">
      <c r="A667" s="14">
        <v>41544</v>
      </c>
      <c r="B667" s="15">
        <v>405</v>
      </c>
      <c r="C667" s="15">
        <v>405</v>
      </c>
      <c r="D667" s="5">
        <v>128</v>
      </c>
      <c r="E667" s="5">
        <v>62</v>
      </c>
      <c r="F667" s="5">
        <v>4.2150129999999999</v>
      </c>
      <c r="G667" s="12">
        <f>VLOOKUP(A667,'[1]all FNCL'!A$2:B$993,2)</f>
        <v>0.404422924260806</v>
      </c>
      <c r="H667" s="3" t="s">
        <v>679</v>
      </c>
      <c r="I667">
        <v>0.57715851233210802</v>
      </c>
      <c r="J667">
        <f>VLOOKUP(A667,'YB OAS'!B:F,5,0)</f>
        <v>224.99020400000001</v>
      </c>
      <c r="K667" s="40">
        <f>VLOOKUP(A667,'Refi Universe'!E:F,2,0)</f>
        <v>0.41228937999999998</v>
      </c>
    </row>
    <row r="668" spans="1:11" ht="15" x14ac:dyDescent="0.25">
      <c r="A668" s="14">
        <v>41547</v>
      </c>
      <c r="B668" s="15">
        <v>401</v>
      </c>
      <c r="C668" s="15">
        <v>401</v>
      </c>
      <c r="D668" s="5">
        <v>126</v>
      </c>
      <c r="E668" s="5">
        <v>59</v>
      </c>
      <c r="F668" s="5">
        <v>4.2141549999999999</v>
      </c>
      <c r="G668" s="12">
        <f>VLOOKUP(A668,'[1]all FNCL'!A$2:B$993,2)</f>
        <v>0.404422924260806</v>
      </c>
      <c r="H668" s="3" t="s">
        <v>680</v>
      </c>
      <c r="I668">
        <v>0.57710358293411501</v>
      </c>
      <c r="J668">
        <f>VLOOKUP(A668,'YB OAS'!B:F,5,0)</f>
        <v>225.22689800000001</v>
      </c>
      <c r="K668" s="40">
        <f>VLOOKUP(A668,'Refi Universe'!E:F,2,0)</f>
        <v>0.41213623999999999</v>
      </c>
    </row>
    <row r="669" spans="1:11" ht="15" x14ac:dyDescent="0.25">
      <c r="A669" s="14">
        <v>41548</v>
      </c>
      <c r="B669" s="15">
        <v>383</v>
      </c>
      <c r="C669" s="15">
        <v>383</v>
      </c>
      <c r="D669" s="5">
        <v>115</v>
      </c>
      <c r="E669" s="5">
        <v>49</v>
      </c>
      <c r="F669" s="5">
        <v>4.2297310000000001</v>
      </c>
      <c r="G669" s="12">
        <f>VLOOKUP(A669,'[1]all FNCL'!A$2:B$993,2)</f>
        <v>0.39753455676891197</v>
      </c>
      <c r="H669" s="3" t="s">
        <v>681</v>
      </c>
      <c r="I669">
        <v>0.57710358293411501</v>
      </c>
      <c r="J669">
        <f>VLOOKUP(A669,'YB OAS'!B:F,5,0)</f>
        <v>205.3759</v>
      </c>
      <c r="K669" s="40">
        <f>VLOOKUP(A669,'Refi Universe'!E:F,2,0)</f>
        <v>0.40735265999999998</v>
      </c>
    </row>
    <row r="670" spans="1:11" ht="15" x14ac:dyDescent="0.25">
      <c r="A670" s="14">
        <v>41549</v>
      </c>
      <c r="B670" s="15">
        <v>388</v>
      </c>
      <c r="C670" s="15">
        <v>388</v>
      </c>
      <c r="D670" s="5">
        <v>119</v>
      </c>
      <c r="E670" s="5">
        <v>52</v>
      </c>
      <c r="F670" s="5">
        <v>4.2219639999999998</v>
      </c>
      <c r="G670" s="12">
        <f>VLOOKUP(A670,'[1]all FNCL'!A$2:B$993,2)</f>
        <v>0.39753455676891197</v>
      </c>
      <c r="H670" s="3" t="s">
        <v>682</v>
      </c>
      <c r="I670">
        <v>0.57710358293411501</v>
      </c>
      <c r="J670">
        <f>VLOOKUP(A670,'YB OAS'!B:F,5,0)</f>
        <v>210.13580300000001</v>
      </c>
      <c r="K670" s="40">
        <f>VLOOKUP(A670,'Refi Universe'!E:F,2,0)</f>
        <v>0.41492382</v>
      </c>
    </row>
    <row r="671" spans="1:11" ht="15" x14ac:dyDescent="0.25">
      <c r="A671" s="14">
        <v>41550</v>
      </c>
      <c r="B671" s="15">
        <v>397</v>
      </c>
      <c r="C671" s="15">
        <v>397</v>
      </c>
      <c r="D671" s="5">
        <v>125</v>
      </c>
      <c r="E671" s="5">
        <v>57</v>
      </c>
      <c r="F671" s="5">
        <v>4.2039229999999996</v>
      </c>
      <c r="G671" s="12">
        <f>VLOOKUP(A671,'[1]all FNCL'!A$2:B$993,2)</f>
        <v>0.41492382770581399</v>
      </c>
      <c r="H671" s="3" t="s">
        <v>683</v>
      </c>
      <c r="I671">
        <v>0.62970048301444503</v>
      </c>
      <c r="J671">
        <f>VLOOKUP(A671,'YB OAS'!B:F,5,0)</f>
        <v>213.38600199999999</v>
      </c>
      <c r="K671" s="40">
        <f>VLOOKUP(A671,'Refi Universe'!E:F,2,0)</f>
        <v>0.42005614000000002</v>
      </c>
    </row>
    <row r="672" spans="1:11" ht="15" x14ac:dyDescent="0.25">
      <c r="A672" s="14">
        <v>41551</v>
      </c>
      <c r="B672" s="15">
        <v>373</v>
      </c>
      <c r="C672" s="15">
        <v>373</v>
      </c>
      <c r="D672" s="5">
        <v>110</v>
      </c>
      <c r="E672" s="5">
        <v>52</v>
      </c>
      <c r="F672" s="5">
        <v>4.2288449999999997</v>
      </c>
      <c r="G672" s="12">
        <f>VLOOKUP(A672,'[1]all FNCL'!A$2:B$993,2)</f>
        <v>0.41492382770581399</v>
      </c>
      <c r="H672" s="3" t="s">
        <v>684</v>
      </c>
      <c r="I672">
        <v>0.62970048301444503</v>
      </c>
      <c r="J672">
        <f>VLOOKUP(A672,'YB OAS'!B:F,5,0)</f>
        <v>189.892807</v>
      </c>
      <c r="K672" s="40">
        <f>VLOOKUP(A672,'Refi Universe'!E:F,2,0)</f>
        <v>0.41384989999999999</v>
      </c>
    </row>
    <row r="673" spans="1:11" ht="15" x14ac:dyDescent="0.25">
      <c r="A673" s="14">
        <v>41554</v>
      </c>
      <c r="B673" s="15">
        <v>345</v>
      </c>
      <c r="C673" s="15">
        <v>345</v>
      </c>
      <c r="D673" s="5">
        <v>99</v>
      </c>
      <c r="E673" s="5">
        <v>41</v>
      </c>
      <c r="F673" s="5">
        <v>4.2323079999999997</v>
      </c>
      <c r="G673" s="12">
        <f>VLOOKUP(A673,'[1]all FNCL'!A$2:B$993,2)</f>
        <v>0.41492382770581399</v>
      </c>
      <c r="H673" s="3" t="s">
        <v>685</v>
      </c>
      <c r="I673">
        <v>0.62970048301444503</v>
      </c>
      <c r="J673">
        <f>VLOOKUP(A673,'YB OAS'!B:F,5,0)</f>
        <v>162.734207</v>
      </c>
      <c r="K673" s="40">
        <f>VLOOKUP(A673,'Refi Universe'!E:F,2,0)</f>
        <v>0.41384989999999999</v>
      </c>
    </row>
    <row r="674" spans="1:11" ht="15" x14ac:dyDescent="0.25">
      <c r="A674" s="14">
        <v>41555</v>
      </c>
      <c r="B674" s="15">
        <v>337</v>
      </c>
      <c r="C674" s="15">
        <v>337</v>
      </c>
      <c r="D674" s="5">
        <v>100</v>
      </c>
      <c r="E674" s="5">
        <v>42</v>
      </c>
      <c r="F674" s="5">
        <v>4.244415</v>
      </c>
      <c r="G674" s="12">
        <f>VLOOKUP(A674,'[1]all FNCL'!A$2:B$993,2)</f>
        <v>0.41492382770581399</v>
      </c>
      <c r="H674" s="3" t="s">
        <v>686</v>
      </c>
      <c r="I674">
        <v>0.62970048301444503</v>
      </c>
      <c r="J674">
        <f>VLOOKUP(A674,'YB OAS'!B:F,5,0)</f>
        <v>152.837006</v>
      </c>
      <c r="K674" s="40">
        <f>VLOOKUP(A674,'Refi Universe'!E:F,2,0)</f>
        <v>0.40977889000000001</v>
      </c>
    </row>
    <row r="675" spans="1:11" ht="15" x14ac:dyDescent="0.25">
      <c r="A675" s="14">
        <v>41556</v>
      </c>
      <c r="B675" s="15">
        <v>345</v>
      </c>
      <c r="C675" s="15">
        <v>345</v>
      </c>
      <c r="D675" s="5">
        <v>112</v>
      </c>
      <c r="E675" s="5">
        <v>63</v>
      </c>
      <c r="F675" s="5">
        <v>4.2452810000000003</v>
      </c>
      <c r="G675" s="12">
        <f>VLOOKUP(A675,'[1]all FNCL'!A$2:B$993,2)</f>
        <v>0.41492382770581399</v>
      </c>
      <c r="H675" s="3" t="s">
        <v>687</v>
      </c>
      <c r="I675">
        <v>0.62970048301444503</v>
      </c>
      <c r="J675">
        <f>VLOOKUP(A675,'YB OAS'!B:F,5,0)</f>
        <v>164.409302</v>
      </c>
      <c r="K675" s="40">
        <f>VLOOKUP(A675,'Refi Universe'!E:F,2,0)</f>
        <v>0.40868282</v>
      </c>
    </row>
    <row r="676" spans="1:11" ht="15" x14ac:dyDescent="0.25">
      <c r="A676" s="14">
        <v>41557</v>
      </c>
      <c r="B676" s="15">
        <v>336</v>
      </c>
      <c r="C676" s="15">
        <v>336</v>
      </c>
      <c r="D676" s="5">
        <v>109</v>
      </c>
      <c r="E676" s="5">
        <v>66</v>
      </c>
      <c r="F676" s="5">
        <v>4.2557</v>
      </c>
      <c r="G676" s="12">
        <f>VLOOKUP(A676,'[1]all FNCL'!A$2:B$993,2)</f>
        <v>0.41233771643317702</v>
      </c>
      <c r="H676" s="3" t="s">
        <v>688</v>
      </c>
      <c r="I676">
        <v>0.65257308969636896</v>
      </c>
      <c r="J676">
        <f>VLOOKUP(A676,'YB OAS'!B:F,5,0)</f>
        <v>164.84120200000001</v>
      </c>
      <c r="K676" s="40">
        <f>VLOOKUP(A676,'Refi Universe'!E:F,2,0)</f>
        <v>0.40641392999999998</v>
      </c>
    </row>
    <row r="677" spans="1:11" ht="15" x14ac:dyDescent="0.25">
      <c r="A677" s="14">
        <v>41558</v>
      </c>
      <c r="B677" s="15">
        <v>342</v>
      </c>
      <c r="C677" s="15">
        <v>342</v>
      </c>
      <c r="D677" s="5">
        <v>118</v>
      </c>
      <c r="E677" s="5">
        <v>69</v>
      </c>
      <c r="F677" s="5">
        <v>4.261774</v>
      </c>
      <c r="G677" s="12">
        <f>VLOOKUP(A677,'[1]all FNCL'!A$2:B$993,2)</f>
        <v>0.41233771643317702</v>
      </c>
      <c r="H677" s="3">
        <v>42020</v>
      </c>
      <c r="I677">
        <v>0.65257308969636896</v>
      </c>
      <c r="J677">
        <f>VLOOKUP(A677,'YB OAS'!B:F,5,0)</f>
        <v>169.58050499999999</v>
      </c>
      <c r="K677" s="40">
        <f>VLOOKUP(A677,'Refi Universe'!E:F,2,0)</f>
        <v>0.40564359</v>
      </c>
    </row>
    <row r="678" spans="1:11" ht="15" x14ac:dyDescent="0.25">
      <c r="A678" s="14">
        <v>41562</v>
      </c>
      <c r="B678" s="15">
        <v>353</v>
      </c>
      <c r="C678" s="15">
        <v>353</v>
      </c>
      <c r="D678" s="5">
        <v>124</v>
      </c>
      <c r="E678" s="5">
        <v>76</v>
      </c>
      <c r="F678" s="5">
        <v>4.2937139999999996</v>
      </c>
      <c r="G678" s="12">
        <f>VLOOKUP(A678,'[1]all FNCL'!A$2:B$993,2)</f>
        <v>0.41233771643317702</v>
      </c>
      <c r="J678">
        <f>VLOOKUP(A678,'YB OAS'!B:F,5,0)</f>
        <v>181.22479200000001</v>
      </c>
      <c r="K678" s="40">
        <f>VLOOKUP(A678,'Refi Universe'!E:F,2,0)</f>
        <v>0.39927588000000003</v>
      </c>
    </row>
    <row r="679" spans="1:11" ht="15" x14ac:dyDescent="0.25">
      <c r="A679" s="14">
        <v>41563</v>
      </c>
      <c r="B679" s="15">
        <v>358</v>
      </c>
      <c r="C679" s="15">
        <v>358</v>
      </c>
      <c r="D679" s="5">
        <v>127</v>
      </c>
      <c r="E679" s="5">
        <v>76</v>
      </c>
      <c r="F679" s="5">
        <v>4.2574639999999997</v>
      </c>
      <c r="G679" s="12">
        <f>VLOOKUP(A679,'[1]all FNCL'!A$2:B$993,2)</f>
        <v>0.41233771643317702</v>
      </c>
      <c r="J679">
        <f>VLOOKUP(A679,'YB OAS'!B:F,5,0)</f>
        <v>184.85380599999999</v>
      </c>
      <c r="K679" s="40">
        <f>VLOOKUP(A679,'Refi Universe'!E:F,2,0)</f>
        <v>0.40419688999999998</v>
      </c>
    </row>
    <row r="680" spans="1:11" ht="15" x14ac:dyDescent="0.25">
      <c r="A680" s="14">
        <v>41564</v>
      </c>
      <c r="B680" s="15">
        <v>381</v>
      </c>
      <c r="C680" s="15">
        <v>381</v>
      </c>
      <c r="D680" s="5">
        <v>133</v>
      </c>
      <c r="E680" s="5">
        <v>77</v>
      </c>
      <c r="F680" s="5">
        <v>4.1830020000000001</v>
      </c>
      <c r="G680" s="12">
        <f>VLOOKUP(A680,'[1]all FNCL'!A$2:B$993,2)</f>
        <v>0.40226083862325102</v>
      </c>
      <c r="J680">
        <f>VLOOKUP(A680,'YB OAS'!B:F,5,0)</f>
        <v>192.06230199999999</v>
      </c>
      <c r="K680" s="40">
        <f>VLOOKUP(A680,'Refi Universe'!E:F,2,0)</f>
        <v>0.42440229000000002</v>
      </c>
    </row>
    <row r="681" spans="1:11" ht="15" x14ac:dyDescent="0.25">
      <c r="A681" s="14">
        <v>41565</v>
      </c>
      <c r="B681" s="15">
        <v>391</v>
      </c>
      <c r="C681" s="15">
        <v>391</v>
      </c>
      <c r="D681" s="5">
        <v>115</v>
      </c>
      <c r="E681" s="5">
        <v>62</v>
      </c>
      <c r="F681" s="5">
        <v>4.1838540000000002</v>
      </c>
      <c r="G681" s="12">
        <f>VLOOKUP(A681,'[1]all FNCL'!A$2:B$993,2)</f>
        <v>0.40226083862325102</v>
      </c>
      <c r="J681">
        <f>VLOOKUP(A681,'YB OAS'!B:F,5,0)</f>
        <v>203.08999600000001</v>
      </c>
      <c r="K681" s="40">
        <f>VLOOKUP(A681,'Refi Universe'!E:F,2,0)</f>
        <v>0.42308899</v>
      </c>
    </row>
    <row r="682" spans="1:11" ht="15" x14ac:dyDescent="0.25">
      <c r="A682" s="14">
        <v>41568</v>
      </c>
      <c r="B682" s="15">
        <v>383</v>
      </c>
      <c r="C682" s="15">
        <v>383</v>
      </c>
      <c r="D682" s="5">
        <v>120</v>
      </c>
      <c r="E682" s="5">
        <v>62</v>
      </c>
      <c r="F682" s="5">
        <v>4.2024850000000002</v>
      </c>
      <c r="G682" s="12">
        <f>VLOOKUP(A682,'[1]all FNCL'!A$2:B$993,2)</f>
        <v>0.40226083862325102</v>
      </c>
      <c r="J682">
        <f>VLOOKUP(A682,'YB OAS'!B:F,5,0)</f>
        <v>200.185303</v>
      </c>
      <c r="K682" s="40">
        <f>VLOOKUP(A682,'Refi Universe'!E:F,2,0)</f>
        <v>0.41834654999999998</v>
      </c>
    </row>
    <row r="683" spans="1:11" ht="15" x14ac:dyDescent="0.25">
      <c r="A683" s="14">
        <v>41569</v>
      </c>
      <c r="B683" s="15">
        <v>414</v>
      </c>
      <c r="C683" s="15">
        <v>414</v>
      </c>
      <c r="D683" s="5">
        <v>133</v>
      </c>
      <c r="E683" s="5">
        <v>69</v>
      </c>
      <c r="F683" s="5">
        <v>4.1211840000000004</v>
      </c>
      <c r="G683" s="12">
        <f>VLOOKUP(A683,'[1]all FNCL'!A$2:B$993,2)</f>
        <v>0.40226083862325102</v>
      </c>
      <c r="J683">
        <f>VLOOKUP(A683,'YB OAS'!B:F,5,0)</f>
        <v>218.078003</v>
      </c>
      <c r="K683" s="40">
        <f>VLOOKUP(A683,'Refi Universe'!E:F,2,0)</f>
        <v>0.45559037000000002</v>
      </c>
    </row>
    <row r="684" spans="1:11" ht="15" x14ac:dyDescent="0.25">
      <c r="A684" s="14">
        <v>41570</v>
      </c>
      <c r="B684" s="15">
        <v>416</v>
      </c>
      <c r="C684" s="15">
        <v>416</v>
      </c>
      <c r="D684" s="5">
        <v>133</v>
      </c>
      <c r="E684" s="5">
        <v>69</v>
      </c>
      <c r="F684" s="5">
        <v>4.0981740000000002</v>
      </c>
      <c r="G684" s="12">
        <f>VLOOKUP(A684,'[1]all FNCL'!A$2:B$993,2)</f>
        <v>0.40226083862325102</v>
      </c>
      <c r="J684">
        <f>VLOOKUP(A684,'YB OAS'!B:F,5,0)</f>
        <v>222.41099500000001</v>
      </c>
      <c r="K684" s="40">
        <f>VLOOKUP(A684,'Refi Universe'!E:F,2,0)</f>
        <v>0.47251102</v>
      </c>
    </row>
    <row r="685" spans="1:11" ht="15" x14ac:dyDescent="0.25">
      <c r="A685" s="14">
        <v>41571</v>
      </c>
      <c r="B685" s="15">
        <v>412</v>
      </c>
      <c r="C685" s="15">
        <v>412</v>
      </c>
      <c r="D685" s="5">
        <v>135</v>
      </c>
      <c r="E685" s="5">
        <v>71</v>
      </c>
      <c r="F685" s="5">
        <v>4.1195120000000003</v>
      </c>
      <c r="G685" s="12">
        <f>VLOOKUP(A685,'[1]all FNCL'!A$2:B$993,2)</f>
        <v>0.44174331286746599</v>
      </c>
      <c r="J685">
        <f>VLOOKUP(A685,'YB OAS'!B:F,5,0)</f>
        <v>223.84419299999999</v>
      </c>
      <c r="K685" s="40">
        <f>VLOOKUP(A685,'Refi Universe'!E:F,2,0)</f>
        <v>0.45620115</v>
      </c>
    </row>
    <row r="686" spans="1:11" ht="15" x14ac:dyDescent="0.25">
      <c r="A686" s="14">
        <v>41575</v>
      </c>
      <c r="B686" s="15">
        <v>436</v>
      </c>
      <c r="C686" s="15">
        <v>436</v>
      </c>
      <c r="D686" s="5">
        <v>136</v>
      </c>
      <c r="E686" s="5">
        <v>71</v>
      </c>
      <c r="F686" s="5">
        <v>4.0981959999999997</v>
      </c>
      <c r="G686" s="12">
        <f>VLOOKUP(A686,'[1]all FNCL'!A$2:B$993,2)</f>
        <v>0.44174331286746599</v>
      </c>
      <c r="J686">
        <f>VLOOKUP(A686,'YB OAS'!B:F,5,0)</f>
        <v>249.04179400000001</v>
      </c>
      <c r="K686" s="40">
        <f>VLOOKUP(A686,'Refi Universe'!E:F,2,0)</f>
        <v>0.47004080999999998</v>
      </c>
    </row>
    <row r="687" spans="1:11" ht="15" x14ac:dyDescent="0.25">
      <c r="A687" s="14">
        <v>41576</v>
      </c>
      <c r="B687" s="15">
        <v>452</v>
      </c>
      <c r="C687" s="15">
        <v>452</v>
      </c>
      <c r="D687" s="5">
        <v>141</v>
      </c>
      <c r="E687" s="5">
        <v>73</v>
      </c>
      <c r="F687" s="5">
        <v>4.1022959999999999</v>
      </c>
      <c r="G687" s="12">
        <f>VLOOKUP(A687,'[1]all FNCL'!A$2:B$993,2)</f>
        <v>0.44174331286746599</v>
      </c>
      <c r="J687">
        <f>VLOOKUP(A687,'YB OAS'!B:F,5,0)</f>
        <v>260.36120599999998</v>
      </c>
      <c r="K687" s="40">
        <f>VLOOKUP(A687,'Refi Universe'!E:F,2,0)</f>
        <v>0.47251102</v>
      </c>
    </row>
    <row r="688" spans="1:11" ht="15" x14ac:dyDescent="0.25">
      <c r="A688" s="14">
        <v>41577</v>
      </c>
      <c r="B688" s="15">
        <v>450</v>
      </c>
      <c r="C688" s="15">
        <v>450</v>
      </c>
      <c r="D688" s="5">
        <v>150</v>
      </c>
      <c r="E688" s="5">
        <v>77</v>
      </c>
      <c r="F688" s="5">
        <v>4.0965629999999997</v>
      </c>
      <c r="G688" s="12">
        <f>VLOOKUP(A688,'[1]all FNCL'!A$2:B$993,2)</f>
        <v>0.44174331286746599</v>
      </c>
      <c r="J688">
        <f>VLOOKUP(A688,'YB OAS'!B:F,5,0)</f>
        <v>261.27999899999998</v>
      </c>
      <c r="K688" s="40">
        <f>VLOOKUP(A688,'Refi Universe'!E:F,2,0)</f>
        <v>0.46022834000000001</v>
      </c>
    </row>
    <row r="689" spans="1:11" ht="15" x14ac:dyDescent="0.25">
      <c r="A689" s="14">
        <v>41578</v>
      </c>
      <c r="B689" s="15">
        <v>428</v>
      </c>
      <c r="C689" s="15">
        <v>428</v>
      </c>
      <c r="D689" s="5">
        <v>152</v>
      </c>
      <c r="E689" s="5">
        <v>77</v>
      </c>
      <c r="F689" s="5">
        <v>4.1039149999999998</v>
      </c>
      <c r="G689" s="12">
        <f>VLOOKUP(A689,'[1]all FNCL'!A$2:B$993,2)</f>
        <v>0.46054051472194202</v>
      </c>
      <c r="J689">
        <f>VLOOKUP(A689,'YB OAS'!B:F,5,0)</f>
        <v>243.733093</v>
      </c>
      <c r="K689" s="40">
        <f>VLOOKUP(A689,'Refi Universe'!E:F,2,0)</f>
        <v>0.44816967000000002</v>
      </c>
    </row>
    <row r="690" spans="1:11" ht="15" x14ac:dyDescent="0.25">
      <c r="A690" s="14">
        <v>41579</v>
      </c>
      <c r="B690" s="15">
        <v>393</v>
      </c>
      <c r="C690" s="15">
        <v>393</v>
      </c>
      <c r="D690" s="5">
        <v>154</v>
      </c>
      <c r="E690" s="5">
        <v>78</v>
      </c>
      <c r="F690" s="5">
        <v>4.1210760000000004</v>
      </c>
      <c r="G690" s="12">
        <f>VLOOKUP(A690,'[1]all FNCL'!A$2:B$993,2)</f>
        <v>0.45992799651573901</v>
      </c>
      <c r="J690">
        <f>VLOOKUP(A690,'YB OAS'!B:F,5,0)</f>
        <v>216.46710200000001</v>
      </c>
      <c r="K690" s="40">
        <f>VLOOKUP(A690,'Refi Universe'!E:F,2,0)</f>
        <v>0.41875307000000001</v>
      </c>
    </row>
    <row r="691" spans="1:11" ht="15" x14ac:dyDescent="0.25">
      <c r="A691" s="14">
        <v>41582</v>
      </c>
      <c r="B691" s="15">
        <v>391</v>
      </c>
      <c r="C691" s="15">
        <v>391</v>
      </c>
      <c r="D691" s="5">
        <v>145</v>
      </c>
      <c r="E691" s="5">
        <v>75</v>
      </c>
      <c r="F691" s="5">
        <v>4.1833710000000002</v>
      </c>
      <c r="G691" s="12">
        <f>VLOOKUP(A691,'[1]all FNCL'!A$2:B$993,2)</f>
        <v>0.45992799651573901</v>
      </c>
      <c r="J691">
        <f>VLOOKUP(A691,'YB OAS'!B:F,5,0)</f>
        <v>214.29789700000001</v>
      </c>
      <c r="K691" s="40">
        <f>VLOOKUP(A691,'Refi Universe'!E:F,2,0)</f>
        <v>0.42327273999999998</v>
      </c>
    </row>
    <row r="692" spans="1:11" ht="15" x14ac:dyDescent="0.25">
      <c r="A692" s="14">
        <v>41583</v>
      </c>
      <c r="B692" s="15">
        <v>360</v>
      </c>
      <c r="C692" s="15">
        <v>360</v>
      </c>
      <c r="D692" s="5">
        <v>128</v>
      </c>
      <c r="E692" s="5">
        <v>64</v>
      </c>
      <c r="F692" s="5">
        <v>4.1697689999999996</v>
      </c>
      <c r="G692" s="12">
        <f>VLOOKUP(A692,'[1]all FNCL'!A$2:B$993,2)</f>
        <v>0.45992799651573901</v>
      </c>
      <c r="J692">
        <f>VLOOKUP(A692,'YB OAS'!B:F,5,0)</f>
        <v>189.39619400000001</v>
      </c>
      <c r="K692" s="40">
        <f>VLOOKUP(A692,'Refi Universe'!E:F,2,0)</f>
        <v>0.40444497000000001</v>
      </c>
    </row>
    <row r="693" spans="1:11" ht="15" x14ac:dyDescent="0.25">
      <c r="A693" s="14">
        <v>41584</v>
      </c>
      <c r="B693" s="15">
        <v>351</v>
      </c>
      <c r="C693" s="15">
        <v>351</v>
      </c>
      <c r="D693" s="5">
        <v>107</v>
      </c>
      <c r="E693" s="5">
        <v>57</v>
      </c>
      <c r="F693" s="5">
        <v>4.2282770000000003</v>
      </c>
      <c r="G693" s="12">
        <f>VLOOKUP(A693,'[1]all FNCL'!A$2:B$993,2)</f>
        <v>0.45992799651573901</v>
      </c>
      <c r="J693">
        <f>VLOOKUP(A693,'YB OAS'!B:F,5,0)</f>
        <v>183.379593</v>
      </c>
      <c r="K693" s="40">
        <f>VLOOKUP(A693,'Refi Universe'!E:F,2,0)</f>
        <v>0.41274392999999998</v>
      </c>
    </row>
    <row r="694" spans="1:11" ht="15" x14ac:dyDescent="0.25">
      <c r="A694" s="14">
        <v>41585</v>
      </c>
      <c r="B694" s="15">
        <v>334</v>
      </c>
      <c r="C694" s="15">
        <v>334</v>
      </c>
      <c r="D694" s="5">
        <v>108</v>
      </c>
      <c r="E694" s="5">
        <v>58</v>
      </c>
      <c r="F694" s="5">
        <v>4.2163440000000003</v>
      </c>
      <c r="G694" s="12">
        <f>VLOOKUP(A694,'[1]all FNCL'!A$2:B$993,2)</f>
        <v>0.42914615919681298</v>
      </c>
      <c r="J694">
        <f>VLOOKUP(A694,'YB OAS'!B:F,5,0)</f>
        <v>166.33230599999999</v>
      </c>
      <c r="K694" s="40">
        <f>VLOOKUP(A694,'Refi Universe'!E:F,2,0)</f>
        <v>0.41435673000000001</v>
      </c>
    </row>
    <row r="695" spans="1:11" ht="15" x14ac:dyDescent="0.25">
      <c r="A695" s="14">
        <v>41586</v>
      </c>
      <c r="B695" s="15">
        <v>293</v>
      </c>
      <c r="C695" s="15">
        <v>293</v>
      </c>
      <c r="D695" s="5">
        <v>101</v>
      </c>
      <c r="E695" s="5">
        <v>56</v>
      </c>
      <c r="F695" s="5">
        <v>4.2112569999999998</v>
      </c>
      <c r="G695" s="12">
        <f>VLOOKUP(A695,'[1]all FNCL'!A$2:B$993,2)</f>
        <v>0.42914615919681298</v>
      </c>
      <c r="J695">
        <f>VLOOKUP(A695,'YB OAS'!B:F,5,0)</f>
        <v>155.75929300000001</v>
      </c>
      <c r="K695" s="40">
        <f>VLOOKUP(A695,'Refi Universe'!E:F,2,0)</f>
        <v>0.38823085000000002</v>
      </c>
    </row>
    <row r="696" spans="1:11" ht="15" x14ac:dyDescent="0.25">
      <c r="A696" s="14">
        <v>41590</v>
      </c>
      <c r="B696" s="15">
        <v>297</v>
      </c>
      <c r="C696" s="15">
        <v>297</v>
      </c>
      <c r="D696" s="5">
        <v>91</v>
      </c>
      <c r="E696" s="5">
        <v>51</v>
      </c>
      <c r="F696" s="5">
        <v>4.3172030000000001</v>
      </c>
      <c r="G696" s="12">
        <f>VLOOKUP(A696,'[1]all FNCL'!A$2:B$993,2)</f>
        <v>0.42914615919681298</v>
      </c>
      <c r="J696">
        <f>VLOOKUP(A696,'YB OAS'!B:F,5,0)</f>
        <v>151.340698</v>
      </c>
      <c r="K696" s="40">
        <f>VLOOKUP(A696,'Refi Universe'!E:F,2,0)</f>
        <v>0.38747167999999999</v>
      </c>
    </row>
    <row r="697" spans="1:11" ht="15" x14ac:dyDescent="0.25">
      <c r="A697" s="14">
        <v>41591</v>
      </c>
      <c r="B697" s="15">
        <v>331</v>
      </c>
      <c r="C697" s="15">
        <v>331</v>
      </c>
      <c r="D697" s="5">
        <v>88</v>
      </c>
      <c r="E697" s="5">
        <v>47</v>
      </c>
      <c r="F697" s="5">
        <v>4.3251179999999998</v>
      </c>
      <c r="G697" s="12">
        <f>VLOOKUP(A697,'[1]all FNCL'!A$2:B$993,2)</f>
        <v>0.42914615919681298</v>
      </c>
      <c r="J697">
        <f>VLOOKUP(A697,'YB OAS'!B:F,5,0)</f>
        <v>164.08369400000001</v>
      </c>
      <c r="K697" s="40">
        <f>VLOOKUP(A697,'Refi Universe'!E:F,2,0)</f>
        <v>0.38690331</v>
      </c>
    </row>
    <row r="698" spans="1:11" ht="15" x14ac:dyDescent="0.25">
      <c r="A698" s="14">
        <v>41592</v>
      </c>
      <c r="B698" s="15">
        <v>338</v>
      </c>
      <c r="C698" s="15">
        <v>338</v>
      </c>
      <c r="D698" s="5">
        <v>106</v>
      </c>
      <c r="E698" s="5">
        <v>54</v>
      </c>
      <c r="F698" s="5">
        <v>4.2918529999999997</v>
      </c>
      <c r="G698" s="12">
        <f>VLOOKUP(A698,'[1]all FNCL'!A$2:B$993,2)</f>
        <v>0.42914615919681298</v>
      </c>
      <c r="J698">
        <f>VLOOKUP(A698,'YB OAS'!B:F,5,0)</f>
        <v>175.72129799999999</v>
      </c>
      <c r="K698" s="40">
        <f>VLOOKUP(A698,'Refi Universe'!E:F,2,0)</f>
        <v>0.39450030000000003</v>
      </c>
    </row>
    <row r="699" spans="1:11" ht="15" x14ac:dyDescent="0.25">
      <c r="A699" s="14">
        <v>41593</v>
      </c>
      <c r="B699" s="15">
        <v>334</v>
      </c>
      <c r="C699" s="15">
        <v>334</v>
      </c>
      <c r="D699" s="5">
        <v>109</v>
      </c>
      <c r="E699" s="5">
        <v>62</v>
      </c>
      <c r="F699" s="5">
        <v>4.2463699999999998</v>
      </c>
      <c r="G699" s="12">
        <f>VLOOKUP(A699,'[1]all FNCL'!A$2:B$993,2)</f>
        <v>0.38756459325455</v>
      </c>
      <c r="J699">
        <f>VLOOKUP(A699,'YB OAS'!B:F,5,0)</f>
        <v>174.98680100000001</v>
      </c>
      <c r="K699" s="40">
        <f>VLOOKUP(A699,'Refi Universe'!E:F,2,0)</f>
        <v>0.39599199000000002</v>
      </c>
    </row>
    <row r="700" spans="1:11" ht="15" x14ac:dyDescent="0.25">
      <c r="A700" s="14">
        <v>41596</v>
      </c>
      <c r="B700" s="15">
        <v>336</v>
      </c>
      <c r="C700" s="15">
        <v>336</v>
      </c>
      <c r="D700" s="5">
        <v>108</v>
      </c>
      <c r="E700" s="5">
        <v>59</v>
      </c>
      <c r="F700" s="5">
        <v>4.2412400000000003</v>
      </c>
      <c r="G700" s="12">
        <f>VLOOKUP(A700,'[1]all FNCL'!A$2:B$993,2)</f>
        <v>0.38756459325455</v>
      </c>
      <c r="J700">
        <f>VLOOKUP(A700,'YB OAS'!B:F,5,0)</f>
        <v>179.39070100000001</v>
      </c>
      <c r="K700" s="40">
        <f>VLOOKUP(A700,'Refi Universe'!E:F,2,0)</f>
        <v>0.40298490999999997</v>
      </c>
    </row>
    <row r="701" spans="1:11" ht="15" x14ac:dyDescent="0.25">
      <c r="A701" s="14">
        <v>41597</v>
      </c>
      <c r="B701" s="15">
        <v>317</v>
      </c>
      <c r="C701" s="15">
        <v>317</v>
      </c>
      <c r="D701" s="5">
        <v>104</v>
      </c>
      <c r="E701" s="5">
        <v>54</v>
      </c>
      <c r="F701" s="5">
        <v>4.2098779999999998</v>
      </c>
      <c r="G701" s="12">
        <f>VLOOKUP(A701,'[1]all FNCL'!A$2:B$993,2)</f>
        <v>0.38756459325455</v>
      </c>
      <c r="J701">
        <f>VLOOKUP(A701,'YB OAS'!B:F,5,0)</f>
        <v>161.823196</v>
      </c>
      <c r="K701" s="40">
        <f>VLOOKUP(A701,'Refi Universe'!E:F,2,0)</f>
        <v>0.39630022999999998</v>
      </c>
    </row>
    <row r="702" spans="1:11" ht="15" x14ac:dyDescent="0.25">
      <c r="A702" s="14">
        <v>41598</v>
      </c>
      <c r="B702" s="15">
        <v>295</v>
      </c>
      <c r="C702" s="15">
        <v>295</v>
      </c>
      <c r="D702" s="5">
        <v>98</v>
      </c>
      <c r="E702" s="5">
        <v>52</v>
      </c>
      <c r="F702" s="5">
        <v>4.2386590000000002</v>
      </c>
      <c r="G702" s="12">
        <f>VLOOKUP(A702,'[1]all FNCL'!A$2:B$993,2)</f>
        <v>0.38756459325455</v>
      </c>
      <c r="J702">
        <f>VLOOKUP(A702,'YB OAS'!B:F,5,0)</f>
        <v>140.72749300000001</v>
      </c>
      <c r="K702" s="40">
        <f>VLOOKUP(A702,'Refi Universe'!E:F,2,0)</f>
        <v>0.39806186999999998</v>
      </c>
    </row>
    <row r="703" spans="1:11" ht="15" x14ac:dyDescent="0.25">
      <c r="A703" s="14">
        <v>41599</v>
      </c>
      <c r="B703" s="15">
        <v>322</v>
      </c>
      <c r="C703" s="15">
        <v>322</v>
      </c>
      <c r="D703" s="5">
        <v>90</v>
      </c>
      <c r="E703" s="5">
        <v>49</v>
      </c>
      <c r="F703" s="5">
        <v>4.2943160000000002</v>
      </c>
      <c r="G703" s="12">
        <f>VLOOKUP(A703,'[1]all FNCL'!A$2:B$993,2)</f>
        <v>0.41376095810168201</v>
      </c>
      <c r="J703">
        <f>VLOOKUP(A703,'YB OAS'!B:F,5,0)</f>
        <v>164.22970599999999</v>
      </c>
      <c r="K703" s="40">
        <f>VLOOKUP(A703,'Refi Universe'!E:F,2,0)</f>
        <v>0.39857682999999999</v>
      </c>
    </row>
    <row r="704" spans="1:11" ht="15" x14ac:dyDescent="0.25">
      <c r="A704" s="14">
        <v>41600</v>
      </c>
      <c r="B704" s="15">
        <v>335</v>
      </c>
      <c r="C704" s="15">
        <v>335</v>
      </c>
      <c r="D704" s="5">
        <v>95</v>
      </c>
      <c r="E704" s="5">
        <v>55</v>
      </c>
      <c r="F704" s="5">
        <v>4.2925800000000001</v>
      </c>
      <c r="G704" s="12">
        <f>VLOOKUP(A704,'[1]all FNCL'!A$2:B$993,2)</f>
        <v>0.41376095810168201</v>
      </c>
      <c r="J704">
        <f>VLOOKUP(A704,'YB OAS'!B:F,5,0)</f>
        <v>176.21060199999999</v>
      </c>
      <c r="K704" s="40">
        <f>VLOOKUP(A704,'Refi Universe'!E:F,2,0)</f>
        <v>0.40216698000000001</v>
      </c>
    </row>
    <row r="705" spans="1:11" ht="15" x14ac:dyDescent="0.25">
      <c r="A705" s="14">
        <v>41603</v>
      </c>
      <c r="B705" s="15">
        <v>327</v>
      </c>
      <c r="C705" s="15">
        <v>327</v>
      </c>
      <c r="D705" s="5">
        <v>93</v>
      </c>
      <c r="E705" s="5">
        <v>54</v>
      </c>
      <c r="F705" s="5">
        <v>4.2839660000000004</v>
      </c>
      <c r="G705" s="12">
        <f>VLOOKUP(A705,'[1]all FNCL'!A$2:B$993,2)</f>
        <v>0.41376095810168201</v>
      </c>
      <c r="J705">
        <f>VLOOKUP(A705,'YB OAS'!B:F,5,0)</f>
        <v>173.259094</v>
      </c>
      <c r="K705" s="40">
        <f>VLOOKUP(A705,'Refi Universe'!E:F,2,0)</f>
        <v>0.40159792999999999</v>
      </c>
    </row>
    <row r="706" spans="1:11" ht="15" x14ac:dyDescent="0.25">
      <c r="A706" s="14">
        <v>41604</v>
      </c>
      <c r="B706" s="15">
        <v>334</v>
      </c>
      <c r="C706" s="15">
        <v>334</v>
      </c>
      <c r="D706" s="5">
        <v>89</v>
      </c>
      <c r="E706" s="5">
        <v>49</v>
      </c>
      <c r="F706" s="5">
        <v>4.285679</v>
      </c>
      <c r="G706" s="12">
        <f>VLOOKUP(A706,'[1]all FNCL'!A$2:B$993,2)</f>
        <v>0.41376095810168201</v>
      </c>
      <c r="J706">
        <f>VLOOKUP(A706,'YB OAS'!B:F,5,0)</f>
        <v>174.47349500000001</v>
      </c>
      <c r="K706" s="40">
        <f>VLOOKUP(A706,'Refi Universe'!E:F,2,0)</f>
        <v>0.40444497000000001</v>
      </c>
    </row>
    <row r="707" spans="1:11" ht="15" x14ac:dyDescent="0.25">
      <c r="A707" s="14">
        <v>41605</v>
      </c>
      <c r="B707" s="15">
        <v>320</v>
      </c>
      <c r="C707" s="15">
        <v>320</v>
      </c>
      <c r="D707" s="5">
        <v>93</v>
      </c>
      <c r="E707" s="5">
        <v>52</v>
      </c>
      <c r="F707" s="5">
        <v>4.2720250000000002</v>
      </c>
      <c r="G707" s="12">
        <f>VLOOKUP(A707,'[1]all FNCL'!A$2:B$993,2)</f>
        <v>0.39685395177288302</v>
      </c>
      <c r="J707">
        <f>VLOOKUP(A707,'YB OAS'!B:F,5,0)</f>
        <v>166.94000199999999</v>
      </c>
      <c r="K707" s="40">
        <f>VLOOKUP(A707,'Refi Universe'!E:F,2,0)</f>
        <v>0.39288242000000001</v>
      </c>
    </row>
    <row r="708" spans="1:11" ht="15" x14ac:dyDescent="0.25">
      <c r="A708" s="14">
        <v>41607</v>
      </c>
      <c r="B708" s="15">
        <v>324</v>
      </c>
      <c r="C708" s="15">
        <v>324</v>
      </c>
      <c r="D708" s="5">
        <v>92</v>
      </c>
      <c r="E708" s="5">
        <v>53</v>
      </c>
      <c r="F708" s="5">
        <v>4.3134269999999999</v>
      </c>
      <c r="G708" s="12">
        <f>VLOOKUP(A708,'[1]all FNCL'!A$2:B$993,2)</f>
        <v>0.39685395177288302</v>
      </c>
      <c r="J708">
        <f>VLOOKUP(A708,'YB OAS'!B:F,5,0)</f>
        <v>164.663895</v>
      </c>
      <c r="K708" s="40">
        <f>VLOOKUP(A708,'Refi Universe'!E:F,2,0)</f>
        <v>0.39248038000000002</v>
      </c>
    </row>
    <row r="709" spans="1:11" ht="15" x14ac:dyDescent="0.25">
      <c r="A709" s="14">
        <v>41610</v>
      </c>
      <c r="B709" s="15">
        <v>297</v>
      </c>
      <c r="C709" s="15">
        <v>297</v>
      </c>
      <c r="D709" s="5">
        <v>90</v>
      </c>
      <c r="E709" s="5">
        <v>51</v>
      </c>
      <c r="F709" s="5">
        <v>4.3143000000000002</v>
      </c>
      <c r="G709" s="12">
        <f>VLOOKUP(A709,'[1]all FNCL'!A$2:B$993,2)</f>
        <v>0.39163572008716802</v>
      </c>
      <c r="J709">
        <f>VLOOKUP(A709,'YB OAS'!B:F,5,0)</f>
        <v>146.7724</v>
      </c>
      <c r="K709" s="40">
        <f>VLOOKUP(A709,'Refi Universe'!E:F,2,0)</f>
        <v>0.37676027000000001</v>
      </c>
    </row>
    <row r="710" spans="1:11" ht="15" x14ac:dyDescent="0.25">
      <c r="A710" s="14">
        <v>41611</v>
      </c>
      <c r="B710" s="15">
        <v>300</v>
      </c>
      <c r="C710" s="15">
        <v>300</v>
      </c>
      <c r="D710" s="5">
        <v>89</v>
      </c>
      <c r="E710" s="5">
        <v>52</v>
      </c>
      <c r="F710" s="5">
        <v>4.3746660000000004</v>
      </c>
      <c r="G710" s="12">
        <f>VLOOKUP(A710,'[1]all FNCL'!A$2:B$993,2)</f>
        <v>0.39163572008716802</v>
      </c>
      <c r="J710">
        <f>VLOOKUP(A710,'YB OAS'!B:F,5,0)</f>
        <v>148.858093</v>
      </c>
      <c r="K710" s="40">
        <f>VLOOKUP(A710,'Refi Universe'!E:F,2,0)</f>
        <v>0.37704095999999998</v>
      </c>
    </row>
    <row r="711" spans="1:11" ht="15" x14ac:dyDescent="0.25">
      <c r="A711" s="14">
        <v>41612</v>
      </c>
      <c r="B711" s="15">
        <v>281</v>
      </c>
      <c r="C711" s="15">
        <v>281</v>
      </c>
      <c r="D711" s="5">
        <v>87</v>
      </c>
      <c r="E711" s="5">
        <v>52</v>
      </c>
      <c r="F711" s="5">
        <v>4.375559</v>
      </c>
      <c r="G711" s="12">
        <f>VLOOKUP(A711,'[1]all FNCL'!A$2:B$993,2)</f>
        <v>0.39163572008716802</v>
      </c>
      <c r="J711">
        <f>VLOOKUP(A711,'YB OAS'!B:F,5,0)</f>
        <v>134.19790599999999</v>
      </c>
      <c r="K711" s="40">
        <f>VLOOKUP(A711,'Refi Universe'!E:F,2,0)</f>
        <v>0.34044994000000001</v>
      </c>
    </row>
    <row r="712" spans="1:11" ht="15" x14ac:dyDescent="0.25">
      <c r="A712" s="14">
        <v>41613</v>
      </c>
      <c r="B712" s="15">
        <v>282</v>
      </c>
      <c r="C712" s="15">
        <v>282</v>
      </c>
      <c r="D712" s="5">
        <v>90</v>
      </c>
      <c r="E712" s="5">
        <v>54</v>
      </c>
      <c r="F712" s="5">
        <v>4.4251339999999999</v>
      </c>
      <c r="G712" s="12">
        <f>VLOOKUP(A712,'[1]all FNCL'!A$2:B$993,2)</f>
        <v>0.347358703685412</v>
      </c>
      <c r="J712">
        <f>VLOOKUP(A712,'YB OAS'!B:F,5,0)</f>
        <v>130.290604</v>
      </c>
      <c r="K712" s="40">
        <f>VLOOKUP(A712,'Refi Universe'!E:F,2,0)</f>
        <v>0.32814632999999999</v>
      </c>
    </row>
    <row r="713" spans="1:11" ht="15" x14ac:dyDescent="0.25">
      <c r="A713" s="14">
        <v>41614</v>
      </c>
      <c r="B713" s="15">
        <v>273</v>
      </c>
      <c r="C713" s="15">
        <v>273</v>
      </c>
      <c r="D713" s="5">
        <v>92</v>
      </c>
      <c r="E713" s="5">
        <v>56</v>
      </c>
      <c r="F713" s="5">
        <v>4.4378849999999996</v>
      </c>
      <c r="G713" s="12">
        <f>VLOOKUP(A713,'[1]all FNCL'!A$2:B$993,2)</f>
        <v>0.347358703685412</v>
      </c>
      <c r="J713">
        <f>VLOOKUP(A713,'YB OAS'!B:F,5,0)</f>
        <v>129.48140000000001</v>
      </c>
      <c r="K713" s="40">
        <f>VLOOKUP(A713,'Refi Universe'!E:F,2,0)</f>
        <v>0.34216846000000001</v>
      </c>
    </row>
    <row r="714" spans="1:11" ht="15" x14ac:dyDescent="0.25">
      <c r="A714" s="14">
        <v>41617</v>
      </c>
      <c r="B714" s="15">
        <v>278</v>
      </c>
      <c r="C714" s="15">
        <v>278</v>
      </c>
      <c r="D714" s="5">
        <v>86</v>
      </c>
      <c r="E714" s="5">
        <v>48</v>
      </c>
      <c r="F714" s="5">
        <v>4.4224129999999997</v>
      </c>
      <c r="G714" s="12">
        <f>VLOOKUP(A714,'[1]all FNCL'!A$2:B$993,2)</f>
        <v>0.347358703685412</v>
      </c>
      <c r="J714">
        <f>VLOOKUP(A714,'YB OAS'!B:F,5,0)</f>
        <v>131.45500200000001</v>
      </c>
      <c r="K714" s="40">
        <f>VLOOKUP(A714,'Refi Universe'!E:F,2,0)</f>
        <v>0.36453579000000003</v>
      </c>
    </row>
    <row r="715" spans="1:11" ht="15" x14ac:dyDescent="0.25">
      <c r="A715" s="14">
        <v>41618</v>
      </c>
      <c r="B715" s="15">
        <v>264</v>
      </c>
      <c r="C715" s="15">
        <v>264</v>
      </c>
      <c r="D715" s="5">
        <v>87</v>
      </c>
      <c r="E715" s="5">
        <v>48</v>
      </c>
      <c r="F715" s="5">
        <v>4.3962399999999997</v>
      </c>
      <c r="G715" s="12">
        <f>VLOOKUP(A715,'[1]all FNCL'!A$2:B$993,2)</f>
        <v>0.347358703685412</v>
      </c>
      <c r="J715">
        <f>VLOOKUP(A715,'YB OAS'!B:F,5,0)</f>
        <v>113.635597</v>
      </c>
      <c r="K715" s="40">
        <f>VLOOKUP(A715,'Refi Universe'!E:F,2,0)</f>
        <v>0.37537373000000002</v>
      </c>
    </row>
    <row r="716" spans="1:11" ht="15" x14ac:dyDescent="0.25">
      <c r="A716" s="14">
        <v>41619</v>
      </c>
      <c r="B716" s="15">
        <v>261</v>
      </c>
      <c r="C716" s="15">
        <v>261</v>
      </c>
      <c r="D716" s="5">
        <v>73</v>
      </c>
      <c r="E716" s="5">
        <v>38</v>
      </c>
      <c r="F716" s="5">
        <v>4.3596269999999997</v>
      </c>
      <c r="G716" s="12">
        <f>VLOOKUP(A716,'[1]all FNCL'!A$2:B$993,2)</f>
        <v>0.347358703685412</v>
      </c>
      <c r="J716">
        <f>VLOOKUP(A716,'YB OAS'!B:F,5,0)</f>
        <v>108.554298</v>
      </c>
      <c r="K716" s="40">
        <f>VLOOKUP(A716,'Refi Universe'!E:F,2,0)</f>
        <v>0.37034011999999999</v>
      </c>
    </row>
    <row r="717" spans="1:11" ht="15" x14ac:dyDescent="0.25">
      <c r="A717" s="14">
        <v>41620</v>
      </c>
      <c r="B717" s="15">
        <v>242</v>
      </c>
      <c r="C717" s="15">
        <v>242</v>
      </c>
      <c r="D717" s="5">
        <v>78</v>
      </c>
      <c r="E717" s="5">
        <v>43</v>
      </c>
      <c r="F717" s="5">
        <v>4.4034370000000003</v>
      </c>
      <c r="G717" s="12">
        <f>VLOOKUP(A717,'[1]all FNCL'!A$2:B$993,2)</f>
        <v>0.37050298104882501</v>
      </c>
      <c r="J717">
        <f>VLOOKUP(A717,'YB OAS'!B:F,5,0)</f>
        <v>101.133003</v>
      </c>
      <c r="K717" s="40">
        <f>VLOOKUP(A717,'Refi Universe'!E:F,2,0)</f>
        <v>0.35777890000000001</v>
      </c>
    </row>
    <row r="718" spans="1:11" ht="15" x14ac:dyDescent="0.25">
      <c r="A718" s="14">
        <v>41621</v>
      </c>
      <c r="B718" s="15">
        <v>242</v>
      </c>
      <c r="C718" s="15">
        <v>242</v>
      </c>
      <c r="D718" s="5">
        <v>76</v>
      </c>
      <c r="E718" s="5">
        <v>40</v>
      </c>
      <c r="F718" s="5">
        <v>4.42964</v>
      </c>
      <c r="G718" s="12">
        <f>VLOOKUP(A718,'[1]all FNCL'!A$2:B$993,2)</f>
        <v>0.37050298104882501</v>
      </c>
      <c r="J718">
        <f>VLOOKUP(A718,'YB OAS'!B:F,5,0)</f>
        <v>99.260101000000006</v>
      </c>
      <c r="K718" s="40">
        <f>VLOOKUP(A718,'Refi Universe'!E:F,2,0)</f>
        <v>0.36453579000000003</v>
      </c>
    </row>
    <row r="719" spans="1:11" ht="15" x14ac:dyDescent="0.25">
      <c r="A719" s="14">
        <v>41624</v>
      </c>
      <c r="B719" s="15">
        <v>243</v>
      </c>
      <c r="C719" s="15">
        <v>243</v>
      </c>
      <c r="D719" s="5">
        <v>72</v>
      </c>
      <c r="E719" s="5">
        <v>37</v>
      </c>
      <c r="F719" s="5">
        <v>4.4151590000000001</v>
      </c>
      <c r="G719" s="12">
        <f>VLOOKUP(A719,'[1]all FNCL'!A$2:B$993,2)</f>
        <v>0.37050298104882501</v>
      </c>
      <c r="J719">
        <f>VLOOKUP(A719,'YB OAS'!B:F,5,0)</f>
        <v>102.64209700000001</v>
      </c>
      <c r="K719" s="40">
        <f>VLOOKUP(A719,'Refi Universe'!E:F,2,0)</f>
        <v>0.36327559999999998</v>
      </c>
    </row>
    <row r="720" spans="1:11" ht="15" x14ac:dyDescent="0.25">
      <c r="A720" s="14">
        <v>41625</v>
      </c>
      <c r="B720" s="15">
        <v>255</v>
      </c>
      <c r="C720" s="15">
        <v>255</v>
      </c>
      <c r="D720" s="5">
        <v>74</v>
      </c>
      <c r="E720" s="5">
        <v>38</v>
      </c>
      <c r="F720" s="5">
        <v>4.416963</v>
      </c>
      <c r="G720" s="12">
        <f>VLOOKUP(A720,'[1]all FNCL'!A$2:B$993,2)</f>
        <v>0.37050298104882501</v>
      </c>
      <c r="J720">
        <f>VLOOKUP(A720,'YB OAS'!B:F,5,0)</f>
        <v>106.35549899999999</v>
      </c>
      <c r="K720" s="40">
        <f>VLOOKUP(A720,'Refi Universe'!E:F,2,0)</f>
        <v>0.37416398000000001</v>
      </c>
    </row>
    <row r="721" spans="1:11" ht="15" x14ac:dyDescent="0.25">
      <c r="A721" s="14">
        <v>41626</v>
      </c>
      <c r="B721" s="15">
        <v>241</v>
      </c>
      <c r="C721" s="15">
        <v>241</v>
      </c>
      <c r="D721" s="5">
        <v>74</v>
      </c>
      <c r="E721" s="5">
        <v>37</v>
      </c>
      <c r="F721" s="5">
        <v>4.3881860000000001</v>
      </c>
      <c r="G721" s="12">
        <f>VLOOKUP(A721,'[1]all FNCL'!A$2:B$993,2)</f>
        <v>0.37050298104882501</v>
      </c>
      <c r="J721">
        <f>VLOOKUP(A721,'YB OAS'!B:F,5,0)</f>
        <v>103.123299</v>
      </c>
      <c r="K721" s="40">
        <f>VLOOKUP(A721,'Refi Universe'!E:F,2,0)</f>
        <v>0.32708043999999997</v>
      </c>
    </row>
    <row r="722" spans="1:11" ht="15" x14ac:dyDescent="0.25">
      <c r="A722" s="14">
        <v>41627</v>
      </c>
      <c r="B722" s="15">
        <v>211</v>
      </c>
      <c r="C722" s="15">
        <v>211</v>
      </c>
      <c r="D722" s="5">
        <v>76</v>
      </c>
      <c r="E722" s="5">
        <v>41</v>
      </c>
      <c r="F722" s="5">
        <v>4.4296189999999998</v>
      </c>
      <c r="G722" s="12">
        <f>VLOOKUP(A722,'[1]all FNCL'!A$2:B$993,2)</f>
        <v>0.33802122298332299</v>
      </c>
      <c r="J722">
        <f>VLOOKUP(A722,'YB OAS'!B:F,5,0)</f>
        <v>88.593299999999999</v>
      </c>
      <c r="K722" s="40">
        <f>VLOOKUP(A722,'Refi Universe'!E:F,2,0)</f>
        <v>0.27857630999999999</v>
      </c>
    </row>
    <row r="723" spans="1:11" ht="15" x14ac:dyDescent="0.25">
      <c r="A723" s="14">
        <v>41628</v>
      </c>
      <c r="B723" s="15">
        <v>204</v>
      </c>
      <c r="C723" s="15">
        <v>204</v>
      </c>
      <c r="D723" s="5">
        <v>67</v>
      </c>
      <c r="E723" s="5">
        <v>41</v>
      </c>
      <c r="F723" s="5">
        <v>4.464213</v>
      </c>
      <c r="G723" s="12">
        <f>VLOOKUP(A723,'[1]all FNCL'!A$2:B$993,2)</f>
        <v>0.33802122298332299</v>
      </c>
      <c r="J723">
        <f>VLOOKUP(A723,'YB OAS'!B:F,5,0)</f>
        <v>73.449698999999995</v>
      </c>
      <c r="K723" s="40">
        <f>VLOOKUP(A723,'Refi Universe'!E:F,2,0)</f>
        <v>0.34672830999999998</v>
      </c>
    </row>
    <row r="724" spans="1:11" ht="15" x14ac:dyDescent="0.25">
      <c r="A724" s="14">
        <v>41631</v>
      </c>
      <c r="B724" s="15">
        <v>236</v>
      </c>
      <c r="C724" s="15">
        <v>236</v>
      </c>
      <c r="D724" s="5">
        <v>47</v>
      </c>
      <c r="E724" s="5">
        <v>20</v>
      </c>
      <c r="F724" s="5">
        <v>4.412471</v>
      </c>
      <c r="G724" s="12">
        <f>VLOOKUP(A724,'[1]all FNCL'!A$2:B$993,2)</f>
        <v>0.33802122298332299</v>
      </c>
      <c r="J724">
        <f>VLOOKUP(A724,'YB OAS'!B:F,5,0)</f>
        <v>101.38249999999999</v>
      </c>
      <c r="K724" s="40">
        <f>VLOOKUP(A724,'Refi Universe'!E:F,2,0)</f>
        <v>0.32708043999999997</v>
      </c>
    </row>
    <row r="725" spans="1:11" ht="15" x14ac:dyDescent="0.25">
      <c r="A725" s="14">
        <v>41632</v>
      </c>
      <c r="B725" s="15">
        <v>238</v>
      </c>
      <c r="C725" s="15">
        <v>238</v>
      </c>
      <c r="D725" s="5">
        <v>66</v>
      </c>
      <c r="E725" s="5">
        <v>40</v>
      </c>
      <c r="F725" s="5">
        <v>4.4260000000000002</v>
      </c>
      <c r="G725" s="12">
        <f>VLOOKUP(A725,'[1]all FNCL'!A$2:B$993,2)</f>
        <v>0.33802122298332299</v>
      </c>
      <c r="J725">
        <f>VLOOKUP(A725,'YB OAS'!B:F,5,0)</f>
        <v>98.914597000000001</v>
      </c>
      <c r="K725" s="40">
        <f>VLOOKUP(A725,'Refi Universe'!E:F,2,0)</f>
        <v>0.28242096999999999</v>
      </c>
    </row>
    <row r="726" spans="1:11" ht="15" x14ac:dyDescent="0.25">
      <c r="A726" s="14">
        <v>41634</v>
      </c>
      <c r="B726" s="15">
        <v>236</v>
      </c>
      <c r="C726" s="15">
        <v>236</v>
      </c>
      <c r="D726" s="5">
        <v>72</v>
      </c>
      <c r="E726" s="5">
        <v>42</v>
      </c>
      <c r="F726" s="5">
        <v>4.4881000000000002</v>
      </c>
      <c r="G726" s="12">
        <f>VLOOKUP(A726,'[1]all FNCL'!A$2:B$993,2)</f>
        <v>0.32957871451229898</v>
      </c>
      <c r="J726">
        <f>VLOOKUP(A726,'YB OAS'!B:F,5,0)</f>
        <v>100.028198</v>
      </c>
      <c r="K726" s="40">
        <f>VLOOKUP(A726,'Refi Universe'!E:F,2,0)</f>
        <v>0.28170294000000001</v>
      </c>
    </row>
    <row r="727" spans="1:11" ht="15" x14ac:dyDescent="0.25">
      <c r="A727" s="14">
        <v>41635</v>
      </c>
      <c r="B727" s="15">
        <v>237</v>
      </c>
      <c r="C727" s="15">
        <v>237</v>
      </c>
      <c r="D727" s="5">
        <v>68</v>
      </c>
      <c r="E727" s="5">
        <v>38</v>
      </c>
      <c r="F727" s="5">
        <v>4.4890230000000004</v>
      </c>
      <c r="G727" s="12">
        <f>VLOOKUP(A727,'[1]all FNCL'!A$2:B$993,2)</f>
        <v>0.32957871451229898</v>
      </c>
      <c r="J727">
        <f>VLOOKUP(A727,'YB OAS'!B:F,5,0)</f>
        <v>101.147301</v>
      </c>
      <c r="K727" s="40">
        <f>VLOOKUP(A727,'Refi Universe'!E:F,2,0)</f>
        <v>0.28295542000000001</v>
      </c>
    </row>
    <row r="728" spans="1:11" ht="15" x14ac:dyDescent="0.25">
      <c r="A728" s="14">
        <v>41638</v>
      </c>
      <c r="B728" s="15">
        <v>238</v>
      </c>
      <c r="C728" s="15">
        <v>238</v>
      </c>
      <c r="D728" s="5">
        <v>69</v>
      </c>
      <c r="E728" s="5">
        <v>38</v>
      </c>
      <c r="F728" s="5">
        <v>4.4881000000000002</v>
      </c>
      <c r="G728" s="12">
        <f>VLOOKUP(A728,'[1]all FNCL'!A$2:B$993,2)</f>
        <v>0.32957871451229898</v>
      </c>
      <c r="J728">
        <f>VLOOKUP(A728,'YB OAS'!B:F,5,0)</f>
        <v>102.30680099999999</v>
      </c>
      <c r="K728" s="40">
        <f>VLOOKUP(A728,'Refi Universe'!E:F,2,0)</f>
        <v>0.32171274</v>
      </c>
    </row>
    <row r="729" spans="1:11" ht="15" x14ac:dyDescent="0.25">
      <c r="A729" s="14">
        <v>41639</v>
      </c>
      <c r="B729" s="15">
        <v>236</v>
      </c>
      <c r="C729" s="15">
        <v>236</v>
      </c>
      <c r="D729" s="5">
        <v>65</v>
      </c>
      <c r="E729" s="5">
        <v>34</v>
      </c>
      <c r="F729" s="5">
        <v>4.4578329999999999</v>
      </c>
      <c r="G729" s="12">
        <f>VLOOKUP(A729,'[1]all FNCL'!A$2:B$993,2)</f>
        <v>0.32957871451229898</v>
      </c>
      <c r="J729">
        <f>VLOOKUP(A729,'YB OAS'!B:F,5,0)</f>
        <v>99.149803000000006</v>
      </c>
      <c r="K729" s="40">
        <f>VLOOKUP(A729,'Refi Universe'!E:F,2,0)</f>
        <v>0.26847971999999998</v>
      </c>
    </row>
    <row r="730" spans="1:11" ht="15" x14ac:dyDescent="0.25">
      <c r="A730" s="14">
        <v>41641</v>
      </c>
      <c r="B730" s="15">
        <v>244</v>
      </c>
      <c r="C730" s="15">
        <v>244</v>
      </c>
      <c r="D730" s="5">
        <v>63</v>
      </c>
      <c r="E730" s="5">
        <v>32</v>
      </c>
      <c r="F730" s="5">
        <v>4.4687619999999999</v>
      </c>
      <c r="G730" s="12">
        <f>VLOOKUP(A730,'[1]all FNCL'!A$2:B$993,2)</f>
        <v>0.273381996337976</v>
      </c>
      <c r="J730">
        <f>VLOOKUP(A730,'YB OAS'!B:F,5,0)</f>
        <v>148.41549699999999</v>
      </c>
      <c r="K730" s="40">
        <f>VLOOKUP(A730,'Refi Universe'!E:F,2,0)</f>
        <v>0.26125130000000002</v>
      </c>
    </row>
    <row r="731" spans="1:11" ht="15" x14ac:dyDescent="0.25">
      <c r="A731" s="14">
        <v>41642</v>
      </c>
      <c r="B731" s="15">
        <v>235</v>
      </c>
      <c r="C731" s="15">
        <v>235</v>
      </c>
      <c r="D731" s="5">
        <v>66</v>
      </c>
      <c r="E731" s="5">
        <v>32</v>
      </c>
      <c r="F731" s="5">
        <v>4.4811199999999998</v>
      </c>
      <c r="G731" s="12">
        <f>VLOOKUP(A731,'[1]all FNCL'!A$2:B$993,2)</f>
        <v>0.273381996337976</v>
      </c>
      <c r="J731">
        <f>VLOOKUP(A731,'YB OAS'!B:F,5,0)</f>
        <v>144.07179300000001</v>
      </c>
      <c r="K731" s="40">
        <f>VLOOKUP(A731,'Refi Universe'!E:F,2,0)</f>
        <v>0.25966006000000003</v>
      </c>
    </row>
    <row r="732" spans="1:11" ht="15" x14ac:dyDescent="0.25">
      <c r="A732" s="14">
        <v>41645</v>
      </c>
      <c r="B732" s="15">
        <v>248</v>
      </c>
      <c r="C732" s="15">
        <v>248</v>
      </c>
      <c r="D732" s="5">
        <v>64</v>
      </c>
      <c r="E732" s="5">
        <v>34</v>
      </c>
      <c r="F732" s="5">
        <v>4.4885010000000003</v>
      </c>
      <c r="G732" s="12">
        <f>VLOOKUP(A732,'[1]all FNCL'!A$2:B$993,2)</f>
        <v>0.273381996337976</v>
      </c>
      <c r="J732">
        <f>VLOOKUP(A732,'YB OAS'!B:F,5,0)</f>
        <v>156.65950000000001</v>
      </c>
      <c r="K732" s="40">
        <f>VLOOKUP(A732,'Refi Universe'!E:F,2,0)</f>
        <v>0.27050189000000002</v>
      </c>
    </row>
    <row r="733" spans="1:11" ht="15" x14ac:dyDescent="0.25">
      <c r="A733" s="14">
        <v>41646</v>
      </c>
      <c r="B733" s="15">
        <v>253</v>
      </c>
      <c r="C733" s="15">
        <v>253</v>
      </c>
      <c r="D733" s="5">
        <v>64</v>
      </c>
      <c r="E733" s="5">
        <v>36</v>
      </c>
      <c r="F733" s="5">
        <v>4.4591789999999998</v>
      </c>
      <c r="G733" s="12">
        <f>VLOOKUP(A733,'[1]all FNCL'!A$2:B$993,2)</f>
        <v>0.273381996337976</v>
      </c>
      <c r="J733">
        <f>VLOOKUP(A733,'YB OAS'!B:F,5,0)</f>
        <v>164.266098</v>
      </c>
      <c r="K733" s="40">
        <f>VLOOKUP(A733,'Refi Universe'!E:F,2,0)</f>
        <v>0.30341024</v>
      </c>
    </row>
    <row r="734" spans="1:11" ht="15" x14ac:dyDescent="0.25">
      <c r="A734" s="14">
        <v>41647</v>
      </c>
      <c r="B734" s="15">
        <v>241</v>
      </c>
      <c r="C734" s="15">
        <v>241</v>
      </c>
      <c r="D734" s="5">
        <v>66</v>
      </c>
      <c r="E734" s="5">
        <v>34</v>
      </c>
      <c r="F734" s="5">
        <v>4.4292569999999998</v>
      </c>
      <c r="G734" s="12">
        <f>VLOOKUP(A734,'[1]all FNCL'!A$2:B$993,2)</f>
        <v>0.273381996337976</v>
      </c>
      <c r="J734">
        <f>VLOOKUP(A734,'YB OAS'!B:F,5,0)</f>
        <v>144.24839800000001</v>
      </c>
      <c r="K734" s="40">
        <f>VLOOKUP(A734,'Refi Universe'!E:F,2,0)</f>
        <v>0.27876012999999999</v>
      </c>
    </row>
    <row r="735" spans="1:11" ht="15" x14ac:dyDescent="0.25">
      <c r="A735" s="14">
        <v>41648</v>
      </c>
      <c r="B735" s="15">
        <v>241</v>
      </c>
      <c r="C735" s="15">
        <v>241</v>
      </c>
      <c r="D735" s="5">
        <v>58</v>
      </c>
      <c r="E735" s="5">
        <v>36</v>
      </c>
      <c r="F735" s="5">
        <v>4.476502</v>
      </c>
      <c r="G735" s="12">
        <f>VLOOKUP(A735,'[1]all FNCL'!A$2:B$993,2)</f>
        <v>0.28943231649708401</v>
      </c>
      <c r="J735">
        <f>VLOOKUP(A735,'YB OAS'!B:F,5,0)</f>
        <v>144.87930299999999</v>
      </c>
      <c r="K735" s="40">
        <f>VLOOKUP(A735,'Refi Universe'!E:F,2,0)</f>
        <v>0.30155963000000002</v>
      </c>
    </row>
    <row r="736" spans="1:11" ht="15" x14ac:dyDescent="0.25">
      <c r="A736" s="14">
        <v>41649</v>
      </c>
      <c r="B736" s="15">
        <v>249</v>
      </c>
      <c r="C736" s="15">
        <v>249</v>
      </c>
      <c r="D736" s="5">
        <v>59</v>
      </c>
      <c r="E736" s="5">
        <v>33</v>
      </c>
      <c r="F736" s="5">
        <v>4.4600840000000002</v>
      </c>
      <c r="G736" s="12">
        <f>VLOOKUP(A736,'[1]all FNCL'!A$2:B$993,2)</f>
        <v>0.28943231649708401</v>
      </c>
      <c r="J736">
        <f>VLOOKUP(A736,'YB OAS'!B:F,5,0)</f>
        <v>170.81379699999999</v>
      </c>
      <c r="K736" s="40">
        <f>VLOOKUP(A736,'Refi Universe'!E:F,2,0)</f>
        <v>0.36933837000000003</v>
      </c>
    </row>
    <row r="737" spans="1:11" ht="15" x14ac:dyDescent="0.25">
      <c r="A737" s="14">
        <v>41652</v>
      </c>
      <c r="B737" s="15">
        <v>259</v>
      </c>
      <c r="C737" s="15">
        <v>259</v>
      </c>
      <c r="D737" s="5">
        <v>53</v>
      </c>
      <c r="E737" s="5">
        <v>31</v>
      </c>
      <c r="F737" s="5">
        <v>4.3642390000000004</v>
      </c>
      <c r="G737" s="12">
        <f>VLOOKUP(A737,'[1]all FNCL'!A$2:B$993,2)</f>
        <v>0.28943231649708401</v>
      </c>
      <c r="J737">
        <f>VLOOKUP(A737,'YB OAS'!B:F,5,0)</f>
        <v>185.204193</v>
      </c>
      <c r="K737" s="40">
        <f>VLOOKUP(A737,'Refi Universe'!E:F,2,0)</f>
        <v>0.37578397000000002</v>
      </c>
    </row>
    <row r="738" spans="1:11" ht="15" x14ac:dyDescent="0.25">
      <c r="A738" s="14">
        <v>41653</v>
      </c>
      <c r="B738" s="15">
        <v>249</v>
      </c>
      <c r="C738" s="15">
        <v>249</v>
      </c>
      <c r="D738" s="5">
        <v>54</v>
      </c>
      <c r="E738" s="5">
        <v>29</v>
      </c>
      <c r="F738" s="5">
        <v>4.3268599999999999</v>
      </c>
      <c r="G738" s="12">
        <f>VLOOKUP(A738,'[1]all FNCL'!A$2:B$993,2)</f>
        <v>0.28943231649708401</v>
      </c>
      <c r="J738">
        <f>VLOOKUP(A738,'YB OAS'!B:F,5,0)</f>
        <v>166.554901</v>
      </c>
      <c r="K738" s="40">
        <f>VLOOKUP(A738,'Refi Universe'!E:F,2,0)</f>
        <v>0.36774881999999998</v>
      </c>
    </row>
    <row r="739" spans="1:11" ht="15" x14ac:dyDescent="0.25">
      <c r="A739" s="14">
        <v>41654</v>
      </c>
      <c r="B739" s="15">
        <v>246</v>
      </c>
      <c r="C739" s="15">
        <v>246</v>
      </c>
      <c r="D739" s="5">
        <v>52</v>
      </c>
      <c r="E739" s="5">
        <v>34</v>
      </c>
      <c r="F739" s="5">
        <v>4.3765320000000001</v>
      </c>
      <c r="G739" s="12">
        <f>VLOOKUP(A739,'[1]all FNCL'!A$2:B$993,2)</f>
        <v>0.28943231649708401</v>
      </c>
      <c r="J739">
        <f>VLOOKUP(A739,'YB OAS'!B:F,5,0)</f>
        <v>160.32299800000001</v>
      </c>
      <c r="K739" s="40">
        <f>VLOOKUP(A739,'Refi Universe'!E:F,2,0)</f>
        <v>0.36667421</v>
      </c>
    </row>
    <row r="740" spans="1:11" ht="15" x14ac:dyDescent="0.25">
      <c r="A740" s="14">
        <v>41655</v>
      </c>
      <c r="B740" s="15">
        <v>254</v>
      </c>
      <c r="C740" s="15">
        <v>254</v>
      </c>
      <c r="D740" s="5">
        <v>51</v>
      </c>
      <c r="E740" s="5">
        <v>30</v>
      </c>
      <c r="F740" s="5">
        <v>4.3862829999999997</v>
      </c>
      <c r="G740" s="12">
        <f>VLOOKUP(A740,'[1]all FNCL'!A$2:B$993,2)</f>
        <v>0.36765798039511299</v>
      </c>
      <c r="J740">
        <f>VLOOKUP(A740,'YB OAS'!B:F,5,0)</f>
        <v>175.641693</v>
      </c>
      <c r="K740" s="40">
        <f>VLOOKUP(A740,'Refi Universe'!E:F,2,0)</f>
        <v>0.37351021000000001</v>
      </c>
    </row>
    <row r="741" spans="1:11" ht="15" x14ac:dyDescent="0.25">
      <c r="A741" s="14">
        <v>41656</v>
      </c>
      <c r="B741" s="15">
        <v>253</v>
      </c>
      <c r="C741" s="15">
        <v>253</v>
      </c>
      <c r="D741" s="5">
        <v>48</v>
      </c>
      <c r="E741" s="5">
        <v>25</v>
      </c>
      <c r="F741" s="5">
        <v>4.3528560000000001</v>
      </c>
      <c r="G741" s="12">
        <f>VLOOKUP(A741,'[1]all FNCL'!A$2:B$993,2)</f>
        <v>0.36765798039511299</v>
      </c>
      <c r="J741">
        <f>VLOOKUP(A741,'YB OAS'!B:F,5,0)</f>
        <v>176.22110000000001</v>
      </c>
      <c r="K741" s="40">
        <f>VLOOKUP(A741,'Refi Universe'!E:F,2,0)</f>
        <v>0.37537902000000001</v>
      </c>
    </row>
    <row r="742" spans="1:11" ht="15" x14ac:dyDescent="0.25">
      <c r="A742" s="14">
        <v>41660</v>
      </c>
      <c r="B742" s="15">
        <v>257</v>
      </c>
      <c r="C742" s="15">
        <v>257</v>
      </c>
      <c r="D742" s="5">
        <v>47</v>
      </c>
      <c r="E742" s="5">
        <v>25</v>
      </c>
      <c r="F742" s="5">
        <v>4.3363820000000004</v>
      </c>
      <c r="G742" s="12">
        <f>VLOOKUP(A742,'[1]all FNCL'!A$2:B$993,2)</f>
        <v>0.36765798039511299</v>
      </c>
      <c r="J742">
        <f>VLOOKUP(A742,'YB OAS'!B:F,5,0)</f>
        <v>178.003693</v>
      </c>
      <c r="K742" s="40">
        <f>VLOOKUP(A742,'Refi Universe'!E:F,2,0)</f>
        <v>0.375996</v>
      </c>
    </row>
    <row r="743" spans="1:11" ht="15" x14ac:dyDescent="0.25">
      <c r="A743" s="14">
        <v>41661</v>
      </c>
      <c r="B743" s="15">
        <v>235</v>
      </c>
      <c r="C743" s="15">
        <v>235</v>
      </c>
      <c r="D743" s="5">
        <v>49</v>
      </c>
      <c r="E743" s="5">
        <v>28</v>
      </c>
      <c r="F743" s="5">
        <v>4.332077</v>
      </c>
      <c r="G743" s="12">
        <f>VLOOKUP(A743,'[1]all FNCL'!A$2:B$993,2)</f>
        <v>0.36765798039511299</v>
      </c>
      <c r="J743">
        <f>VLOOKUP(A743,'YB OAS'!B:F,5,0)</f>
        <v>155.98919699999999</v>
      </c>
      <c r="K743" s="40">
        <f>VLOOKUP(A743,'Refi Universe'!E:F,2,0)</f>
        <v>0.36503538000000002</v>
      </c>
    </row>
    <row r="744" spans="1:11" ht="15" x14ac:dyDescent="0.25">
      <c r="A744" s="14">
        <v>41662</v>
      </c>
      <c r="B744" s="15">
        <v>231</v>
      </c>
      <c r="C744" s="15">
        <v>231</v>
      </c>
      <c r="D744" s="5">
        <v>42</v>
      </c>
      <c r="E744" s="5">
        <v>29</v>
      </c>
      <c r="F744" s="5">
        <v>4.3720990000000004</v>
      </c>
      <c r="G744" s="12">
        <f>VLOOKUP(A744,'[1]all FNCL'!A$2:B$993,2)</f>
        <v>0.37084428304329597</v>
      </c>
      <c r="J744">
        <f>VLOOKUP(A744,'YB OAS'!B:F,5,0)</f>
        <v>163.890503</v>
      </c>
      <c r="K744" s="40">
        <f>VLOOKUP(A744,'Refi Universe'!E:F,2,0)</f>
        <v>0.37453638</v>
      </c>
    </row>
    <row r="745" spans="1:11" ht="15" x14ac:dyDescent="0.25">
      <c r="A745" s="14">
        <v>41663</v>
      </c>
      <c r="B745" s="15">
        <v>242</v>
      </c>
      <c r="C745" s="15">
        <v>242</v>
      </c>
      <c r="D745" s="5">
        <v>46</v>
      </c>
      <c r="E745" s="5">
        <v>36</v>
      </c>
      <c r="F745" s="5">
        <v>4.3303849999999997</v>
      </c>
      <c r="G745" s="12">
        <f>VLOOKUP(A745,'[1]all FNCL'!A$2:B$993,2)</f>
        <v>0.37084428304329597</v>
      </c>
      <c r="J745">
        <f>VLOOKUP(A745,'YB OAS'!B:F,5,0)</f>
        <v>177.78770399999999</v>
      </c>
      <c r="K745" s="40">
        <f>VLOOKUP(A745,'Refi Universe'!E:F,2,0)</f>
        <v>0.38154102000000001</v>
      </c>
    </row>
    <row r="746" spans="1:11" ht="15" x14ac:dyDescent="0.25">
      <c r="A746" s="14">
        <v>41666</v>
      </c>
      <c r="B746" s="15">
        <v>241</v>
      </c>
      <c r="C746" s="15">
        <v>241</v>
      </c>
      <c r="D746" s="5">
        <v>42</v>
      </c>
      <c r="E746" s="5">
        <v>28</v>
      </c>
      <c r="F746" s="5">
        <v>4.2913259999999998</v>
      </c>
      <c r="G746" s="12">
        <f>VLOOKUP(A746,'[1]all FNCL'!A$2:B$993,2)</f>
        <v>0.37084428304329597</v>
      </c>
      <c r="J746">
        <f>VLOOKUP(A746,'YB OAS'!B:F,5,0)</f>
        <v>168.842499</v>
      </c>
      <c r="K746" s="40">
        <f>VLOOKUP(A746,'Refi Universe'!E:F,2,0)</f>
        <v>0.37460282</v>
      </c>
    </row>
    <row r="747" spans="1:11" ht="15" x14ac:dyDescent="0.25">
      <c r="A747" s="14">
        <v>41667</v>
      </c>
      <c r="B747" s="15">
        <v>243</v>
      </c>
      <c r="C747" s="15">
        <v>243</v>
      </c>
      <c r="D747" s="5">
        <v>42</v>
      </c>
      <c r="E747" s="5">
        <v>30</v>
      </c>
      <c r="F747" s="5">
        <v>4.3286540000000002</v>
      </c>
      <c r="G747" s="12">
        <f>VLOOKUP(A747,'[1]all FNCL'!A$2:B$993,2)</f>
        <v>0.37084428304329597</v>
      </c>
      <c r="J747">
        <f>VLOOKUP(A747,'YB OAS'!B:F,5,0)</f>
        <v>170.744598</v>
      </c>
      <c r="K747" s="40">
        <f>VLOOKUP(A747,'Refi Universe'!E:F,2,0)</f>
        <v>0.37568222000000001</v>
      </c>
    </row>
    <row r="748" spans="1:11" ht="15" x14ac:dyDescent="0.25">
      <c r="A748" s="14">
        <v>41668</v>
      </c>
      <c r="B748" s="15">
        <v>250</v>
      </c>
      <c r="C748" s="15">
        <v>250</v>
      </c>
      <c r="D748" s="5">
        <v>42</v>
      </c>
      <c r="E748" s="5">
        <v>28</v>
      </c>
      <c r="F748" s="5">
        <v>4.3166950000000002</v>
      </c>
      <c r="G748" s="12">
        <f>VLOOKUP(A748,'[1]all FNCL'!A$2:B$993,2)</f>
        <v>0.37084428304329597</v>
      </c>
      <c r="J748">
        <f>VLOOKUP(A748,'YB OAS'!B:F,5,0)</f>
        <v>185.529495</v>
      </c>
      <c r="K748" s="40">
        <f>VLOOKUP(A748,'Refi Universe'!E:F,2,0)</f>
        <v>0.38811614</v>
      </c>
    </row>
    <row r="749" spans="1:11" ht="15" x14ac:dyDescent="0.25">
      <c r="A749" s="14">
        <v>41669</v>
      </c>
      <c r="B749" s="15">
        <v>250</v>
      </c>
      <c r="C749" s="15">
        <v>250</v>
      </c>
      <c r="D749" s="5">
        <v>40</v>
      </c>
      <c r="E749" s="5">
        <v>24</v>
      </c>
      <c r="F749" s="5">
        <v>4.2698770000000001</v>
      </c>
      <c r="G749" s="12">
        <f>VLOOKUP(A749,'[1]all FNCL'!A$2:B$993,2)</f>
        <v>0.38154102604960499</v>
      </c>
      <c r="J749">
        <f>VLOOKUP(A749,'YB OAS'!B:F,5,0)</f>
        <v>183.409302</v>
      </c>
      <c r="K749" s="40">
        <f>VLOOKUP(A749,'Refi Universe'!E:F,2,0)</f>
        <v>0.38669977</v>
      </c>
    </row>
    <row r="750" spans="1:11" ht="15" x14ac:dyDescent="0.25">
      <c r="A750" s="14">
        <v>41670</v>
      </c>
      <c r="B750" s="15">
        <v>263</v>
      </c>
      <c r="C750" s="15">
        <v>263</v>
      </c>
      <c r="D750" s="5">
        <v>38</v>
      </c>
      <c r="E750" s="5">
        <v>23</v>
      </c>
      <c r="F750" s="5">
        <v>4.2822519999999997</v>
      </c>
      <c r="G750" s="12">
        <f>VLOOKUP(A750,'[1]all FNCL'!A$2:B$993,2)</f>
        <v>0.38154102604960499</v>
      </c>
      <c r="J750">
        <f>VLOOKUP(A750,'YB OAS'!B:F,5,0)</f>
        <v>201.06680299999999</v>
      </c>
      <c r="K750" s="40">
        <f>VLOOKUP(A750,'Refi Universe'!E:F,2,0)</f>
        <v>0.39414626000000003</v>
      </c>
    </row>
    <row r="751" spans="1:11" ht="15" x14ac:dyDescent="0.25">
      <c r="A751" s="14">
        <v>41673</v>
      </c>
      <c r="B751" s="15">
        <v>280</v>
      </c>
      <c r="C751" s="15">
        <v>280</v>
      </c>
      <c r="D751" s="5">
        <v>51</v>
      </c>
      <c r="E751" s="5">
        <v>27</v>
      </c>
      <c r="F751" s="5">
        <v>4.2607609999999996</v>
      </c>
      <c r="G751" s="12">
        <f>VLOOKUP(A751,'[1]all FNCL'!A$2:B$993,2)</f>
        <v>0.37772565332895602</v>
      </c>
      <c r="J751">
        <f>VLOOKUP(A751,'YB OAS'!B:F,5,0)</f>
        <v>231.657104</v>
      </c>
      <c r="K751" s="40">
        <f>VLOOKUP(A751,'Refi Universe'!E:F,2,0)</f>
        <v>0.41262241999999999</v>
      </c>
    </row>
    <row r="752" spans="1:11" ht="15" x14ac:dyDescent="0.25">
      <c r="A752" s="14">
        <v>41674</v>
      </c>
      <c r="B752" s="15">
        <v>285</v>
      </c>
      <c r="C752" s="15">
        <v>285</v>
      </c>
      <c r="D752" s="5">
        <v>57</v>
      </c>
      <c r="E752" s="5">
        <v>30</v>
      </c>
      <c r="F752" s="5">
        <v>4.2065289999999997</v>
      </c>
      <c r="G752" s="12">
        <f>VLOOKUP(A752,'[1]all FNCL'!A$2:B$993,2)</f>
        <v>0.37772565332895602</v>
      </c>
      <c r="J752">
        <f>VLOOKUP(A752,'YB OAS'!B:F,5,0)</f>
        <v>223.265198</v>
      </c>
      <c r="K752" s="40">
        <f>VLOOKUP(A752,'Refi Universe'!E:F,2,0)</f>
        <v>0.40068102999999999</v>
      </c>
    </row>
    <row r="753" spans="1:11" ht="15" x14ac:dyDescent="0.25">
      <c r="A753" s="14">
        <v>41675</v>
      </c>
      <c r="B753" s="15">
        <v>280</v>
      </c>
      <c r="C753" s="15">
        <v>280</v>
      </c>
      <c r="D753" s="5">
        <v>54</v>
      </c>
      <c r="E753" s="5">
        <v>34</v>
      </c>
      <c r="F753" s="5">
        <v>4.2328039999999998</v>
      </c>
      <c r="G753" s="12">
        <f>VLOOKUP(A753,'[1]all FNCL'!A$2:B$993,2)</f>
        <v>0.37772565332895602</v>
      </c>
      <c r="J753">
        <f>VLOOKUP(A753,'YB OAS'!B:F,5,0)</f>
        <v>212.134705</v>
      </c>
      <c r="K753" s="40">
        <f>VLOOKUP(A753,'Refi Universe'!E:F,2,0)</f>
        <v>0.39173230999999997</v>
      </c>
    </row>
    <row r="754" spans="1:11" ht="15" x14ac:dyDescent="0.25">
      <c r="A754" s="14">
        <v>41676</v>
      </c>
      <c r="B754" s="15">
        <v>265</v>
      </c>
      <c r="C754" s="15">
        <v>265</v>
      </c>
      <c r="D754" s="5">
        <v>56</v>
      </c>
      <c r="E754" s="5">
        <v>29</v>
      </c>
      <c r="F754" s="5">
        <v>4.2717470000000004</v>
      </c>
      <c r="G754" s="12">
        <f>VLOOKUP(A754,'[1]all FNCL'!A$2:B$993,2)</f>
        <v>0.39983029630913802</v>
      </c>
      <c r="J754">
        <f>VLOOKUP(A754,'YB OAS'!B:F,5,0)</f>
        <v>199.070099</v>
      </c>
      <c r="K754" s="40">
        <f>VLOOKUP(A754,'Refi Universe'!E:F,2,0)</f>
        <v>0.38532630000000001</v>
      </c>
    </row>
    <row r="755" spans="1:11" ht="15" x14ac:dyDescent="0.25">
      <c r="A755" s="14">
        <v>41677</v>
      </c>
      <c r="B755" s="15">
        <v>243</v>
      </c>
      <c r="C755" s="15">
        <v>243</v>
      </c>
      <c r="D755" s="5">
        <v>51</v>
      </c>
      <c r="E755" s="5">
        <v>25</v>
      </c>
      <c r="F755" s="5">
        <v>4.2874100000000004</v>
      </c>
      <c r="G755" s="12">
        <f>VLOOKUP(A755,'[1]all FNCL'!A$2:B$993,2)</f>
        <v>0.39983029630913802</v>
      </c>
      <c r="J755">
        <f>VLOOKUP(A755,'YB OAS'!B:F,5,0)</f>
        <v>185.89840699999999</v>
      </c>
      <c r="K755" s="40">
        <f>VLOOKUP(A755,'Refi Universe'!E:F,2,0)</f>
        <v>0.39589350000000001</v>
      </c>
    </row>
    <row r="756" spans="1:11" ht="15" x14ac:dyDescent="0.25">
      <c r="A756" s="14">
        <v>41680</v>
      </c>
      <c r="B756" s="15">
        <v>244</v>
      </c>
      <c r="C756" s="15">
        <v>244</v>
      </c>
      <c r="D756" s="5">
        <v>38</v>
      </c>
      <c r="E756" s="5">
        <v>8</v>
      </c>
      <c r="F756" s="5">
        <v>4.2584910000000002</v>
      </c>
      <c r="G756" s="12">
        <f>VLOOKUP(A756,'[1]all FNCL'!A$2:B$993,2)</f>
        <v>0.39983029630913802</v>
      </c>
      <c r="J756">
        <f>VLOOKUP(A756,'YB OAS'!B:F,5,0)</f>
        <v>186.22120699999999</v>
      </c>
      <c r="K756" s="40">
        <f>VLOOKUP(A756,'Refi Universe'!E:F,2,0)</f>
        <v>0.39378672999999997</v>
      </c>
    </row>
    <row r="757" spans="1:11" ht="15" x14ac:dyDescent="0.25">
      <c r="A757" s="14">
        <v>41681</v>
      </c>
      <c r="B757" s="15">
        <v>260</v>
      </c>
      <c r="C757" s="15">
        <v>260</v>
      </c>
      <c r="D757" s="5">
        <v>40</v>
      </c>
      <c r="E757" s="5">
        <v>10</v>
      </c>
      <c r="F757" s="5">
        <v>4.2634840000000001</v>
      </c>
      <c r="G757" s="12">
        <f>VLOOKUP(A757,'[1]all FNCL'!A$2:B$993,2)</f>
        <v>0.39983029630913802</v>
      </c>
      <c r="J757">
        <f>VLOOKUP(A757,'YB OAS'!B:F,5,0)</f>
        <v>178.19700599999999</v>
      </c>
      <c r="K757" s="40">
        <f>VLOOKUP(A757,'Refi Universe'!E:F,2,0)</f>
        <v>0.38426450000000001</v>
      </c>
    </row>
    <row r="758" spans="1:11" ht="15" x14ac:dyDescent="0.25">
      <c r="A758" s="14">
        <v>41682</v>
      </c>
      <c r="B758" s="15">
        <v>220</v>
      </c>
      <c r="C758" s="15">
        <v>220</v>
      </c>
      <c r="D758" s="5">
        <v>47</v>
      </c>
      <c r="E758" s="5">
        <v>17</v>
      </c>
      <c r="F758" s="5">
        <v>4.2931600000000003</v>
      </c>
      <c r="G758" s="12">
        <f>VLOOKUP(A758,'[1]all FNCL'!A$2:B$993,2)</f>
        <v>0.39983029630913802</v>
      </c>
      <c r="J758">
        <f>VLOOKUP(A758,'YB OAS'!B:F,5,0)</f>
        <v>152.1353</v>
      </c>
      <c r="K758" s="40">
        <f>VLOOKUP(A758,'Refi Universe'!E:F,2,0)</f>
        <v>0.37451881999999997</v>
      </c>
    </row>
    <row r="759" spans="1:11" ht="15" x14ac:dyDescent="0.25">
      <c r="A759" s="14">
        <v>41683</v>
      </c>
      <c r="B759" s="15">
        <v>238</v>
      </c>
      <c r="C759" s="15">
        <v>238</v>
      </c>
      <c r="D759" s="5">
        <v>31</v>
      </c>
      <c r="E759" s="5">
        <v>14</v>
      </c>
      <c r="F759" s="5">
        <v>4.3355009999999998</v>
      </c>
      <c r="G759" s="12">
        <f>VLOOKUP(A759,'[1]all FNCL'!A$2:B$993,2)</f>
        <v>0.385235227392075</v>
      </c>
      <c r="J759">
        <f>VLOOKUP(A759,'YB OAS'!B:F,5,0)</f>
        <v>170.33059700000001</v>
      </c>
      <c r="K759" s="40">
        <f>VLOOKUP(A759,'Refi Universe'!E:F,2,0)</f>
        <v>0.38252577999999998</v>
      </c>
    </row>
    <row r="760" spans="1:11" ht="15" x14ac:dyDescent="0.25">
      <c r="A760" s="14">
        <v>41684</v>
      </c>
      <c r="B760" s="15">
        <v>233</v>
      </c>
      <c r="C760" s="15">
        <v>233</v>
      </c>
      <c r="D760" s="5">
        <v>42</v>
      </c>
      <c r="E760" s="5">
        <v>22</v>
      </c>
      <c r="F760" s="5">
        <v>4.3049270000000002</v>
      </c>
      <c r="G760" s="12">
        <f>VLOOKUP(A760,'[1]all FNCL'!A$2:B$993,2)</f>
        <v>0.385235227392075</v>
      </c>
      <c r="J760">
        <f>VLOOKUP(A760,'YB OAS'!B:F,5,0)</f>
        <v>166.87579299999999</v>
      </c>
      <c r="K760" s="40">
        <f>VLOOKUP(A760,'Refi Universe'!E:F,2,0)</f>
        <v>0.37644865</v>
      </c>
    </row>
    <row r="761" spans="1:11" ht="15" x14ac:dyDescent="0.25">
      <c r="A761" s="14">
        <v>41688</v>
      </c>
      <c r="B761" s="15">
        <v>241</v>
      </c>
      <c r="C761" s="15">
        <v>241</v>
      </c>
      <c r="D761" s="5">
        <v>43</v>
      </c>
      <c r="E761" s="5">
        <v>23</v>
      </c>
      <c r="F761" s="5">
        <v>4.3269500000000001</v>
      </c>
      <c r="G761" s="12">
        <f>VLOOKUP(A761,'[1]all FNCL'!A$2:B$993,2)</f>
        <v>0.385235227392075</v>
      </c>
      <c r="J761">
        <f>VLOOKUP(A761,'YB OAS'!B:F,5,0)</f>
        <v>174.818893</v>
      </c>
      <c r="K761" s="40">
        <f>VLOOKUP(A761,'Refi Universe'!E:F,2,0)</f>
        <v>0.38072624999999999</v>
      </c>
    </row>
    <row r="762" spans="1:11" ht="15" x14ac:dyDescent="0.25">
      <c r="A762" s="14">
        <v>41689</v>
      </c>
      <c r="B762" s="15">
        <v>239</v>
      </c>
      <c r="C762" s="15">
        <v>239</v>
      </c>
      <c r="D762" s="5">
        <v>45</v>
      </c>
      <c r="E762" s="5">
        <v>23</v>
      </c>
      <c r="F762" s="5">
        <v>4.306622</v>
      </c>
      <c r="G762" s="12">
        <f>VLOOKUP(A762,'[1]all FNCL'!A$2:B$993,2)</f>
        <v>0.385235227392075</v>
      </c>
      <c r="J762">
        <f>VLOOKUP(A762,'YB OAS'!B:F,5,0)</f>
        <v>169.372894</v>
      </c>
      <c r="K762" s="40">
        <f>VLOOKUP(A762,'Refi Universe'!E:F,2,0)</f>
        <v>0.37407465000000001</v>
      </c>
    </row>
    <row r="763" spans="1:11" ht="15" x14ac:dyDescent="0.25">
      <c r="A763" s="14">
        <v>41690</v>
      </c>
      <c r="B763" s="15">
        <v>233</v>
      </c>
      <c r="C763" s="15">
        <v>233</v>
      </c>
      <c r="D763" s="5">
        <v>43</v>
      </c>
      <c r="E763" s="5">
        <v>23</v>
      </c>
      <c r="F763" s="5">
        <v>4.3226870000000002</v>
      </c>
      <c r="G763" s="12">
        <f>VLOOKUP(A763,'[1]all FNCL'!A$2:B$993,2)</f>
        <v>0.375411030467661</v>
      </c>
      <c r="J763">
        <f>VLOOKUP(A763,'YB OAS'!B:F,5,0)</f>
        <v>165.599197</v>
      </c>
      <c r="K763" s="40">
        <f>VLOOKUP(A763,'Refi Universe'!E:F,2,0)</f>
        <v>0.37039466999999998</v>
      </c>
    </row>
    <row r="764" spans="1:11" ht="15" x14ac:dyDescent="0.25">
      <c r="A764" s="14">
        <v>41691</v>
      </c>
      <c r="B764" s="15">
        <v>235</v>
      </c>
      <c r="C764" s="15">
        <v>235</v>
      </c>
      <c r="D764" s="5">
        <v>42</v>
      </c>
      <c r="E764" s="5">
        <v>23</v>
      </c>
      <c r="F764" s="5">
        <v>4.33887</v>
      </c>
      <c r="G764" s="12">
        <f>VLOOKUP(A764,'[1]all FNCL'!A$2:B$993,2)</f>
        <v>0.375411030467661</v>
      </c>
      <c r="J764">
        <f>VLOOKUP(A764,'YB OAS'!B:F,5,0)</f>
        <v>167.013306</v>
      </c>
      <c r="K764" s="40">
        <f>VLOOKUP(A764,'Refi Universe'!E:F,2,0)</f>
        <v>0.3734152</v>
      </c>
    </row>
    <row r="765" spans="1:11" ht="15" x14ac:dyDescent="0.25">
      <c r="A765" s="14">
        <v>41694</v>
      </c>
      <c r="B765" s="15">
        <v>235</v>
      </c>
      <c r="C765" s="15">
        <v>235</v>
      </c>
      <c r="D765" s="5">
        <v>42</v>
      </c>
      <c r="E765" s="5">
        <v>19</v>
      </c>
      <c r="F765" s="5">
        <v>4.3235450000000002</v>
      </c>
      <c r="G765" s="12">
        <f>VLOOKUP(A765,'[1]all FNCL'!A$2:B$993,2)</f>
        <v>0.375411030467661</v>
      </c>
      <c r="J765">
        <f>VLOOKUP(A765,'YB OAS'!B:F,5,0)</f>
        <v>168.19639599999999</v>
      </c>
      <c r="K765" s="40">
        <f>VLOOKUP(A765,'Refi Universe'!E:F,2,0)</f>
        <v>0.37197777999999998</v>
      </c>
    </row>
    <row r="766" spans="1:11" ht="15" x14ac:dyDescent="0.25">
      <c r="A766" s="14">
        <v>41695</v>
      </c>
      <c r="B766" s="15">
        <v>242</v>
      </c>
      <c r="C766" s="15">
        <v>242</v>
      </c>
      <c r="D766" s="5">
        <v>43</v>
      </c>
      <c r="E766" s="5">
        <v>23</v>
      </c>
      <c r="F766" s="5">
        <v>4.3286410000000002</v>
      </c>
      <c r="G766" s="12">
        <f>VLOOKUP(A766,'[1]all FNCL'!A$2:B$993,2)</f>
        <v>0.375411030467661</v>
      </c>
      <c r="J766">
        <f>VLOOKUP(A766,'YB OAS'!B:F,5,0)</f>
        <v>179.68130500000001</v>
      </c>
      <c r="K766" s="40">
        <f>VLOOKUP(A766,'Refi Universe'!E:F,2,0)</f>
        <v>0.38281317999999998</v>
      </c>
    </row>
    <row r="767" spans="1:11" ht="15" x14ac:dyDescent="0.25">
      <c r="A767" s="14">
        <v>41696</v>
      </c>
      <c r="B767" s="15">
        <v>243</v>
      </c>
      <c r="C767" s="15">
        <v>243</v>
      </c>
      <c r="D767" s="5">
        <v>45</v>
      </c>
      <c r="E767" s="5">
        <v>29</v>
      </c>
      <c r="F767" s="5">
        <v>4.285126</v>
      </c>
      <c r="G767" s="12">
        <f>VLOOKUP(A767,'[1]all FNCL'!A$2:B$993,2)</f>
        <v>0.375411030467661</v>
      </c>
      <c r="J767">
        <f>VLOOKUP(A767,'YB OAS'!B:F,5,0)</f>
        <v>183.130402</v>
      </c>
      <c r="K767" s="40">
        <f>VLOOKUP(A767,'Refi Universe'!E:F,2,0)</f>
        <v>0.37644865</v>
      </c>
    </row>
    <row r="768" spans="1:11" ht="15" x14ac:dyDescent="0.25">
      <c r="A768" s="14">
        <v>41697</v>
      </c>
      <c r="B768" s="15">
        <v>244</v>
      </c>
      <c r="C768" s="15">
        <v>244</v>
      </c>
      <c r="D768" s="5">
        <v>44</v>
      </c>
      <c r="E768" s="5">
        <v>31</v>
      </c>
      <c r="F768" s="5">
        <v>4.2720890000000002</v>
      </c>
      <c r="G768" s="12">
        <f>VLOOKUP(A768,'[1]all FNCL'!A$2:B$993,2)</f>
        <v>0.36950911021955302</v>
      </c>
      <c r="J768">
        <f>VLOOKUP(A768,'YB OAS'!B:F,5,0)</f>
        <v>185.023605</v>
      </c>
      <c r="K768" s="40">
        <f>VLOOKUP(A768,'Refi Universe'!E:F,2,0)</f>
        <v>0.38166811</v>
      </c>
    </row>
    <row r="769" spans="1:11" ht="15" x14ac:dyDescent="0.25">
      <c r="A769" s="14">
        <v>41698</v>
      </c>
      <c r="B769" s="15">
        <v>230</v>
      </c>
      <c r="C769" s="15">
        <v>230</v>
      </c>
      <c r="D769" s="5">
        <v>39</v>
      </c>
      <c r="E769" s="5">
        <v>28</v>
      </c>
      <c r="F769" s="5">
        <v>4.2548700000000004</v>
      </c>
      <c r="G769" s="12">
        <f>VLOOKUP(A769,'[1]all FNCL'!A$2:B$993,2)</f>
        <v>0.36950911021955302</v>
      </c>
      <c r="J769">
        <f>VLOOKUP(A769,'YB OAS'!B:F,5,0)</f>
        <v>172.246094</v>
      </c>
      <c r="K769" s="40">
        <f>VLOOKUP(A769,'Refi Universe'!E:F,2,0)</f>
        <v>0.37864172000000001</v>
      </c>
    </row>
    <row r="770" spans="1:11" ht="15" x14ac:dyDescent="0.25">
      <c r="A770" s="14">
        <v>41701</v>
      </c>
      <c r="B770" s="15">
        <v>243</v>
      </c>
      <c r="C770" s="15">
        <v>243</v>
      </c>
      <c r="D770" s="5">
        <v>37</v>
      </c>
      <c r="E770" s="5">
        <v>27</v>
      </c>
      <c r="F770" s="5">
        <v>4.2688030000000001</v>
      </c>
      <c r="G770" s="12">
        <f>VLOOKUP(A770,'[1]all FNCL'!A$2:B$993,2)</f>
        <v>0.36618748344447</v>
      </c>
      <c r="J770">
        <f>VLOOKUP(A770,'YB OAS'!B:F,5,0)</f>
        <v>181.33389299999999</v>
      </c>
      <c r="K770" s="40">
        <f>VLOOKUP(A770,'Refi Universe'!E:F,2,0)</f>
        <v>0.38146136000000003</v>
      </c>
    </row>
    <row r="771" spans="1:11" ht="15" x14ac:dyDescent="0.25">
      <c r="A771" s="14">
        <v>41702</v>
      </c>
      <c r="B771" s="15">
        <v>228</v>
      </c>
      <c r="C771" s="15">
        <v>228</v>
      </c>
      <c r="D771" s="5">
        <v>38</v>
      </c>
      <c r="E771" s="5">
        <v>26</v>
      </c>
      <c r="F771" s="5">
        <v>4.2437430000000003</v>
      </c>
      <c r="G771" s="12">
        <f>VLOOKUP(A771,'[1]all FNCL'!A$2:B$993,2)</f>
        <v>0.36618748344447</v>
      </c>
      <c r="J771">
        <f>VLOOKUP(A771,'YB OAS'!B:F,5,0)</f>
        <v>160.95370500000001</v>
      </c>
      <c r="K771" s="40">
        <f>VLOOKUP(A771,'Refi Universe'!E:F,2,0)</f>
        <v>0.36705627000000002</v>
      </c>
    </row>
    <row r="772" spans="1:11" ht="15" x14ac:dyDescent="0.25">
      <c r="A772" s="14">
        <v>41703</v>
      </c>
      <c r="B772" s="15">
        <v>226</v>
      </c>
      <c r="C772" s="15">
        <v>226</v>
      </c>
      <c r="D772" s="5">
        <v>39</v>
      </c>
      <c r="E772" s="5">
        <v>27</v>
      </c>
      <c r="F772" s="5">
        <v>4.3044330000000004</v>
      </c>
      <c r="G772" s="12">
        <f>VLOOKUP(A772,'[1]all FNCL'!A$2:B$993,2)</f>
        <v>0.36618748344447</v>
      </c>
      <c r="J772">
        <f>VLOOKUP(A772,'YB OAS'!B:F,5,0)</f>
        <v>158.94639599999999</v>
      </c>
      <c r="K772" s="40">
        <f>VLOOKUP(A772,'Refi Universe'!E:F,2,0)</f>
        <v>0.37511482000000002</v>
      </c>
    </row>
    <row r="773" spans="1:11" ht="15" x14ac:dyDescent="0.25">
      <c r="A773" s="14">
        <v>41704</v>
      </c>
      <c r="B773" s="15">
        <v>218</v>
      </c>
      <c r="C773" s="15">
        <v>218</v>
      </c>
      <c r="D773" s="5">
        <v>36</v>
      </c>
      <c r="E773" s="5">
        <v>29</v>
      </c>
      <c r="F773" s="5">
        <v>4.3044330000000004</v>
      </c>
      <c r="G773" s="12">
        <f>VLOOKUP(A773,'[1]all FNCL'!A$2:B$993,2)</f>
        <v>0.38305038505575201</v>
      </c>
      <c r="J773">
        <f>VLOOKUP(A773,'YB OAS'!B:F,5,0)</f>
        <v>148.15559400000001</v>
      </c>
      <c r="K773" s="40">
        <f>VLOOKUP(A773,'Refi Universe'!E:F,2,0)</f>
        <v>0.37076211999999997</v>
      </c>
    </row>
    <row r="774" spans="1:11" ht="15" x14ac:dyDescent="0.25">
      <c r="A774" s="14">
        <v>41705</v>
      </c>
      <c r="B774" s="15">
        <v>198</v>
      </c>
      <c r="C774" s="15">
        <v>198</v>
      </c>
      <c r="D774" s="5">
        <v>36</v>
      </c>
      <c r="E774" s="5">
        <v>27</v>
      </c>
      <c r="F774" s="5">
        <v>4.3237719999999999</v>
      </c>
      <c r="G774" s="12">
        <f>VLOOKUP(A774,'[1]all FNCL'!A$2:B$993,2)</f>
        <v>0.38305038505575201</v>
      </c>
      <c r="J774">
        <f>VLOOKUP(A774,'YB OAS'!B:F,5,0)</f>
        <v>126.5989</v>
      </c>
      <c r="K774" s="40">
        <f>VLOOKUP(A774,'Refi Universe'!E:F,2,0)</f>
        <v>0.36521861</v>
      </c>
    </row>
    <row r="775" spans="1:11" ht="15" x14ac:dyDescent="0.25">
      <c r="A775" s="14">
        <v>41708</v>
      </c>
      <c r="B775" s="15">
        <v>203</v>
      </c>
      <c r="C775" s="15">
        <v>203</v>
      </c>
      <c r="D775" s="5">
        <v>37</v>
      </c>
      <c r="E775" s="5">
        <v>17</v>
      </c>
      <c r="F775" s="5">
        <v>4.3553850000000001</v>
      </c>
      <c r="G775" s="12">
        <f>VLOOKUP(A775,'[1]all FNCL'!A$2:B$993,2)</f>
        <v>0.38305038505575201</v>
      </c>
      <c r="J775">
        <f>VLOOKUP(A775,'YB OAS'!B:F,5,0)</f>
        <v>127.758301</v>
      </c>
      <c r="K775" s="40">
        <f>VLOOKUP(A775,'Refi Universe'!E:F,2,0)</f>
        <v>0.36689958</v>
      </c>
    </row>
    <row r="776" spans="1:11" ht="15" x14ac:dyDescent="0.25">
      <c r="A776" s="14">
        <v>41709</v>
      </c>
      <c r="B776" s="15">
        <v>208</v>
      </c>
      <c r="C776" s="15">
        <v>208</v>
      </c>
      <c r="D776" s="5">
        <v>29</v>
      </c>
      <c r="E776" s="5">
        <v>16</v>
      </c>
      <c r="F776" s="5">
        <v>4.344163</v>
      </c>
      <c r="G776" s="12">
        <f>VLOOKUP(A776,'[1]all FNCL'!A$2:B$993,2)</f>
        <v>0.38305038505575201</v>
      </c>
      <c r="J776">
        <f>VLOOKUP(A776,'YB OAS'!B:F,5,0)</f>
        <v>133.98249799999999</v>
      </c>
      <c r="K776" s="40">
        <f>VLOOKUP(A776,'Refi Universe'!E:F,2,0)</f>
        <v>0.36705627000000002</v>
      </c>
    </row>
    <row r="777" spans="1:11" ht="15" x14ac:dyDescent="0.25">
      <c r="A777" s="14">
        <v>41710</v>
      </c>
      <c r="B777" s="15">
        <v>208</v>
      </c>
      <c r="C777" s="15">
        <v>208</v>
      </c>
      <c r="D777" s="5">
        <v>31</v>
      </c>
      <c r="E777" s="5">
        <v>23</v>
      </c>
      <c r="F777" s="5">
        <v>4.3407559999999998</v>
      </c>
      <c r="G777" s="12">
        <f>VLOOKUP(A777,'[1]all FNCL'!A$2:B$993,2)</f>
        <v>0.38305038505575201</v>
      </c>
      <c r="J777">
        <f>VLOOKUP(A777,'YB OAS'!B:F,5,0)</f>
        <v>141.444107</v>
      </c>
      <c r="K777" s="40">
        <f>VLOOKUP(A777,'Refi Universe'!E:F,2,0)</f>
        <v>0.37541637</v>
      </c>
    </row>
    <row r="778" spans="1:11" ht="15" x14ac:dyDescent="0.25">
      <c r="A778" s="14">
        <v>41711</v>
      </c>
      <c r="B778" s="15">
        <v>227</v>
      </c>
      <c r="C778" s="15">
        <v>227</v>
      </c>
      <c r="D778" s="5">
        <v>27</v>
      </c>
      <c r="E778" s="5">
        <v>22</v>
      </c>
      <c r="F778" s="5">
        <v>4.3145439999999997</v>
      </c>
      <c r="G778" s="12">
        <f>VLOOKUP(A778,'[1]all FNCL'!A$2:B$993,2)</f>
        <v>0.36618748344447</v>
      </c>
      <c r="J778">
        <f>VLOOKUP(A778,'YB OAS'!B:F,5,0)</f>
        <v>160.327698</v>
      </c>
      <c r="K778" s="40">
        <f>VLOOKUP(A778,'Refi Universe'!E:F,2,0)</f>
        <v>0.39003900000000002</v>
      </c>
    </row>
    <row r="779" spans="1:11" ht="15" x14ac:dyDescent="0.25">
      <c r="A779" s="14">
        <v>41712</v>
      </c>
      <c r="B779" s="15">
        <v>219</v>
      </c>
      <c r="C779" s="15">
        <v>219</v>
      </c>
      <c r="D779" s="5">
        <v>30</v>
      </c>
      <c r="E779" s="5">
        <v>19</v>
      </c>
      <c r="F779" s="5">
        <v>4.2637229999999997</v>
      </c>
      <c r="G779" s="12">
        <f>VLOOKUP(A779,'[1]all FNCL'!A$2:B$993,2)</f>
        <v>0.36618748344447</v>
      </c>
      <c r="J779">
        <f>VLOOKUP(A779,'YB OAS'!B:F,5,0)</f>
        <v>154.445404</v>
      </c>
      <c r="K779" s="40">
        <f>VLOOKUP(A779,'Refi Universe'!E:F,2,0)</f>
        <v>0.38471656999999998</v>
      </c>
    </row>
    <row r="780" spans="1:11" ht="15" x14ac:dyDescent="0.25">
      <c r="A780" s="14">
        <v>41715</v>
      </c>
      <c r="B780" s="15">
        <v>212</v>
      </c>
      <c r="C780" s="15">
        <v>212</v>
      </c>
      <c r="D780" s="5">
        <v>27</v>
      </c>
      <c r="E780" s="5">
        <v>18</v>
      </c>
      <c r="F780" s="5">
        <v>4.2775090000000002</v>
      </c>
      <c r="G780" s="12">
        <f>VLOOKUP(A780,'[1]all FNCL'!A$2:B$993,2)</f>
        <v>0.36618748344447</v>
      </c>
      <c r="J780">
        <f>VLOOKUP(A780,'YB OAS'!B:F,5,0)</f>
        <v>144.138397</v>
      </c>
      <c r="K780" s="40">
        <f>VLOOKUP(A780,'Refi Universe'!E:F,2,0)</f>
        <v>0.37328842000000001</v>
      </c>
    </row>
    <row r="781" spans="1:11" ht="15" x14ac:dyDescent="0.25">
      <c r="A781" s="14">
        <v>41716</v>
      </c>
      <c r="B781" s="15">
        <v>217</v>
      </c>
      <c r="C781" s="15">
        <v>217</v>
      </c>
      <c r="D781" s="5">
        <v>25</v>
      </c>
      <c r="E781" s="5">
        <v>17</v>
      </c>
      <c r="F781" s="5">
        <v>4.3170169999999999</v>
      </c>
      <c r="G781" s="12">
        <f>VLOOKUP(A781,'[1]all FNCL'!A$2:B$993,2)</f>
        <v>0.36618748344447</v>
      </c>
      <c r="J781">
        <f>VLOOKUP(A781,'YB OAS'!B:F,5,0)</f>
        <v>149.160202</v>
      </c>
      <c r="K781" s="40">
        <f>VLOOKUP(A781,'Refi Universe'!E:F,2,0)</f>
        <v>0.37829073000000002</v>
      </c>
    </row>
    <row r="782" spans="1:11" ht="15" x14ac:dyDescent="0.25">
      <c r="A782" s="14">
        <v>41717</v>
      </c>
      <c r="B782" s="15">
        <v>187</v>
      </c>
      <c r="C782" s="15">
        <v>187</v>
      </c>
      <c r="D782" s="5">
        <v>25</v>
      </c>
      <c r="E782" s="5">
        <v>20</v>
      </c>
      <c r="F782" s="5">
        <v>4.2995070000000002</v>
      </c>
      <c r="G782" s="12">
        <f>VLOOKUP(A782,'[1]all FNCL'!A$2:B$993,2)</f>
        <v>0.36618748344447</v>
      </c>
      <c r="J782">
        <f>VLOOKUP(A782,'YB OAS'!B:F,5,0)</f>
        <v>112.370499</v>
      </c>
      <c r="K782" s="40">
        <f>VLOOKUP(A782,'Refi Universe'!E:F,2,0)</f>
        <v>0.36629566000000002</v>
      </c>
    </row>
    <row r="783" spans="1:11" ht="15" x14ac:dyDescent="0.25">
      <c r="A783" s="14">
        <v>41718</v>
      </c>
      <c r="B783" s="15">
        <v>185</v>
      </c>
      <c r="C783" s="15">
        <v>185</v>
      </c>
      <c r="D783" s="5">
        <v>13</v>
      </c>
      <c r="E783" s="5">
        <v>9</v>
      </c>
      <c r="F783" s="5">
        <v>4.364738</v>
      </c>
      <c r="G783" s="12">
        <f>VLOOKUP(A783,'[1]all FNCL'!A$2:B$993,2)</f>
        <v>0.37473459168456602</v>
      </c>
      <c r="J783">
        <f>VLOOKUP(A783,'YB OAS'!B:F,5,0)</f>
        <v>113.492699</v>
      </c>
      <c r="K783" s="40">
        <f>VLOOKUP(A783,'Refi Universe'!E:F,2,0)</f>
        <v>0.36442224000000001</v>
      </c>
    </row>
    <row r="784" spans="1:11" ht="15" x14ac:dyDescent="0.25">
      <c r="A784" s="14">
        <v>41719</v>
      </c>
      <c r="B784" s="15">
        <v>196</v>
      </c>
      <c r="C784" s="15">
        <v>196</v>
      </c>
      <c r="D784" s="5">
        <v>19</v>
      </c>
      <c r="E784" s="5">
        <v>18</v>
      </c>
      <c r="F784" s="5">
        <v>4.3777759999999999</v>
      </c>
      <c r="G784" s="12">
        <f>VLOOKUP(A784,'[1]all FNCL'!A$2:B$993,2)</f>
        <v>0.37473459168456602</v>
      </c>
      <c r="J784">
        <f>VLOOKUP(A784,'YB OAS'!B:F,5,0)</f>
        <v>119.095901</v>
      </c>
      <c r="K784" s="40">
        <f>VLOOKUP(A784,'Refi Universe'!E:F,2,0)</f>
        <v>0.36875239999999998</v>
      </c>
    </row>
    <row r="785" spans="1:11" ht="15" x14ac:dyDescent="0.25">
      <c r="A785" s="14">
        <v>41722</v>
      </c>
      <c r="B785" s="15">
        <v>189</v>
      </c>
      <c r="C785" s="15">
        <v>189</v>
      </c>
      <c r="D785" s="5">
        <v>13</v>
      </c>
      <c r="E785" s="5">
        <v>15</v>
      </c>
      <c r="F785" s="5">
        <v>4.3492240000000004</v>
      </c>
      <c r="G785" s="12">
        <f>VLOOKUP(A785,'[1]all FNCL'!A$2:B$993,2)</f>
        <v>0.37473459168456602</v>
      </c>
      <c r="J785">
        <f>VLOOKUP(A785,'YB OAS'!B:F,5,0)</f>
        <v>115.954498</v>
      </c>
      <c r="K785" s="40">
        <f>VLOOKUP(A785,'Refi Universe'!E:F,2,0)</f>
        <v>0.36875239999999998</v>
      </c>
    </row>
    <row r="786" spans="1:11" ht="15" x14ac:dyDescent="0.25">
      <c r="A786" s="14">
        <v>41723</v>
      </c>
      <c r="B786" s="15">
        <v>192</v>
      </c>
      <c r="C786" s="15">
        <v>192</v>
      </c>
      <c r="D786" s="5">
        <v>12</v>
      </c>
      <c r="E786" s="5">
        <v>11</v>
      </c>
      <c r="F786" s="5">
        <v>4.347505</v>
      </c>
      <c r="G786" s="12">
        <f>VLOOKUP(A786,'[1]all FNCL'!A$2:B$993,2)</f>
        <v>0.37473459168456602</v>
      </c>
      <c r="J786">
        <f>VLOOKUP(A786,'YB OAS'!B:F,5,0)</f>
        <v>117.04679899999999</v>
      </c>
      <c r="K786" s="40">
        <f>VLOOKUP(A786,'Refi Universe'!E:F,2,0)</f>
        <v>0.36900695</v>
      </c>
    </row>
    <row r="787" spans="1:11" ht="15" x14ac:dyDescent="0.25">
      <c r="A787" s="14">
        <v>41724</v>
      </c>
      <c r="B787" s="15">
        <v>205</v>
      </c>
      <c r="C787" s="15">
        <v>205</v>
      </c>
      <c r="D787" s="5">
        <v>14</v>
      </c>
      <c r="E787" s="5">
        <v>13</v>
      </c>
      <c r="F787" s="5">
        <v>4.3492240000000004</v>
      </c>
      <c r="G787" s="12">
        <f>VLOOKUP(A787,'[1]all FNCL'!A$2:B$993,2)</f>
        <v>0.37473459168456602</v>
      </c>
      <c r="J787">
        <f>VLOOKUP(A787,'YB OAS'!B:F,5,0)</f>
        <v>128.91890000000001</v>
      </c>
      <c r="K787" s="40">
        <f>VLOOKUP(A787,'Refi Universe'!E:F,2,0)</f>
        <v>0.36965078000000001</v>
      </c>
    </row>
    <row r="788" spans="1:11" ht="15" x14ac:dyDescent="0.25">
      <c r="A788" s="14">
        <v>41725</v>
      </c>
      <c r="B788" s="15">
        <v>208</v>
      </c>
      <c r="C788" s="15">
        <v>208</v>
      </c>
      <c r="D788" s="5">
        <v>21</v>
      </c>
      <c r="E788" s="5">
        <v>19</v>
      </c>
      <c r="F788" s="5">
        <v>4.3271839999999999</v>
      </c>
      <c r="G788" s="12">
        <f>VLOOKUP(A788,'[1]all FNCL'!A$2:B$993,2)</f>
        <v>0.36106783694827599</v>
      </c>
      <c r="J788">
        <f>VLOOKUP(A788,'YB OAS'!B:F,5,0)</f>
        <v>137.85189800000001</v>
      </c>
      <c r="K788" s="40">
        <f>VLOOKUP(A788,'Refi Universe'!E:F,2,0)</f>
        <v>0.372867</v>
      </c>
    </row>
    <row r="789" spans="1:11" ht="15" x14ac:dyDescent="0.25">
      <c r="A789" s="14">
        <v>41726</v>
      </c>
      <c r="B789" s="15">
        <v>202</v>
      </c>
      <c r="C789" s="15">
        <v>202</v>
      </c>
      <c r="D789" s="5">
        <v>18</v>
      </c>
      <c r="E789" s="5">
        <v>13</v>
      </c>
      <c r="F789" s="5">
        <v>4.3087999999999997</v>
      </c>
      <c r="G789" s="12">
        <f>VLOOKUP(A789,'[1]all FNCL'!A$2:B$993,2)</f>
        <v>0.36106783694827599</v>
      </c>
      <c r="J789">
        <f>VLOOKUP(A789,'YB OAS'!B:F,5,0)</f>
        <v>127.299797</v>
      </c>
      <c r="K789" s="40">
        <f>VLOOKUP(A789,'Refi Universe'!E:F,2,0)</f>
        <v>0.36821619999999999</v>
      </c>
    </row>
    <row r="790" spans="1:11" ht="15" x14ac:dyDescent="0.25">
      <c r="A790" s="14">
        <v>41729</v>
      </c>
      <c r="B790" s="15">
        <v>198</v>
      </c>
      <c r="C790" s="15">
        <v>198</v>
      </c>
      <c r="D790" s="5">
        <v>16</v>
      </c>
      <c r="E790" s="5">
        <v>11</v>
      </c>
      <c r="F790" s="5">
        <v>4.3305400000000001</v>
      </c>
      <c r="G790" s="12">
        <f>VLOOKUP(A790,'[1]all FNCL'!A$2:B$993,2)</f>
        <v>0.36106783694827599</v>
      </c>
      <c r="J790">
        <f>VLOOKUP(A790,'YB OAS'!B:F,5,0)</f>
        <v>130.84669500000001</v>
      </c>
      <c r="K790" s="40">
        <f>VLOOKUP(A790,'Refi Universe'!E:F,2,0)</f>
        <v>0.36629566000000002</v>
      </c>
    </row>
    <row r="791" spans="1:11" ht="15" x14ac:dyDescent="0.25">
      <c r="A791" s="14">
        <v>41730</v>
      </c>
      <c r="B791" s="15">
        <v>199</v>
      </c>
      <c r="C791" s="15">
        <v>199</v>
      </c>
      <c r="D791" s="5">
        <v>16</v>
      </c>
      <c r="E791" s="5">
        <v>9</v>
      </c>
      <c r="F791" s="5">
        <v>4.3457549999999996</v>
      </c>
      <c r="G791" s="12">
        <f>VLOOKUP(A791,'[1]all FNCL'!A$2:B$993,2)</f>
        <v>0.35665287918352401</v>
      </c>
      <c r="J791">
        <f>VLOOKUP(A791,'YB OAS'!B:F,5,0)</f>
        <v>125.02069899999999</v>
      </c>
      <c r="K791" s="40">
        <f>VLOOKUP(A791,'Refi Universe'!E:F,2,0)</f>
        <v>0.35763015999999997</v>
      </c>
    </row>
    <row r="792" spans="1:11" ht="15" x14ac:dyDescent="0.25">
      <c r="A792" s="14">
        <v>41731</v>
      </c>
      <c r="B792" s="15">
        <v>192</v>
      </c>
      <c r="C792" s="15">
        <v>192</v>
      </c>
      <c r="D792" s="5">
        <v>19</v>
      </c>
      <c r="E792" s="5">
        <v>14</v>
      </c>
      <c r="F792" s="5">
        <v>4.3677359999999998</v>
      </c>
      <c r="G792" s="12">
        <f>VLOOKUP(A792,'[1]all FNCL'!A$2:B$993,2)</f>
        <v>0.35665287918352401</v>
      </c>
      <c r="J792">
        <f>VLOOKUP(A792,'YB OAS'!B:F,5,0)</f>
        <v>115.83200100000001</v>
      </c>
      <c r="K792" s="40">
        <f>VLOOKUP(A792,'Refi Universe'!E:F,2,0)</f>
        <v>0.32510613999999999</v>
      </c>
    </row>
    <row r="793" spans="1:11" ht="15" x14ac:dyDescent="0.25">
      <c r="A793" s="14">
        <v>41732</v>
      </c>
      <c r="B793" s="15">
        <v>197</v>
      </c>
      <c r="C793" s="15">
        <v>197</v>
      </c>
      <c r="D793" s="5">
        <v>20</v>
      </c>
      <c r="E793" s="5">
        <v>19</v>
      </c>
      <c r="F793" s="5">
        <v>4.3965480000000001</v>
      </c>
      <c r="G793" s="12">
        <f>VLOOKUP(A793,'[1]all FNCL'!A$2:B$993,2)</f>
        <v>0.35514156438481698</v>
      </c>
      <c r="J793">
        <f>VLOOKUP(A793,'YB OAS'!B:F,5,0)</f>
        <v>119.153702</v>
      </c>
      <c r="K793" s="40">
        <f>VLOOKUP(A793,'Refi Universe'!E:F,2,0)</f>
        <v>0.34278551000000002</v>
      </c>
    </row>
    <row r="794" spans="1:11" ht="15" x14ac:dyDescent="0.25">
      <c r="A794" s="14">
        <v>41733</v>
      </c>
      <c r="B794" s="15">
        <v>205</v>
      </c>
      <c r="C794" s="15">
        <v>205</v>
      </c>
      <c r="D794" s="5">
        <v>19</v>
      </c>
      <c r="E794" s="5">
        <v>17</v>
      </c>
      <c r="F794" s="5">
        <v>4.379016</v>
      </c>
      <c r="G794" s="12">
        <f>VLOOKUP(A794,'[1]all FNCL'!A$2:B$993,2)</f>
        <v>0.35514156438481698</v>
      </c>
      <c r="J794">
        <f>VLOOKUP(A794,'YB OAS'!B:F,5,0)</f>
        <v>132.46760599999999</v>
      </c>
      <c r="K794" s="40">
        <f>VLOOKUP(A794,'Refi Universe'!E:F,2,0)</f>
        <v>0.35888523</v>
      </c>
    </row>
    <row r="795" spans="1:11" ht="15" x14ac:dyDescent="0.25">
      <c r="A795" s="14">
        <v>41736</v>
      </c>
      <c r="B795" s="15">
        <v>211</v>
      </c>
      <c r="C795" s="15">
        <v>211</v>
      </c>
      <c r="D795" s="5">
        <v>23</v>
      </c>
      <c r="E795" s="5">
        <v>17</v>
      </c>
      <c r="F795" s="5">
        <v>4.3302399999999999</v>
      </c>
      <c r="G795" s="12">
        <f>VLOOKUP(A795,'[1]all FNCL'!A$2:B$993,2)</f>
        <v>0.35514156438481698</v>
      </c>
      <c r="J795">
        <f>VLOOKUP(A795,'YB OAS'!B:F,5,0)</f>
        <v>140.68910199999999</v>
      </c>
      <c r="K795" s="40">
        <f>VLOOKUP(A795,'Refi Universe'!E:F,2,0)</f>
        <v>0.36410197</v>
      </c>
    </row>
    <row r="796" spans="1:11" ht="15" x14ac:dyDescent="0.25">
      <c r="A796" s="14">
        <v>41737</v>
      </c>
      <c r="B796" s="15">
        <v>215</v>
      </c>
      <c r="C796" s="15">
        <v>215</v>
      </c>
      <c r="D796" s="5">
        <v>28</v>
      </c>
      <c r="E796" s="5">
        <v>19</v>
      </c>
      <c r="F796" s="5">
        <v>4.301984</v>
      </c>
      <c r="G796" s="12">
        <f>VLOOKUP(A796,'[1]all FNCL'!A$2:B$993,2)</f>
        <v>0.35514156438481698</v>
      </c>
      <c r="J796">
        <f>VLOOKUP(A796,'YB OAS'!B:F,5,0)</f>
        <v>142.11779799999999</v>
      </c>
      <c r="K796" s="40">
        <f>VLOOKUP(A796,'Refi Universe'!E:F,2,0)</f>
        <v>0.36809291999999999</v>
      </c>
    </row>
    <row r="797" spans="1:11" ht="15" x14ac:dyDescent="0.25">
      <c r="A797" s="14">
        <v>41738</v>
      </c>
      <c r="B797" s="15">
        <v>218</v>
      </c>
      <c r="C797" s="15">
        <v>218</v>
      </c>
      <c r="D797" s="5">
        <v>27</v>
      </c>
      <c r="E797" s="5">
        <v>17</v>
      </c>
      <c r="F797" s="5">
        <v>4.2841779999999998</v>
      </c>
      <c r="G797" s="12">
        <f>VLOOKUP(A797,'[1]all FNCL'!A$2:B$993,2)</f>
        <v>0.35514156438481698</v>
      </c>
      <c r="J797">
        <f>VLOOKUP(A797,'YB OAS'!B:F,5,0)</f>
        <v>149.74670399999999</v>
      </c>
      <c r="K797" s="40">
        <f>VLOOKUP(A797,'Refi Universe'!E:F,2,0)</f>
        <v>0.37418036999999998</v>
      </c>
    </row>
    <row r="798" spans="1:11" ht="15" x14ac:dyDescent="0.25">
      <c r="A798" s="14">
        <v>41739</v>
      </c>
      <c r="B798" s="15">
        <v>209</v>
      </c>
      <c r="C798" s="15">
        <v>209</v>
      </c>
      <c r="D798" s="5">
        <v>36</v>
      </c>
      <c r="E798" s="5">
        <v>18</v>
      </c>
      <c r="F798" s="5">
        <v>4.2841779999999998</v>
      </c>
      <c r="G798" s="12">
        <f>VLOOKUP(A798,'[1]all FNCL'!A$2:B$993,2)</f>
        <v>0.36665858727100598</v>
      </c>
      <c r="J798">
        <f>VLOOKUP(A798,'YB OAS'!B:F,5,0)</f>
        <v>150.22169500000001</v>
      </c>
      <c r="K798" s="40">
        <f>VLOOKUP(A798,'Refi Universe'!E:F,2,0)</f>
        <v>0.39074209999999998</v>
      </c>
    </row>
    <row r="799" spans="1:11" ht="15" x14ac:dyDescent="0.25">
      <c r="A799" s="14">
        <v>41740</v>
      </c>
      <c r="B799" s="15">
        <v>206</v>
      </c>
      <c r="C799" s="15">
        <v>206</v>
      </c>
      <c r="D799" s="5">
        <v>24</v>
      </c>
      <c r="E799" s="5">
        <v>9</v>
      </c>
      <c r="F799" s="5">
        <v>4.2388260000000004</v>
      </c>
      <c r="G799" s="12">
        <f>VLOOKUP(A799,'[1]all FNCL'!A$2:B$993,2)</f>
        <v>0.36665858727100598</v>
      </c>
      <c r="J799">
        <f>VLOOKUP(A799,'YB OAS'!B:F,5,0)</f>
        <v>153.82470699999999</v>
      </c>
      <c r="K799" s="40">
        <f>VLOOKUP(A799,'Refi Universe'!E:F,2,0)</f>
        <v>0.39074209999999998</v>
      </c>
    </row>
    <row r="800" spans="1:11" ht="15" x14ac:dyDescent="0.25">
      <c r="A800" s="14">
        <v>41743</v>
      </c>
      <c r="B800" s="15">
        <v>204</v>
      </c>
      <c r="C800" s="15">
        <v>204</v>
      </c>
      <c r="D800" s="5">
        <v>23</v>
      </c>
      <c r="E800" s="5">
        <v>8</v>
      </c>
      <c r="F800" s="5">
        <v>4.2396349999999998</v>
      </c>
      <c r="G800" s="12">
        <f>VLOOKUP(A800,'[1]all FNCL'!A$2:B$993,2)</f>
        <v>0.36665858727100598</v>
      </c>
      <c r="J800">
        <f>VLOOKUP(A800,'YB OAS'!B:F,5,0)</f>
        <v>143.62930299999999</v>
      </c>
      <c r="K800" s="40">
        <f>VLOOKUP(A800,'Refi Universe'!E:F,2,0)</f>
        <v>0.38166971999999999</v>
      </c>
    </row>
    <row r="801" spans="1:11" ht="15" x14ac:dyDescent="0.25">
      <c r="A801" s="14">
        <v>41744</v>
      </c>
      <c r="B801" s="15">
        <v>217</v>
      </c>
      <c r="C801" s="15">
        <v>217</v>
      </c>
      <c r="D801" s="5">
        <v>21</v>
      </c>
      <c r="E801" s="5">
        <v>6</v>
      </c>
      <c r="F801" s="5">
        <v>4.2594070000000004</v>
      </c>
      <c r="G801" s="12">
        <f>VLOOKUP(A801,'[1]all FNCL'!A$2:B$993,2)</f>
        <v>0.36665858727100598</v>
      </c>
      <c r="J801">
        <f>VLOOKUP(A801,'YB OAS'!B:F,5,0)</f>
        <v>147.69670099999999</v>
      </c>
      <c r="K801" s="40">
        <f>VLOOKUP(A801,'Refi Universe'!E:F,2,0)</f>
        <v>0.38310160999999998</v>
      </c>
    </row>
    <row r="802" spans="1:11" ht="15" x14ac:dyDescent="0.25">
      <c r="A802" s="14">
        <v>41745</v>
      </c>
      <c r="B802" s="15">
        <v>207</v>
      </c>
      <c r="C802" s="15">
        <v>207</v>
      </c>
      <c r="D802" s="5">
        <v>22</v>
      </c>
      <c r="E802" s="5">
        <v>3</v>
      </c>
      <c r="F802" s="5">
        <v>4.2570129999999997</v>
      </c>
      <c r="G802" s="12">
        <f>VLOOKUP(A802,'[1]all FNCL'!A$2:B$993,2)</f>
        <v>0.36665858727100598</v>
      </c>
      <c r="J802">
        <f>VLOOKUP(A802,'YB OAS'!B:F,5,0)</f>
        <v>144.186905</v>
      </c>
      <c r="K802" s="40">
        <f>VLOOKUP(A802,'Refi Universe'!E:F,2,0)</f>
        <v>0.37764312999999999</v>
      </c>
    </row>
    <row r="803" spans="1:11" ht="15" x14ac:dyDescent="0.25">
      <c r="A803" s="14">
        <v>41746</v>
      </c>
      <c r="B803" s="15">
        <v>198</v>
      </c>
      <c r="C803" s="15">
        <v>198</v>
      </c>
      <c r="D803" s="5">
        <v>23</v>
      </c>
      <c r="E803" s="5">
        <v>2</v>
      </c>
      <c r="F803" s="5">
        <v>4.2666089999999999</v>
      </c>
      <c r="G803" s="12">
        <f>VLOOKUP(A803,'[1]all FNCL'!A$2:B$993,2)</f>
        <v>0.38166972699665502</v>
      </c>
      <c r="J803">
        <f>VLOOKUP(A803,'YB OAS'!B:F,5,0)</f>
        <v>128.823105</v>
      </c>
      <c r="K803" s="40">
        <f>VLOOKUP(A803,'Refi Universe'!E:F,2,0)</f>
        <v>0.36524489999999998</v>
      </c>
    </row>
    <row r="804" spans="1:11" ht="15" x14ac:dyDescent="0.25">
      <c r="A804" s="14">
        <v>41750</v>
      </c>
      <c r="B804" s="15">
        <v>204</v>
      </c>
      <c r="C804" s="15">
        <v>204</v>
      </c>
      <c r="D804" s="5">
        <v>22</v>
      </c>
      <c r="E804" s="5">
        <v>2</v>
      </c>
      <c r="F804" s="5">
        <v>4.3116669999999999</v>
      </c>
      <c r="G804" s="12">
        <f>VLOOKUP(A804,'[1]all FNCL'!A$2:B$993,2)</f>
        <v>0.38166972699665502</v>
      </c>
      <c r="J804">
        <f>VLOOKUP(A804,'YB OAS'!B:F,5,0)</f>
        <v>131.28990200000001</v>
      </c>
      <c r="K804" s="40">
        <f>VLOOKUP(A804,'Refi Universe'!E:F,2,0)</f>
        <v>0.36314741</v>
      </c>
    </row>
    <row r="805" spans="1:11" ht="15" x14ac:dyDescent="0.25">
      <c r="A805" s="14">
        <v>41751</v>
      </c>
      <c r="B805" s="15">
        <v>196</v>
      </c>
      <c r="C805" s="15">
        <v>196</v>
      </c>
      <c r="D805" s="5">
        <v>29</v>
      </c>
      <c r="E805" s="5">
        <v>8</v>
      </c>
      <c r="F805" s="5">
        <v>4.3232730000000004</v>
      </c>
      <c r="G805" s="12">
        <f>VLOOKUP(A805,'[1]all FNCL'!A$2:B$993,2)</f>
        <v>0.38166972699665502</v>
      </c>
      <c r="J805">
        <f>VLOOKUP(A805,'YB OAS'!B:F,5,0)</f>
        <v>124.446602</v>
      </c>
      <c r="K805" s="40">
        <f>VLOOKUP(A805,'Refi Universe'!E:F,2,0)</f>
        <v>0.36404024000000001</v>
      </c>
    </row>
    <row r="806" spans="1:11" ht="15" x14ac:dyDescent="0.25">
      <c r="A806" s="14">
        <v>41752</v>
      </c>
      <c r="B806" s="15">
        <v>198</v>
      </c>
      <c r="C806" s="15">
        <v>198</v>
      </c>
      <c r="D806" s="5">
        <v>20</v>
      </c>
      <c r="E806" s="5">
        <v>0</v>
      </c>
      <c r="F806" s="5">
        <v>4.3182879999999999</v>
      </c>
      <c r="G806" s="12">
        <f>VLOOKUP(A806,'[1]all FNCL'!A$2:B$993,2)</f>
        <v>0.38166972699665502</v>
      </c>
      <c r="J806">
        <f>VLOOKUP(A806,'YB OAS'!B:F,5,0)</f>
        <v>133.062195</v>
      </c>
      <c r="K806" s="40">
        <f>VLOOKUP(A806,'Refi Universe'!E:F,2,0)</f>
        <v>0.38124049999999998</v>
      </c>
    </row>
    <row r="807" spans="1:11" ht="15" x14ac:dyDescent="0.25">
      <c r="A807" s="14">
        <v>41753</v>
      </c>
      <c r="B807" s="15">
        <v>207</v>
      </c>
      <c r="C807" s="15">
        <v>207</v>
      </c>
      <c r="D807" s="5">
        <v>19</v>
      </c>
      <c r="E807" s="5">
        <v>-6</v>
      </c>
      <c r="F807" s="5">
        <v>4.2825600000000001</v>
      </c>
      <c r="G807" s="12">
        <f>VLOOKUP(A807,'[1]all FNCL'!A$2:B$993,2)</f>
        <v>0.36809292035715802</v>
      </c>
      <c r="J807">
        <f>VLOOKUP(A807,'YB OAS'!B:F,5,0)</f>
        <v>135.328903</v>
      </c>
      <c r="K807" s="40">
        <f>VLOOKUP(A807,'Refi Universe'!E:F,2,0)</f>
        <v>0.38310160999999998</v>
      </c>
    </row>
    <row r="808" spans="1:11" ht="15" x14ac:dyDescent="0.25">
      <c r="A808" s="14">
        <v>41754</v>
      </c>
      <c r="B808" s="15">
        <v>47</v>
      </c>
      <c r="C808" s="15">
        <v>47</v>
      </c>
      <c r="D808" s="5">
        <v>18</v>
      </c>
      <c r="E808" s="5">
        <v>-6</v>
      </c>
      <c r="F808" s="5">
        <v>4.2794030000000003</v>
      </c>
      <c r="G808" s="12">
        <f>VLOOKUP(A808,'[1]all FNCL'!A$2:B$993,2)</f>
        <v>0.36809292035715802</v>
      </c>
      <c r="J808">
        <f>VLOOKUP(A808,'YB OAS'!B:F,5,0)</f>
        <v>134.81359900000001</v>
      </c>
      <c r="K808" s="40">
        <f>VLOOKUP(A808,'Refi Universe'!E:F,2,0)</f>
        <v>0.39074209999999998</v>
      </c>
    </row>
    <row r="809" spans="1:11" ht="15" x14ac:dyDescent="0.25">
      <c r="A809" s="14">
        <v>41757</v>
      </c>
      <c r="B809" s="15">
        <v>52</v>
      </c>
      <c r="C809" s="15">
        <v>52</v>
      </c>
      <c r="D809" s="5">
        <v>15</v>
      </c>
      <c r="E809" s="5">
        <v>-7</v>
      </c>
      <c r="F809" s="5">
        <v>4.261177</v>
      </c>
      <c r="G809" s="12">
        <f>VLOOKUP(A809,'[1]all FNCL'!A$2:B$993,2)</f>
        <v>0.36809292035715802</v>
      </c>
      <c r="J809">
        <f>VLOOKUP(A809,'YB OAS'!B:F,5,0)</f>
        <v>130.26220699999999</v>
      </c>
      <c r="K809" s="40">
        <f>VLOOKUP(A809,'Refi Universe'!E:F,2,0)</f>
        <v>0.38804882000000002</v>
      </c>
    </row>
    <row r="810" spans="1:11" ht="15" x14ac:dyDescent="0.25">
      <c r="A810" s="14">
        <v>41758</v>
      </c>
      <c r="B810" s="15">
        <v>51</v>
      </c>
      <c r="C810" s="15">
        <v>51</v>
      </c>
      <c r="D810" s="5">
        <v>14</v>
      </c>
      <c r="E810" s="5">
        <v>-7</v>
      </c>
      <c r="F810" s="5">
        <v>4.2691150000000002</v>
      </c>
      <c r="G810" s="12">
        <f>VLOOKUP(A810,'[1]all FNCL'!A$2:B$993,2)</f>
        <v>0.36809292035715802</v>
      </c>
      <c r="J810">
        <f>VLOOKUP(A810,'YB OAS'!B:F,5,0)</f>
        <v>125.434303</v>
      </c>
      <c r="K810" s="40">
        <f>VLOOKUP(A810,'Refi Universe'!E:F,2,0)</f>
        <v>0.38065389999999999</v>
      </c>
    </row>
    <row r="811" spans="1:11" ht="15" x14ac:dyDescent="0.25">
      <c r="A811" s="14">
        <v>41759</v>
      </c>
      <c r="B811" s="15">
        <v>190</v>
      </c>
      <c r="C811" s="15">
        <v>190</v>
      </c>
      <c r="D811" s="5">
        <v>16</v>
      </c>
      <c r="E811" s="5">
        <v>-5</v>
      </c>
      <c r="F811" s="5">
        <v>4.2841129999999996</v>
      </c>
      <c r="G811" s="12">
        <f>VLOOKUP(A811,'[1]all FNCL'!A$2:B$993,2)</f>
        <v>0.36809292035715802</v>
      </c>
      <c r="J811">
        <f>VLOOKUP(A811,'YB OAS'!B:F,5,0)</f>
        <v>129.14549299999999</v>
      </c>
      <c r="K811" s="40">
        <f>VLOOKUP(A811,'Refi Universe'!E:F,2,0)</f>
        <v>0.38362900999999999</v>
      </c>
    </row>
    <row r="812" spans="1:11" ht="15" x14ac:dyDescent="0.25">
      <c r="A812" s="14">
        <v>41760</v>
      </c>
      <c r="B812" s="15">
        <v>191</v>
      </c>
      <c r="C812" s="15">
        <v>191</v>
      </c>
      <c r="D812" s="5">
        <v>14</v>
      </c>
      <c r="E812" s="5">
        <v>-9</v>
      </c>
      <c r="F812" s="5">
        <v>4.2509579999999998</v>
      </c>
      <c r="G812" s="12">
        <f>VLOOKUP(A812,'[1]all FNCL'!A$2:B$993,2)</f>
        <v>0.37329753351950501</v>
      </c>
      <c r="J812">
        <f>VLOOKUP(A812,'YB OAS'!B:F,5,0)</f>
        <v>130.38459800000001</v>
      </c>
      <c r="K812" s="40">
        <f>VLOOKUP(A812,'Refi Universe'!E:F,2,0)</f>
        <v>0.39536387000000001</v>
      </c>
    </row>
    <row r="813" spans="1:11" ht="15" x14ac:dyDescent="0.25">
      <c r="A813" s="14">
        <v>41761</v>
      </c>
      <c r="B813" s="15">
        <v>180</v>
      </c>
      <c r="C813" s="15">
        <v>180</v>
      </c>
      <c r="D813" s="5">
        <v>5</v>
      </c>
      <c r="E813" s="5">
        <v>-16</v>
      </c>
      <c r="F813" s="5">
        <v>4.2188400000000001</v>
      </c>
      <c r="G813" s="12">
        <f>VLOOKUP(A813,'[1]all FNCL'!A$2:B$993,2)</f>
        <v>0.37329753351950501</v>
      </c>
      <c r="J813">
        <f>VLOOKUP(A813,'YB OAS'!B:F,5,0)</f>
        <v>125.44589999999999</v>
      </c>
      <c r="K813" s="40">
        <f>VLOOKUP(A813,'Refi Universe'!E:F,2,0)</f>
        <v>0.40005795999999999</v>
      </c>
    </row>
    <row r="814" spans="1:11" ht="15" x14ac:dyDescent="0.25">
      <c r="A814" s="14">
        <v>41764</v>
      </c>
      <c r="B814" s="15">
        <v>187</v>
      </c>
      <c r="C814" s="15">
        <v>187</v>
      </c>
      <c r="D814" s="5">
        <v>-5</v>
      </c>
      <c r="E814" s="5">
        <v>-22</v>
      </c>
      <c r="F814" s="5">
        <v>4.2119710000000001</v>
      </c>
      <c r="G814" s="12">
        <f>VLOOKUP(A814,'[1]all FNCL'!A$2:B$993,2)</f>
        <v>0.37329753351950501</v>
      </c>
      <c r="J814">
        <f>VLOOKUP(A814,'YB OAS'!B:F,5,0)</f>
        <v>126.358597</v>
      </c>
      <c r="K814" s="40">
        <f>VLOOKUP(A814,'Refi Universe'!E:F,2,0)</f>
        <v>0.39494004999999999</v>
      </c>
    </row>
    <row r="815" spans="1:11" ht="15" x14ac:dyDescent="0.25">
      <c r="A815" s="14">
        <v>41765</v>
      </c>
      <c r="B815" s="15">
        <v>184</v>
      </c>
      <c r="C815" s="15">
        <v>184</v>
      </c>
      <c r="D815" s="5">
        <v>0</v>
      </c>
      <c r="E815" s="5">
        <v>-20</v>
      </c>
      <c r="F815" s="5">
        <v>4.2188319999999999</v>
      </c>
      <c r="G815" s="12">
        <f>VLOOKUP(A815,'[1]all FNCL'!A$2:B$993,2)</f>
        <v>0.37329753351950501</v>
      </c>
      <c r="J815">
        <f>VLOOKUP(A815,'YB OAS'!B:F,5,0)</f>
        <v>129.080994</v>
      </c>
      <c r="K815" s="40">
        <f>VLOOKUP(A815,'Refi Universe'!E:F,2,0)</f>
        <v>0.40250726999999997</v>
      </c>
    </row>
    <row r="816" spans="1:11" ht="15" x14ac:dyDescent="0.25">
      <c r="A816" s="14">
        <v>41766</v>
      </c>
      <c r="B816" s="15">
        <v>187</v>
      </c>
      <c r="C816" s="15">
        <v>187</v>
      </c>
      <c r="D816" s="5">
        <v>-3</v>
      </c>
      <c r="E816" s="5">
        <v>-20</v>
      </c>
      <c r="F816" s="5">
        <v>4.2059430000000004</v>
      </c>
      <c r="G816" s="12">
        <f>VLOOKUP(A816,'[1]all FNCL'!A$2:B$993,2)</f>
        <v>0.37329753351950501</v>
      </c>
      <c r="J816">
        <f>VLOOKUP(A816,'YB OAS'!B:F,5,0)</f>
        <v>142.570999</v>
      </c>
      <c r="K816" s="40">
        <f>VLOOKUP(A816,'Refi Universe'!E:F,2,0)</f>
        <v>0.42496286</v>
      </c>
    </row>
    <row r="817" spans="1:11" ht="15" x14ac:dyDescent="0.25">
      <c r="A817" s="14">
        <v>41767</v>
      </c>
      <c r="B817" s="15">
        <v>201</v>
      </c>
      <c r="C817" s="15">
        <v>201</v>
      </c>
      <c r="D817" s="5">
        <v>2</v>
      </c>
      <c r="E817" s="5">
        <v>-20</v>
      </c>
      <c r="F817" s="5">
        <v>4.1809700000000003</v>
      </c>
      <c r="G817" s="12">
        <f>VLOOKUP(A817,'[1]all FNCL'!A$2:B$993,2)</f>
        <v>0.40121753760358098</v>
      </c>
      <c r="J817">
        <f>VLOOKUP(A817,'YB OAS'!B:F,5,0)</f>
        <v>147.39210499999999</v>
      </c>
      <c r="K817" s="40">
        <f>VLOOKUP(A817,'Refi Universe'!E:F,2,0)</f>
        <v>0.42930450999999997</v>
      </c>
    </row>
    <row r="818" spans="1:11" ht="15" x14ac:dyDescent="0.25">
      <c r="A818" s="14">
        <v>41768</v>
      </c>
      <c r="B818" s="15">
        <v>193</v>
      </c>
      <c r="C818" s="15">
        <v>193</v>
      </c>
      <c r="D818" s="5">
        <v>5</v>
      </c>
      <c r="E818" s="5">
        <v>-16</v>
      </c>
      <c r="F818" s="5">
        <v>4.1756279999999997</v>
      </c>
      <c r="G818" s="12">
        <f>VLOOKUP(A818,'[1]all FNCL'!A$2:B$993,2)</f>
        <v>0.40121753760358098</v>
      </c>
      <c r="J818">
        <f>VLOOKUP(A818,'YB OAS'!B:F,5,0)</f>
        <v>136.36790500000001</v>
      </c>
      <c r="K818" s="40">
        <f>VLOOKUP(A818,'Refi Universe'!E:F,2,0)</f>
        <v>0.41122847000000001</v>
      </c>
    </row>
    <row r="819" spans="1:11" ht="15" x14ac:dyDescent="0.25">
      <c r="A819" s="14">
        <v>41771</v>
      </c>
      <c r="B819" s="15">
        <v>188</v>
      </c>
      <c r="C819" s="15">
        <v>188</v>
      </c>
      <c r="D819" s="5">
        <v>8</v>
      </c>
      <c r="E819" s="5">
        <v>-13</v>
      </c>
      <c r="F819" s="5">
        <v>4.2036340000000001</v>
      </c>
      <c r="G819" s="12">
        <f>VLOOKUP(A819,'[1]all FNCL'!A$2:B$993,2)</f>
        <v>0.40121753760358098</v>
      </c>
      <c r="J819">
        <f>VLOOKUP(A819,'YB OAS'!B:F,5,0)</f>
        <v>127.2967</v>
      </c>
      <c r="K819" s="40">
        <f>VLOOKUP(A819,'Refi Universe'!E:F,2,0)</f>
        <v>0.40149435999999999</v>
      </c>
    </row>
    <row r="820" spans="1:11" ht="15" x14ac:dyDescent="0.25">
      <c r="A820" s="14">
        <v>41772</v>
      </c>
      <c r="B820" s="15">
        <v>190</v>
      </c>
      <c r="C820" s="15">
        <v>190</v>
      </c>
      <c r="D820" s="5">
        <v>7</v>
      </c>
      <c r="E820" s="5">
        <v>-12</v>
      </c>
      <c r="F820" s="5">
        <v>4.224831</v>
      </c>
      <c r="G820" s="12">
        <f>VLOOKUP(A820,'[1]all FNCL'!A$2:B$993,2)</f>
        <v>0.40121753760358098</v>
      </c>
      <c r="J820">
        <f>VLOOKUP(A820,'YB OAS'!B:F,5,0)</f>
        <v>129.16589400000001</v>
      </c>
      <c r="K820" s="40">
        <f>VLOOKUP(A820,'Refi Universe'!E:F,2,0)</f>
        <v>0.40866859999999999</v>
      </c>
    </row>
    <row r="821" spans="1:11" ht="15" x14ac:dyDescent="0.25">
      <c r="A821" s="14">
        <v>41773</v>
      </c>
      <c r="B821" s="15">
        <v>196</v>
      </c>
      <c r="C821" s="15">
        <v>196</v>
      </c>
      <c r="D821" s="5">
        <v>7</v>
      </c>
      <c r="E821" s="5">
        <v>-14</v>
      </c>
      <c r="F821" s="5">
        <v>4.2073910000000003</v>
      </c>
      <c r="G821" s="12">
        <f>VLOOKUP(A821,'[1]all FNCL'!A$2:B$993,2)</f>
        <v>0.40121753760358098</v>
      </c>
      <c r="J821">
        <f>VLOOKUP(A821,'YB OAS'!B:F,5,0)</f>
        <v>152.926895</v>
      </c>
      <c r="K821" s="40">
        <f>VLOOKUP(A821,'Refi Universe'!E:F,2,0)</f>
        <v>0.44368063000000002</v>
      </c>
    </row>
    <row r="822" spans="1:11" ht="15" x14ac:dyDescent="0.25">
      <c r="A822" s="14">
        <v>41774</v>
      </c>
      <c r="B822" s="15">
        <v>201</v>
      </c>
      <c r="C822" s="15">
        <v>201</v>
      </c>
      <c r="D822" s="5">
        <v>3</v>
      </c>
      <c r="E822" s="5">
        <v>-23</v>
      </c>
      <c r="F822" s="5">
        <v>4.1490169999999997</v>
      </c>
      <c r="G822" s="12">
        <f>VLOOKUP(A822,'[1]all FNCL'!A$2:B$993,2)</f>
        <v>0.40418715867892502</v>
      </c>
      <c r="J822">
        <f>VLOOKUP(A822,'YB OAS'!B:F,5,0)</f>
        <v>156.529404</v>
      </c>
      <c r="K822" s="40">
        <f>VLOOKUP(A822,'Refi Universe'!E:F,2,0)</f>
        <v>0.45737897</v>
      </c>
    </row>
    <row r="823" spans="1:11" ht="15" x14ac:dyDescent="0.25">
      <c r="A823" s="14">
        <v>41775</v>
      </c>
      <c r="B823" s="15">
        <v>189</v>
      </c>
      <c r="C823" s="15">
        <v>189</v>
      </c>
      <c r="D823" s="5">
        <v>1</v>
      </c>
      <c r="E823" s="5">
        <v>-26</v>
      </c>
      <c r="F823" s="5">
        <v>4.1383749999999999</v>
      </c>
      <c r="G823" s="12">
        <f>VLOOKUP(A823,'[1]all FNCL'!A$2:B$993,2)</f>
        <v>0.40418715867892502</v>
      </c>
      <c r="J823">
        <f>VLOOKUP(A823,'YB OAS'!B:F,5,0)</f>
        <v>138.66949500000001</v>
      </c>
      <c r="K823" s="40">
        <f>VLOOKUP(A823,'Refi Universe'!E:F,2,0)</f>
        <v>0.43683117999999999</v>
      </c>
    </row>
    <row r="824" spans="1:11" ht="15" x14ac:dyDescent="0.25">
      <c r="A824" s="14">
        <v>41778</v>
      </c>
      <c r="B824" s="15">
        <v>196</v>
      </c>
      <c r="C824" s="15">
        <v>196</v>
      </c>
      <c r="D824" s="5">
        <v>2</v>
      </c>
      <c r="E824" s="5">
        <v>-27</v>
      </c>
      <c r="F824" s="5">
        <v>4.1598660000000001</v>
      </c>
      <c r="G824" s="12">
        <f>VLOOKUP(A824,'[1]all FNCL'!A$2:B$993,2)</f>
        <v>0.40418715867892502</v>
      </c>
      <c r="J824">
        <f>VLOOKUP(A824,'YB OAS'!B:F,5,0)</f>
        <v>140.74079900000001</v>
      </c>
      <c r="K824" s="40">
        <f>VLOOKUP(A824,'Refi Universe'!E:F,2,0)</f>
        <v>0.42645669000000003</v>
      </c>
    </row>
    <row r="825" spans="1:11" ht="15" x14ac:dyDescent="0.25">
      <c r="A825" s="14">
        <v>41779</v>
      </c>
      <c r="B825" s="15">
        <v>196</v>
      </c>
      <c r="C825" s="15">
        <v>196</v>
      </c>
      <c r="D825" s="5">
        <v>3</v>
      </c>
      <c r="E825" s="5">
        <v>-22</v>
      </c>
      <c r="F825" s="5">
        <v>4.1726650000000003</v>
      </c>
      <c r="G825" s="12">
        <f>VLOOKUP(A825,'[1]all FNCL'!A$2:B$993,2)</f>
        <v>0.40418715867892502</v>
      </c>
      <c r="J825">
        <f>VLOOKUP(A825,'YB OAS'!B:F,5,0)</f>
        <v>148.215103</v>
      </c>
      <c r="K825" s="40">
        <f>VLOOKUP(A825,'Refi Universe'!E:F,2,0)</f>
        <v>0.44898321000000002</v>
      </c>
    </row>
    <row r="826" spans="1:11" ht="15" x14ac:dyDescent="0.25">
      <c r="A826" s="14">
        <v>41780</v>
      </c>
      <c r="B826" s="15">
        <v>186</v>
      </c>
      <c r="C826" s="15">
        <v>186</v>
      </c>
      <c r="D826" s="5">
        <v>1</v>
      </c>
      <c r="E826" s="5">
        <v>-25</v>
      </c>
      <c r="F826" s="5">
        <v>4.1460239999999997</v>
      </c>
      <c r="G826" s="12">
        <f>VLOOKUP(A826,'[1]all FNCL'!A$2:B$993,2)</f>
        <v>0.40418715867892502</v>
      </c>
      <c r="J826">
        <f>VLOOKUP(A826,'YB OAS'!B:F,5,0)</f>
        <v>137.44610599999999</v>
      </c>
      <c r="K826" s="40">
        <f>VLOOKUP(A826,'Refi Universe'!E:F,2,0)</f>
        <v>0.44799454</v>
      </c>
    </row>
    <row r="827" spans="1:11" ht="15" x14ac:dyDescent="0.25">
      <c r="A827" s="14">
        <v>41781</v>
      </c>
      <c r="B827" s="15">
        <v>177</v>
      </c>
      <c r="C827" s="15">
        <v>177</v>
      </c>
      <c r="D827" s="5">
        <v>-2</v>
      </c>
      <c r="E827" s="5">
        <v>-28</v>
      </c>
      <c r="F827" s="5">
        <v>4.1544129999999999</v>
      </c>
      <c r="G827" s="12">
        <f>VLOOKUP(A827,'[1]all FNCL'!A$2:B$993,2)</f>
        <v>0.43156044404796001</v>
      </c>
      <c r="J827">
        <f>VLOOKUP(A827,'YB OAS'!B:F,5,0)</f>
        <v>128.88130200000001</v>
      </c>
      <c r="K827" s="40">
        <f>VLOOKUP(A827,'Refi Universe'!E:F,2,0)</f>
        <v>0.43740635</v>
      </c>
    </row>
    <row r="828" spans="1:11" ht="15" x14ac:dyDescent="0.25">
      <c r="A828" s="14">
        <v>41782</v>
      </c>
      <c r="B828" s="15">
        <v>177</v>
      </c>
      <c r="C828" s="15">
        <v>177</v>
      </c>
      <c r="D828" s="5">
        <v>-4</v>
      </c>
      <c r="E828" s="5">
        <v>-29</v>
      </c>
      <c r="F828" s="5">
        <v>4.1644319999999997</v>
      </c>
      <c r="G828" s="12">
        <f>VLOOKUP(A828,'[1]all FNCL'!A$2:B$993,2)</f>
        <v>0.43156044404796001</v>
      </c>
      <c r="J828">
        <f>VLOOKUP(A828,'YB OAS'!B:F,5,0)</f>
        <v>128.22920199999999</v>
      </c>
      <c r="K828" s="40">
        <f>VLOOKUP(A828,'Refi Universe'!E:F,2,0)</f>
        <v>0.44289145000000002</v>
      </c>
    </row>
    <row r="829" spans="1:11" ht="15" x14ac:dyDescent="0.25">
      <c r="A829" s="14">
        <v>41786</v>
      </c>
      <c r="B829" s="15">
        <v>177</v>
      </c>
      <c r="C829" s="15">
        <v>177</v>
      </c>
      <c r="D829" s="5">
        <v>-7</v>
      </c>
      <c r="E829" s="5">
        <v>-30</v>
      </c>
      <c r="F829" s="5">
        <v>4.1575309999999996</v>
      </c>
      <c r="G829" s="12">
        <f>VLOOKUP(A829,'[1]all FNCL'!A$2:B$993,2)</f>
        <v>0.43156044404796001</v>
      </c>
      <c r="J829">
        <f>VLOOKUP(A829,'YB OAS'!B:F,5,0)</f>
        <v>132.97650100000001</v>
      </c>
      <c r="K829" s="40">
        <f>VLOOKUP(A829,'Refi Universe'!E:F,2,0)</f>
        <v>0.45865688999999998</v>
      </c>
    </row>
    <row r="830" spans="1:11" ht="15" x14ac:dyDescent="0.25">
      <c r="A830" s="14">
        <v>41787</v>
      </c>
      <c r="B830" s="15">
        <v>191</v>
      </c>
      <c r="C830" s="15">
        <v>191</v>
      </c>
      <c r="D830" s="5">
        <v>-11</v>
      </c>
      <c r="E830" s="5">
        <v>-33</v>
      </c>
      <c r="F830" s="5">
        <v>4.141591</v>
      </c>
      <c r="G830" s="12">
        <f>VLOOKUP(A830,'[1]all FNCL'!A$2:B$993,2)</f>
        <v>0.43156044404796001</v>
      </c>
      <c r="J830">
        <f>VLOOKUP(A830,'YB OAS'!B:F,5,0)</f>
        <v>151.01289399999999</v>
      </c>
      <c r="K830" s="40">
        <f>VLOOKUP(A830,'Refi Universe'!E:F,2,0)</f>
        <v>0.52091710000000002</v>
      </c>
    </row>
    <row r="831" spans="1:11" ht="15" x14ac:dyDescent="0.25">
      <c r="A831" s="14">
        <v>41788</v>
      </c>
      <c r="B831" s="15">
        <v>193</v>
      </c>
      <c r="C831" s="15">
        <v>193</v>
      </c>
      <c r="D831" s="5">
        <v>-17</v>
      </c>
      <c r="E831" s="5">
        <v>-38</v>
      </c>
      <c r="F831" s="5">
        <v>4.0755809999999997</v>
      </c>
      <c r="G831" s="12">
        <f>VLOOKUP(A831,'[1]all FNCL'!A$2:B$993,2)</f>
        <v>0.44289145430937299</v>
      </c>
      <c r="J831">
        <f>VLOOKUP(A831,'YB OAS'!B:F,5,0)</f>
        <v>143.794296</v>
      </c>
      <c r="K831" s="40">
        <f>VLOOKUP(A831,'Refi Universe'!E:F,2,0)</f>
        <v>0.50196399000000003</v>
      </c>
    </row>
    <row r="832" spans="1:11" ht="15" x14ac:dyDescent="0.25">
      <c r="A832" s="14">
        <v>41789</v>
      </c>
      <c r="B832" s="15">
        <v>186</v>
      </c>
      <c r="C832" s="15">
        <v>186</v>
      </c>
      <c r="D832" s="5">
        <v>-11</v>
      </c>
      <c r="E832" s="5">
        <v>-37</v>
      </c>
      <c r="F832" s="5">
        <v>4.095504</v>
      </c>
      <c r="G832" s="12">
        <f>VLOOKUP(A832,'[1]all FNCL'!A$2:B$993,2)</f>
        <v>0.44289145430937299</v>
      </c>
      <c r="J832">
        <f>VLOOKUP(A832,'YB OAS'!B:F,5,0)</f>
        <v>143.42219499999999</v>
      </c>
      <c r="K832" s="40">
        <f>VLOOKUP(A832,'Refi Universe'!E:F,2,0)</f>
        <v>0.49500455999999998</v>
      </c>
    </row>
    <row r="833" spans="1:11" ht="15" x14ac:dyDescent="0.25">
      <c r="A833" s="14">
        <v>41792</v>
      </c>
      <c r="B833" s="15">
        <v>177</v>
      </c>
      <c r="C833" s="15">
        <v>177</v>
      </c>
      <c r="D833" s="5">
        <v>-6</v>
      </c>
      <c r="E833" s="5">
        <v>-36</v>
      </c>
      <c r="F833" s="5">
        <v>4.1051520000000004</v>
      </c>
      <c r="G833" s="12">
        <f>VLOOKUP(A833,'[1]all FNCL'!A$2:B$993,2)</f>
        <v>0.44150761506791297</v>
      </c>
      <c r="J833">
        <f>VLOOKUP(A833,'YB OAS'!B:F,5,0)</f>
        <v>126.949303</v>
      </c>
      <c r="K833" s="40">
        <f>VLOOKUP(A833,'Refi Universe'!E:F,2,0)</f>
        <v>0.43706715000000002</v>
      </c>
    </row>
    <row r="834" spans="1:11" ht="15" x14ac:dyDescent="0.25">
      <c r="A834" s="14">
        <v>41793</v>
      </c>
      <c r="B834" s="15">
        <v>164</v>
      </c>
      <c r="C834" s="15">
        <v>164</v>
      </c>
      <c r="D834" s="5">
        <v>-3</v>
      </c>
      <c r="E834" s="5">
        <v>-28</v>
      </c>
      <c r="F834" s="5">
        <v>4.157063</v>
      </c>
      <c r="G834" s="12">
        <f>VLOOKUP(A834,'[1]all FNCL'!A$2:B$993,2)</f>
        <v>0.44150761506791297</v>
      </c>
      <c r="J834">
        <f>VLOOKUP(A834,'YB OAS'!B:F,5,0)</f>
        <v>111.876999</v>
      </c>
      <c r="K834" s="40">
        <f>VLOOKUP(A834,'Refi Universe'!E:F,2,0)</f>
        <v>0.41014107999999999</v>
      </c>
    </row>
    <row r="835" spans="1:11" ht="15" x14ac:dyDescent="0.25">
      <c r="A835" s="14">
        <v>41794</v>
      </c>
      <c r="B835" s="15">
        <v>159</v>
      </c>
      <c r="C835" s="15">
        <v>159</v>
      </c>
      <c r="D835" s="5">
        <v>-8</v>
      </c>
      <c r="E835" s="5">
        <v>-30</v>
      </c>
      <c r="F835" s="5">
        <v>4.1975899999999999</v>
      </c>
      <c r="G835" s="12">
        <f>VLOOKUP(A835,'[1]all FNCL'!A$2:B$993,2)</f>
        <v>0.44150761506791297</v>
      </c>
      <c r="J835">
        <f>VLOOKUP(A835,'YB OAS'!B:F,5,0)</f>
        <v>106.802803</v>
      </c>
      <c r="K835" s="40">
        <f>VLOOKUP(A835,'Refi Universe'!E:F,2,0)</f>
        <v>0.42071955</v>
      </c>
    </row>
    <row r="836" spans="1:11" ht="15" x14ac:dyDescent="0.25">
      <c r="A836" s="14">
        <v>41795</v>
      </c>
      <c r="B836" s="15">
        <v>160</v>
      </c>
      <c r="C836" s="15">
        <v>160</v>
      </c>
      <c r="D836" s="5">
        <v>-8</v>
      </c>
      <c r="E836" s="5">
        <v>-33</v>
      </c>
      <c r="F836" s="5">
        <v>4.2013040000000004</v>
      </c>
      <c r="G836" s="12">
        <f>VLOOKUP(A836,'[1]all FNCL'!A$2:B$993,2)</f>
        <v>0.429907169996321</v>
      </c>
      <c r="J836">
        <f>VLOOKUP(A836,'YB OAS'!B:F,5,0)</f>
        <v>106.527901</v>
      </c>
      <c r="K836" s="40">
        <f>VLOOKUP(A836,'Refi Universe'!E:F,2,0)</f>
        <v>0.43452885000000002</v>
      </c>
    </row>
    <row r="837" spans="1:11" ht="15" x14ac:dyDescent="0.25">
      <c r="A837" s="14">
        <v>41796</v>
      </c>
      <c r="B837" s="15">
        <v>160</v>
      </c>
      <c r="C837" s="15">
        <v>160</v>
      </c>
      <c r="D837" s="5">
        <v>-12</v>
      </c>
      <c r="E837" s="5">
        <v>-37</v>
      </c>
      <c r="F837" s="5">
        <v>4.1811720000000001</v>
      </c>
      <c r="G837" s="12">
        <f>VLOOKUP(A837,'[1]all FNCL'!A$2:B$993,2)</f>
        <v>0.429907169996321</v>
      </c>
      <c r="J837">
        <f>VLOOKUP(A837,'YB OAS'!B:F,5,0)</f>
        <v>111.214302</v>
      </c>
      <c r="K837" s="40">
        <f>VLOOKUP(A837,'Refi Universe'!E:F,2,0)</f>
        <v>0.42843293999999998</v>
      </c>
    </row>
    <row r="838" spans="1:11" ht="15" x14ac:dyDescent="0.25">
      <c r="A838" s="14">
        <v>41799</v>
      </c>
      <c r="B838" s="15">
        <v>167</v>
      </c>
      <c r="C838" s="15">
        <v>167</v>
      </c>
      <c r="D838" s="5">
        <v>2</v>
      </c>
      <c r="E838" s="5">
        <v>-18</v>
      </c>
      <c r="F838" s="5">
        <v>4.1902249999999999</v>
      </c>
      <c r="G838" s="12">
        <f>VLOOKUP(A838,'[1]all FNCL'!A$2:B$993,2)</f>
        <v>0.429907169996321</v>
      </c>
      <c r="J838">
        <f>VLOOKUP(A838,'YB OAS'!B:F,5,0)</f>
        <v>103.688599</v>
      </c>
      <c r="K838" s="40">
        <f>VLOOKUP(A838,'Refi Universe'!E:F,2,0)</f>
        <v>0.42031565999999998</v>
      </c>
    </row>
    <row r="839" spans="1:11" ht="15" x14ac:dyDescent="0.25">
      <c r="A839" s="14">
        <v>41800</v>
      </c>
      <c r="B839" s="15">
        <v>148</v>
      </c>
      <c r="C839" s="15">
        <v>148</v>
      </c>
      <c r="D839" s="5">
        <v>2</v>
      </c>
      <c r="E839" s="5">
        <v>-15</v>
      </c>
      <c r="F839" s="5">
        <v>4.2027380000000001</v>
      </c>
      <c r="G839" s="12">
        <f>VLOOKUP(A839,'[1]all FNCL'!A$2:B$993,2)</f>
        <v>0.429907169996321</v>
      </c>
      <c r="J839">
        <f>VLOOKUP(A839,'YB OAS'!B:F,5,0)</f>
        <v>96.963402000000002</v>
      </c>
      <c r="K839" s="40">
        <f>VLOOKUP(A839,'Refi Universe'!E:F,2,0)</f>
        <v>0.41014107999999999</v>
      </c>
    </row>
    <row r="840" spans="1:11" ht="15" x14ac:dyDescent="0.25">
      <c r="A840" s="14">
        <v>41801</v>
      </c>
      <c r="B840" s="15">
        <v>152</v>
      </c>
      <c r="C840" s="15">
        <v>152</v>
      </c>
      <c r="D840" s="5">
        <v>3</v>
      </c>
      <c r="E840" s="5">
        <v>-12</v>
      </c>
      <c r="F840" s="5">
        <v>4.2168850000000004</v>
      </c>
      <c r="G840" s="12">
        <f>VLOOKUP(A840,'[1]all FNCL'!A$2:B$993,2)</f>
        <v>0.429907169996321</v>
      </c>
      <c r="J840">
        <f>VLOOKUP(A840,'YB OAS'!B:F,5,0)</f>
        <v>101.907799</v>
      </c>
      <c r="K840" s="40">
        <f>VLOOKUP(A840,'Refi Universe'!E:F,2,0)</f>
        <v>0.40406526999999998</v>
      </c>
    </row>
    <row r="841" spans="1:11" ht="15" x14ac:dyDescent="0.25">
      <c r="A841" s="14">
        <v>41802</v>
      </c>
      <c r="B841" s="15">
        <v>149</v>
      </c>
      <c r="C841" s="15">
        <v>149</v>
      </c>
      <c r="D841" s="5">
        <v>7</v>
      </c>
      <c r="E841" s="5">
        <v>-12</v>
      </c>
      <c r="F841" s="5">
        <v>4.2138809999999998</v>
      </c>
      <c r="G841" s="12">
        <f>VLOOKUP(A841,'[1]all FNCL'!A$2:B$993,2)</f>
        <v>0.40128471016646999</v>
      </c>
      <c r="J841">
        <f>VLOOKUP(A841,'YB OAS'!B:F,5,0)</f>
        <v>96.199898000000005</v>
      </c>
      <c r="K841" s="40">
        <f>VLOOKUP(A841,'Refi Universe'!E:F,2,0)</f>
        <v>0.42476902</v>
      </c>
    </row>
    <row r="842" spans="1:11" ht="15" x14ac:dyDescent="0.25">
      <c r="A842" s="14">
        <v>41803</v>
      </c>
      <c r="B842" s="15">
        <v>143</v>
      </c>
      <c r="C842" s="15">
        <v>143</v>
      </c>
      <c r="D842" s="5">
        <v>3</v>
      </c>
      <c r="E842" s="5">
        <v>-13</v>
      </c>
      <c r="F842" s="5">
        <v>4.1805640000000004</v>
      </c>
      <c r="G842" s="12">
        <f>VLOOKUP(A842,'[1]all FNCL'!A$2:B$993,2)</f>
        <v>0.40128471016646999</v>
      </c>
      <c r="J842">
        <f>VLOOKUP(A842,'YB OAS'!B:F,5,0)</f>
        <v>86.405899000000005</v>
      </c>
      <c r="K842" s="40">
        <f>VLOOKUP(A842,'Refi Universe'!E:F,2,0)</f>
        <v>0.41768483000000001</v>
      </c>
    </row>
    <row r="843" spans="1:11" ht="15" x14ac:dyDescent="0.25">
      <c r="A843" s="14">
        <v>41806</v>
      </c>
      <c r="B843" s="15">
        <v>147</v>
      </c>
      <c r="C843" s="15">
        <v>147</v>
      </c>
      <c r="D843" s="5">
        <v>-4</v>
      </c>
      <c r="E843" s="5">
        <v>-21</v>
      </c>
      <c r="F843" s="5">
        <v>4.1924760000000001</v>
      </c>
      <c r="G843" s="12">
        <f>VLOOKUP(A843,'[1]all FNCL'!A$2:B$993,2)</f>
        <v>0.40128471016646999</v>
      </c>
      <c r="J843">
        <f>VLOOKUP(A843,'YB OAS'!B:F,5,0)</f>
        <v>85.383301000000003</v>
      </c>
      <c r="K843" s="40">
        <f>VLOOKUP(A843,'Refi Universe'!E:F,2,0)</f>
        <v>0.42322926999999999</v>
      </c>
    </row>
    <row r="844" spans="1:11" ht="15" x14ac:dyDescent="0.25">
      <c r="A844" s="14">
        <v>41807</v>
      </c>
      <c r="B844" s="15">
        <v>133</v>
      </c>
      <c r="C844" s="15">
        <v>133</v>
      </c>
      <c r="D844" s="5">
        <v>-10</v>
      </c>
      <c r="E844" s="5">
        <v>-21</v>
      </c>
      <c r="F844" s="5">
        <v>4.182817</v>
      </c>
      <c r="G844" s="12">
        <f>VLOOKUP(A844,'[1]all FNCL'!A$2:B$993,2)</f>
        <v>0.40128471016646999</v>
      </c>
      <c r="J844">
        <f>VLOOKUP(A844,'YB OAS'!B:F,5,0)</f>
        <v>70.268096999999997</v>
      </c>
      <c r="K844" s="40">
        <f>VLOOKUP(A844,'Refi Universe'!E:F,2,0)</f>
        <v>0.39932106000000001</v>
      </c>
    </row>
    <row r="845" spans="1:11" ht="15" x14ac:dyDescent="0.25">
      <c r="A845" s="14">
        <v>41808</v>
      </c>
      <c r="B845" s="15">
        <v>127</v>
      </c>
      <c r="C845" s="15">
        <v>127</v>
      </c>
      <c r="D845" s="5">
        <v>-6</v>
      </c>
      <c r="E845" s="5">
        <v>-12</v>
      </c>
      <c r="F845" s="5">
        <v>4.2250750000000004</v>
      </c>
      <c r="G845" s="12">
        <f>VLOOKUP(A845,'[1]all FNCL'!A$2:B$993,2)</f>
        <v>0.40128471016646999</v>
      </c>
      <c r="J845">
        <f>VLOOKUP(A845,'YB OAS'!B:F,5,0)</f>
        <v>73.155296000000007</v>
      </c>
      <c r="K845" s="40">
        <f>VLOOKUP(A845,'Refi Universe'!E:F,2,0)</f>
        <v>0.42635938000000001</v>
      </c>
    </row>
    <row r="846" spans="1:11" ht="15" x14ac:dyDescent="0.25">
      <c r="A846" s="14">
        <v>41809</v>
      </c>
      <c r="B846" s="15">
        <v>127</v>
      </c>
      <c r="C846" s="15">
        <v>127</v>
      </c>
      <c r="D846" s="5">
        <v>-12</v>
      </c>
      <c r="E846" s="5">
        <v>-21</v>
      </c>
      <c r="F846" s="5">
        <v>4.1946849999999998</v>
      </c>
      <c r="G846" s="12">
        <f>VLOOKUP(A846,'[1]all FNCL'!A$2:B$993,2)</f>
        <v>0.41370374077875499</v>
      </c>
      <c r="J846">
        <f>VLOOKUP(A846,'YB OAS'!B:F,5,0)</f>
        <v>72.048798000000005</v>
      </c>
      <c r="K846" s="40">
        <f>VLOOKUP(A846,'Refi Universe'!E:F,2,0)</f>
        <v>0.43522570999999999</v>
      </c>
    </row>
    <row r="847" spans="1:11" ht="15" x14ac:dyDescent="0.25">
      <c r="A847" s="14">
        <v>41810</v>
      </c>
      <c r="B847" s="15">
        <v>114</v>
      </c>
      <c r="C847" s="15">
        <v>114</v>
      </c>
      <c r="D847" s="5">
        <v>-13</v>
      </c>
      <c r="E847" s="5">
        <v>-25</v>
      </c>
      <c r="F847" s="5">
        <v>4.1836359999999999</v>
      </c>
      <c r="G847" s="12">
        <f>VLOOKUP(A847,'[1]all FNCL'!A$2:B$993,2)</f>
        <v>0.41370374077875499</v>
      </c>
      <c r="J847">
        <f>VLOOKUP(A847,'YB OAS'!B:F,5,0)</f>
        <v>63.601799</v>
      </c>
      <c r="K847" s="40">
        <f>VLOOKUP(A847,'Refi Universe'!E:F,2,0)</f>
        <v>0.43655733000000002</v>
      </c>
    </row>
    <row r="848" spans="1:11" ht="15" x14ac:dyDescent="0.25">
      <c r="A848" s="14">
        <v>41813</v>
      </c>
      <c r="B848" s="15">
        <v>114</v>
      </c>
      <c r="C848" s="15">
        <v>114</v>
      </c>
      <c r="D848" s="5">
        <v>-20</v>
      </c>
      <c r="E848" s="5">
        <v>-28</v>
      </c>
      <c r="F848" s="5">
        <v>4.1821529999999996</v>
      </c>
      <c r="G848" s="12">
        <f>VLOOKUP(A848,'[1]all FNCL'!A$2:B$993,2)</f>
        <v>0.41370374077875499</v>
      </c>
      <c r="J848">
        <f>VLOOKUP(A848,'YB OAS'!B:F,5,0)</f>
        <v>59.483100999999998</v>
      </c>
      <c r="K848" s="40">
        <f>VLOOKUP(A848,'Refi Universe'!E:F,2,0)</f>
        <v>0.43452885000000002</v>
      </c>
    </row>
    <row r="849" spans="1:11" ht="15" x14ac:dyDescent="0.25">
      <c r="A849" s="14">
        <v>41814</v>
      </c>
      <c r="B849" s="15">
        <v>112</v>
      </c>
      <c r="C849" s="15">
        <v>112</v>
      </c>
      <c r="D849" s="5">
        <v>-24</v>
      </c>
      <c r="E849" s="5">
        <v>-30</v>
      </c>
      <c r="F849" s="5">
        <v>4.1843680000000001</v>
      </c>
      <c r="G849" s="12">
        <f>VLOOKUP(A849,'[1]all FNCL'!A$2:B$993,2)</f>
        <v>0.41370374077875499</v>
      </c>
      <c r="J849">
        <f>VLOOKUP(A849,'YB OAS'!B:F,5,0)</f>
        <v>68.215598999999997</v>
      </c>
      <c r="K849" s="40">
        <f>VLOOKUP(A849,'Refi Universe'!E:F,2,0)</f>
        <v>0.45198268000000003</v>
      </c>
    </row>
    <row r="850" spans="1:11" ht="15" x14ac:dyDescent="0.25">
      <c r="A850" s="14">
        <v>41815</v>
      </c>
      <c r="B850" s="15">
        <v>122</v>
      </c>
      <c r="C850" s="15">
        <v>122</v>
      </c>
      <c r="D850" s="5">
        <v>-23</v>
      </c>
      <c r="E850" s="5">
        <v>-30</v>
      </c>
      <c r="F850" s="5">
        <v>4.1675529999999998</v>
      </c>
      <c r="G850" s="12">
        <f>VLOOKUP(A850,'[1]all FNCL'!A$2:B$993,2)</f>
        <v>0.41370374077875499</v>
      </c>
      <c r="J850">
        <f>VLOOKUP(A850,'YB OAS'!B:F,5,0)</f>
        <v>75.913803000000001</v>
      </c>
      <c r="K850" s="40">
        <f>VLOOKUP(A850,'Refi Universe'!E:F,2,0)</f>
        <v>0.49225047999999999</v>
      </c>
    </row>
    <row r="851" spans="1:11" ht="15" x14ac:dyDescent="0.25">
      <c r="A851" s="14">
        <v>41816</v>
      </c>
      <c r="B851" s="15">
        <v>127</v>
      </c>
      <c r="C851" s="15">
        <v>127</v>
      </c>
      <c r="D851" s="5">
        <v>-22</v>
      </c>
      <c r="E851" s="5">
        <v>-29</v>
      </c>
      <c r="F851" s="5">
        <v>4.1512549999999999</v>
      </c>
      <c r="G851" s="12">
        <f>VLOOKUP(A851,'[1]all FNCL'!A$2:B$993,2)</f>
        <v>0.429907169996321</v>
      </c>
      <c r="J851">
        <f>VLOOKUP(A851,'YB OAS'!B:F,5,0)</f>
        <v>83.527298000000002</v>
      </c>
      <c r="K851" s="40">
        <f>VLOOKUP(A851,'Refi Universe'!E:F,2,0)</f>
        <v>0.51066940999999999</v>
      </c>
    </row>
    <row r="852" spans="1:11" ht="15" x14ac:dyDescent="0.25">
      <c r="A852" s="14">
        <v>41817</v>
      </c>
      <c r="B852" s="15">
        <v>136</v>
      </c>
      <c r="C852" s="15">
        <v>136</v>
      </c>
      <c r="D852" s="5">
        <v>-23</v>
      </c>
      <c r="E852" s="5">
        <v>-29</v>
      </c>
      <c r="F852" s="5">
        <v>4.1322590000000003</v>
      </c>
      <c r="G852" s="12">
        <f>VLOOKUP(A852,'[1]all FNCL'!A$2:B$993,2)</f>
        <v>0.429907169996321</v>
      </c>
      <c r="J852">
        <f>VLOOKUP(A852,'YB OAS'!B:F,5,0)</f>
        <v>84.237701000000001</v>
      </c>
      <c r="K852" s="40">
        <f>VLOOKUP(A852,'Refi Universe'!E:F,2,0)</f>
        <v>0.50844522999999997</v>
      </c>
    </row>
    <row r="853" spans="1:11" ht="15" x14ac:dyDescent="0.25">
      <c r="A853" s="14">
        <v>41820</v>
      </c>
      <c r="B853" s="15">
        <v>125</v>
      </c>
      <c r="C853" s="15">
        <v>125</v>
      </c>
      <c r="D853" s="5">
        <v>-19</v>
      </c>
      <c r="E853" s="5">
        <v>-26</v>
      </c>
      <c r="F853" s="5">
        <v>4.1337260000000002</v>
      </c>
      <c r="G853" s="12">
        <f>VLOOKUP(A853,'[1]all FNCL'!A$2:B$993,2)</f>
        <v>0.429907169996321</v>
      </c>
      <c r="J853">
        <f>VLOOKUP(A853,'YB OAS'!B:F,5,0)</f>
        <v>81.648803999999998</v>
      </c>
      <c r="K853" s="40">
        <f>VLOOKUP(A853,'Refi Universe'!E:F,2,0)</f>
        <v>0.51776922999999997</v>
      </c>
    </row>
    <row r="854" spans="1:11" ht="15" x14ac:dyDescent="0.25">
      <c r="A854" s="14">
        <v>41821</v>
      </c>
      <c r="B854" s="15">
        <v>120</v>
      </c>
      <c r="C854" s="15">
        <v>120</v>
      </c>
      <c r="D854" s="5">
        <v>-25</v>
      </c>
      <c r="E854" s="5">
        <v>-33</v>
      </c>
      <c r="F854" s="5">
        <v>4.126436</v>
      </c>
      <c r="G854" s="12">
        <f>VLOOKUP(A854,'[1]all FNCL'!A$2:B$993,2)</f>
        <v>0.42761316319375098</v>
      </c>
      <c r="J854">
        <f>VLOOKUP(A854,'YB OAS'!B:F,5,0)</f>
        <v>70.264503000000005</v>
      </c>
      <c r="K854" s="40">
        <f>VLOOKUP(A854,'Refi Universe'!E:F,2,0)</f>
        <v>0.47824238000000002</v>
      </c>
    </row>
    <row r="855" spans="1:11" ht="15" x14ac:dyDescent="0.25">
      <c r="A855" s="14">
        <v>41822</v>
      </c>
      <c r="B855" s="15">
        <v>106</v>
      </c>
      <c r="C855" s="15">
        <v>106</v>
      </c>
      <c r="D855" s="5">
        <v>-29</v>
      </c>
      <c r="E855" s="5">
        <v>-29</v>
      </c>
      <c r="F855" s="5">
        <v>4.1615190000000002</v>
      </c>
      <c r="G855" s="12">
        <f>VLOOKUP(A855,'[1]all FNCL'!A$2:B$993,2)</f>
        <v>0.42761316319375098</v>
      </c>
      <c r="J855">
        <f>VLOOKUP(A855,'YB OAS'!B:F,5,0)</f>
        <v>53.097698000000001</v>
      </c>
      <c r="K855" s="40">
        <f>VLOOKUP(A855,'Refi Universe'!E:F,2,0)</f>
        <v>0.43030836</v>
      </c>
    </row>
    <row r="856" spans="1:11" ht="15" x14ac:dyDescent="0.25">
      <c r="A856" s="14">
        <v>41823</v>
      </c>
      <c r="B856" s="15">
        <v>99</v>
      </c>
      <c r="C856" s="15">
        <v>99</v>
      </c>
      <c r="D856" s="5">
        <v>-28</v>
      </c>
      <c r="E856" s="5">
        <v>-32</v>
      </c>
      <c r="F856" s="5">
        <v>4.1944220000000003</v>
      </c>
      <c r="G856" s="12">
        <f>VLOOKUP(A856,'[1]all FNCL'!A$2:B$993,2)</f>
        <v>0.43906416657041802</v>
      </c>
      <c r="J856">
        <f>VLOOKUP(A856,'YB OAS'!B:F,5,0)</f>
        <v>40.936599999999999</v>
      </c>
      <c r="K856" s="40">
        <f>VLOOKUP(A856,'Refi Universe'!E:F,2,0)</f>
        <v>0.41770215999999999</v>
      </c>
    </row>
    <row r="857" spans="1:11" ht="15" x14ac:dyDescent="0.25">
      <c r="A857" s="14">
        <v>41827</v>
      </c>
      <c r="B857" s="15">
        <v>103</v>
      </c>
      <c r="C857" s="15">
        <v>103</v>
      </c>
      <c r="D857" s="5">
        <v>-33</v>
      </c>
      <c r="E857" s="5">
        <v>-34</v>
      </c>
      <c r="F857" s="5">
        <v>4.211964</v>
      </c>
      <c r="G857" s="12">
        <f>VLOOKUP(A857,'[1]all FNCL'!A$2:B$993,2)</f>
        <v>0.43906416657041802</v>
      </c>
      <c r="J857">
        <f>VLOOKUP(A857,'YB OAS'!B:F,5,0)</f>
        <v>45.825499999999998</v>
      </c>
      <c r="K857" s="40">
        <f>VLOOKUP(A857,'Refi Universe'!E:F,2,0)</f>
        <v>0.42606885999999999</v>
      </c>
    </row>
    <row r="858" spans="1:11" ht="15" x14ac:dyDescent="0.25">
      <c r="A858" s="14">
        <v>41828</v>
      </c>
      <c r="B858" s="15">
        <v>112</v>
      </c>
      <c r="C858" s="15">
        <v>112</v>
      </c>
      <c r="D858" s="5">
        <v>-32</v>
      </c>
      <c r="E858" s="5">
        <v>-34</v>
      </c>
      <c r="F858" s="5">
        <v>4.1997039999999997</v>
      </c>
      <c r="G858" s="12">
        <f>VLOOKUP(A858,'[1]all FNCL'!A$2:B$993,2)</f>
        <v>0.43906416657041802</v>
      </c>
      <c r="J858">
        <f>VLOOKUP(A858,'YB OAS'!B:F,5,0)</f>
        <v>55.205399</v>
      </c>
      <c r="K858" s="40">
        <f>VLOOKUP(A858,'Refi Universe'!E:F,2,0)</f>
        <v>0.44795372</v>
      </c>
    </row>
    <row r="859" spans="1:11" ht="15" x14ac:dyDescent="0.25">
      <c r="A859" s="14">
        <v>41829</v>
      </c>
      <c r="B859" s="15">
        <v>107</v>
      </c>
      <c r="C859" s="15">
        <v>107</v>
      </c>
      <c r="D859" s="5">
        <v>-22</v>
      </c>
      <c r="E859" s="5">
        <v>-25</v>
      </c>
      <c r="F859" s="5">
        <v>4.1790849999999997</v>
      </c>
      <c r="G859" s="12">
        <f>VLOOKUP(A859,'[1]all FNCL'!A$2:B$993,2)</f>
        <v>0.43906416657041802</v>
      </c>
      <c r="J859">
        <f>VLOOKUP(A859,'YB OAS'!B:F,5,0)</f>
        <v>56.018599999999999</v>
      </c>
      <c r="K859" s="40">
        <f>VLOOKUP(A859,'Refi Universe'!E:F,2,0)</f>
        <v>0.44063657000000001</v>
      </c>
    </row>
    <row r="860" spans="1:11" ht="15" x14ac:dyDescent="0.25">
      <c r="A860" s="14">
        <v>41830</v>
      </c>
      <c r="B860" s="15">
        <v>118</v>
      </c>
      <c r="C860" s="15">
        <v>118</v>
      </c>
      <c r="D860" s="5">
        <v>-26</v>
      </c>
      <c r="E860" s="5">
        <v>-27</v>
      </c>
      <c r="F860" s="5">
        <v>4.1675129999999996</v>
      </c>
      <c r="G860" s="12">
        <f>VLOOKUP(A860,'[1]all FNCL'!A$2:B$993,2)</f>
        <v>0.420794457847457</v>
      </c>
      <c r="J860">
        <f>VLOOKUP(A860,'YB OAS'!B:F,5,0)</f>
        <v>63.434299000000003</v>
      </c>
      <c r="K860" s="40">
        <f>VLOOKUP(A860,'Refi Universe'!E:F,2,0)</f>
        <v>0.45347109000000002</v>
      </c>
    </row>
    <row r="861" spans="1:11" ht="15" x14ac:dyDescent="0.25">
      <c r="A861" s="14">
        <v>41831</v>
      </c>
      <c r="B861" s="15">
        <v>113</v>
      </c>
      <c r="C861" s="15">
        <v>113</v>
      </c>
      <c r="D861" s="5">
        <v>-20</v>
      </c>
      <c r="E861" s="5">
        <v>-26</v>
      </c>
      <c r="F861" s="5">
        <v>4.1550370000000001</v>
      </c>
      <c r="G861" s="12">
        <f>VLOOKUP(A861,'[1]all FNCL'!A$2:B$993,2)</f>
        <v>0.420794457847457</v>
      </c>
      <c r="J861">
        <f>VLOOKUP(A861,'YB OAS'!B:F,5,0)</f>
        <v>66.454802999999998</v>
      </c>
      <c r="K861" s="40">
        <f>VLOOKUP(A861,'Refi Universe'!E:F,2,0)</f>
        <v>0.46728881999999999</v>
      </c>
    </row>
    <row r="862" spans="1:11" ht="15" x14ac:dyDescent="0.25">
      <c r="A862" s="14">
        <v>41834</v>
      </c>
      <c r="B862" s="15">
        <v>112</v>
      </c>
      <c r="C862" s="15">
        <v>112</v>
      </c>
      <c r="D862" s="5">
        <v>-26</v>
      </c>
      <c r="E862" s="5">
        <v>-30</v>
      </c>
      <c r="F862" s="5">
        <v>4.1448749999999999</v>
      </c>
      <c r="G862" s="12">
        <f>VLOOKUP(A862,'[1]all FNCL'!A$2:B$993,2)</f>
        <v>0.420794457847457</v>
      </c>
      <c r="J862">
        <f>VLOOKUP(A862,'YB OAS'!B:F,5,0)</f>
        <v>61.287601000000002</v>
      </c>
      <c r="K862" s="40">
        <f>VLOOKUP(A862,'Refi Universe'!E:F,2,0)</f>
        <v>0.43683656999999998</v>
      </c>
    </row>
    <row r="863" spans="1:11" ht="15" x14ac:dyDescent="0.25">
      <c r="A863" s="14">
        <v>41835</v>
      </c>
      <c r="B863" s="15">
        <v>117</v>
      </c>
      <c r="C863" s="15">
        <v>117</v>
      </c>
      <c r="D863" s="5">
        <v>-18</v>
      </c>
      <c r="E863" s="5">
        <v>-23</v>
      </c>
      <c r="F863" s="5">
        <v>4.1710349999999998</v>
      </c>
      <c r="G863" s="12">
        <f>VLOOKUP(A863,'[1]all FNCL'!A$2:B$993,2)</f>
        <v>0.420794457847457</v>
      </c>
      <c r="J863">
        <f>VLOOKUP(A863,'YB OAS'!B:F,5,0)</f>
        <v>56.322299999999998</v>
      </c>
      <c r="K863" s="40">
        <f>VLOOKUP(A863,'Refi Universe'!E:F,2,0)</f>
        <v>0.43107715000000002</v>
      </c>
    </row>
    <row r="864" spans="1:11" ht="15" x14ac:dyDescent="0.25">
      <c r="A864" s="14">
        <v>41836</v>
      </c>
      <c r="B864" s="15">
        <v>115</v>
      </c>
      <c r="C864" s="15">
        <v>115</v>
      </c>
      <c r="D864" s="5">
        <v>-21</v>
      </c>
      <c r="E864" s="5">
        <v>-26</v>
      </c>
      <c r="F864" s="5">
        <v>4.1775229999999999</v>
      </c>
      <c r="G864" s="12">
        <f>VLOOKUP(A864,'[1]all FNCL'!A$2:B$993,2)</f>
        <v>0.420794457847457</v>
      </c>
      <c r="J864">
        <f>VLOOKUP(A864,'YB OAS'!B:F,5,0)</f>
        <v>58.832599999999999</v>
      </c>
      <c r="K864" s="40">
        <f>VLOOKUP(A864,'Refi Universe'!E:F,2,0)</f>
        <v>0.43663878</v>
      </c>
    </row>
    <row r="865" spans="1:11" ht="15" x14ac:dyDescent="0.25">
      <c r="A865" s="14">
        <v>41837</v>
      </c>
      <c r="B865" s="15">
        <v>121</v>
      </c>
      <c r="C865" s="15">
        <v>121</v>
      </c>
      <c r="D865" s="5">
        <v>-19</v>
      </c>
      <c r="E865" s="5">
        <v>-26</v>
      </c>
      <c r="F865" s="5">
        <v>4.180428</v>
      </c>
      <c r="G865" s="12">
        <f>VLOOKUP(A865,'[1]all FNCL'!A$2:B$993,2)</f>
        <v>0.43231309412176999</v>
      </c>
      <c r="J865">
        <f>VLOOKUP(A865,'YB OAS'!B:F,5,0)</f>
        <v>70.839798000000002</v>
      </c>
      <c r="K865" s="40">
        <f>VLOOKUP(A865,'Refi Universe'!E:F,2,0)</f>
        <v>0.47910324999999998</v>
      </c>
    </row>
    <row r="866" spans="1:11" ht="15" x14ac:dyDescent="0.25">
      <c r="A866" s="14">
        <v>41838</v>
      </c>
      <c r="B866" s="15">
        <v>126</v>
      </c>
      <c r="C866" s="15">
        <v>126</v>
      </c>
      <c r="D866" s="5">
        <v>-18</v>
      </c>
      <c r="E866" s="5">
        <v>-30</v>
      </c>
      <c r="F866" s="5">
        <v>4.1429049999999998</v>
      </c>
      <c r="G866" s="12">
        <f>VLOOKUP(A866,'[1]all FNCL'!A$2:B$993,2)</f>
        <v>0.43231309412176999</v>
      </c>
      <c r="J866">
        <f>VLOOKUP(A866,'YB OAS'!B:F,5,0)</f>
        <v>74.985298</v>
      </c>
      <c r="K866" s="40">
        <f>VLOOKUP(A866,'Refi Universe'!E:F,2,0)</f>
        <v>0.47910324999999998</v>
      </c>
    </row>
    <row r="867" spans="1:11" ht="15" x14ac:dyDescent="0.25">
      <c r="A867" s="14">
        <v>41841</v>
      </c>
      <c r="B867" s="15">
        <v>136</v>
      </c>
      <c r="C867" s="15">
        <v>136</v>
      </c>
      <c r="D867" s="5">
        <v>-18</v>
      </c>
      <c r="E867" s="5">
        <v>-36</v>
      </c>
      <c r="F867" s="5">
        <v>4.1429049999999998</v>
      </c>
      <c r="G867" s="12">
        <f>VLOOKUP(A867,'[1]all FNCL'!A$2:B$993,2)</f>
        <v>0.43231309412176999</v>
      </c>
      <c r="J867">
        <f>VLOOKUP(A867,'YB OAS'!B:F,5,0)</f>
        <v>83.408203</v>
      </c>
      <c r="K867" s="40">
        <f>VLOOKUP(A867,'Refi Universe'!E:F,2,0)</f>
        <v>0.48273333000000002</v>
      </c>
    </row>
    <row r="868" spans="1:11" ht="15" x14ac:dyDescent="0.25">
      <c r="A868" s="14">
        <v>41842</v>
      </c>
      <c r="B868" s="15">
        <v>136</v>
      </c>
      <c r="C868" s="15">
        <v>136</v>
      </c>
      <c r="D868" s="5">
        <v>-12</v>
      </c>
      <c r="E868" s="5">
        <v>-35</v>
      </c>
      <c r="F868" s="5">
        <v>4.1400620000000004</v>
      </c>
      <c r="G868" s="12">
        <f>VLOOKUP(A868,'[1]all FNCL'!A$2:B$993,2)</f>
        <v>0.43231309412176999</v>
      </c>
      <c r="J868">
        <f>VLOOKUP(A868,'YB OAS'!B:F,5,0)</f>
        <v>92.479301000000007</v>
      </c>
      <c r="K868" s="40">
        <f>VLOOKUP(A868,'Refi Universe'!E:F,2,0)</f>
        <v>0.48811768</v>
      </c>
    </row>
    <row r="869" spans="1:11" ht="15" x14ac:dyDescent="0.25">
      <c r="A869" s="14">
        <v>41843</v>
      </c>
      <c r="B869" s="15">
        <v>146</v>
      </c>
      <c r="C869" s="15">
        <v>146</v>
      </c>
      <c r="D869" s="5">
        <v>-12</v>
      </c>
      <c r="E869" s="5">
        <v>-33</v>
      </c>
      <c r="F869" s="5">
        <v>4.1350160000000002</v>
      </c>
      <c r="G869" s="12">
        <f>VLOOKUP(A869,'[1]all FNCL'!A$2:B$993,2)</f>
        <v>0.43231309412176999</v>
      </c>
      <c r="J869">
        <f>VLOOKUP(A869,'YB OAS'!B:F,5,0)</f>
        <v>92.267998000000006</v>
      </c>
      <c r="K869" s="40">
        <f>VLOOKUP(A869,'Refi Universe'!E:F,2,0)</f>
        <v>0.44795372</v>
      </c>
    </row>
    <row r="870" spans="1:11" ht="15" x14ac:dyDescent="0.25">
      <c r="A870" s="14">
        <v>41844</v>
      </c>
      <c r="B870" s="15">
        <v>130</v>
      </c>
      <c r="C870" s="15">
        <v>130</v>
      </c>
      <c r="D870" s="5">
        <v>-10</v>
      </c>
      <c r="E870" s="5">
        <v>-32</v>
      </c>
      <c r="F870" s="5">
        <v>4.1428859999999998</v>
      </c>
      <c r="G870" s="12">
        <f>VLOOKUP(A870,'[1]all FNCL'!A$2:B$993,2)</f>
        <v>0.43231309412176999</v>
      </c>
      <c r="J870">
        <f>VLOOKUP(A870,'YB OAS'!B:F,5,0)</f>
        <v>76.558998000000003</v>
      </c>
      <c r="K870" s="40">
        <f>VLOOKUP(A870,'Refi Universe'!E:F,2,0)</f>
        <v>0.41588460999999999</v>
      </c>
    </row>
    <row r="871" spans="1:11" ht="15" x14ac:dyDescent="0.25">
      <c r="A871" s="14">
        <v>41845</v>
      </c>
      <c r="B871" s="15">
        <v>135</v>
      </c>
      <c r="C871" s="15">
        <v>135</v>
      </c>
      <c r="D871" s="5">
        <v>-10</v>
      </c>
      <c r="E871" s="5">
        <v>-30</v>
      </c>
      <c r="F871" s="5">
        <v>4.178706</v>
      </c>
      <c r="G871" s="12">
        <f>VLOOKUP(A871,'[1]all FNCL'!A$2:B$993,2)</f>
        <v>0.43231309412176999</v>
      </c>
      <c r="J871">
        <f>VLOOKUP(A871,'YB OAS'!B:F,5,0)</f>
        <v>82.251403999999994</v>
      </c>
      <c r="K871" s="40">
        <f>VLOOKUP(A871,'Refi Universe'!E:F,2,0)</f>
        <v>0.44317708</v>
      </c>
    </row>
    <row r="872" spans="1:11" ht="15" x14ac:dyDescent="0.25">
      <c r="A872" s="14">
        <v>41848</v>
      </c>
      <c r="B872" s="15">
        <v>139</v>
      </c>
      <c r="C872" s="15">
        <v>139</v>
      </c>
      <c r="D872" s="5">
        <v>-11</v>
      </c>
      <c r="E872" s="5">
        <v>-35</v>
      </c>
      <c r="F872" s="5">
        <v>4.1514280000000001</v>
      </c>
      <c r="G872" s="12">
        <f>VLOOKUP(A872,'[1]all FNCL'!A$2:B$993,2)</f>
        <v>0.43231309412176999</v>
      </c>
      <c r="J872">
        <f>VLOOKUP(A872,'YB OAS'!B:F,5,0)</f>
        <v>84.445098999999999</v>
      </c>
      <c r="K872" s="40">
        <f>VLOOKUP(A872,'Refi Universe'!E:F,2,0)</f>
        <v>0.43261189</v>
      </c>
    </row>
    <row r="873" spans="1:11" ht="15" x14ac:dyDescent="0.25">
      <c r="A873" s="14">
        <v>41849</v>
      </c>
      <c r="B873" s="15">
        <v>149</v>
      </c>
      <c r="C873" s="15">
        <v>149</v>
      </c>
      <c r="D873" s="5">
        <v>-7</v>
      </c>
      <c r="E873" s="5">
        <v>-31</v>
      </c>
      <c r="F873" s="5">
        <v>4.1579660000000001</v>
      </c>
      <c r="G873" s="12">
        <f>VLOOKUP(A873,'[1]all FNCL'!A$2:B$993,2)</f>
        <v>0.43231309412176999</v>
      </c>
      <c r="J873">
        <f>VLOOKUP(A873,'YB OAS'!B:F,5,0)</f>
        <v>92.762298999999999</v>
      </c>
      <c r="K873" s="40">
        <f>VLOOKUP(A873,'Refi Universe'!E:F,2,0)</f>
        <v>0.44959285999999998</v>
      </c>
    </row>
    <row r="874" spans="1:11" ht="15" x14ac:dyDescent="0.25">
      <c r="A874" s="14">
        <v>41850</v>
      </c>
      <c r="B874" s="15">
        <v>123</v>
      </c>
      <c r="C874" s="15">
        <v>123</v>
      </c>
      <c r="D874" s="5">
        <v>-4</v>
      </c>
      <c r="E874" s="5">
        <v>-31</v>
      </c>
      <c r="F874" s="5">
        <v>4.1415940000000004</v>
      </c>
      <c r="G874" s="12">
        <f>VLOOKUP(A874,'[1]all FNCL'!A$2:B$993,2)</f>
        <v>0.43231309412176999</v>
      </c>
      <c r="J874">
        <f>VLOOKUP(A874,'YB OAS'!B:F,5,0)</f>
        <v>67.263603000000003</v>
      </c>
      <c r="K874" s="40">
        <f>VLOOKUP(A874,'Refi Universe'!E:F,2,0)</f>
        <v>0.42414057999999999</v>
      </c>
    </row>
    <row r="875" spans="1:11" ht="15" x14ac:dyDescent="0.25">
      <c r="A875" s="14">
        <v>41851</v>
      </c>
      <c r="B875" s="15">
        <v>-15</v>
      </c>
      <c r="C875" s="15">
        <v>-15</v>
      </c>
      <c r="D875" s="5">
        <v>-16</v>
      </c>
      <c r="E875" s="5">
        <v>-35</v>
      </c>
      <c r="F875" s="5">
        <v>4.2008349999999997</v>
      </c>
      <c r="G875" s="12">
        <f>VLOOKUP(A875,'[1]all FNCL'!A$2:B$993,2)</f>
        <v>0.43906416657041802</v>
      </c>
      <c r="J875">
        <f>VLOOKUP(A875,'YB OAS'!B:F,5,0)</f>
        <v>66.714302000000004</v>
      </c>
      <c r="K875" s="40">
        <f>VLOOKUP(A875,'Refi Universe'!E:F,2,0)</f>
        <v>0.41925241000000002</v>
      </c>
    </row>
    <row r="876" spans="1:11" ht="15" x14ac:dyDescent="0.25">
      <c r="A876" s="14">
        <v>41852</v>
      </c>
      <c r="B876" s="15">
        <v>136</v>
      </c>
      <c r="C876" s="15">
        <v>136</v>
      </c>
      <c r="D876" s="5">
        <v>-14</v>
      </c>
      <c r="E876" s="5">
        <v>-32</v>
      </c>
      <c r="F876" s="5">
        <v>4.210934</v>
      </c>
      <c r="G876" s="12">
        <f>VLOOKUP(A876,'[1]all FNCL'!A$2:B$993,2)</f>
        <v>0.43538889187038299</v>
      </c>
      <c r="J876">
        <f>VLOOKUP(A876,'YB OAS'!B:F,5,0)</f>
        <v>79.619399999999999</v>
      </c>
      <c r="K876" s="40">
        <f>VLOOKUP(A876,'Refi Universe'!E:F,2,0)</f>
        <v>0.44509471</v>
      </c>
    </row>
    <row r="877" spans="1:11" ht="15" x14ac:dyDescent="0.25">
      <c r="A877" s="14">
        <v>41855</v>
      </c>
      <c r="B877" s="15">
        <v>143</v>
      </c>
      <c r="C877" s="15">
        <v>143</v>
      </c>
      <c r="D877" s="5">
        <v>-10</v>
      </c>
      <c r="E877" s="5">
        <v>-32</v>
      </c>
      <c r="F877" s="5">
        <v>4.1723590000000002</v>
      </c>
      <c r="G877" s="12">
        <f>VLOOKUP(A877,'[1]all FNCL'!A$2:B$993,2)</f>
        <v>0.43538889187038299</v>
      </c>
      <c r="J877">
        <f>VLOOKUP(A877,'YB OAS'!B:F,5,0)</f>
        <v>87.449698999999995</v>
      </c>
      <c r="K877" s="40">
        <f>VLOOKUP(A877,'Refi Universe'!E:F,2,0)</f>
        <v>0.45464160999999997</v>
      </c>
    </row>
    <row r="878" spans="1:11" ht="15" x14ac:dyDescent="0.25">
      <c r="A878" s="14">
        <v>41856</v>
      </c>
      <c r="B878" s="15">
        <v>148</v>
      </c>
      <c r="C878" s="15">
        <v>148</v>
      </c>
      <c r="D878" s="5">
        <v>-9</v>
      </c>
      <c r="E878" s="5">
        <v>-29</v>
      </c>
      <c r="F878" s="5">
        <v>4.1674160000000002</v>
      </c>
      <c r="G878" s="12">
        <f>VLOOKUP(A878,'[1]all FNCL'!A$2:B$993,2)</f>
        <v>0.43538889187038299</v>
      </c>
      <c r="J878">
        <f>VLOOKUP(A878,'YB OAS'!B:F,5,0)</f>
        <v>90.461699999999993</v>
      </c>
      <c r="K878" s="40">
        <f>VLOOKUP(A878,'Refi Universe'!E:F,2,0)</f>
        <v>0.45575253999999998</v>
      </c>
    </row>
    <row r="879" spans="1:11" ht="15" x14ac:dyDescent="0.25">
      <c r="A879" s="14">
        <v>41857</v>
      </c>
      <c r="B879" s="15">
        <v>161</v>
      </c>
      <c r="C879" s="15">
        <v>161</v>
      </c>
      <c r="D879" s="5">
        <v>-15</v>
      </c>
      <c r="E879" s="5">
        <v>-30</v>
      </c>
      <c r="F879" s="5">
        <v>4.1660159999999999</v>
      </c>
      <c r="G879" s="12">
        <f>VLOOKUP(A879,'[1]all FNCL'!A$2:B$993,2)</f>
        <v>0.43538889187038299</v>
      </c>
      <c r="J879">
        <f>VLOOKUP(A879,'YB OAS'!B:F,5,0)</f>
        <v>99.266402999999997</v>
      </c>
      <c r="K879" s="40">
        <f>VLOOKUP(A879,'Refi Universe'!E:F,2,0)</f>
        <v>0.43155733000000002</v>
      </c>
    </row>
    <row r="880" spans="1:11" ht="15" x14ac:dyDescent="0.25">
      <c r="A880" s="14">
        <v>41858</v>
      </c>
      <c r="B880" s="15">
        <v>156</v>
      </c>
      <c r="C880" s="15">
        <v>156</v>
      </c>
      <c r="D880" s="5">
        <v>1</v>
      </c>
      <c r="E880" s="5">
        <v>-25</v>
      </c>
      <c r="F880" s="5">
        <v>4.1646229999999997</v>
      </c>
      <c r="G880" s="12">
        <f>VLOOKUP(A880,'[1]all FNCL'!A$2:B$993,2)</f>
        <v>0.42413376349642801</v>
      </c>
      <c r="J880">
        <f>VLOOKUP(A880,'YB OAS'!B:F,5,0)</f>
        <v>99.705803000000003</v>
      </c>
      <c r="K880" s="40">
        <f>VLOOKUP(A880,'Refi Universe'!E:F,2,0)</f>
        <v>0.46029262999999998</v>
      </c>
    </row>
    <row r="881" spans="1:11" ht="15" x14ac:dyDescent="0.25">
      <c r="A881" s="14">
        <v>41859</v>
      </c>
      <c r="B881" s="15">
        <v>161</v>
      </c>
      <c r="C881" s="15">
        <v>161</v>
      </c>
      <c r="D881" s="5">
        <v>0</v>
      </c>
      <c r="E881" s="5">
        <v>-26</v>
      </c>
      <c r="F881" s="5">
        <v>4.1418379999999999</v>
      </c>
      <c r="G881" s="12">
        <f>VLOOKUP(A881,'[1]all FNCL'!A$2:B$993,2)</f>
        <v>0.42413376349642801</v>
      </c>
      <c r="J881">
        <f>VLOOKUP(A881,'YB OAS'!B:F,5,0)</f>
        <v>100.34470399999999</v>
      </c>
      <c r="K881" s="40">
        <f>VLOOKUP(A881,'Refi Universe'!E:F,2,0)</f>
        <v>0.46856598999999999</v>
      </c>
    </row>
    <row r="882" spans="1:11" ht="15" x14ac:dyDescent="0.25">
      <c r="A882" s="14">
        <v>41862</v>
      </c>
      <c r="B882" s="15">
        <v>163</v>
      </c>
      <c r="C882" s="15">
        <v>163</v>
      </c>
      <c r="D882" s="5">
        <v>5</v>
      </c>
      <c r="E882" s="5">
        <v>-28</v>
      </c>
      <c r="F882" s="5">
        <v>4.1340599999999998</v>
      </c>
      <c r="G882" s="12">
        <f>VLOOKUP(A882,'[1]all FNCL'!A$2:B$993,2)</f>
        <v>0.42413376349642801</v>
      </c>
      <c r="J882">
        <f>VLOOKUP(A882,'YB OAS'!B:F,5,0)</f>
        <v>100.058296</v>
      </c>
      <c r="K882" s="40">
        <f>VLOOKUP(A882,'Refi Universe'!E:F,2,0)</f>
        <v>0.45912554999999999</v>
      </c>
    </row>
    <row r="883" spans="1:11" ht="15" x14ac:dyDescent="0.25">
      <c r="A883" s="14">
        <v>41863</v>
      </c>
      <c r="B883" s="15">
        <v>167</v>
      </c>
      <c r="C883" s="15">
        <v>167</v>
      </c>
      <c r="D883" s="5">
        <v>2</v>
      </c>
      <c r="E883" s="5">
        <v>-26</v>
      </c>
      <c r="F883" s="5">
        <v>4.1411309999999997</v>
      </c>
      <c r="G883" s="12">
        <f>VLOOKUP(A883,'[1]all FNCL'!A$2:B$993,2)</f>
        <v>0.42413376349642801</v>
      </c>
      <c r="J883">
        <f>VLOOKUP(A883,'YB OAS'!B:F,5,0)</f>
        <v>104.058403</v>
      </c>
      <c r="K883" s="40">
        <f>VLOOKUP(A883,'Refi Universe'!E:F,2,0)</f>
        <v>0.44966915000000002</v>
      </c>
    </row>
    <row r="884" spans="1:11" ht="15" x14ac:dyDescent="0.25">
      <c r="A884" s="14">
        <v>41864</v>
      </c>
      <c r="B884" s="15">
        <v>169</v>
      </c>
      <c r="C884" s="15">
        <v>169</v>
      </c>
      <c r="D884" s="5">
        <v>7</v>
      </c>
      <c r="E884" s="5">
        <v>-22</v>
      </c>
      <c r="F884" s="5">
        <v>4.1487629999999998</v>
      </c>
      <c r="G884" s="12">
        <f>VLOOKUP(A884,'[1]all FNCL'!A$2:B$993,2)</f>
        <v>0.42413376349642801</v>
      </c>
      <c r="J884">
        <f>VLOOKUP(A884,'YB OAS'!B:F,5,0)</f>
        <v>109.106796</v>
      </c>
      <c r="K884" s="40">
        <f>VLOOKUP(A884,'Refi Universe'!E:F,2,0)</f>
        <v>0.47060174999999999</v>
      </c>
    </row>
    <row r="885" spans="1:11" ht="15" x14ac:dyDescent="0.25">
      <c r="A885" s="14">
        <v>41865</v>
      </c>
      <c r="B885" s="15">
        <v>164</v>
      </c>
      <c r="C885" s="15">
        <v>164</v>
      </c>
      <c r="D885" s="5">
        <v>6</v>
      </c>
      <c r="E885" s="5">
        <v>-25</v>
      </c>
      <c r="F885" s="5">
        <v>4.1278490000000003</v>
      </c>
      <c r="G885" s="12">
        <f>VLOOKUP(A885,'[1]all FNCL'!A$2:B$993,2)</f>
        <v>0.43538889187038299</v>
      </c>
      <c r="J885">
        <f>VLOOKUP(A885,'YB OAS'!B:F,5,0)</f>
        <v>108.1576</v>
      </c>
      <c r="K885" s="40">
        <f>VLOOKUP(A885,'Refi Universe'!E:F,2,0)</f>
        <v>0.48660392000000002</v>
      </c>
    </row>
    <row r="886" spans="1:11" ht="15" x14ac:dyDescent="0.25">
      <c r="A886" s="14">
        <v>41866</v>
      </c>
      <c r="B886" s="15">
        <v>177</v>
      </c>
      <c r="C886" s="15">
        <v>177</v>
      </c>
      <c r="D886" s="5">
        <v>-2</v>
      </c>
      <c r="E886" s="5">
        <v>-32</v>
      </c>
      <c r="F886" s="5">
        <v>4.1134719999999998</v>
      </c>
      <c r="G886" s="12">
        <f>VLOOKUP(A886,'[1]all FNCL'!A$2:B$993,2)</f>
        <v>0.43538889187038299</v>
      </c>
      <c r="J886">
        <f>VLOOKUP(A886,'YB OAS'!B:F,5,0)</f>
        <v>116.62979900000001</v>
      </c>
      <c r="K886" s="40">
        <f>VLOOKUP(A886,'Refi Universe'!E:F,2,0)</f>
        <v>0.52088334000000003</v>
      </c>
    </row>
    <row r="887" spans="1:11" ht="15" x14ac:dyDescent="0.25">
      <c r="A887" s="14">
        <v>41869</v>
      </c>
      <c r="B887" s="15">
        <v>169</v>
      </c>
      <c r="C887" s="15">
        <v>169</v>
      </c>
      <c r="D887" s="5">
        <v>0</v>
      </c>
      <c r="E887" s="5">
        <v>-35</v>
      </c>
      <c r="F887" s="5">
        <v>4.0848360000000001</v>
      </c>
      <c r="G887" s="12">
        <f>VLOOKUP(A887,'[1]all FNCL'!A$2:B$993,2)</f>
        <v>0.43538889187038299</v>
      </c>
      <c r="J887">
        <f>VLOOKUP(A887,'YB OAS'!B:F,5,0)</f>
        <v>110.25299800000001</v>
      </c>
      <c r="K887" s="40">
        <f>VLOOKUP(A887,'Refi Universe'!E:F,2,0)</f>
        <v>0.48660392000000002</v>
      </c>
    </row>
    <row r="888" spans="1:11" ht="15" x14ac:dyDescent="0.25">
      <c r="A888" s="14">
        <v>41870</v>
      </c>
      <c r="B888" s="15">
        <v>168</v>
      </c>
      <c r="C888" s="15">
        <v>168</v>
      </c>
      <c r="D888" s="5">
        <v>3</v>
      </c>
      <c r="E888" s="5">
        <v>-33</v>
      </c>
      <c r="F888" s="5">
        <v>4.1127330000000004</v>
      </c>
      <c r="G888" s="12">
        <f>VLOOKUP(A888,'[1]all FNCL'!A$2:B$993,2)</f>
        <v>0.43538889187038299</v>
      </c>
      <c r="J888">
        <f>VLOOKUP(A888,'YB OAS'!B:F,5,0)</f>
        <v>105.605698</v>
      </c>
      <c r="K888" s="40">
        <f>VLOOKUP(A888,'Refi Universe'!E:F,2,0)</f>
        <v>0.46856598999999999</v>
      </c>
    </row>
    <row r="889" spans="1:11" ht="15" x14ac:dyDescent="0.25">
      <c r="A889" s="14">
        <v>41871</v>
      </c>
      <c r="B889" s="15">
        <v>151</v>
      </c>
      <c r="C889" s="15">
        <v>151</v>
      </c>
      <c r="D889" s="5">
        <v>1</v>
      </c>
      <c r="E889" s="5">
        <v>-30</v>
      </c>
      <c r="F889" s="5">
        <v>4.1283799999999999</v>
      </c>
      <c r="G889" s="12">
        <f>VLOOKUP(A889,'[1]all FNCL'!A$2:B$993,2)</f>
        <v>0.43538889187038299</v>
      </c>
      <c r="J889">
        <f>VLOOKUP(A889,'YB OAS'!B:F,5,0)</f>
        <v>88.675597999999994</v>
      </c>
      <c r="K889" s="40">
        <f>VLOOKUP(A889,'Refi Universe'!E:F,2,0)</f>
        <v>0.46301792000000003</v>
      </c>
    </row>
    <row r="890" spans="1:11" ht="15" x14ac:dyDescent="0.25">
      <c r="A890" s="14">
        <v>41872</v>
      </c>
      <c r="B890" s="15">
        <v>142</v>
      </c>
      <c r="C890" s="15">
        <v>142</v>
      </c>
      <c r="D890" s="5">
        <v>-9</v>
      </c>
      <c r="E890" s="5">
        <v>-35</v>
      </c>
      <c r="F890" s="5">
        <v>4.1422429999999997</v>
      </c>
      <c r="G890" s="12">
        <f>VLOOKUP(A890,'[1]all FNCL'!A$2:B$993,2)</f>
        <v>0.45105980423070802</v>
      </c>
      <c r="J890">
        <f>VLOOKUP(A890,'YB OAS'!B:F,5,0)</f>
        <v>89.909401000000003</v>
      </c>
      <c r="K890" s="40">
        <f>VLOOKUP(A890,'Refi Universe'!E:F,2,0)</f>
        <v>0.48298119</v>
      </c>
    </row>
    <row r="891" spans="1:11" ht="15" x14ac:dyDescent="0.25">
      <c r="A891" s="14">
        <v>41873</v>
      </c>
      <c r="B891" s="15">
        <v>136</v>
      </c>
      <c r="C891" s="15">
        <v>136</v>
      </c>
      <c r="D891" s="5">
        <v>-9</v>
      </c>
      <c r="E891" s="5">
        <v>-36</v>
      </c>
      <c r="F891" s="5">
        <v>4.1236220000000001</v>
      </c>
      <c r="G891" s="12">
        <f>VLOOKUP(A891,'[1]all FNCL'!A$2:B$993,2)</f>
        <v>0.45105980423070802</v>
      </c>
      <c r="J891">
        <f>VLOOKUP(A891,'YB OAS'!B:F,5,0)</f>
        <v>86.631798000000003</v>
      </c>
      <c r="K891" s="40">
        <f>VLOOKUP(A891,'Refi Universe'!E:F,2,0)</f>
        <v>0.48718482000000002</v>
      </c>
    </row>
    <row r="892" spans="1:11" ht="15" x14ac:dyDescent="0.25">
      <c r="A892" s="14">
        <v>41876</v>
      </c>
      <c r="B892" s="15">
        <v>149</v>
      </c>
      <c r="C892" s="15">
        <v>149</v>
      </c>
      <c r="D892" s="5">
        <v>-19</v>
      </c>
      <c r="E892" s="5">
        <v>-45</v>
      </c>
      <c r="F892" s="5">
        <v>4.1209049999999996</v>
      </c>
      <c r="G892" s="12">
        <f>VLOOKUP(A892,'[1]all FNCL'!A$2:B$993,2)</f>
        <v>0.45105980423070802</v>
      </c>
      <c r="J892">
        <f>VLOOKUP(A892,'YB OAS'!B:F,5,0)</f>
        <v>95.046599999999998</v>
      </c>
      <c r="K892" s="40">
        <f>VLOOKUP(A892,'Refi Universe'!E:F,2,0)</f>
        <v>0.49504305999999998</v>
      </c>
    </row>
    <row r="893" spans="1:11" ht="15" x14ac:dyDescent="0.25">
      <c r="A893" s="14">
        <v>41877</v>
      </c>
      <c r="B893" s="15">
        <v>153</v>
      </c>
      <c r="C893" s="15">
        <v>153</v>
      </c>
      <c r="D893" s="5">
        <v>-11</v>
      </c>
      <c r="E893" s="5">
        <v>-40</v>
      </c>
      <c r="F893" s="5">
        <v>4.1115570000000004</v>
      </c>
      <c r="G893" s="12">
        <f>VLOOKUP(A893,'[1]all FNCL'!A$2:B$993,2)</f>
        <v>0.45105980423070802</v>
      </c>
      <c r="J893">
        <f>VLOOKUP(A893,'YB OAS'!B:F,5,0)</f>
        <v>98.602097000000001</v>
      </c>
      <c r="K893" s="40">
        <f>VLOOKUP(A893,'Refi Universe'!E:F,2,0)</f>
        <v>0.50171093</v>
      </c>
    </row>
    <row r="894" spans="1:11" ht="15" x14ac:dyDescent="0.25">
      <c r="A894" s="14">
        <v>41878</v>
      </c>
      <c r="B894" s="15">
        <v>150</v>
      </c>
      <c r="C894" s="15">
        <v>150</v>
      </c>
      <c r="D894" s="5">
        <v>-6</v>
      </c>
      <c r="E894" s="5">
        <v>-35</v>
      </c>
      <c r="F894" s="5">
        <v>4.1063299999999998</v>
      </c>
      <c r="G894" s="12">
        <f>VLOOKUP(A894,'[1]all FNCL'!A$2:B$993,2)</f>
        <v>0.45105980423070802</v>
      </c>
      <c r="J894">
        <f>VLOOKUP(A894,'YB OAS'!B:F,5,0)</f>
        <v>104.55940200000001</v>
      </c>
      <c r="K894" s="40">
        <f>VLOOKUP(A894,'Refi Universe'!E:F,2,0)</f>
        <v>0.51857653999999997</v>
      </c>
    </row>
    <row r="895" spans="1:11" ht="15" x14ac:dyDescent="0.25">
      <c r="A895" s="14">
        <v>41879</v>
      </c>
      <c r="B895" s="15">
        <v>159</v>
      </c>
      <c r="C895" s="15">
        <v>159</v>
      </c>
      <c r="D895" s="5">
        <v>-8</v>
      </c>
      <c r="E895" s="5">
        <v>-42</v>
      </c>
      <c r="F895" s="5">
        <v>4.0868349999999998</v>
      </c>
      <c r="G895" s="12">
        <f>VLOOKUP(A895,'[1]all FNCL'!A$2:B$993,2)</f>
        <v>0.45105980423070802</v>
      </c>
      <c r="J895">
        <f>VLOOKUP(A895,'YB OAS'!B:F,5,0)</f>
        <v>103.3377</v>
      </c>
      <c r="K895" s="40">
        <f>VLOOKUP(A895,'Refi Universe'!E:F,2,0)</f>
        <v>0.53780130000000004</v>
      </c>
    </row>
    <row r="896" spans="1:11" ht="15" x14ac:dyDescent="0.25">
      <c r="A896" s="14">
        <v>41880</v>
      </c>
      <c r="B896" s="15">
        <v>150</v>
      </c>
      <c r="C896" s="15">
        <v>150</v>
      </c>
      <c r="D896" s="5">
        <v>-12</v>
      </c>
      <c r="E896" s="5">
        <v>-41</v>
      </c>
      <c r="F896" s="5">
        <v>4.0768250000000004</v>
      </c>
      <c r="G896" s="12">
        <f>VLOOKUP(A896,'[1]all FNCL'!A$2:B$993,2)</f>
        <v>0.45105980423070802</v>
      </c>
      <c r="J896">
        <f>VLOOKUP(A896,'YB OAS'!B:F,5,0)</f>
        <v>103.197998</v>
      </c>
      <c r="K896" s="40">
        <f>VLOOKUP(A896,'Refi Universe'!E:F,2,0)</f>
        <v>0.53590711999999996</v>
      </c>
    </row>
    <row r="897" spans="1:11" ht="15" x14ac:dyDescent="0.25">
      <c r="A897" s="14">
        <v>41884</v>
      </c>
      <c r="B897" s="15">
        <v>139</v>
      </c>
      <c r="C897" s="15">
        <v>139</v>
      </c>
      <c r="D897" s="5">
        <v>-14</v>
      </c>
      <c r="E897" s="5">
        <v>-40</v>
      </c>
      <c r="F897" s="5">
        <v>4.0762169999999998</v>
      </c>
      <c r="G897" s="12">
        <f>VLOOKUP(A897,'[1]all FNCL'!A$2:B$993,2)</f>
        <v>0.44686834225614502</v>
      </c>
      <c r="J897">
        <f>VLOOKUP(A897,'YB OAS'!B:F,5,0)</f>
        <v>82.661300999999995</v>
      </c>
      <c r="K897" s="40">
        <f>VLOOKUP(A897,'Refi Universe'!E:F,2,0)</f>
        <v>0.48863521999999998</v>
      </c>
    </row>
    <row r="898" spans="1:11" ht="15" x14ac:dyDescent="0.25">
      <c r="A898" s="14">
        <v>41885</v>
      </c>
      <c r="B898" s="15">
        <v>125</v>
      </c>
      <c r="C898" s="15">
        <v>125</v>
      </c>
      <c r="D898" s="5">
        <v>-11</v>
      </c>
      <c r="E898" s="5">
        <v>-37</v>
      </c>
      <c r="F898" s="5">
        <v>4.1075840000000001</v>
      </c>
      <c r="G898" s="12">
        <f>VLOOKUP(A898,'[1]all FNCL'!A$2:B$993,2)</f>
        <v>0.44686834225614502</v>
      </c>
      <c r="J898">
        <f>VLOOKUP(A898,'YB OAS'!B:F,5,0)</f>
        <v>75.352303000000006</v>
      </c>
      <c r="K898" s="40">
        <f>VLOOKUP(A898,'Refi Universe'!E:F,2,0)</f>
        <v>0.47231786999999997</v>
      </c>
    </row>
    <row r="899" spans="1:11" ht="15" x14ac:dyDescent="0.25">
      <c r="A899" s="14">
        <v>41886</v>
      </c>
      <c r="B899" s="15">
        <v>124</v>
      </c>
      <c r="C899" s="15">
        <v>124</v>
      </c>
      <c r="D899" s="5">
        <v>-27</v>
      </c>
      <c r="E899" s="5">
        <v>-47</v>
      </c>
      <c r="F899" s="5">
        <v>4.1023889999999996</v>
      </c>
      <c r="G899" s="12">
        <f>VLOOKUP(A899,'[1]all FNCL'!A$2:B$993,2)</f>
        <v>0.44686834225614502</v>
      </c>
      <c r="J899">
        <f>VLOOKUP(A899,'YB OAS'!B:F,5,0)</f>
        <v>67.133101999999994</v>
      </c>
      <c r="K899" s="40">
        <f>VLOOKUP(A899,'Refi Universe'!E:F,2,0)</f>
        <v>0.44790039999999998</v>
      </c>
    </row>
    <row r="900" spans="1:11" ht="15" x14ac:dyDescent="0.25">
      <c r="A900" s="14">
        <v>41887</v>
      </c>
      <c r="B900" s="15">
        <v>119</v>
      </c>
      <c r="C900" s="15">
        <v>119</v>
      </c>
      <c r="D900" s="5">
        <v>-25</v>
      </c>
      <c r="E900" s="5">
        <v>-47</v>
      </c>
      <c r="F900" s="5">
        <v>4.1215359999999999</v>
      </c>
      <c r="G900" s="12">
        <f>VLOOKUP(A900,'[1]all FNCL'!A$2:B$993,2)</f>
        <v>0.44686834225614502</v>
      </c>
      <c r="J900">
        <f>VLOOKUP(A900,'YB OAS'!B:F,5,0)</f>
        <v>69.892196999999996</v>
      </c>
      <c r="K900" s="40">
        <f>VLOOKUP(A900,'Refi Universe'!E:F,2,0)</f>
        <v>0.43695918</v>
      </c>
    </row>
    <row r="901" spans="1:11" ht="15" x14ac:dyDescent="0.25">
      <c r="A901" s="14">
        <v>41890</v>
      </c>
      <c r="B901" s="15">
        <v>122</v>
      </c>
      <c r="C901" s="15">
        <v>122</v>
      </c>
      <c r="D901" s="5">
        <v>-29</v>
      </c>
      <c r="E901" s="5">
        <v>-51</v>
      </c>
      <c r="F901" s="5">
        <v>4.1310520000000004</v>
      </c>
      <c r="G901" s="12">
        <f>VLOOKUP(A901,'[1]all FNCL'!A$2:B$993,2)</f>
        <v>0.44686834225614502</v>
      </c>
      <c r="J901">
        <f>VLOOKUP(A901,'YB OAS'!B:F,5,0)</f>
        <v>61.777000000000001</v>
      </c>
      <c r="K901" s="40">
        <f>VLOOKUP(A901,'Refi Universe'!E:F,2,0)</f>
        <v>0.43049915999999999</v>
      </c>
    </row>
    <row r="902" spans="1:11" ht="15" x14ac:dyDescent="0.25">
      <c r="A902" s="14">
        <v>41891</v>
      </c>
      <c r="B902" s="15">
        <v>109</v>
      </c>
      <c r="C902" s="15">
        <v>109</v>
      </c>
      <c r="D902" s="5">
        <v>-32</v>
      </c>
      <c r="E902" s="5">
        <v>-55</v>
      </c>
      <c r="F902" s="5">
        <v>4.1386329999999996</v>
      </c>
      <c r="G902" s="12">
        <f>VLOOKUP(A902,'[1]all FNCL'!A$2:B$993,2)</f>
        <v>0.44686834225614502</v>
      </c>
      <c r="J902">
        <f>VLOOKUP(A902,'YB OAS'!B:F,5,0)</f>
        <v>51.615600999999998</v>
      </c>
      <c r="K902" s="40">
        <f>VLOOKUP(A902,'Refi Universe'!E:F,2,0)</f>
        <v>0.4137323</v>
      </c>
    </row>
    <row r="903" spans="1:11" ht="15" x14ac:dyDescent="0.25">
      <c r="A903" s="14">
        <v>41892</v>
      </c>
      <c r="B903" s="15">
        <v>117</v>
      </c>
      <c r="C903" s="15">
        <v>117</v>
      </c>
      <c r="D903" s="5">
        <v>-41</v>
      </c>
      <c r="E903" s="5">
        <v>-57</v>
      </c>
      <c r="F903" s="5">
        <v>4.1566280000000004</v>
      </c>
      <c r="G903" s="12">
        <f>VLOOKUP(A903,'[1]all FNCL'!A$2:B$993,2)</f>
        <v>0.44686834225614502</v>
      </c>
      <c r="J903">
        <f>VLOOKUP(A903,'YB OAS'!B:F,5,0)</f>
        <v>55.197701000000002</v>
      </c>
      <c r="K903" s="40">
        <f>VLOOKUP(A903,'Refi Universe'!E:F,2,0)</f>
        <v>0.43049915999999999</v>
      </c>
    </row>
    <row r="904" spans="1:11" ht="15" x14ac:dyDescent="0.25">
      <c r="A904" s="14">
        <v>41893</v>
      </c>
      <c r="B904" s="15">
        <v>119</v>
      </c>
      <c r="C904" s="15">
        <v>119</v>
      </c>
      <c r="D904" s="5">
        <v>-28</v>
      </c>
      <c r="E904" s="5">
        <v>-56</v>
      </c>
      <c r="F904" s="5">
        <v>4.1804100000000002</v>
      </c>
      <c r="G904" s="12">
        <f>VLOOKUP(A904,'[1]all FNCL'!A$2:B$993,2)</f>
        <v>0.43119648526610799</v>
      </c>
      <c r="J904">
        <f>VLOOKUP(A904,'YB OAS'!B:F,5,0)</f>
        <v>59.698002000000002</v>
      </c>
      <c r="K904" s="40">
        <f>VLOOKUP(A904,'Refi Universe'!E:F,2,0)</f>
        <v>0.43119647999999999</v>
      </c>
    </row>
    <row r="905" spans="1:11" ht="15" x14ac:dyDescent="0.25">
      <c r="A905" s="14">
        <v>41894</v>
      </c>
      <c r="B905" s="15">
        <v>131</v>
      </c>
      <c r="C905" s="15">
        <v>131</v>
      </c>
      <c r="D905" s="5">
        <v>-25</v>
      </c>
      <c r="E905" s="5">
        <v>-48</v>
      </c>
      <c r="F905" s="5">
        <v>4.1796990000000003</v>
      </c>
      <c r="G905" s="12">
        <f>VLOOKUP(A905,'[1]all FNCL'!A$2:B$993,2)</f>
        <v>0.43119648526610799</v>
      </c>
      <c r="J905">
        <f>VLOOKUP(A905,'YB OAS'!B:F,5,0)</f>
        <v>57.912998000000002</v>
      </c>
      <c r="K905" s="40">
        <f>VLOOKUP(A905,'Refi Universe'!E:F,2,0)</f>
        <v>0.39612236000000001</v>
      </c>
    </row>
    <row r="906" spans="1:11" ht="15" x14ac:dyDescent="0.25">
      <c r="A906" s="14">
        <v>41897</v>
      </c>
      <c r="B906" s="15">
        <v>131</v>
      </c>
      <c r="C906" s="15">
        <v>131</v>
      </c>
      <c r="D906" s="5">
        <v>-14</v>
      </c>
      <c r="E906" s="5">
        <v>-34</v>
      </c>
      <c r="F906" s="5">
        <v>4.2257800000000003</v>
      </c>
      <c r="G906" s="12">
        <f>VLOOKUP(A906,'[1]all FNCL'!A$2:B$993,2)</f>
        <v>0.43119648526610799</v>
      </c>
      <c r="J906">
        <f>VLOOKUP(A906,'YB OAS'!B:F,5,0)</f>
        <v>60.424702000000003</v>
      </c>
      <c r="K906" s="40">
        <f>VLOOKUP(A906,'Refi Universe'!E:F,2,0)</f>
        <v>0.40726297</v>
      </c>
    </row>
    <row r="907" spans="1:11" ht="15" x14ac:dyDescent="0.25">
      <c r="A907" s="14">
        <v>41898</v>
      </c>
      <c r="B907" s="15">
        <v>137</v>
      </c>
      <c r="C907" s="15">
        <v>137</v>
      </c>
      <c r="D907" s="5">
        <v>-14</v>
      </c>
      <c r="E907" s="5">
        <v>-35</v>
      </c>
      <c r="F907" s="5">
        <v>4.2103210000000004</v>
      </c>
      <c r="G907" s="12">
        <f>VLOOKUP(A907,'[1]all FNCL'!A$2:B$993,2)</f>
        <v>0.43119648526610799</v>
      </c>
      <c r="J907">
        <f>VLOOKUP(A907,'YB OAS'!B:F,5,0)</f>
        <v>65.184402000000006</v>
      </c>
      <c r="K907" s="40">
        <f>VLOOKUP(A907,'Refi Universe'!E:F,2,0)</f>
        <v>0.40479328999999997</v>
      </c>
    </row>
    <row r="908" spans="1:11" ht="15" x14ac:dyDescent="0.25">
      <c r="A908" s="14">
        <v>41899</v>
      </c>
      <c r="B908" s="15">
        <v>137</v>
      </c>
      <c r="C908" s="15">
        <v>137</v>
      </c>
      <c r="D908" s="5">
        <v>-10</v>
      </c>
      <c r="E908" s="5">
        <v>-33</v>
      </c>
      <c r="F908" s="5">
        <v>4.2117769999999997</v>
      </c>
      <c r="G908" s="12">
        <f>VLOOKUP(A908,'[1]all FNCL'!A$2:B$993,2)</f>
        <v>0.43119648526610799</v>
      </c>
      <c r="J908">
        <f>VLOOKUP(A908,'YB OAS'!B:F,5,0)</f>
        <v>65.024497999999994</v>
      </c>
      <c r="K908" s="40">
        <f>VLOOKUP(A908,'Refi Universe'!E:F,2,0)</f>
        <v>0.39334992000000002</v>
      </c>
    </row>
    <row r="909" spans="1:11" ht="15" x14ac:dyDescent="0.25">
      <c r="A909" s="14">
        <v>41900</v>
      </c>
      <c r="B909" s="15">
        <v>133</v>
      </c>
      <c r="C909" s="15">
        <v>133</v>
      </c>
      <c r="D909" s="5">
        <v>-13</v>
      </c>
      <c r="E909" s="5">
        <v>-35</v>
      </c>
      <c r="F909" s="5">
        <v>4.2176400000000003</v>
      </c>
      <c r="G909" s="12">
        <f>VLOOKUP(A909,'[1]all FNCL'!A$2:B$993,2)</f>
        <v>0.37422484012928398</v>
      </c>
      <c r="J909">
        <f>VLOOKUP(A909,'YB OAS'!B:F,5,0)</f>
        <v>62.039299</v>
      </c>
      <c r="K909" s="40">
        <f>VLOOKUP(A909,'Refi Universe'!E:F,2,0)</f>
        <v>0.38833265</v>
      </c>
    </row>
    <row r="910" spans="1:11" ht="15" x14ac:dyDescent="0.25">
      <c r="A910" s="14">
        <v>41901</v>
      </c>
      <c r="B910" s="15">
        <v>129</v>
      </c>
      <c r="C910" s="15">
        <v>129</v>
      </c>
      <c r="D910" s="5">
        <v>-15</v>
      </c>
      <c r="E910" s="5">
        <v>-37</v>
      </c>
      <c r="F910" s="5">
        <v>4.2220709999999997</v>
      </c>
      <c r="G910" s="12">
        <f>VLOOKUP(A910,'[1]all FNCL'!A$2:B$993,2)</f>
        <v>0.37422484012928398</v>
      </c>
      <c r="J910">
        <f>VLOOKUP(A910,'YB OAS'!B:F,5,0)</f>
        <v>61.303199999999997</v>
      </c>
      <c r="K910" s="40">
        <f>VLOOKUP(A910,'Refi Universe'!E:F,2,0)</f>
        <v>0.40994187999999998</v>
      </c>
    </row>
    <row r="911" spans="1:11" ht="15" x14ac:dyDescent="0.25">
      <c r="A911" s="14">
        <v>41904</v>
      </c>
      <c r="B911" s="15">
        <v>134</v>
      </c>
      <c r="C911" s="15">
        <v>134</v>
      </c>
      <c r="D911" s="5">
        <v>-23</v>
      </c>
      <c r="E911" s="5">
        <v>-43</v>
      </c>
      <c r="F911" s="5">
        <v>4.1939970000000004</v>
      </c>
      <c r="G911" s="12">
        <f>VLOOKUP(A911,'[1]all FNCL'!A$2:B$993,2)</f>
        <v>0.37422484012928398</v>
      </c>
      <c r="J911">
        <f>VLOOKUP(A911,'YB OAS'!B:F,5,0)</f>
        <v>66.966697999999994</v>
      </c>
      <c r="K911" s="40">
        <f>VLOOKUP(A911,'Refi Universe'!E:F,2,0)</f>
        <v>0.41911308000000003</v>
      </c>
    </row>
    <row r="912" spans="1:11" ht="15" x14ac:dyDescent="0.25">
      <c r="A912" s="14">
        <v>41905</v>
      </c>
      <c r="B912" s="15">
        <v>132</v>
      </c>
      <c r="C912" s="15">
        <v>132</v>
      </c>
      <c r="D912" s="5">
        <v>-19</v>
      </c>
      <c r="E912" s="5">
        <v>-38</v>
      </c>
      <c r="F912" s="5">
        <v>4.1813929999999999</v>
      </c>
      <c r="G912" s="12">
        <f>VLOOKUP(A912,'[1]all FNCL'!A$2:B$993,2)</f>
        <v>0.37422484012928398</v>
      </c>
      <c r="J912">
        <f>VLOOKUP(A912,'YB OAS'!B:F,5,0)</f>
        <v>67.309997999999993</v>
      </c>
      <c r="K912" s="40">
        <f>VLOOKUP(A912,'Refi Universe'!E:F,2,0)</f>
        <v>0.43566015000000002</v>
      </c>
    </row>
    <row r="913" spans="1:11" ht="15" x14ac:dyDescent="0.25">
      <c r="A913" s="14">
        <v>41906</v>
      </c>
      <c r="B913" s="15">
        <v>121</v>
      </c>
      <c r="C913" s="15">
        <v>121</v>
      </c>
      <c r="D913" s="5">
        <v>-23</v>
      </c>
      <c r="E913" s="5">
        <v>-42</v>
      </c>
      <c r="F913" s="5">
        <v>4.1642260000000002</v>
      </c>
      <c r="G913" s="12">
        <f>VLOOKUP(A913,'[1]all FNCL'!A$2:B$993,2)</f>
        <v>0.37422484012928398</v>
      </c>
      <c r="J913">
        <f>VLOOKUP(A913,'YB OAS'!B:F,5,0)</f>
        <v>55.375098999999999</v>
      </c>
      <c r="K913" s="40">
        <f>VLOOKUP(A913,'Refi Universe'!E:F,2,0)</f>
        <v>0.41973912000000002</v>
      </c>
    </row>
    <row r="914" spans="1:11" ht="15" x14ac:dyDescent="0.25">
      <c r="A914" s="14">
        <v>41907</v>
      </c>
      <c r="B914" s="15">
        <v>121</v>
      </c>
      <c r="C914" s="15">
        <v>121</v>
      </c>
      <c r="D914" s="5">
        <v>-30</v>
      </c>
      <c r="E914" s="5">
        <v>-46</v>
      </c>
      <c r="F914" s="5">
        <v>4.1806660000000004</v>
      </c>
      <c r="G914" s="12">
        <f>VLOOKUP(A914,'[1]all FNCL'!A$2:B$993,2)</f>
        <v>0.38870901214480402</v>
      </c>
      <c r="J914">
        <f>VLOOKUP(A914,'YB OAS'!B:F,5,0)</f>
        <v>57.530498999999999</v>
      </c>
      <c r="K914" s="40">
        <f>VLOOKUP(A914,'Refi Universe'!E:F,2,0)</f>
        <v>0.45034148000000002</v>
      </c>
    </row>
    <row r="915" spans="1:11" ht="15" x14ac:dyDescent="0.25">
      <c r="A915" s="14">
        <v>41908</v>
      </c>
      <c r="B915" s="15">
        <v>118</v>
      </c>
      <c r="C915" s="15">
        <v>118</v>
      </c>
      <c r="D915" s="5">
        <v>-34</v>
      </c>
      <c r="E915" s="5">
        <v>-52</v>
      </c>
      <c r="F915" s="5">
        <v>4.1518480000000002</v>
      </c>
      <c r="G915" s="12">
        <f>VLOOKUP(A915,'[1]all FNCL'!A$2:B$993,2)</f>
        <v>0.38870901214480402</v>
      </c>
      <c r="J915">
        <f>VLOOKUP(A915,'YB OAS'!B:F,5,0)</f>
        <v>52.395000000000003</v>
      </c>
      <c r="K915" s="40">
        <f>VLOOKUP(A915,'Refi Universe'!E:F,2,0)</f>
        <v>0.43658808999999998</v>
      </c>
    </row>
    <row r="916" spans="1:11" ht="15" x14ac:dyDescent="0.25">
      <c r="A916" s="14">
        <v>41911</v>
      </c>
      <c r="B916" s="15">
        <v>119</v>
      </c>
      <c r="C916" s="15">
        <v>119</v>
      </c>
      <c r="D916" s="5">
        <v>-32</v>
      </c>
      <c r="E916" s="5">
        <v>-50</v>
      </c>
      <c r="F916" s="5">
        <v>4.1622019999999997</v>
      </c>
      <c r="G916" s="12">
        <f>VLOOKUP(A916,'[1]all FNCL'!A$2:B$993,2)</f>
        <v>0.38870901214480402</v>
      </c>
      <c r="J916">
        <f>VLOOKUP(A916,'YB OAS'!B:F,5,0)</f>
        <v>54.091301000000001</v>
      </c>
      <c r="K916" s="40">
        <f>VLOOKUP(A916,'Refi Universe'!E:F,2,0)</f>
        <v>0.45435885999999998</v>
      </c>
    </row>
    <row r="917" spans="1:11" ht="15" x14ac:dyDescent="0.25">
      <c r="A917" s="14">
        <v>41912</v>
      </c>
      <c r="B917" s="15">
        <v>128</v>
      </c>
      <c r="C917" s="15">
        <v>128</v>
      </c>
      <c r="D917" s="5">
        <v>-38</v>
      </c>
      <c r="E917" s="5">
        <v>-53</v>
      </c>
      <c r="F917" s="5">
        <v>4.1485240000000001</v>
      </c>
      <c r="G917" s="12">
        <f>VLOOKUP(A917,'[1]all FNCL'!A$2:B$993,2)</f>
        <v>0.38870901214480402</v>
      </c>
      <c r="J917">
        <f>VLOOKUP(A917,'YB OAS'!B:F,5,0)</f>
        <v>57.844501000000001</v>
      </c>
      <c r="K917" s="40">
        <f>VLOOKUP(A917,'Refi Universe'!E:F,2,0)</f>
        <v>0.44080891</v>
      </c>
    </row>
    <row r="918" spans="1:11" ht="15" x14ac:dyDescent="0.25">
      <c r="A918" s="14">
        <v>41913</v>
      </c>
      <c r="B918" s="15">
        <v>127</v>
      </c>
      <c r="C918" s="15">
        <v>127</v>
      </c>
      <c r="D918" s="5">
        <v>-31</v>
      </c>
      <c r="E918" s="5">
        <v>-52</v>
      </c>
      <c r="F918" s="5">
        <v>4.1580490000000001</v>
      </c>
      <c r="G918" s="12">
        <f>VLOOKUP(A918,'[1]all FNCL'!A$2:B$993,2)</f>
        <v>0.38430847776478</v>
      </c>
      <c r="J918">
        <f>VLOOKUP(A918,'YB OAS'!B:F,5,0)</f>
        <v>60.775199999999998</v>
      </c>
      <c r="K918" s="40">
        <f>VLOOKUP(A918,'Refi Universe'!E:F,2,0)</f>
        <v>0.48681100999999999</v>
      </c>
    </row>
    <row r="919" spans="1:11" ht="15" x14ac:dyDescent="0.25">
      <c r="A919" s="14">
        <v>41914</v>
      </c>
      <c r="B919" s="15">
        <v>124</v>
      </c>
      <c r="C919" s="15">
        <v>124</v>
      </c>
      <c r="D919" s="5">
        <v>-37</v>
      </c>
      <c r="E919" s="5">
        <v>-63</v>
      </c>
      <c r="F919" s="5">
        <v>4.0991809999999997</v>
      </c>
      <c r="G919" s="12">
        <f>VLOOKUP(A919,'[1]all FNCL'!A$2:B$993,2)</f>
        <v>0.38901935972403701</v>
      </c>
      <c r="J919">
        <f>VLOOKUP(A919,'YB OAS'!B:F,5,0)</f>
        <v>57.563499</v>
      </c>
      <c r="K919" s="40">
        <f>VLOOKUP(A919,'Refi Universe'!E:F,2,0)</f>
        <v>0.47555366999999998</v>
      </c>
    </row>
    <row r="920" spans="1:11" ht="15" x14ac:dyDescent="0.25">
      <c r="A920" s="14">
        <v>41915</v>
      </c>
      <c r="B920" s="15">
        <v>109</v>
      </c>
      <c r="C920" s="15">
        <v>109</v>
      </c>
      <c r="D920" s="5">
        <v>-36</v>
      </c>
      <c r="E920" s="5">
        <v>-63</v>
      </c>
      <c r="F920" s="5">
        <v>4.1113160000000004</v>
      </c>
      <c r="G920" s="12">
        <f>VLOOKUP(A920,'[1]all FNCL'!A$2:B$993,2)</f>
        <v>0.38901935972403701</v>
      </c>
      <c r="J920">
        <f>VLOOKUP(A920,'YB OAS'!B:F,5,0)</f>
        <v>44.713402000000002</v>
      </c>
      <c r="K920" s="40">
        <f>VLOOKUP(A920,'Refi Universe'!E:F,2,0)</f>
        <v>0.47165448999999998</v>
      </c>
    </row>
    <row r="921" spans="1:11" ht="15" x14ac:dyDescent="0.25">
      <c r="A921" s="14">
        <v>41918</v>
      </c>
      <c r="B921" s="15">
        <v>128</v>
      </c>
      <c r="C921" s="15">
        <v>128</v>
      </c>
      <c r="D921" s="5">
        <v>-45</v>
      </c>
      <c r="E921" s="5">
        <v>-71</v>
      </c>
      <c r="F921" s="5">
        <v>4.1163220000000003</v>
      </c>
      <c r="G921" s="12">
        <f>VLOOKUP(A921,'[1]all FNCL'!A$2:B$993,2)</f>
        <v>0.38901935972403701</v>
      </c>
      <c r="J921">
        <f>VLOOKUP(A921,'YB OAS'!B:F,5,0)</f>
        <v>55.427399000000001</v>
      </c>
      <c r="K921" s="40">
        <f>VLOOKUP(A921,'Refi Universe'!E:F,2,0)</f>
        <v>0.48395365000000001</v>
      </c>
    </row>
    <row r="922" spans="1:11" ht="15" x14ac:dyDescent="0.25">
      <c r="A922" s="14">
        <v>41919</v>
      </c>
      <c r="B922" s="15">
        <v>132</v>
      </c>
      <c r="C922" s="15">
        <v>132</v>
      </c>
      <c r="D922" s="5">
        <v>-45</v>
      </c>
      <c r="E922" s="5">
        <v>-72</v>
      </c>
      <c r="F922" s="5">
        <v>4.1040150000000004</v>
      </c>
      <c r="G922" s="12">
        <f>VLOOKUP(A922,'[1]all FNCL'!A$2:B$993,2)</f>
        <v>0.38901935972403701</v>
      </c>
      <c r="J922">
        <f>VLOOKUP(A922,'YB OAS'!B:F,5,0)</f>
        <v>66.460601999999994</v>
      </c>
      <c r="K922" s="40">
        <f>VLOOKUP(A922,'Refi Universe'!E:F,2,0)</f>
        <v>0.53872109999999995</v>
      </c>
    </row>
    <row r="923" spans="1:11" ht="15" x14ac:dyDescent="0.25">
      <c r="A923" s="14">
        <v>41920</v>
      </c>
      <c r="B923" s="15">
        <v>144</v>
      </c>
      <c r="C923" s="15">
        <v>144</v>
      </c>
      <c r="D923" s="5">
        <v>-46</v>
      </c>
      <c r="E923" s="5">
        <v>-82</v>
      </c>
      <c r="F923" s="5">
        <v>4.0672160000000002</v>
      </c>
      <c r="G923" s="12">
        <f>VLOOKUP(A923,'[1]all FNCL'!A$2:B$993,2)</f>
        <v>0.38901935972403701</v>
      </c>
      <c r="J923">
        <f>VLOOKUP(A923,'YB OAS'!B:F,5,0)</f>
        <v>86.840401</v>
      </c>
      <c r="K923" s="40">
        <f>VLOOKUP(A923,'Refi Universe'!E:F,2,0)</f>
        <v>0.53950783999999996</v>
      </c>
    </row>
    <row r="924" spans="1:11" ht="15" x14ac:dyDescent="0.25">
      <c r="A924" s="14">
        <v>41921</v>
      </c>
      <c r="B924" s="15">
        <v>144</v>
      </c>
      <c r="C924" s="15">
        <v>144</v>
      </c>
      <c r="D924" s="5">
        <v>-44</v>
      </c>
      <c r="E924" s="5">
        <v>-74</v>
      </c>
      <c r="F924" s="5">
        <v>4.036251</v>
      </c>
      <c r="G924" s="12">
        <f>VLOOKUP(A924,'[1]all FNCL'!A$2:B$993,2)</f>
        <v>0.42675826592863297</v>
      </c>
      <c r="J924">
        <f>VLOOKUP(A924,'YB OAS'!B:F,5,0)</f>
        <v>83.510802999999996</v>
      </c>
      <c r="K924" s="40">
        <f>VLOOKUP(A924,'Refi Universe'!E:F,2,0)</f>
        <v>0.53786215000000004</v>
      </c>
    </row>
    <row r="925" spans="1:11" ht="15" x14ac:dyDescent="0.25">
      <c r="A925" s="14">
        <v>41922</v>
      </c>
      <c r="B925" s="15">
        <v>145</v>
      </c>
      <c r="C925" s="15">
        <v>145</v>
      </c>
      <c r="D925" s="5">
        <v>-44</v>
      </c>
      <c r="E925" s="5">
        <v>-76</v>
      </c>
      <c r="F925" s="5">
        <v>4.0349069999999996</v>
      </c>
      <c r="G925" s="12">
        <f>VLOOKUP(A925,'[1]all FNCL'!A$2:B$993,2)</f>
        <v>0.42675826592863297</v>
      </c>
      <c r="J925">
        <f>VLOOKUP(A925,'YB OAS'!B:F,5,0)</f>
        <v>91.129897999999997</v>
      </c>
      <c r="K925" s="40">
        <f>VLOOKUP(A925,'Refi Universe'!E:F,2,0)</f>
        <v>0.54040732000000002</v>
      </c>
    </row>
    <row r="926" spans="1:11" ht="15" x14ac:dyDescent="0.25">
      <c r="A926" s="14">
        <v>41926</v>
      </c>
      <c r="B926" s="15">
        <v>175</v>
      </c>
      <c r="C926" s="15">
        <v>175</v>
      </c>
      <c r="D926" s="5">
        <v>-43</v>
      </c>
      <c r="E926" s="5">
        <v>-79</v>
      </c>
      <c r="F926" s="5">
        <v>4.0328530000000002</v>
      </c>
      <c r="G926" s="12">
        <f>VLOOKUP(A926,'[1]all FNCL'!A$2:B$993,2)</f>
        <v>0.42675826592863297</v>
      </c>
      <c r="J926">
        <f>VLOOKUP(A926,'YB OAS'!B:F,5,0)</f>
        <v>117.275902</v>
      </c>
      <c r="K926" s="40">
        <f>VLOOKUP(A926,'Refi Universe'!E:F,2,0)</f>
        <v>0.58185359999999997</v>
      </c>
    </row>
    <row r="927" spans="1:11" ht="15" x14ac:dyDescent="0.25">
      <c r="A927" s="14">
        <v>41927</v>
      </c>
      <c r="B927" s="15">
        <v>181</v>
      </c>
      <c r="C927" s="15">
        <v>181</v>
      </c>
      <c r="D927" s="5">
        <v>-30</v>
      </c>
      <c r="E927" s="5">
        <v>-82</v>
      </c>
      <c r="F927" s="5">
        <v>3.9661330000000001</v>
      </c>
      <c r="G927" s="12">
        <f>VLOOKUP(A927,'[1]all FNCL'!A$2:B$993,2)</f>
        <v>0.42675826592863297</v>
      </c>
      <c r="J927">
        <f>VLOOKUP(A927,'YB OAS'!B:F,5,0)</f>
        <v>132.67210399999999</v>
      </c>
      <c r="K927" s="40">
        <f>VLOOKUP(A927,'Refi Universe'!E:F,2,0)</f>
        <v>0.61046866</v>
      </c>
    </row>
    <row r="928" spans="1:11" ht="15" x14ac:dyDescent="0.25">
      <c r="A928" s="14">
        <v>41928</v>
      </c>
      <c r="B928" s="15">
        <v>186</v>
      </c>
      <c r="C928" s="15">
        <v>186</v>
      </c>
      <c r="D928" s="5">
        <v>-20</v>
      </c>
      <c r="E928" s="5">
        <v>-93</v>
      </c>
      <c r="F928" s="5">
        <v>3.8927969999999998</v>
      </c>
      <c r="G928" s="12">
        <f>VLOOKUP(A928,'[1]all FNCL'!A$2:B$993,2)</f>
        <v>0.54988615852829004</v>
      </c>
      <c r="J928">
        <f>VLOOKUP(A928,'YB OAS'!B:F,5,0)</f>
        <v>136.15679900000001</v>
      </c>
      <c r="K928" s="40">
        <f>VLOOKUP(A928,'Refi Universe'!E:F,2,0)</f>
        <v>0.58581174999999996</v>
      </c>
    </row>
    <row r="929" spans="1:11" ht="15" x14ac:dyDescent="0.25">
      <c r="A929" s="14">
        <v>41929</v>
      </c>
      <c r="B929" s="15">
        <v>185</v>
      </c>
      <c r="C929" s="15">
        <v>185</v>
      </c>
      <c r="D929" s="5">
        <v>-4</v>
      </c>
      <c r="E929" s="5">
        <v>-72</v>
      </c>
      <c r="F929" s="5">
        <v>3.948213</v>
      </c>
      <c r="G929" s="12">
        <f>VLOOKUP(A929,'[1]all FNCL'!A$2:B$993,2)</f>
        <v>0.54988615852829004</v>
      </c>
      <c r="J929">
        <f>VLOOKUP(A929,'YB OAS'!B:F,5,0)</f>
        <v>136.03630100000001</v>
      </c>
      <c r="K929" s="40">
        <f>VLOOKUP(A929,'Refi Universe'!E:F,2,0)</f>
        <v>0.5809723</v>
      </c>
    </row>
    <row r="930" spans="1:11" ht="15" x14ac:dyDescent="0.25">
      <c r="A930" s="14">
        <v>41932</v>
      </c>
      <c r="B930" s="15">
        <v>191</v>
      </c>
      <c r="C930" s="15">
        <v>191</v>
      </c>
      <c r="D930" s="5">
        <v>-5</v>
      </c>
      <c r="E930" s="5">
        <v>-53</v>
      </c>
      <c r="F930" s="5">
        <v>3.958996</v>
      </c>
      <c r="G930" s="12">
        <f>VLOOKUP(A930,'[1]all FNCL'!A$2:B$993,2)</f>
        <v>0.54988615852829004</v>
      </c>
      <c r="J930">
        <f>VLOOKUP(A930,'YB OAS'!B:F,5,0)</f>
        <v>146.83329800000001</v>
      </c>
      <c r="K930" s="40">
        <f>VLOOKUP(A930,'Refi Universe'!E:F,2,0)</f>
        <v>0.58745733</v>
      </c>
    </row>
    <row r="931" spans="1:11" ht="15" x14ac:dyDescent="0.25">
      <c r="A931" s="14">
        <v>41933</v>
      </c>
      <c r="B931" s="15">
        <v>195</v>
      </c>
      <c r="C931" s="15">
        <v>195</v>
      </c>
      <c r="D931" s="5">
        <v>-1</v>
      </c>
      <c r="E931" s="5">
        <v>-52</v>
      </c>
      <c r="F931" s="5">
        <v>3.9436969999999998</v>
      </c>
      <c r="G931" s="12">
        <f>VLOOKUP(A931,'[1]all FNCL'!A$2:B$993,2)</f>
        <v>0.54988615852829004</v>
      </c>
      <c r="J931">
        <f>VLOOKUP(A931,'YB OAS'!B:F,5,0)</f>
        <v>151.90010100000001</v>
      </c>
      <c r="K931" s="40">
        <f>VLOOKUP(A931,'Refi Universe'!E:F,2,0)</f>
        <v>0.58248991000000006</v>
      </c>
    </row>
    <row r="932" spans="1:11" ht="15" x14ac:dyDescent="0.25">
      <c r="A932" s="14">
        <v>41934</v>
      </c>
      <c r="B932" s="15">
        <v>205</v>
      </c>
      <c r="C932" s="15">
        <v>205</v>
      </c>
      <c r="D932" s="5">
        <v>3</v>
      </c>
      <c r="E932" s="5">
        <v>-54</v>
      </c>
      <c r="F932" s="5">
        <v>3.9569260000000002</v>
      </c>
      <c r="G932" s="12">
        <f>VLOOKUP(A932,'[1]all FNCL'!A$2:B$993,2)</f>
        <v>0.54988615852829004</v>
      </c>
      <c r="J932">
        <f>VLOOKUP(A932,'YB OAS'!B:F,5,0)</f>
        <v>150.26139800000001</v>
      </c>
      <c r="K932" s="40">
        <f>VLOOKUP(A932,'Refi Universe'!E:F,2,0)</f>
        <v>0.58371083000000001</v>
      </c>
    </row>
    <row r="933" spans="1:11" ht="15" x14ac:dyDescent="0.25">
      <c r="A933" s="14">
        <v>41935</v>
      </c>
      <c r="B933" s="15">
        <v>178</v>
      </c>
      <c r="C933" s="15">
        <v>178</v>
      </c>
      <c r="D933" s="5">
        <v>9</v>
      </c>
      <c r="E933" s="5">
        <v>-53</v>
      </c>
      <c r="F933" s="5">
        <v>3.9656419999999999</v>
      </c>
      <c r="G933" s="12">
        <f>VLOOKUP(A933,'[1]all FNCL'!A$2:B$993,2)</f>
        <v>0.57517284737260699</v>
      </c>
      <c r="J933">
        <f>VLOOKUP(A933,'YB OAS'!B:F,5,0)</f>
        <v>126.772903</v>
      </c>
      <c r="K933" s="40">
        <f>VLOOKUP(A933,'Refi Universe'!E:F,2,0)</f>
        <v>0.57350184999999998</v>
      </c>
    </row>
    <row r="934" spans="1:11" ht="15" x14ac:dyDescent="0.25">
      <c r="A934" s="14">
        <v>41936</v>
      </c>
      <c r="B934" s="15">
        <v>169</v>
      </c>
      <c r="C934" s="15">
        <v>169</v>
      </c>
      <c r="D934" s="5">
        <v>-11</v>
      </c>
      <c r="E934" s="5">
        <v>-60</v>
      </c>
      <c r="F934" s="5">
        <v>3.993633</v>
      </c>
      <c r="G934" s="12">
        <f>VLOOKUP(A934,'[1]all FNCL'!A$2:B$993,2)</f>
        <v>0.57517284737260699</v>
      </c>
      <c r="J934">
        <f>VLOOKUP(A934,'YB OAS'!B:F,5,0)</f>
        <v>113.99430099999999</v>
      </c>
      <c r="K934" s="40">
        <f>VLOOKUP(A934,'Refi Universe'!E:F,2,0)</f>
        <v>0.56916891000000003</v>
      </c>
    </row>
    <row r="935" spans="1:11" ht="15" x14ac:dyDescent="0.25">
      <c r="A935" s="14">
        <v>41939</v>
      </c>
      <c r="B935" s="15">
        <v>165</v>
      </c>
      <c r="C935" s="15">
        <v>165</v>
      </c>
      <c r="D935" s="5">
        <v>-15</v>
      </c>
      <c r="E935" s="5">
        <v>-63</v>
      </c>
      <c r="F935" s="5">
        <v>4.006202</v>
      </c>
      <c r="G935" s="12">
        <f>VLOOKUP(A935,'[1]all FNCL'!A$2:B$993,2)</f>
        <v>0.57517284737260699</v>
      </c>
      <c r="J935">
        <f>VLOOKUP(A935,'YB OAS'!B:F,5,0)</f>
        <v>112.231697</v>
      </c>
      <c r="K935" s="40">
        <f>VLOOKUP(A935,'Refi Universe'!E:F,2,0)</f>
        <v>0.57517284000000002</v>
      </c>
    </row>
    <row r="936" spans="1:11" ht="15" x14ac:dyDescent="0.25">
      <c r="A936" s="14">
        <v>41940</v>
      </c>
      <c r="B936" s="15">
        <v>161</v>
      </c>
      <c r="C936" s="15">
        <v>161</v>
      </c>
      <c r="D936" s="5">
        <v>-22</v>
      </c>
      <c r="E936" s="5">
        <v>-66</v>
      </c>
      <c r="F936" s="5">
        <v>3.9929389999999998</v>
      </c>
      <c r="G936" s="12">
        <f>VLOOKUP(A936,'[1]all FNCL'!A$2:B$993,2)</f>
        <v>0.57517284737260699</v>
      </c>
      <c r="J936">
        <f>VLOOKUP(A936,'YB OAS'!B:F,5,0)</f>
        <v>104.47489899999999</v>
      </c>
      <c r="K936" s="40">
        <f>VLOOKUP(A936,'Refi Universe'!E:F,2,0)</f>
        <v>0.56621257999999997</v>
      </c>
    </row>
    <row r="937" spans="1:11" ht="15" x14ac:dyDescent="0.25">
      <c r="A937" s="14">
        <v>41941</v>
      </c>
      <c r="B937" s="15">
        <v>132</v>
      </c>
      <c r="C937" s="15">
        <v>132</v>
      </c>
      <c r="D937" s="5">
        <v>-20</v>
      </c>
      <c r="E937" s="5">
        <v>-63</v>
      </c>
      <c r="F937" s="5">
        <v>4.0083679999999999</v>
      </c>
      <c r="G937" s="12">
        <f>VLOOKUP(A937,'[1]all FNCL'!A$2:B$993,2)</f>
        <v>0.57517284737260699</v>
      </c>
      <c r="J937">
        <f>VLOOKUP(A937,'YB OAS'!B:F,5,0)</f>
        <v>87.403503000000001</v>
      </c>
      <c r="K937" s="40">
        <f>VLOOKUP(A937,'Refi Universe'!E:F,2,0)</f>
        <v>0.55231045999999995</v>
      </c>
    </row>
    <row r="938" spans="1:11" ht="15" x14ac:dyDescent="0.25">
      <c r="A938" s="14">
        <v>41942</v>
      </c>
      <c r="B938" s="15">
        <v>139</v>
      </c>
      <c r="C938" s="15">
        <v>139</v>
      </c>
      <c r="D938" s="5">
        <v>-33</v>
      </c>
      <c r="E938" s="5">
        <v>-68</v>
      </c>
      <c r="F938" s="5">
        <v>4.0331409999999996</v>
      </c>
      <c r="G938" s="12">
        <f>VLOOKUP(A938,'[1]all FNCL'!A$2:B$993,2)</f>
        <v>0.54355644019764404</v>
      </c>
      <c r="J938">
        <f>VLOOKUP(A938,'YB OAS'!B:F,5,0)</f>
        <v>95.142700000000005</v>
      </c>
      <c r="K938" s="40">
        <f>VLOOKUP(A938,'Refi Universe'!E:F,2,0)</f>
        <v>0.56428913000000003</v>
      </c>
    </row>
    <row r="939" spans="1:11" ht="15" x14ac:dyDescent="0.25">
      <c r="A939" s="14">
        <v>41943</v>
      </c>
      <c r="B939" s="15">
        <v>135</v>
      </c>
      <c r="C939" s="15">
        <v>135</v>
      </c>
      <c r="D939" s="5">
        <v>-38</v>
      </c>
      <c r="E939" s="5">
        <v>-68</v>
      </c>
      <c r="F939" s="5">
        <v>4.0196240000000003</v>
      </c>
      <c r="G939" s="12">
        <f>VLOOKUP(A939,'[1]all FNCL'!A$2:B$993,2)</f>
        <v>0.54355644019764404</v>
      </c>
      <c r="J939">
        <f>VLOOKUP(A939,'YB OAS'!B:F,5,0)</f>
        <v>82.929603999999998</v>
      </c>
      <c r="K939" s="40">
        <f>VLOOKUP(A939,'Refi Universe'!E:F,2,0)</f>
        <v>0.55191319999999999</v>
      </c>
    </row>
    <row r="940" spans="1:11" ht="15" x14ac:dyDescent="0.25">
      <c r="A940" s="14">
        <v>41946</v>
      </c>
      <c r="B940" s="15">
        <v>136</v>
      </c>
      <c r="C940" s="15">
        <v>136</v>
      </c>
      <c r="D940" s="5">
        <v>-34</v>
      </c>
      <c r="E940" s="5">
        <v>-65</v>
      </c>
      <c r="F940" s="5">
        <v>4.034999</v>
      </c>
      <c r="G940" s="12">
        <f>VLOOKUP(A940,'[1]all FNCL'!A$2:B$993,2)</f>
        <v>0.54089108147199405</v>
      </c>
      <c r="J940">
        <f>VLOOKUP(A940,'YB OAS'!B:F,5,0)</f>
        <v>74.101898000000006</v>
      </c>
      <c r="K940" s="40">
        <f>VLOOKUP(A940,'Refi Universe'!E:F,2,0)</f>
        <v>0.51669485000000004</v>
      </c>
    </row>
    <row r="941" spans="1:11" ht="15" x14ac:dyDescent="0.25">
      <c r="A941" s="14">
        <v>41947</v>
      </c>
      <c r="B941" s="15">
        <v>131</v>
      </c>
      <c r="C941" s="15">
        <v>131</v>
      </c>
      <c r="D941" s="5">
        <v>-35</v>
      </c>
      <c r="E941" s="5">
        <v>-63</v>
      </c>
      <c r="F941" s="5">
        <v>4.0554730000000001</v>
      </c>
      <c r="G941" s="12">
        <f>VLOOKUP(A941,'[1]all FNCL'!A$2:B$993,2)</f>
        <v>0.54089108147199405</v>
      </c>
      <c r="J941">
        <f>VLOOKUP(A941,'YB OAS'!B:F,5,0)</f>
        <v>69.754897999999997</v>
      </c>
      <c r="K941" s="40">
        <f>VLOOKUP(A941,'Refi Universe'!E:F,2,0)</f>
        <v>0.52073263000000003</v>
      </c>
    </row>
    <row r="942" spans="1:11" ht="15" x14ac:dyDescent="0.25">
      <c r="A942" s="14">
        <v>41948</v>
      </c>
      <c r="B942" s="15">
        <v>130</v>
      </c>
      <c r="C942" s="15">
        <v>130</v>
      </c>
      <c r="D942" s="5">
        <v>-42</v>
      </c>
      <c r="E942" s="5">
        <v>-68</v>
      </c>
      <c r="F942" s="5">
        <v>4.0535119999999996</v>
      </c>
      <c r="G942" s="12">
        <f>VLOOKUP(A942,'[1]all FNCL'!A$2:B$993,2)</f>
        <v>0.54089108147199405</v>
      </c>
      <c r="J942">
        <f>VLOOKUP(A942,'YB OAS'!B:F,5,0)</f>
        <v>67.191497999999996</v>
      </c>
      <c r="K942" s="40">
        <f>VLOOKUP(A942,'Refi Universe'!E:F,2,0)</f>
        <v>0.53403869000000004</v>
      </c>
    </row>
    <row r="943" spans="1:11" ht="15" x14ac:dyDescent="0.25">
      <c r="A943" s="14">
        <v>41949</v>
      </c>
      <c r="B943" s="15">
        <v>130</v>
      </c>
      <c r="C943" s="15">
        <v>130</v>
      </c>
      <c r="D943" s="5">
        <v>-43</v>
      </c>
      <c r="E943" s="5">
        <v>-68</v>
      </c>
      <c r="F943" s="5">
        <v>4.0567719999999996</v>
      </c>
      <c r="G943" s="12">
        <f>VLOOKUP(A943,'[1]all FNCL'!A$2:B$993,2)</f>
        <v>0.505106736466303</v>
      </c>
      <c r="J943">
        <f>VLOOKUP(A943,'YB OAS'!B:F,5,0)</f>
        <v>65.447800000000001</v>
      </c>
      <c r="K943" s="40">
        <f>VLOOKUP(A943,'Refi Universe'!E:F,2,0)</f>
        <v>0.52681778999999995</v>
      </c>
    </row>
    <row r="944" spans="1:11" ht="15" x14ac:dyDescent="0.25">
      <c r="A944" s="14">
        <v>41950</v>
      </c>
      <c r="B944" s="15">
        <v>128</v>
      </c>
      <c r="C944" s="15">
        <v>128</v>
      </c>
      <c r="D944" s="5">
        <v>-43</v>
      </c>
      <c r="E944" s="5">
        <v>-68</v>
      </c>
      <c r="F944" s="5">
        <v>4.0593630000000003</v>
      </c>
      <c r="G944" s="12">
        <f>VLOOKUP(A944,'[1]all FNCL'!A$2:B$993,2)</f>
        <v>0.505106736466303</v>
      </c>
      <c r="J944">
        <f>VLOOKUP(A944,'YB OAS'!B:F,5,0)</f>
        <v>71.225196999999994</v>
      </c>
      <c r="K944" s="40">
        <f>VLOOKUP(A944,'Refi Universe'!E:F,2,0)</f>
        <v>0.56332722000000002</v>
      </c>
    </row>
    <row r="945" spans="1:11" ht="15" x14ac:dyDescent="0.25">
      <c r="A945" s="14">
        <v>41953</v>
      </c>
      <c r="B945" s="15">
        <v>132</v>
      </c>
      <c r="C945" s="15">
        <v>132</v>
      </c>
      <c r="D945" s="5">
        <v>-47</v>
      </c>
      <c r="E945" s="5">
        <v>-72</v>
      </c>
      <c r="F945" s="5">
        <v>4.0273529999999997</v>
      </c>
      <c r="G945" s="12">
        <f>VLOOKUP(A945,'[1]all FNCL'!A$2:B$993,2)</f>
        <v>0.505106736466303</v>
      </c>
      <c r="J945">
        <f>VLOOKUP(A945,'YB OAS'!B:F,5,0)</f>
        <v>72.290397999999996</v>
      </c>
      <c r="K945" s="40">
        <f>VLOOKUP(A945,'Refi Universe'!E:F,2,0)</f>
        <v>0.54089107999999997</v>
      </c>
    </row>
    <row r="946" spans="1:11" ht="15" x14ac:dyDescent="0.25">
      <c r="A946" s="14">
        <v>41955</v>
      </c>
      <c r="B946" s="15">
        <v>130</v>
      </c>
      <c r="C946" s="15">
        <v>130</v>
      </c>
      <c r="D946" s="5">
        <v>-42</v>
      </c>
      <c r="E946" s="5">
        <v>-70</v>
      </c>
      <c r="F946" s="5">
        <v>4.0470459999999999</v>
      </c>
      <c r="G946" s="12">
        <f>VLOOKUP(A946,'[1]all FNCL'!A$2:B$993,2)</f>
        <v>0.505106736466303</v>
      </c>
      <c r="J946">
        <f>VLOOKUP(A946,'YB OAS'!B:F,5,0)</f>
        <v>72.968802999999994</v>
      </c>
      <c r="K946" s="40">
        <f>VLOOKUP(A946,'Refi Universe'!E:F,2,0)</f>
        <v>0.55171208000000005</v>
      </c>
    </row>
    <row r="947" spans="1:11" ht="15" x14ac:dyDescent="0.25">
      <c r="A947" s="14">
        <v>41956</v>
      </c>
      <c r="B947" s="15">
        <v>134</v>
      </c>
      <c r="C947" s="15">
        <v>134</v>
      </c>
      <c r="D947" s="5">
        <v>-43</v>
      </c>
      <c r="E947" s="5">
        <v>-69</v>
      </c>
      <c r="F947" s="5">
        <v>4.0470459999999999</v>
      </c>
      <c r="G947" s="12">
        <f>VLOOKUP(A947,'[1]all FNCL'!A$2:B$993,2)</f>
        <v>0.51180256347737196</v>
      </c>
      <c r="J947">
        <f>VLOOKUP(A947,'YB OAS'!B:F,5,0)</f>
        <v>75.784698000000006</v>
      </c>
      <c r="K947" s="40">
        <f>VLOOKUP(A947,'Refi Universe'!E:F,2,0)</f>
        <v>0.55857886000000001</v>
      </c>
    </row>
    <row r="948" spans="1:11" ht="15" x14ac:dyDescent="0.25">
      <c r="A948" s="14">
        <v>41957</v>
      </c>
      <c r="B948" s="15">
        <v>132</v>
      </c>
      <c r="C948" s="15">
        <v>132</v>
      </c>
      <c r="D948" s="5">
        <v>-40</v>
      </c>
      <c r="E948" s="5">
        <v>-68</v>
      </c>
      <c r="F948" s="5">
        <v>4.0394930000000002</v>
      </c>
      <c r="G948" s="12">
        <f>VLOOKUP(A948,'[1]all FNCL'!A$2:B$993,2)</f>
        <v>0.51180256347737196</v>
      </c>
      <c r="J948">
        <f>VLOOKUP(A948,'YB OAS'!B:F,5,0)</f>
        <v>76.861298000000005</v>
      </c>
      <c r="K948" s="40">
        <f>VLOOKUP(A948,'Refi Universe'!E:F,2,0)</f>
        <v>0.57386685999999998</v>
      </c>
    </row>
    <row r="949" spans="1:11" ht="15" x14ac:dyDescent="0.25">
      <c r="A949" s="14">
        <v>41960</v>
      </c>
      <c r="B949" s="15">
        <v>136</v>
      </c>
      <c r="C949" s="15">
        <v>136</v>
      </c>
      <c r="D949" s="5">
        <v>-45</v>
      </c>
      <c r="E949" s="5">
        <v>-74</v>
      </c>
      <c r="F949" s="5">
        <v>4.0195829999999999</v>
      </c>
      <c r="G949" s="12">
        <f>VLOOKUP(A949,'[1]all FNCL'!A$2:B$993,2)</f>
        <v>0.51180256347737196</v>
      </c>
      <c r="J949">
        <f>VLOOKUP(A949,'YB OAS'!B:F,5,0)</f>
        <v>78.726799</v>
      </c>
      <c r="K949" s="40">
        <f>VLOOKUP(A949,'Refi Universe'!E:F,2,0)</f>
        <v>0.57256868000000005</v>
      </c>
    </row>
    <row r="950" spans="1:11" ht="15" x14ac:dyDescent="0.25">
      <c r="A950" s="14">
        <v>41961</v>
      </c>
      <c r="B950" s="15">
        <v>131</v>
      </c>
      <c r="C950" s="15">
        <v>131</v>
      </c>
      <c r="D950" s="5">
        <v>-43</v>
      </c>
      <c r="E950" s="5">
        <v>-73</v>
      </c>
      <c r="F950" s="5">
        <v>4.021611</v>
      </c>
      <c r="G950" s="12">
        <f>VLOOKUP(A950,'[1]all FNCL'!A$2:B$993,2)</f>
        <v>0.51180256347737196</v>
      </c>
      <c r="J950">
        <f>VLOOKUP(A950,'YB OAS'!B:F,5,0)</f>
        <v>77.652901</v>
      </c>
      <c r="K950" s="40">
        <f>VLOOKUP(A950,'Refi Universe'!E:F,2,0)</f>
        <v>0.57506597999999998</v>
      </c>
    </row>
    <row r="951" spans="1:11" ht="15" x14ac:dyDescent="0.25">
      <c r="A951" s="14">
        <v>41962</v>
      </c>
      <c r="B951" s="15">
        <v>124</v>
      </c>
      <c r="C951" s="15">
        <v>124</v>
      </c>
      <c r="D951" s="5">
        <v>-47</v>
      </c>
      <c r="E951" s="5">
        <v>-74</v>
      </c>
      <c r="F951" s="5">
        <v>4.0122080000000002</v>
      </c>
      <c r="G951" s="12">
        <f>VLOOKUP(A951,'[1]all FNCL'!A$2:B$993,2)</f>
        <v>0.51180256347737196</v>
      </c>
      <c r="J951">
        <f>VLOOKUP(A951,'YB OAS'!B:F,5,0)</f>
        <v>70.147300999999999</v>
      </c>
      <c r="K951" s="40">
        <f>VLOOKUP(A951,'Refi Universe'!E:F,2,0)</f>
        <v>0.56281760999999997</v>
      </c>
    </row>
    <row r="952" spans="1:11" ht="15" x14ac:dyDescent="0.25">
      <c r="A952" s="14">
        <v>41963</v>
      </c>
      <c r="B952" s="15">
        <v>129</v>
      </c>
      <c r="C952" s="15">
        <v>129</v>
      </c>
      <c r="D952" s="5">
        <v>-49</v>
      </c>
      <c r="E952" s="5">
        <v>-75</v>
      </c>
      <c r="F952" s="5">
        <v>4.0287139999999999</v>
      </c>
      <c r="G952" s="12">
        <f>VLOOKUP(A952,'[1]all FNCL'!A$2:B$993,2)</f>
        <v>0.53125439488383197</v>
      </c>
      <c r="J952">
        <f>VLOOKUP(A952,'YB OAS'!B:F,5,0)</f>
        <v>75.146202000000002</v>
      </c>
      <c r="K952" s="40">
        <f>VLOOKUP(A952,'Refi Universe'!E:F,2,0)</f>
        <v>0.57240922999999999</v>
      </c>
    </row>
    <row r="953" spans="1:11" ht="15" x14ac:dyDescent="0.25">
      <c r="A953" s="14">
        <v>41964</v>
      </c>
      <c r="B953" s="15">
        <v>128</v>
      </c>
      <c r="C953" s="15">
        <v>128</v>
      </c>
      <c r="D953" s="5">
        <v>-48</v>
      </c>
      <c r="E953" s="5">
        <v>-77</v>
      </c>
      <c r="F953" s="5">
        <v>4.0136079999999996</v>
      </c>
      <c r="G953" s="12">
        <f>VLOOKUP(A953,'[1]all FNCL'!A$2:B$993,2)</f>
        <v>0.53125439488383197</v>
      </c>
      <c r="J953">
        <f>VLOOKUP(A953,'YB OAS'!B:F,5,0)</f>
        <v>75.839400999999995</v>
      </c>
      <c r="K953" s="40">
        <f>VLOOKUP(A953,'Refi Universe'!E:F,2,0)</f>
        <v>0.57608892</v>
      </c>
    </row>
    <row r="954" spans="1:11" ht="15" x14ac:dyDescent="0.25">
      <c r="A954" s="14">
        <v>41967</v>
      </c>
      <c r="B954" s="15">
        <v>125</v>
      </c>
      <c r="C954" s="15">
        <v>125</v>
      </c>
      <c r="D954" s="5">
        <v>-49</v>
      </c>
      <c r="E954" s="5">
        <v>-79</v>
      </c>
      <c r="F954" s="5">
        <v>4.001366</v>
      </c>
      <c r="G954" s="12">
        <f>VLOOKUP(A954,'[1]all FNCL'!A$2:B$993,2)</f>
        <v>0.53125439488383197</v>
      </c>
      <c r="J954">
        <f>VLOOKUP(A954,'YB OAS'!B:F,5,0)</f>
        <v>72.952797000000004</v>
      </c>
      <c r="K954" s="40">
        <f>VLOOKUP(A954,'Refi Universe'!E:F,2,0)</f>
        <v>0.57921135000000001</v>
      </c>
    </row>
    <row r="955" spans="1:11" ht="15" x14ac:dyDescent="0.25">
      <c r="A955" s="14">
        <v>41968</v>
      </c>
      <c r="B955" s="15">
        <v>129</v>
      </c>
      <c r="C955" s="15">
        <v>129</v>
      </c>
      <c r="D955" s="5">
        <v>-55</v>
      </c>
      <c r="E955" s="5">
        <v>-86</v>
      </c>
      <c r="F955" s="5">
        <v>3.9951699999999999</v>
      </c>
      <c r="G955" s="12">
        <f>VLOOKUP(A955,'[1]all FNCL'!A$2:B$993,2)</f>
        <v>0.53125439488383197</v>
      </c>
      <c r="J955">
        <f>VLOOKUP(A955,'YB OAS'!B:F,5,0)</f>
        <v>77.578299999999999</v>
      </c>
      <c r="K955" s="40">
        <f>VLOOKUP(A955,'Refi Universe'!E:F,2,0)</f>
        <v>0.59653157000000001</v>
      </c>
    </row>
    <row r="956" spans="1:11" ht="15" x14ac:dyDescent="0.25">
      <c r="A956" s="14">
        <v>41969</v>
      </c>
      <c r="B956" s="15">
        <v>129</v>
      </c>
      <c r="C956" s="15">
        <v>129</v>
      </c>
      <c r="D956" s="5">
        <v>-54</v>
      </c>
      <c r="E956" s="5">
        <v>-93</v>
      </c>
      <c r="F956" s="5">
        <v>3.9607860000000001</v>
      </c>
      <c r="G956" s="12">
        <f>VLOOKUP(A956,'[1]all FNCL'!A$2:B$993,2)</f>
        <v>0.54741627949472405</v>
      </c>
      <c r="J956">
        <f>VLOOKUP(A956,'YB OAS'!B:F,5,0)</f>
        <v>76.941901999999999</v>
      </c>
      <c r="K956" s="40">
        <f>VLOOKUP(A956,'Refi Universe'!E:F,2,0)</f>
        <v>0.58658396999999995</v>
      </c>
    </row>
    <row r="957" spans="1:11" ht="15" x14ac:dyDescent="0.25">
      <c r="A957" s="14">
        <v>41971</v>
      </c>
      <c r="B957" s="15">
        <v>144</v>
      </c>
      <c r="C957" s="15">
        <v>144</v>
      </c>
      <c r="D957" s="5">
        <v>-57</v>
      </c>
      <c r="E957" s="5">
        <v>-97</v>
      </c>
      <c r="F957" s="5">
        <v>3.9495339999999999</v>
      </c>
      <c r="G957" s="12">
        <f>VLOOKUP(A957,'[1]all FNCL'!A$2:B$993,2)</f>
        <v>0.54741627949472405</v>
      </c>
      <c r="J957">
        <f>VLOOKUP(A957,'YB OAS'!B:F,5,0)</f>
        <v>89.065101999999996</v>
      </c>
      <c r="K957" s="40">
        <f>VLOOKUP(A957,'Refi Universe'!E:F,2,0)</f>
        <v>0.60133714000000005</v>
      </c>
    </row>
    <row r="958" spans="1:11" ht="15" x14ac:dyDescent="0.25">
      <c r="A958" s="14">
        <v>41974</v>
      </c>
      <c r="B958" s="15">
        <v>150</v>
      </c>
      <c r="C958" s="15">
        <v>150</v>
      </c>
      <c r="D958" s="5">
        <v>-56</v>
      </c>
      <c r="E958" s="5">
        <v>-96</v>
      </c>
      <c r="F958" s="5">
        <v>3.9350909999999999</v>
      </c>
      <c r="G958" s="12">
        <f>VLOOKUP(A958,'[1]all FNCL'!A$2:B$993,2)</f>
        <v>0.54296193584840502</v>
      </c>
      <c r="J958">
        <f>VLOOKUP(A958,'YB OAS'!B:F,5,0)</f>
        <v>94.243401000000006</v>
      </c>
      <c r="K958" s="40">
        <f>VLOOKUP(A958,'Refi Universe'!E:F,2,0)</f>
        <v>0.59072795</v>
      </c>
    </row>
    <row r="959" spans="1:11" ht="15" x14ac:dyDescent="0.25">
      <c r="A959" s="14">
        <v>41975</v>
      </c>
      <c r="B959" s="15">
        <v>147</v>
      </c>
      <c r="C959" s="15">
        <v>147</v>
      </c>
      <c r="D959" s="5">
        <v>-44</v>
      </c>
      <c r="E959" s="5">
        <v>-90</v>
      </c>
      <c r="F959" s="5">
        <v>3.9349409999999998</v>
      </c>
      <c r="G959" s="12">
        <f>VLOOKUP(A959,'[1]all FNCL'!A$2:B$993,2)</f>
        <v>0.54296193584840502</v>
      </c>
      <c r="J959">
        <f>VLOOKUP(A959,'YB OAS'!B:F,5,0)</f>
        <v>81.714995999999999</v>
      </c>
      <c r="K959" s="40">
        <f>VLOOKUP(A959,'Refi Universe'!E:F,2,0)</f>
        <v>0.57114505000000004</v>
      </c>
    </row>
    <row r="960" spans="1:11" ht="15" x14ac:dyDescent="0.25">
      <c r="A960" s="14">
        <v>41976</v>
      </c>
      <c r="B960" s="15">
        <v>135</v>
      </c>
      <c r="C960" s="15">
        <v>135</v>
      </c>
      <c r="D960" s="5">
        <v>-38</v>
      </c>
      <c r="E960" s="5">
        <v>-81</v>
      </c>
      <c r="F960" s="5">
        <v>3.9759760000000002</v>
      </c>
      <c r="G960" s="12">
        <f>VLOOKUP(A960,'[1]all FNCL'!A$2:B$993,2)</f>
        <v>0.54296193584840502</v>
      </c>
      <c r="J960">
        <f>VLOOKUP(A960,'YB OAS'!B:F,5,0)</f>
        <v>73.395897000000005</v>
      </c>
      <c r="K960" s="40">
        <f>VLOOKUP(A960,'Refi Universe'!E:F,2,0)</f>
        <v>0.57867104999999996</v>
      </c>
    </row>
    <row r="961" spans="1:11" ht="15" x14ac:dyDescent="0.25">
      <c r="A961" s="14">
        <v>41977</v>
      </c>
      <c r="B961" s="15">
        <v>123</v>
      </c>
      <c r="C961" s="15">
        <v>123</v>
      </c>
      <c r="D961" s="5">
        <v>-53</v>
      </c>
      <c r="E961" s="5">
        <v>-84</v>
      </c>
      <c r="F961" s="5">
        <v>3.9766499999999998</v>
      </c>
      <c r="G961" s="12">
        <f>VLOOKUP(A961,'[1]all FNCL'!A$2:B$993,2)</f>
        <v>0.57616107650745496</v>
      </c>
      <c r="J961">
        <f>VLOOKUP(A961,'YB OAS'!B:F,5,0)</f>
        <v>72.556702000000001</v>
      </c>
      <c r="K961" s="40">
        <f>VLOOKUP(A961,'Refi Universe'!E:F,2,0)</f>
        <v>0.58835028</v>
      </c>
    </row>
    <row r="962" spans="1:11" ht="15" x14ac:dyDescent="0.25">
      <c r="A962" s="14">
        <v>41978</v>
      </c>
      <c r="B962" s="15">
        <v>98</v>
      </c>
      <c r="C962" s="15">
        <v>98</v>
      </c>
      <c r="D962" s="5">
        <v>-62</v>
      </c>
      <c r="E962" s="5">
        <v>-94</v>
      </c>
      <c r="F962" s="5">
        <v>3.9605160000000001</v>
      </c>
      <c r="G962" s="12">
        <f>VLOOKUP(A962,'[1]all FNCL'!A$2:B$993,2)</f>
        <v>0.57616107650745496</v>
      </c>
      <c r="J962">
        <f>VLOOKUP(A962,'YB OAS'!B:F,5,0)</f>
        <v>39.470798000000002</v>
      </c>
      <c r="K962" s="40">
        <f>VLOOKUP(A962,'Refi Universe'!E:F,2,0)</f>
        <v>0.57239673000000002</v>
      </c>
    </row>
    <row r="963" spans="1:11" ht="15" x14ac:dyDescent="0.25">
      <c r="A963" s="14">
        <v>41981</v>
      </c>
      <c r="B963" s="15">
        <v>104</v>
      </c>
      <c r="C963" s="15">
        <v>104</v>
      </c>
      <c r="D963" s="5">
        <v>-76</v>
      </c>
      <c r="E963" s="5">
        <v>-99</v>
      </c>
      <c r="F963" s="5">
        <v>3.993401</v>
      </c>
      <c r="G963" s="12">
        <f>VLOOKUP(A963,'[1]all FNCL'!A$2:B$993,2)</f>
        <v>0.57616107650745496</v>
      </c>
      <c r="J963">
        <f>VLOOKUP(A963,'YB OAS'!B:F,5,0)</f>
        <v>42.537601000000002</v>
      </c>
      <c r="K963" s="40">
        <f>VLOOKUP(A963,'Refi Universe'!E:F,2,0)</f>
        <v>0.58594712999999998</v>
      </c>
    </row>
    <row r="964" spans="1:11" ht="15" x14ac:dyDescent="0.25">
      <c r="A964" s="14">
        <v>41982</v>
      </c>
      <c r="B964" s="15">
        <v>116</v>
      </c>
      <c r="C964" s="15">
        <v>116</v>
      </c>
      <c r="D964" s="5">
        <v>-77</v>
      </c>
      <c r="E964" s="5">
        <v>-103</v>
      </c>
      <c r="F964" s="5">
        <v>3.9612430000000001</v>
      </c>
      <c r="G964" s="12">
        <f>VLOOKUP(A964,'[1]all FNCL'!A$2:B$993,2)</f>
        <v>0.57616107650745496</v>
      </c>
      <c r="J964">
        <f>VLOOKUP(A964,'YB OAS'!B:F,5,0)</f>
        <v>54.443699000000002</v>
      </c>
      <c r="K964" s="40">
        <f>VLOOKUP(A964,'Refi Universe'!E:F,2,0)</f>
        <v>0.59463946999999995</v>
      </c>
    </row>
    <row r="965" spans="1:11" ht="15" x14ac:dyDescent="0.25">
      <c r="A965" s="14">
        <v>41983</v>
      </c>
      <c r="B965" s="15">
        <v>124</v>
      </c>
      <c r="C965" s="15">
        <v>124</v>
      </c>
      <c r="D965" s="5">
        <v>-69</v>
      </c>
      <c r="E965" s="5">
        <v>-90</v>
      </c>
      <c r="F965" s="5">
        <v>3.9506299999999999</v>
      </c>
      <c r="G965" s="12">
        <f>VLOOKUP(A965,'[1]all FNCL'!A$2:B$993,2)</f>
        <v>0.57616107650745496</v>
      </c>
      <c r="J965">
        <f>VLOOKUP(A965,'YB OAS'!B:F,5,0)</f>
        <v>63.375301</v>
      </c>
      <c r="K965" s="40">
        <f>VLOOKUP(A965,'Refi Universe'!E:F,2,0)</f>
        <v>0.59762468000000002</v>
      </c>
    </row>
    <row r="966" spans="1:11" ht="15" x14ac:dyDescent="0.25">
      <c r="A966" s="14">
        <v>41984</v>
      </c>
      <c r="B966" s="15">
        <v>118</v>
      </c>
      <c r="C966" s="15">
        <v>118</v>
      </c>
      <c r="D966" s="5">
        <v>-68</v>
      </c>
      <c r="E966" s="5">
        <v>-86</v>
      </c>
      <c r="F966" s="5">
        <v>3.9304350000000001</v>
      </c>
      <c r="G966" s="12">
        <f>VLOOKUP(A966,'[1]all FNCL'!A$2:B$993,2)</f>
        <v>0.56511283574971805</v>
      </c>
      <c r="J966">
        <f>VLOOKUP(A966,'YB OAS'!B:F,5,0)</f>
        <v>62.807098000000003</v>
      </c>
      <c r="K966" s="40">
        <f>VLOOKUP(A966,'Refi Universe'!E:F,2,0)</f>
        <v>0.59234335000000005</v>
      </c>
    </row>
    <row r="967" spans="1:11" ht="15" x14ac:dyDescent="0.25">
      <c r="A967" s="14">
        <v>41985</v>
      </c>
      <c r="B967" s="15">
        <v>136</v>
      </c>
      <c r="C967" s="15">
        <v>136</v>
      </c>
      <c r="D967" s="5">
        <v>-67</v>
      </c>
      <c r="E967" s="5">
        <v>-89</v>
      </c>
      <c r="F967" s="5">
        <v>3.9364180000000002</v>
      </c>
      <c r="G967" s="12">
        <f>VLOOKUP(A967,'[1]all FNCL'!A$2:B$993,2)</f>
        <v>0.56511283574971805</v>
      </c>
      <c r="J967">
        <f>VLOOKUP(A967,'YB OAS'!B:F,5,0)</f>
        <v>72.946701000000004</v>
      </c>
      <c r="K967" s="40">
        <f>VLOOKUP(A967,'Refi Universe'!E:F,2,0)</f>
        <v>0.61318455999999999</v>
      </c>
    </row>
    <row r="968" spans="1:11" ht="15" x14ac:dyDescent="0.25">
      <c r="A968" s="14">
        <v>41988</v>
      </c>
      <c r="B968" s="15">
        <v>147</v>
      </c>
      <c r="C968" s="15">
        <v>147</v>
      </c>
      <c r="D968" s="5">
        <v>-59</v>
      </c>
      <c r="E968" s="5">
        <v>-93</v>
      </c>
      <c r="F968" s="5">
        <v>3.8996940000000002</v>
      </c>
      <c r="G968" s="12">
        <f>VLOOKUP(A968,'[1]all FNCL'!A$2:B$993,2)</f>
        <v>0.56511283574971805</v>
      </c>
      <c r="J968">
        <f>VLOOKUP(A968,'YB OAS'!B:F,5,0)</f>
        <v>74.986298000000005</v>
      </c>
      <c r="K968" s="40">
        <f>VLOOKUP(A968,'Refi Universe'!E:F,2,0)</f>
        <v>0.60500788999999999</v>
      </c>
    </row>
    <row r="969" spans="1:11" ht="15" x14ac:dyDescent="0.25">
      <c r="A969" s="14">
        <v>41989</v>
      </c>
      <c r="B969" s="15">
        <v>160</v>
      </c>
      <c r="C969" s="15">
        <v>160</v>
      </c>
      <c r="D969" s="5">
        <v>-45</v>
      </c>
      <c r="E969" s="5">
        <v>-80</v>
      </c>
      <c r="F969" s="5">
        <v>3.9197540000000002</v>
      </c>
      <c r="G969" s="12">
        <f>VLOOKUP(A969,'[1]all FNCL'!A$2:B$993,2)</f>
        <v>0.56511283574971805</v>
      </c>
      <c r="J969">
        <f>VLOOKUP(A969,'YB OAS'!B:F,5,0)</f>
        <v>88.887100000000004</v>
      </c>
      <c r="K969" s="40">
        <f>VLOOKUP(A969,'Refi Universe'!E:F,2,0)</f>
        <v>0.61851102999999996</v>
      </c>
    </row>
    <row r="970" spans="1:11" ht="15" x14ac:dyDescent="0.25">
      <c r="A970" s="14">
        <v>41990</v>
      </c>
      <c r="B970" s="15">
        <v>138</v>
      </c>
      <c r="C970" s="15">
        <v>138</v>
      </c>
      <c r="D970" s="5">
        <v>-45</v>
      </c>
      <c r="E970" s="5">
        <v>-83</v>
      </c>
      <c r="F970" s="5">
        <v>3.89228</v>
      </c>
      <c r="G970" s="12">
        <f>VLOOKUP(A970,'[1]all FNCL'!A$2:B$993,2)</f>
        <v>0.56511283574971805</v>
      </c>
      <c r="J970">
        <f>VLOOKUP(A970,'YB OAS'!B:F,5,0)</f>
        <v>88.132103000000001</v>
      </c>
      <c r="K970" s="40">
        <f>VLOOKUP(A970,'Refi Universe'!E:F,2,0)</f>
        <v>0.60999000999999997</v>
      </c>
    </row>
    <row r="971" spans="1:11" ht="15" x14ac:dyDescent="0.25">
      <c r="A971" s="14">
        <v>41991</v>
      </c>
      <c r="B971" s="15">
        <v>130</v>
      </c>
      <c r="C971" s="15">
        <v>130</v>
      </c>
      <c r="D971" s="5">
        <v>-55</v>
      </c>
      <c r="E971" s="5">
        <v>-79</v>
      </c>
      <c r="F971" s="5">
        <v>3.9230900000000002</v>
      </c>
      <c r="G971" s="12">
        <f>VLOOKUP(A971,'[1]all FNCL'!A$2:B$993,2)</f>
        <v>0.60670206616303102</v>
      </c>
      <c r="J971">
        <f>VLOOKUP(A971,'YB OAS'!B:F,5,0)</f>
        <v>70.679603999999998</v>
      </c>
      <c r="K971" s="40">
        <f>VLOOKUP(A971,'Refi Universe'!E:F,2,0)</f>
        <v>0.60467766000000001</v>
      </c>
    </row>
    <row r="972" spans="1:11" ht="15" x14ac:dyDescent="0.25">
      <c r="A972" s="14">
        <v>41992</v>
      </c>
      <c r="B972" s="15">
        <v>117</v>
      </c>
      <c r="C972" s="15">
        <v>117</v>
      </c>
      <c r="D972" s="5">
        <v>-62</v>
      </c>
      <c r="E972" s="5">
        <v>-83</v>
      </c>
      <c r="F972" s="5">
        <v>3.9336899999999999</v>
      </c>
      <c r="G972" s="12">
        <f>VLOOKUP(A972,'[1]all FNCL'!A$2:B$993,2)</f>
        <v>0.60670206616303102</v>
      </c>
      <c r="J972">
        <f>VLOOKUP(A972,'YB OAS'!B:F,5,0)</f>
        <v>60.971499999999999</v>
      </c>
      <c r="K972" s="40">
        <f>VLOOKUP(A972,'Refi Universe'!E:F,2,0)</f>
        <v>0.61106543000000002</v>
      </c>
    </row>
    <row r="973" spans="1:11" ht="15" x14ac:dyDescent="0.25">
      <c r="A973" s="14">
        <v>41995</v>
      </c>
      <c r="B973" s="15">
        <v>120</v>
      </c>
      <c r="C973" s="15">
        <v>120</v>
      </c>
      <c r="D973" s="5">
        <v>-71</v>
      </c>
      <c r="E973" s="5">
        <v>-95</v>
      </c>
      <c r="F973" s="5">
        <v>3.9197199999999999</v>
      </c>
      <c r="G973" s="12">
        <f>VLOOKUP(A973,'[1]all FNCL'!A$2:B$993,2)</f>
        <v>0.60670206616303102</v>
      </c>
      <c r="J973">
        <f>VLOOKUP(A973,'YB OAS'!B:F,5,0)</f>
        <v>58.037998000000002</v>
      </c>
      <c r="K973" s="40">
        <f>VLOOKUP(A973,'Refi Universe'!E:F,2,0)</f>
        <v>0.61490803999999999</v>
      </c>
    </row>
    <row r="974" spans="1:11" ht="15" x14ac:dyDescent="0.25">
      <c r="A974" s="14">
        <v>41996</v>
      </c>
      <c r="B974" s="15">
        <v>128</v>
      </c>
      <c r="C974" s="15">
        <v>128</v>
      </c>
      <c r="D974" s="5">
        <v>-71</v>
      </c>
      <c r="E974" s="5">
        <v>-96</v>
      </c>
      <c r="F974" s="5">
        <v>3.916131</v>
      </c>
      <c r="G974" s="12">
        <f>VLOOKUP(A974,'[1]all FNCL'!A$2:B$993,2)</f>
        <v>0.60670206616303102</v>
      </c>
      <c r="J974">
        <f>VLOOKUP(A974,'YB OAS'!B:F,5,0)</f>
        <v>65.367103999999998</v>
      </c>
      <c r="K974" s="40">
        <f>VLOOKUP(A974,'Refi Universe'!E:F,2,0)</f>
        <v>0.58426213999999999</v>
      </c>
    </row>
    <row r="975" spans="1:11" ht="15" x14ac:dyDescent="0.25">
      <c r="A975" s="14">
        <v>41997</v>
      </c>
      <c r="B975" s="15">
        <v>118</v>
      </c>
      <c r="C975" s="15">
        <v>118</v>
      </c>
      <c r="D975" s="5">
        <v>-58</v>
      </c>
      <c r="E975" s="5">
        <v>-77</v>
      </c>
      <c r="F975" s="5">
        <v>3.9622950000000001</v>
      </c>
      <c r="G975" s="12">
        <f>VLOOKUP(A975,'[1]all FNCL'!A$2:B$993,2)</f>
        <v>0.59762468592169804</v>
      </c>
      <c r="J975">
        <f>VLOOKUP(A975,'YB OAS'!B:F,5,0)</f>
        <v>54.571399999999997</v>
      </c>
      <c r="K975" s="40">
        <f>VLOOKUP(A975,'Refi Universe'!E:F,2,0)</f>
        <v>0.59024577</v>
      </c>
    </row>
    <row r="976" spans="1:11" ht="15" x14ac:dyDescent="0.25">
      <c r="A976" s="14">
        <v>41999</v>
      </c>
      <c r="B976" s="15">
        <v>110</v>
      </c>
      <c r="C976" s="15">
        <v>110</v>
      </c>
      <c r="D976" s="5">
        <v>-69</v>
      </c>
      <c r="E976" s="5">
        <v>-87</v>
      </c>
      <c r="F976" s="5">
        <v>3.9622950000000001</v>
      </c>
      <c r="G976" s="12">
        <f>VLOOKUP(A976,'[1]all FNCL'!A$2:B$993,2)</f>
        <v>0.59762468592169804</v>
      </c>
      <c r="J976">
        <f>VLOOKUP(A976,'YB OAS'!B:F,5,0)</f>
        <v>51.006802</v>
      </c>
      <c r="K976" s="40">
        <f>VLOOKUP(A976,'Refi Universe'!E:F,2,0)</f>
        <v>0.59844739000000002</v>
      </c>
    </row>
    <row r="977" spans="1:11" ht="15" x14ac:dyDescent="0.25">
      <c r="A977" s="14">
        <v>42002</v>
      </c>
      <c r="B977" s="15">
        <v>113</v>
      </c>
      <c r="C977" s="15">
        <v>113</v>
      </c>
      <c r="D977" s="5">
        <v>-75</v>
      </c>
      <c r="E977" s="5">
        <v>-93</v>
      </c>
      <c r="F977" s="5">
        <v>3.9521799999999998</v>
      </c>
      <c r="G977" s="12">
        <f>VLOOKUP(A977,'[1]all FNCL'!A$2:B$993,2)</f>
        <v>0.59762468592169804</v>
      </c>
      <c r="J977">
        <f>VLOOKUP(A977,'YB OAS'!B:F,5,0)</f>
        <v>51.181099000000003</v>
      </c>
      <c r="K977" s="40">
        <f>VLOOKUP(A977,'Refi Universe'!E:F,2,0)</f>
        <v>0.60730706999999995</v>
      </c>
    </row>
    <row r="978" spans="1:11" ht="15" x14ac:dyDescent="0.25">
      <c r="A978" s="14">
        <v>42003</v>
      </c>
      <c r="B978" s="15">
        <v>114</v>
      </c>
      <c r="C978" s="15">
        <v>114</v>
      </c>
      <c r="D978" s="5">
        <v>-78</v>
      </c>
      <c r="E978" s="5">
        <v>-97</v>
      </c>
      <c r="F978" s="5">
        <v>3.9318230000000001</v>
      </c>
      <c r="G978" s="12">
        <f>VLOOKUP(A978,'[1]all FNCL'!A$2:B$993,2)</f>
        <v>0.59762468592169804</v>
      </c>
      <c r="J978">
        <f>VLOOKUP(A978,'YB OAS'!B:F,5,0)</f>
        <v>56.730801</v>
      </c>
      <c r="K978" s="40">
        <f>VLOOKUP(A978,'Refi Universe'!E:F,2,0)</f>
        <v>0.60957428000000002</v>
      </c>
    </row>
    <row r="979" spans="1:11" ht="15" x14ac:dyDescent="0.25">
      <c r="A979" s="14">
        <v>42004</v>
      </c>
      <c r="B979" s="15">
        <v>110</v>
      </c>
      <c r="C979" s="15">
        <v>110</v>
      </c>
      <c r="D979" s="5">
        <v>-76</v>
      </c>
      <c r="E979" s="5">
        <v>-92</v>
      </c>
      <c r="F979" s="5">
        <v>3.9279999999999999</v>
      </c>
      <c r="G979" s="12">
        <f>VLOOKUP(A979,'[1]all FNCL'!A$2:B$993,2)</f>
        <v>0.58158481943829898</v>
      </c>
      <c r="J979">
        <f>VLOOKUP(A979,'YB OAS'!B:F,5,0)</f>
        <v>60.460299999999997</v>
      </c>
      <c r="K979" s="40">
        <f>VLOOKUP(A979,'Refi Universe'!E:F,2,0)</f>
        <v>0.60249396</v>
      </c>
    </row>
    <row r="980" spans="1:11" ht="15" x14ac:dyDescent="0.25">
      <c r="A980" s="14">
        <v>42006</v>
      </c>
      <c r="B980" s="15">
        <v>110</v>
      </c>
      <c r="C980" s="15">
        <v>110</v>
      </c>
      <c r="D980" s="5">
        <v>-80</v>
      </c>
      <c r="E980" s="5">
        <v>-100</v>
      </c>
      <c r="F980" s="5">
        <v>3.9192749999999998</v>
      </c>
      <c r="G980" s="12">
        <f>VLOOKUP(A980,'[1]all FNCL'!A$2:B$993,2)</f>
        <v>0.57715851233210802</v>
      </c>
      <c r="J980">
        <f>VLOOKUP(A980,'YB OAS'!B:F,5,0)</f>
        <v>55.322102000000001</v>
      </c>
      <c r="K980" s="40">
        <f>VLOOKUP(A980,'Refi Universe'!E:F,2,0)</f>
        <v>0.61630004999999999</v>
      </c>
    </row>
    <row r="981" spans="1:11" ht="15" x14ac:dyDescent="0.25">
      <c r="A981" s="14">
        <v>42009</v>
      </c>
      <c r="B981" s="15">
        <v>108</v>
      </c>
      <c r="C981" s="15">
        <v>108</v>
      </c>
      <c r="D981" s="5">
        <v>-84</v>
      </c>
      <c r="E981" s="5">
        <v>-106</v>
      </c>
      <c r="F981" s="5">
        <v>3.888744</v>
      </c>
      <c r="G981" s="12">
        <f>VLOOKUP(A981,'[1]all FNCL'!A$2:B$993,2)</f>
        <v>0.57710358293411501</v>
      </c>
      <c r="J981">
        <f>VLOOKUP(A981,'YB OAS'!B:F,5,0)</f>
        <v>59.036498999999999</v>
      </c>
      <c r="K981" s="40">
        <f>VLOOKUP(A981,'Refi Universe'!E:F,2,0)</f>
        <v>0.64440816999999995</v>
      </c>
    </row>
    <row r="982" spans="1:11" ht="15" x14ac:dyDescent="0.25">
      <c r="A982" s="14">
        <v>42010</v>
      </c>
      <c r="B982" s="15">
        <v>128</v>
      </c>
      <c r="C982" s="15">
        <v>128</v>
      </c>
      <c r="D982" s="5">
        <v>-84</v>
      </c>
      <c r="E982" s="5">
        <v>-124</v>
      </c>
      <c r="F982" s="5">
        <v>3.8389440000000001</v>
      </c>
      <c r="G982" s="12">
        <f>VLOOKUP(A982,'[1]all FNCL'!A$2:B$993,2)</f>
        <v>0.57710358293411501</v>
      </c>
      <c r="J982">
        <f>VLOOKUP(A982,'YB OAS'!B:F,5,0)</f>
        <v>72.939400000000006</v>
      </c>
      <c r="K982" s="40">
        <f>VLOOKUP(A982,'Refi Universe'!E:F,2,0)</f>
        <v>0.67838461999999999</v>
      </c>
    </row>
    <row r="983" spans="1:11" ht="15" x14ac:dyDescent="0.25">
      <c r="A983" s="14">
        <v>42011</v>
      </c>
      <c r="B983" s="15">
        <v>138</v>
      </c>
      <c r="C983" s="15">
        <v>138</v>
      </c>
      <c r="D983" s="5">
        <v>-68</v>
      </c>
      <c r="E983" s="5">
        <v>-117</v>
      </c>
      <c r="F983" s="5">
        <v>3.7950119999999998</v>
      </c>
      <c r="G983" s="12">
        <f>VLOOKUP(A983,'[1]all FNCL'!A$2:B$993,2)</f>
        <v>0.57710358293411501</v>
      </c>
      <c r="J983">
        <f>VLOOKUP(A983,'YB OAS'!B:F,5,0)</f>
        <v>83.752296000000001</v>
      </c>
      <c r="K983" s="40">
        <f>VLOOKUP(A983,'Refi Universe'!E:F,2,0)</f>
        <v>0.65653189999999995</v>
      </c>
    </row>
    <row r="984" spans="1:11" ht="15" x14ac:dyDescent="0.25">
      <c r="A984" s="14">
        <v>42012</v>
      </c>
      <c r="B984" s="15">
        <v>146</v>
      </c>
      <c r="C984" s="15">
        <v>146</v>
      </c>
      <c r="D984" s="5">
        <v>-62</v>
      </c>
      <c r="E984" s="5">
        <v>-115</v>
      </c>
      <c r="F984" s="5">
        <v>3.8020130000000001</v>
      </c>
      <c r="G984" s="12">
        <f>VLOOKUP(A984,'[1]all FNCL'!A$2:B$993,2)</f>
        <v>0.62970048301444503</v>
      </c>
      <c r="J984">
        <f>VLOOKUP(A984,'YB OAS'!B:F,5,0)</f>
        <v>96.111999999999995</v>
      </c>
      <c r="K984" s="40">
        <f>VLOOKUP(A984,'Refi Universe'!E:F,2,0)</f>
        <v>0.63669825000000002</v>
      </c>
    </row>
    <row r="985" spans="1:11" ht="15" x14ac:dyDescent="0.25">
      <c r="A985" s="14">
        <v>42013</v>
      </c>
      <c r="B985" s="15">
        <v>177</v>
      </c>
      <c r="C985" s="15">
        <v>177</v>
      </c>
      <c r="D985" s="5">
        <v>-43</v>
      </c>
      <c r="E985" s="5">
        <v>-89</v>
      </c>
      <c r="F985" s="5">
        <v>3.8289740000000001</v>
      </c>
      <c r="G985" s="12">
        <f>VLOOKUP(A985,'[1]all FNCL'!A$2:B$993,2)</f>
        <v>0.62970048301444503</v>
      </c>
      <c r="J985">
        <f>VLOOKUP(A985,'YB OAS'!B:F,5,0)</f>
        <v>113.276802</v>
      </c>
      <c r="K985" s="40">
        <f>VLOOKUP(A985,'Refi Universe'!E:F,2,0)</f>
        <v>0.64879244000000003</v>
      </c>
    </row>
    <row r="986" spans="1:11" ht="15" x14ac:dyDescent="0.25">
      <c r="A986" s="14">
        <v>42016</v>
      </c>
      <c r="B986" s="15">
        <v>184</v>
      </c>
      <c r="C986" s="15">
        <v>184</v>
      </c>
      <c r="D986" s="5">
        <v>-21</v>
      </c>
      <c r="E986" s="5">
        <v>-72</v>
      </c>
      <c r="F986" s="5">
        <v>3.8178519999999998</v>
      </c>
      <c r="G986" s="12">
        <f>VLOOKUP(A986,'[1]all FNCL'!A$2:B$993,2)</f>
        <v>0.62970048301444503</v>
      </c>
      <c r="J986">
        <f>VLOOKUP(A986,'YB OAS'!B:F,5,0)</f>
        <v>146.342804</v>
      </c>
      <c r="K986" s="40">
        <f>VLOOKUP(A986,'Refi Universe'!E:F,2,0)</f>
        <v>0.66995446999999997</v>
      </c>
    </row>
    <row r="987" spans="1:11" ht="15" x14ac:dyDescent="0.25">
      <c r="A987" s="14">
        <v>42017</v>
      </c>
      <c r="B987" s="15">
        <v>218</v>
      </c>
      <c r="C987" s="15">
        <v>218</v>
      </c>
      <c r="D987" s="5">
        <v>-13</v>
      </c>
      <c r="E987" s="5">
        <v>-77</v>
      </c>
      <c r="F987" s="5">
        <v>3.7845279999999999</v>
      </c>
      <c r="G987" s="12">
        <f>VLOOKUP(A987,'[1]all FNCL'!A$2:B$993,2)</f>
        <v>0.62970048301444503</v>
      </c>
      <c r="J987">
        <f>VLOOKUP(A987,'YB OAS'!B:F,5,0)</f>
        <v>174.15280200000001</v>
      </c>
      <c r="K987" s="40">
        <f>VLOOKUP(A987,'Refi Universe'!E:F,2,0)</f>
        <v>0.67716757999999999</v>
      </c>
    </row>
    <row r="988" spans="1:11" ht="15" x14ac:dyDescent="0.25">
      <c r="A988" s="14">
        <v>42018</v>
      </c>
      <c r="B988" s="15">
        <v>235</v>
      </c>
      <c r="C988" s="15">
        <v>235</v>
      </c>
      <c r="D988" s="5">
        <v>16</v>
      </c>
      <c r="E988" s="5">
        <v>-59</v>
      </c>
      <c r="F988" s="5">
        <v>3.773949</v>
      </c>
      <c r="G988" s="12">
        <f>VLOOKUP(A988,'[1]all FNCL'!A$2:B$993,2)</f>
        <v>0.62970048301444503</v>
      </c>
      <c r="J988">
        <f>VLOOKUP(A988,'YB OAS'!B:F,5,0)</f>
        <v>184.27740499999999</v>
      </c>
      <c r="K988" s="40">
        <f>VLOOKUP(A988,'Refi Universe'!E:F,2,0)</f>
        <v>0.75092638</v>
      </c>
    </row>
    <row r="989" spans="1:11" ht="15" x14ac:dyDescent="0.25">
      <c r="A989" s="14">
        <v>42019</v>
      </c>
      <c r="B989" s="15">
        <v>296</v>
      </c>
      <c r="C989" s="15">
        <v>296</v>
      </c>
      <c r="D989" s="5">
        <v>28</v>
      </c>
      <c r="E989" s="5">
        <v>-68</v>
      </c>
      <c r="F989" s="5">
        <v>3.7356370000000001</v>
      </c>
      <c r="G989" s="12">
        <f>VLOOKUP(A989,'[1]all FNCL'!A$2:B$993,2)</f>
        <v>0.65278570887391996</v>
      </c>
      <c r="J989">
        <f>VLOOKUP(A989,'YB OAS'!B:F,5,0)</f>
        <v>215.29179400000001</v>
      </c>
      <c r="K989" s="40">
        <f>VLOOKUP(A989,'Refi Universe'!E:F,2,0)</f>
        <v>0.77820301999999997</v>
      </c>
    </row>
    <row r="990" spans="1:11" ht="15" x14ac:dyDescent="0.25">
      <c r="A990" s="14">
        <v>42020</v>
      </c>
      <c r="B990" s="15">
        <v>258</v>
      </c>
      <c r="C990" s="15">
        <v>258</v>
      </c>
      <c r="D990" s="5">
        <v>81</v>
      </c>
      <c r="E990" s="5">
        <v>-36</v>
      </c>
      <c r="F990" s="5">
        <v>3.7254879999999999</v>
      </c>
      <c r="G990" s="12">
        <f>VLOOKUP(A990,'[1]all FNCL'!A$2:B$993,2)</f>
        <v>0.65278570887391996</v>
      </c>
      <c r="J990">
        <f>VLOOKUP(A990,'YB OAS'!B:F,5,0)</f>
        <v>187.47669999999999</v>
      </c>
      <c r="K990" s="40">
        <f>VLOOKUP(A990,'Refi Universe'!E:F,2,0)</f>
        <v>0.69078755999999997</v>
      </c>
    </row>
    <row r="991" spans="1:11" ht="15" x14ac:dyDescent="0.25">
      <c r="A991" s="14">
        <v>42024</v>
      </c>
      <c r="B991" s="15">
        <v>282</v>
      </c>
      <c r="C991" s="15">
        <v>282</v>
      </c>
      <c r="D991" s="5">
        <v>58</v>
      </c>
      <c r="E991" s="5">
        <v>-32</v>
      </c>
      <c r="F991" s="5">
        <v>3.7648779999999999</v>
      </c>
      <c r="G991" s="12">
        <f>VLOOKUP(A991,'[1]all FNCL'!A$2:B$993,2)</f>
        <v>0.65278570887391996</v>
      </c>
      <c r="J991">
        <f>VLOOKUP(A991,'YB OAS'!B:F,5,0)</f>
        <v>200.56449900000001</v>
      </c>
      <c r="K991" s="40">
        <f>VLOOKUP(A991,'Refi Universe'!E:F,2,0)</f>
        <v>0.68268572999999999</v>
      </c>
    </row>
    <row r="992" spans="1:11" ht="15" x14ac:dyDescent="0.25">
      <c r="A992" s="14">
        <v>42025</v>
      </c>
      <c r="B992" s="15">
        <v>275</v>
      </c>
      <c r="C992" s="15">
        <v>275</v>
      </c>
      <c r="D992" s="5">
        <v>75</v>
      </c>
      <c r="E992" s="5">
        <v>-26</v>
      </c>
      <c r="F992" s="5">
        <v>3.76959</v>
      </c>
      <c r="G992" s="12">
        <f>VLOOKUP(A992,'[1]all FNCL'!A$2:B$993,2)</f>
        <v>0.65278570887391996</v>
      </c>
      <c r="J992">
        <f>VLOOKUP(A992,'YB OAS'!B:F,5,0)</f>
        <v>218.52499399999999</v>
      </c>
      <c r="K992" s="40">
        <f>VLOOKUP(A992,'Refi Universe'!E:F,2,0)</f>
        <v>0.63813522</v>
      </c>
    </row>
    <row r="993" spans="1:11" ht="15" x14ac:dyDescent="0.25">
      <c r="A993" s="14">
        <v>42026</v>
      </c>
      <c r="B993" s="15">
        <v>274</v>
      </c>
      <c r="C993" s="15">
        <v>274</v>
      </c>
      <c r="D993" s="5">
        <v>74</v>
      </c>
      <c r="E993" s="5">
        <v>-17</v>
      </c>
      <c r="F993" s="5">
        <v>3.7903609999999999</v>
      </c>
      <c r="G993" s="12">
        <f>VLOOKUP(A993,'[1]all FNCL'!A$2:B$993,2)</f>
        <v>0.65278570887391996</v>
      </c>
      <c r="J993">
        <f>VLOOKUP(A993,'YB OAS'!B:F,5,0)</f>
        <v>213.32179300000001</v>
      </c>
      <c r="K993" s="40">
        <f>VLOOKUP(A993,'Refi Universe'!E:F,2,0)</f>
        <v>0.63573738000000002</v>
      </c>
    </row>
    <row r="994" spans="1:11" ht="15" x14ac:dyDescent="0.25">
      <c r="A994" s="14">
        <v>42027</v>
      </c>
      <c r="B994" s="15">
        <v>294</v>
      </c>
      <c r="C994" s="15">
        <v>294</v>
      </c>
      <c r="D994" s="13"/>
      <c r="E994" s="13"/>
      <c r="F994" s="13"/>
      <c r="G994" s="11">
        <v>0.66264885680248997</v>
      </c>
      <c r="J994">
        <f>VLOOKUP(A994,'YB OAS'!B:F,5,0)</f>
        <v>236.92919900000001</v>
      </c>
      <c r="K994" s="40">
        <f>VLOOKUP(A994,'Refi Universe'!E:F,2,0)</f>
        <v>0.65375899999999998</v>
      </c>
    </row>
    <row r="995" spans="1:11" ht="15" x14ac:dyDescent="0.25">
      <c r="A995" s="14">
        <v>42030</v>
      </c>
      <c r="B995" s="15">
        <v>304</v>
      </c>
      <c r="C995" s="15">
        <v>304</v>
      </c>
      <c r="D995" s="13"/>
      <c r="E995" s="13"/>
      <c r="F995" s="13"/>
      <c r="G995" s="11">
        <v>0.66264885680248997</v>
      </c>
      <c r="J995">
        <f>VLOOKUP(A995,'YB OAS'!B:F,5,0)</f>
        <v>244.51870700000001</v>
      </c>
      <c r="K995" s="40">
        <f>VLOOKUP(A995,'Refi Universe'!E:F,2,0)</f>
        <v>0.64299956000000003</v>
      </c>
    </row>
    <row r="996" spans="1:11" ht="15" x14ac:dyDescent="0.25">
      <c r="A996" s="14">
        <v>42031</v>
      </c>
      <c r="B996" s="15">
        <v>330</v>
      </c>
      <c r="C996" s="15">
        <v>330</v>
      </c>
      <c r="D996" s="13"/>
      <c r="E996" s="13"/>
      <c r="F996" s="13"/>
      <c r="G996" s="11">
        <v>0.66264885680248997</v>
      </c>
      <c r="J996">
        <f>VLOOKUP(A996,'YB OAS'!B:F,5,0)</f>
        <v>251.349197</v>
      </c>
      <c r="K996" s="40">
        <f>VLOOKUP(A996,'Refi Universe'!E:F,2,0)</f>
        <v>0.64752867000000003</v>
      </c>
    </row>
    <row r="997" spans="1:11" ht="15" x14ac:dyDescent="0.25">
      <c r="A997" s="14">
        <v>42032</v>
      </c>
      <c r="B997" s="15">
        <v>337</v>
      </c>
      <c r="C997" s="15">
        <v>337</v>
      </c>
      <c r="D997" s="13"/>
      <c r="E997" s="13"/>
      <c r="F997" s="13"/>
      <c r="G997" s="11">
        <v>0.66264885680248997</v>
      </c>
      <c r="J997">
        <f>VLOOKUP(A997,'YB OAS'!B:F,5,0)</f>
        <v>279.388306</v>
      </c>
      <c r="K997" s="40">
        <f>VLOOKUP(A997,'Refi Universe'!E:F,2,0)</f>
        <v>0.70869574000000002</v>
      </c>
    </row>
    <row r="998" spans="1:11" ht="15" x14ac:dyDescent="0.25">
      <c r="A998" s="14">
        <v>42033</v>
      </c>
      <c r="B998" s="15">
        <v>318</v>
      </c>
      <c r="C998" s="15">
        <v>318</v>
      </c>
      <c r="D998" s="13"/>
      <c r="E998" s="13"/>
      <c r="F998" s="13"/>
      <c r="G998" s="11">
        <v>0.66264885680248997</v>
      </c>
      <c r="J998">
        <f>VLOOKUP(A998,'YB OAS'!B:F,5,0)</f>
        <v>256.26721199999997</v>
      </c>
      <c r="K998" s="40">
        <f>VLOOKUP(A998,'Refi Universe'!E:F,2,0)</f>
        <v>0.70072699999999999</v>
      </c>
    </row>
    <row r="999" spans="1:11" ht="15" x14ac:dyDescent="0.25">
      <c r="A999" s="14">
        <v>42034</v>
      </c>
      <c r="B999" s="15">
        <v>346</v>
      </c>
      <c r="C999" s="15">
        <v>346</v>
      </c>
      <c r="D999" s="13"/>
      <c r="E999" s="13"/>
      <c r="F999" s="13"/>
      <c r="G999" s="11">
        <v>0.66264885680248997</v>
      </c>
      <c r="J999">
        <f>VLOOKUP(A999,'YB OAS'!B:F,5,0)</f>
        <v>278.56900000000002</v>
      </c>
      <c r="K999" s="40">
        <f>VLOOKUP(A999,'Refi Universe'!E:F,2,0)</f>
        <v>0.76666900999999998</v>
      </c>
    </row>
    <row r="1000" spans="1:11" ht="15" x14ac:dyDescent="0.25">
      <c r="A1000" s="14">
        <v>42037</v>
      </c>
      <c r="B1000" s="15">
        <v>343</v>
      </c>
      <c r="C1000" s="15">
        <v>343</v>
      </c>
      <c r="D1000" s="13"/>
      <c r="E1000" s="13"/>
      <c r="F1000" s="13"/>
      <c r="G1000" s="11">
        <v>0.66264885680248997</v>
      </c>
      <c r="J1000">
        <f>VLOOKUP(A1000,'YB OAS'!B:F,5,0)</f>
        <v>267.829407</v>
      </c>
      <c r="K1000" s="40">
        <f>VLOOKUP(A1000,'Refi Universe'!E:F,2,0)</f>
        <v>0.76793736999999995</v>
      </c>
    </row>
    <row r="1001" spans="1:11" ht="15" x14ac:dyDescent="0.25">
      <c r="A1001" s="14">
        <v>42038</v>
      </c>
      <c r="B1001" s="15">
        <v>276</v>
      </c>
      <c r="C1001" s="15">
        <v>276</v>
      </c>
      <c r="D1001" s="13"/>
      <c r="E1001" s="13"/>
      <c r="F1001" s="13"/>
      <c r="G1001" s="11">
        <v>0.68438167594716104</v>
      </c>
      <c r="J1001">
        <f>VLOOKUP(A1001,'YB OAS'!B:F,5,0)</f>
        <v>207.76040599999999</v>
      </c>
      <c r="K1001" s="40">
        <f>VLOOKUP(A1001,'Refi Universe'!E:F,2,0)</f>
        <v>0.67780158999999995</v>
      </c>
    </row>
    <row r="1002" spans="1:11" ht="15" x14ac:dyDescent="0.25">
      <c r="A1002" s="14">
        <v>42039</v>
      </c>
      <c r="B1002" s="15">
        <v>251</v>
      </c>
      <c r="C1002" s="15">
        <v>251</v>
      </c>
      <c r="D1002" s="13"/>
      <c r="E1002" s="13"/>
      <c r="F1002" s="13"/>
      <c r="G1002" s="11">
        <v>0.68438167594716104</v>
      </c>
      <c r="J1002">
        <f>VLOOKUP(A1002,'YB OAS'!B:F,5,0)</f>
        <v>189.963593</v>
      </c>
      <c r="K1002" s="40">
        <f>VLOOKUP(A1002,'Refi Universe'!E:F,2,0)</f>
        <v>0.65356482999999999</v>
      </c>
    </row>
    <row r="1003" spans="1:11" ht="15" x14ac:dyDescent="0.25">
      <c r="A1003" s="14">
        <v>42040</v>
      </c>
      <c r="B1003" s="15">
        <v>234</v>
      </c>
      <c r="C1003" s="15">
        <v>234</v>
      </c>
      <c r="D1003" s="13"/>
      <c r="E1003" s="13"/>
      <c r="F1003" s="13"/>
      <c r="G1003" s="11">
        <v>0.68438167594716104</v>
      </c>
      <c r="J1003">
        <f>VLOOKUP(A1003,'YB OAS'!B:F,5,0)</f>
        <v>171.50309799999999</v>
      </c>
      <c r="K1003" s="40">
        <f>VLOOKUP(A1003,'Refi Universe'!E:F,2,0)</f>
        <v>0.65571170999999995</v>
      </c>
    </row>
    <row r="1004" spans="1:11" ht="15" x14ac:dyDescent="0.25">
      <c r="A1004" s="14">
        <v>42041</v>
      </c>
      <c r="B1004" s="15">
        <v>165</v>
      </c>
      <c r="C1004" s="15">
        <v>165</v>
      </c>
      <c r="D1004" s="13"/>
      <c r="E1004" s="13"/>
      <c r="F1004" s="13"/>
      <c r="G1004" s="11">
        <v>0.68438167594716104</v>
      </c>
      <c r="J1004">
        <f>VLOOKUP(A1004,'YB OAS'!B:F,5,0)</f>
        <v>102.80239899999999</v>
      </c>
      <c r="K1004" s="40">
        <f>VLOOKUP(A1004,'Refi Universe'!E:F,2,0)</f>
        <v>0.61649233999999997</v>
      </c>
    </row>
    <row r="1005" spans="1:11" ht="15" x14ac:dyDescent="0.25">
      <c r="A1005" s="14">
        <v>42044</v>
      </c>
      <c r="B1005" s="15">
        <v>183</v>
      </c>
      <c r="C1005" s="15">
        <v>183</v>
      </c>
      <c r="D1005" s="13"/>
      <c r="E1005" s="13"/>
      <c r="F1005" s="13"/>
      <c r="G1005" s="11">
        <v>0.68438167594716104</v>
      </c>
      <c r="J1005">
        <f>VLOOKUP(A1005,'YB OAS'!B:F,5,0)</f>
        <v>106.9328</v>
      </c>
      <c r="K1005" s="40">
        <f>VLOOKUP(A1005,'Refi Universe'!E:F,2,0)</f>
        <v>0.61306892999999996</v>
      </c>
    </row>
    <row r="1006" spans="1:11" ht="15" x14ac:dyDescent="0.25">
      <c r="A1006" s="14">
        <v>42045</v>
      </c>
      <c r="B1006" s="15">
        <v>174</v>
      </c>
      <c r="C1006" s="15">
        <v>174</v>
      </c>
      <c r="D1006" s="13"/>
      <c r="E1006" s="13"/>
      <c r="F1006" s="13"/>
      <c r="G1006" s="11">
        <v>0.64890841265420796</v>
      </c>
      <c r="J1006">
        <f>VLOOKUP(A1006,'YB OAS'!B:F,5,0)</f>
        <v>99.339202999999998</v>
      </c>
      <c r="K1006" s="40">
        <f>VLOOKUP(A1006,'Refi Universe'!E:F,2,0)</f>
        <v>0.58853548</v>
      </c>
    </row>
    <row r="1007" spans="1:11" ht="15" x14ac:dyDescent="0.25">
      <c r="A1007" s="14">
        <v>42046</v>
      </c>
      <c r="B1007" s="15">
        <v>160</v>
      </c>
      <c r="C1007" s="15">
        <v>160</v>
      </c>
      <c r="D1007" s="13"/>
      <c r="E1007" s="13"/>
      <c r="F1007" s="13"/>
      <c r="G1007" s="11">
        <v>0.64890841265420796</v>
      </c>
      <c r="J1007">
        <f>VLOOKUP(A1007,'YB OAS'!B:F,5,0)</f>
        <v>100.193298</v>
      </c>
      <c r="K1007" s="40">
        <f>VLOOKUP(A1007,'Refi Universe'!E:F,2,0)</f>
        <v>0.62854273999999999</v>
      </c>
    </row>
    <row r="1008" spans="1:11" ht="15" x14ac:dyDescent="0.25">
      <c r="A1008" s="14">
        <v>42047</v>
      </c>
      <c r="B1008" s="15">
        <v>193</v>
      </c>
      <c r="C1008" s="15">
        <v>193</v>
      </c>
      <c r="D1008" s="13"/>
      <c r="E1008" s="13"/>
      <c r="F1008" s="13"/>
      <c r="G1008" s="11">
        <v>0.64890841265420796</v>
      </c>
      <c r="J1008">
        <f>VLOOKUP(A1008,'YB OAS'!B:F,5,0)</f>
        <v>121.028702</v>
      </c>
      <c r="K1008" s="40">
        <f>VLOOKUP(A1008,'Refi Universe'!E:F,2,0)</f>
        <v>0.63304419999999995</v>
      </c>
    </row>
    <row r="1009" spans="1:11" ht="15" x14ac:dyDescent="0.25">
      <c r="A1009" s="14">
        <v>42048</v>
      </c>
      <c r="B1009" s="15">
        <v>189</v>
      </c>
      <c r="C1009" s="15">
        <v>189</v>
      </c>
      <c r="D1009" s="13"/>
      <c r="E1009" s="13"/>
      <c r="F1009" s="13"/>
      <c r="G1009" s="11">
        <v>0.64890841265420796</v>
      </c>
      <c r="J1009">
        <f>VLOOKUP(A1009,'YB OAS'!B:F,5,0)</f>
        <v>110.01460299999999</v>
      </c>
      <c r="K1009" s="40">
        <f>VLOOKUP(A1009,'Refi Universe'!E:F,2,0)</f>
        <v>0.62768749999999995</v>
      </c>
    </row>
    <row r="1010" spans="1:11" ht="15" x14ac:dyDescent="0.25">
      <c r="A1010" s="14">
        <v>42052</v>
      </c>
      <c r="B1010" s="15">
        <v>127</v>
      </c>
      <c r="C1010" s="15">
        <v>127</v>
      </c>
      <c r="D1010" s="13"/>
      <c r="E1010" s="13"/>
      <c r="F1010" s="13"/>
      <c r="G1010" s="11">
        <v>0.64890841265420796</v>
      </c>
      <c r="J1010">
        <f>VLOOKUP(A1010,'YB OAS'!B:F,5,0)</f>
        <v>65.315804</v>
      </c>
      <c r="K1010" s="40">
        <f>VLOOKUP(A1010,'Refi Universe'!E:F,2,0)</f>
        <v>0.57876243000000005</v>
      </c>
    </row>
    <row r="1011" spans="1:11" ht="15" x14ac:dyDescent="0.25">
      <c r="A1011" s="14">
        <v>42053</v>
      </c>
      <c r="B1011" s="15">
        <v>159</v>
      </c>
      <c r="C1011" s="15">
        <v>159</v>
      </c>
      <c r="D1011" s="13"/>
      <c r="E1011" s="13"/>
      <c r="F1011" s="13"/>
      <c r="G1011" s="11">
        <v>0.63</v>
      </c>
      <c r="J1011">
        <f>VLOOKUP(A1011,'YB OAS'!B:F,5,0)</f>
        <v>88.631302000000005</v>
      </c>
      <c r="K1011" s="40">
        <f>VLOOKUP(A1011,'Refi Universe'!E:F,2,0)</f>
        <v>0.61774534000000003</v>
      </c>
    </row>
    <row r="1012" spans="1:11" ht="15" x14ac:dyDescent="0.25">
      <c r="A1012" s="14">
        <v>42054</v>
      </c>
      <c r="B1012" s="15">
        <v>141</v>
      </c>
      <c r="C1012" s="15">
        <v>141</v>
      </c>
      <c r="D1012" s="13"/>
      <c r="E1012" s="13"/>
      <c r="F1012" s="13"/>
      <c r="G1012" s="11">
        <v>0.63</v>
      </c>
      <c r="J1012">
        <f>VLOOKUP(A1012,'YB OAS'!B:F,5,0)</f>
        <v>64.126700999999997</v>
      </c>
      <c r="K1012" s="40">
        <f>VLOOKUP(A1012,'Refi Universe'!E:F,2,0)</f>
        <v>0.60779223000000004</v>
      </c>
    </row>
    <row r="1013" spans="1:11" ht="15" x14ac:dyDescent="0.25">
      <c r="A1013" s="14">
        <v>42055</v>
      </c>
      <c r="B1013" s="15">
        <v>137</v>
      </c>
      <c r="C1013" s="15">
        <v>137</v>
      </c>
      <c r="D1013" s="13"/>
      <c r="E1013" s="13"/>
      <c r="F1013" s="13"/>
      <c r="G1013" s="11">
        <v>0.63</v>
      </c>
      <c r="J1013">
        <f>VLOOKUP(A1013,'YB OAS'!B:F,5,0)</f>
        <v>59.553500999999997</v>
      </c>
      <c r="K1013" s="40">
        <f>VLOOKUP(A1013,'Refi Universe'!E:F,2,0)</f>
        <v>0.60118245999999997</v>
      </c>
    </row>
    <row r="1014" spans="1:11" ht="15" x14ac:dyDescent="0.25">
      <c r="A1014" s="14">
        <v>42058</v>
      </c>
      <c r="B1014" s="15">
        <v>148</v>
      </c>
      <c r="C1014" s="15">
        <v>148</v>
      </c>
      <c r="D1014" s="13"/>
      <c r="E1014" s="13"/>
      <c r="F1014" s="13"/>
      <c r="G1014" s="11">
        <v>0.63</v>
      </c>
      <c r="J1014">
        <f>VLOOKUP(A1014,'YB OAS'!B:F,5,0)</f>
        <v>69.043700999999999</v>
      </c>
      <c r="K1014" s="40">
        <f>VLOOKUP(A1014,'Refi Universe'!E:F,2,0)</f>
        <v>0.61867640999999995</v>
      </c>
    </row>
    <row r="1015" spans="1:11" ht="15" x14ac:dyDescent="0.25">
      <c r="A1015" s="14">
        <v>42059</v>
      </c>
      <c r="B1015" s="15">
        <v>145</v>
      </c>
      <c r="C1015" s="15">
        <v>145</v>
      </c>
      <c r="D1015" s="13"/>
      <c r="E1015" s="13"/>
      <c r="F1015" s="13"/>
      <c r="G1015" s="11">
        <v>0.61</v>
      </c>
      <c r="J1015">
        <f>VLOOKUP(A1015,'YB OAS'!B:F,5,0)</f>
        <v>97.909301999999997</v>
      </c>
      <c r="K1015" s="40">
        <f>VLOOKUP(A1015,'Refi Universe'!E:F,2,0)</f>
        <v>0.63591737999999998</v>
      </c>
    </row>
    <row r="1016" spans="1:11" ht="15" x14ac:dyDescent="0.25">
      <c r="A1016" s="14">
        <v>42060</v>
      </c>
      <c r="B1016" s="15">
        <v>176</v>
      </c>
      <c r="C1016" s="15">
        <v>176</v>
      </c>
      <c r="D1016" s="13"/>
      <c r="E1016" s="13"/>
      <c r="F1016" s="13"/>
      <c r="G1016" s="11">
        <v>0.61</v>
      </c>
      <c r="J1016">
        <f>VLOOKUP(A1016,'YB OAS'!B:F,5,0)</f>
        <v>92.138603000000003</v>
      </c>
      <c r="K1016" s="40">
        <f>VLOOKUP(A1016,'Refi Universe'!E:F,2,0)</f>
        <v>0.63216313999999996</v>
      </c>
    </row>
    <row r="1017" spans="1:11" ht="15" x14ac:dyDescent="0.25">
      <c r="A1017" s="14">
        <v>42061</v>
      </c>
      <c r="B1017" s="15">
        <v>158</v>
      </c>
      <c r="C1017" s="15">
        <v>158</v>
      </c>
      <c r="D1017" s="13"/>
      <c r="E1017" s="13"/>
      <c r="F1017" s="13"/>
      <c r="G1017" s="11">
        <v>0.61</v>
      </c>
      <c r="J1017">
        <f>VLOOKUP(A1017,'YB OAS'!B:F,5,0)</f>
        <v>73.909103000000002</v>
      </c>
      <c r="K1017" s="40">
        <f>VLOOKUP(A1017,'Refi Universe'!E:F,2,0)</f>
        <v>0.62146232000000001</v>
      </c>
    </row>
    <row r="1018" spans="1:11" ht="15" x14ac:dyDescent="0.25">
      <c r="A1018" s="14">
        <v>42062</v>
      </c>
      <c r="B1018" s="15">
        <v>146</v>
      </c>
      <c r="C1018" s="15">
        <v>146</v>
      </c>
      <c r="D1018" s="13"/>
      <c r="E1018" s="13"/>
      <c r="F1018" s="13"/>
      <c r="G1018" s="11">
        <v>0.61</v>
      </c>
      <c r="J1018">
        <f>VLOOKUP(A1018,'YB OAS'!B:F,5,0)</f>
        <v>68.107399000000001</v>
      </c>
      <c r="K1018" s="40">
        <f>VLOOKUP(A1018,'Refi Universe'!E:F,2,0)</f>
        <v>0.62925392000000002</v>
      </c>
    </row>
    <row r="1019" spans="1:11" ht="15" x14ac:dyDescent="0.25">
      <c r="A1019" s="14">
        <v>42065</v>
      </c>
      <c r="B1019" s="15">
        <v>148</v>
      </c>
      <c r="C1019" s="15">
        <v>148</v>
      </c>
      <c r="D1019" s="13"/>
      <c r="E1019" s="13"/>
      <c r="F1019" s="13"/>
      <c r="G1019" s="11">
        <v>0.61</v>
      </c>
      <c r="J1019">
        <f>VLOOKUP(A1019,'YB OAS'!B:F,5,0)</f>
        <v>53.752200999999999</v>
      </c>
      <c r="K1019" s="40">
        <f>VLOOKUP(A1019,'Refi Universe'!E:F,2,0)</f>
        <v>0.60068379999999999</v>
      </c>
    </row>
    <row r="1020" spans="1:11" ht="15" x14ac:dyDescent="0.25">
      <c r="A1020" s="14">
        <v>42066</v>
      </c>
      <c r="B1020" s="15">
        <v>139</v>
      </c>
      <c r="C1020" s="15">
        <v>139</v>
      </c>
      <c r="D1020" s="13"/>
      <c r="E1020" s="13"/>
      <c r="F1020" s="13"/>
      <c r="G1020" s="11">
        <v>0.62</v>
      </c>
      <c r="J1020">
        <f>VLOOKUP(A1020,'YB OAS'!B:F,5,0)</f>
        <v>53.718899</v>
      </c>
      <c r="K1020" s="40">
        <f>VLOOKUP(A1020,'Refi Universe'!E:F,2,0)</f>
        <v>0.58614091000000001</v>
      </c>
    </row>
    <row r="1021" spans="1:11" ht="15" x14ac:dyDescent="0.25">
      <c r="A1021" s="14">
        <v>42067</v>
      </c>
      <c r="B1021" s="15">
        <v>143</v>
      </c>
      <c r="C1021" s="15">
        <v>143</v>
      </c>
      <c r="D1021" s="13"/>
      <c r="E1021" s="13"/>
      <c r="F1021" s="13"/>
      <c r="G1021" s="11">
        <v>0.62</v>
      </c>
      <c r="J1021">
        <f>VLOOKUP(A1021,'YB OAS'!B:F,5,0)</f>
        <v>58.178398000000001</v>
      </c>
      <c r="K1021" s="40">
        <f>VLOOKUP(A1021,'Refi Universe'!E:F,2,0)</f>
        <v>0.60724995999999998</v>
      </c>
    </row>
    <row r="1022" spans="1:11" ht="15" x14ac:dyDescent="0.25">
      <c r="A1022" s="14">
        <v>42068</v>
      </c>
      <c r="B1022" s="15">
        <v>145</v>
      </c>
      <c r="C1022" s="15">
        <v>145</v>
      </c>
      <c r="D1022" s="13"/>
      <c r="E1022" s="13"/>
      <c r="F1022" s="13"/>
      <c r="G1022" s="11">
        <v>0.62</v>
      </c>
      <c r="J1022">
        <f>VLOOKUP(A1022,'YB OAS'!B:F,5,0)</f>
        <v>64.478202999999993</v>
      </c>
      <c r="K1022" s="40">
        <f>VLOOKUP(A1022,'Refi Universe'!E:F,2,0)</f>
        <v>0.61056266000000003</v>
      </c>
    </row>
    <row r="1023" spans="1:11" ht="15" x14ac:dyDescent="0.25">
      <c r="A1023" s="14">
        <v>42069</v>
      </c>
      <c r="B1023" s="15">
        <v>124</v>
      </c>
      <c r="C1023" s="15">
        <v>124</v>
      </c>
      <c r="D1023" s="13"/>
      <c r="E1023" s="13"/>
      <c r="F1023" s="13"/>
      <c r="G1023" s="11">
        <v>0.62</v>
      </c>
      <c r="J1023">
        <f>VLOOKUP(A1023,'YB OAS'!B:F,5,0)</f>
        <v>49.298800999999997</v>
      </c>
      <c r="K1023" s="40">
        <f>VLOOKUP(A1023,'Refi Universe'!E:F,2,0)</f>
        <v>0.5608168</v>
      </c>
    </row>
    <row r="1024" spans="1:11" ht="15" x14ac:dyDescent="0.25">
      <c r="A1024" s="14">
        <v>42072</v>
      </c>
      <c r="B1024" s="15">
        <v>124</v>
      </c>
      <c r="C1024" s="15">
        <v>124</v>
      </c>
      <c r="D1024" s="13"/>
      <c r="E1024" s="13"/>
      <c r="F1024" s="13"/>
      <c r="G1024" s="11">
        <v>0.62</v>
      </c>
      <c r="J1024">
        <f>VLOOKUP(A1024,'YB OAS'!B:F,5,0)</f>
        <v>45.909301999999997</v>
      </c>
      <c r="K1024" s="40">
        <f>VLOOKUP(A1024,'Refi Universe'!E:F,2,0)</f>
        <v>0.5745268</v>
      </c>
    </row>
    <row r="1025" spans="1:11" ht="15" x14ac:dyDescent="0.25">
      <c r="A1025" s="14">
        <v>42073</v>
      </c>
      <c r="B1025" s="15">
        <v>117</v>
      </c>
      <c r="C1025" s="15">
        <v>117</v>
      </c>
      <c r="D1025" s="13"/>
      <c r="E1025" s="13"/>
      <c r="F1025" s="13"/>
      <c r="G1025" s="11">
        <v>0.62</v>
      </c>
      <c r="J1025">
        <f>VLOOKUP(A1025,'YB OAS'!B:F,5,0)</f>
        <v>51.913502000000001</v>
      </c>
      <c r="K1025" s="40">
        <f>VLOOKUP(A1025,'Refi Universe'!E:F,2,0)</f>
        <v>0.59759189999999995</v>
      </c>
    </row>
    <row r="1026" spans="1:11" ht="15" x14ac:dyDescent="0.25">
      <c r="A1026" s="14">
        <v>42074</v>
      </c>
      <c r="B1026" s="15">
        <v>124</v>
      </c>
      <c r="C1026" s="15">
        <v>124</v>
      </c>
      <c r="D1026" s="13"/>
      <c r="E1026" s="13"/>
      <c r="F1026" s="13"/>
      <c r="G1026" s="11">
        <v>0.62</v>
      </c>
      <c r="J1026">
        <f>VLOOKUP(A1026,'YB OAS'!B:F,5,0)</f>
        <v>52.766201000000002</v>
      </c>
      <c r="K1026" s="40">
        <f>VLOOKUP(A1026,'Refi Universe'!E:F,2,0)</f>
        <v>0.59157618999999995</v>
      </c>
    </row>
    <row r="1027" spans="1:11" ht="15" x14ac:dyDescent="0.25">
      <c r="A1027" s="14">
        <v>42075</v>
      </c>
      <c r="B1027" s="15">
        <v>131</v>
      </c>
      <c r="C1027" s="15">
        <v>131</v>
      </c>
      <c r="D1027" s="13"/>
      <c r="E1027" s="13"/>
      <c r="F1027" s="13"/>
      <c r="G1027" s="11">
        <v>0.62</v>
      </c>
      <c r="J1027">
        <f>VLOOKUP(A1027,'YB OAS'!B:F,5,0)</f>
        <v>50.824798999999999</v>
      </c>
      <c r="K1027" s="40">
        <f>VLOOKUP(A1027,'Refi Universe'!E:F,2,0)</f>
        <v>0.59610173</v>
      </c>
    </row>
    <row r="1028" spans="1:11" ht="15" x14ac:dyDescent="0.25">
      <c r="A1028" s="14">
        <v>42076</v>
      </c>
      <c r="B1028" s="15">
        <v>127</v>
      </c>
      <c r="C1028" s="15">
        <v>127</v>
      </c>
      <c r="D1028" s="13"/>
      <c r="E1028" s="13"/>
      <c r="F1028" s="13"/>
      <c r="G1028" s="11">
        <v>0.62</v>
      </c>
      <c r="J1028">
        <f>VLOOKUP(A1028,'YB OAS'!B:F,5,0)</f>
        <v>48.744498999999998</v>
      </c>
      <c r="K1028" s="40">
        <f>VLOOKUP(A1028,'Refi Universe'!E:F,2,0)</f>
        <v>0.59032121000000004</v>
      </c>
    </row>
    <row r="1029" spans="1:11" ht="15" x14ac:dyDescent="0.25">
      <c r="A1029" s="14">
        <v>42079</v>
      </c>
      <c r="B1029" s="15">
        <v>131</v>
      </c>
      <c r="C1029" s="15">
        <v>131</v>
      </c>
      <c r="D1029" s="13"/>
      <c r="E1029" s="13"/>
      <c r="F1029" s="13"/>
      <c r="G1029" s="11">
        <v>0.57999999999999996</v>
      </c>
      <c r="J1029">
        <f>VLOOKUP(A1029,'YB OAS'!B:F,5,0)</f>
        <v>57.888598999999999</v>
      </c>
      <c r="K1029" s="40">
        <f>VLOOKUP(A1029,'Refi Universe'!E:F,2,0)</f>
        <v>0.59252170000000004</v>
      </c>
    </row>
    <row r="1030" spans="1:11" ht="15" x14ac:dyDescent="0.25">
      <c r="A1030" s="14">
        <v>42080</v>
      </c>
      <c r="B1030" s="15">
        <v>139</v>
      </c>
      <c r="C1030" s="15">
        <v>139</v>
      </c>
      <c r="D1030" s="13"/>
      <c r="E1030" s="13"/>
      <c r="F1030" s="13"/>
      <c r="G1030" s="11">
        <v>0.57999999999999996</v>
      </c>
      <c r="J1030">
        <f>VLOOKUP(A1030,'YB OAS'!B:F,5,0)</f>
        <v>52.278998999999999</v>
      </c>
      <c r="K1030" s="40">
        <f>VLOOKUP(A1030,'Refi Universe'!E:F,2,0)</f>
        <v>0.60466905000000004</v>
      </c>
    </row>
    <row r="1031" spans="1:11" ht="15" x14ac:dyDescent="0.25">
      <c r="A1031" s="14">
        <v>42081</v>
      </c>
      <c r="B1031" s="15">
        <v>179</v>
      </c>
      <c r="C1031" s="15">
        <v>179</v>
      </c>
      <c r="D1031" s="13"/>
      <c r="E1031" s="13"/>
      <c r="F1031" s="13"/>
      <c r="G1031" s="11">
        <v>0.57999999999999996</v>
      </c>
      <c r="J1031">
        <f>VLOOKUP(A1031,'YB OAS'!B:F,5,0)</f>
        <v>103.45320100000001</v>
      </c>
      <c r="K1031" s="40">
        <f>VLOOKUP(A1031,'Refi Universe'!E:F,2,0)</f>
        <v>0.64537546000000001</v>
      </c>
    </row>
    <row r="1032" spans="1:11" ht="15" x14ac:dyDescent="0.25">
      <c r="A1032" s="14">
        <v>42082</v>
      </c>
      <c r="B1032" s="15">
        <v>174</v>
      </c>
      <c r="C1032" s="15">
        <v>174</v>
      </c>
      <c r="D1032" s="13"/>
      <c r="E1032" s="13"/>
      <c r="F1032" s="13"/>
      <c r="G1032" s="11">
        <v>0.57999999999999996</v>
      </c>
      <c r="J1032">
        <f>VLOOKUP(A1032,'YB OAS'!B:F,5,0)</f>
        <v>82.913596999999996</v>
      </c>
      <c r="K1032" s="40">
        <f>VLOOKUP(A1032,'Refi Universe'!E:F,2,0)</f>
        <v>0.63880055000000002</v>
      </c>
    </row>
    <row r="1033" spans="1:11" ht="15" x14ac:dyDescent="0.25">
      <c r="A1033" s="14">
        <v>42083</v>
      </c>
      <c r="B1033" s="15">
        <v>176</v>
      </c>
      <c r="C1033" s="15">
        <v>176</v>
      </c>
      <c r="D1033" s="13"/>
      <c r="E1033" s="13"/>
      <c r="F1033" s="13"/>
      <c r="G1033" s="11">
        <v>0.61</v>
      </c>
      <c r="J1033">
        <f>VLOOKUP(A1033,'YB OAS'!B:F,5,0)</f>
        <v>85.858704000000003</v>
      </c>
      <c r="K1033" s="40">
        <f>VLOOKUP(A1033,'Refi Universe'!E:F,2,0)</f>
        <v>0.65412296000000003</v>
      </c>
    </row>
    <row r="1034" spans="1:11" ht="15" x14ac:dyDescent="0.25">
      <c r="A1034" s="14">
        <v>42086</v>
      </c>
      <c r="B1034" s="15">
        <v>176</v>
      </c>
      <c r="C1034" s="15">
        <v>176</v>
      </c>
      <c r="D1034" s="13"/>
      <c r="E1034" s="13"/>
      <c r="F1034" s="13"/>
      <c r="G1034" s="11">
        <v>0.61</v>
      </c>
      <c r="J1034">
        <f>VLOOKUP(A1034,'YB OAS'!B:F,5,0)</f>
        <v>89.513496000000004</v>
      </c>
      <c r="K1034" s="40">
        <f>VLOOKUP(A1034,'Refi Universe'!E:F,2,0)</f>
        <v>0.66015654000000001</v>
      </c>
    </row>
    <row r="1035" spans="1:11" ht="15" x14ac:dyDescent="0.25">
      <c r="A1035" s="14">
        <v>42087</v>
      </c>
      <c r="B1035" s="15">
        <v>172</v>
      </c>
      <c r="C1035" s="15">
        <v>172</v>
      </c>
      <c r="D1035" s="13"/>
      <c r="E1035" s="13"/>
      <c r="F1035" s="13"/>
      <c r="G1035" s="11">
        <v>0.61</v>
      </c>
      <c r="J1035">
        <f>VLOOKUP(A1035,'YB OAS'!B:F,5,0)</f>
        <v>88.927100999999993</v>
      </c>
      <c r="K1035" s="40">
        <f>VLOOKUP(A1035,'Refi Universe'!E:F,2,0)</f>
        <v>0.69357480999999999</v>
      </c>
    </row>
    <row r="1036" spans="1:11" ht="15" x14ac:dyDescent="0.25">
      <c r="A1036" s="14">
        <v>42088</v>
      </c>
      <c r="B1036" s="15">
        <v>176</v>
      </c>
      <c r="C1036" s="15">
        <v>176</v>
      </c>
      <c r="D1036" s="13"/>
      <c r="E1036" s="13"/>
      <c r="F1036" s="13"/>
      <c r="G1036" s="11">
        <v>0.61</v>
      </c>
      <c r="J1036">
        <f>VLOOKUP(A1036,'YB OAS'!B:F,5,0)</f>
        <v>85.953902999999997</v>
      </c>
      <c r="K1036" s="40">
        <f>VLOOKUP(A1036,'Refi Universe'!E:F,2,0)</f>
        <v>0.64140439000000005</v>
      </c>
    </row>
    <row r="1037" spans="1:11" ht="15" x14ac:dyDescent="0.25">
      <c r="A1037" s="14">
        <v>42089</v>
      </c>
      <c r="B1037" s="15">
        <v>165</v>
      </c>
      <c r="C1037" s="15">
        <v>165</v>
      </c>
      <c r="D1037" s="13"/>
      <c r="E1037" s="13"/>
      <c r="F1037" s="13"/>
      <c r="G1037" s="11">
        <v>0.61</v>
      </c>
      <c r="J1037">
        <f>VLOOKUP(A1037,'YB OAS'!B:F,5,0)</f>
        <v>80.209198000000001</v>
      </c>
      <c r="K1037" s="40">
        <f>VLOOKUP(A1037,'Refi Universe'!E:F,2,0)</f>
        <v>0.60937196000000005</v>
      </c>
    </row>
    <row r="1038" spans="1:11" ht="15" x14ac:dyDescent="0.25">
      <c r="A1038" s="14">
        <v>42090</v>
      </c>
      <c r="B1038" s="15">
        <v>156</v>
      </c>
      <c r="C1038" s="15">
        <v>156</v>
      </c>
      <c r="D1038" s="13"/>
      <c r="E1038" s="13"/>
      <c r="F1038" s="13"/>
      <c r="G1038" s="11">
        <v>0.64</v>
      </c>
      <c r="J1038">
        <f>VLOOKUP(A1038,'YB OAS'!B:F,5,0)</f>
        <v>71.301201000000006</v>
      </c>
      <c r="K1038" s="40">
        <f>VLOOKUP(A1038,'Refi Universe'!E:F,2,0)</f>
        <v>0.62801742999999999</v>
      </c>
    </row>
    <row r="1039" spans="1:11" ht="15" x14ac:dyDescent="0.25">
      <c r="A1039" s="14">
        <v>42093</v>
      </c>
      <c r="B1039" s="15">
        <v>165</v>
      </c>
      <c r="C1039" s="15">
        <v>165</v>
      </c>
      <c r="D1039" s="13"/>
      <c r="E1039" s="13"/>
      <c r="F1039" s="13"/>
      <c r="G1039" s="11">
        <v>0.64</v>
      </c>
      <c r="J1039">
        <f>VLOOKUP(A1039,'YB OAS'!B:F,5,0)</f>
        <v>76.362899999999996</v>
      </c>
      <c r="K1039" s="40">
        <f>VLOOKUP(A1039,'Refi Universe'!E:F,2,0)</f>
        <v>0.62881770999999997</v>
      </c>
    </row>
    <row r="1040" spans="1:11" ht="15" x14ac:dyDescent="0.25">
      <c r="A1040" s="14">
        <v>42094</v>
      </c>
      <c r="B1040" s="15">
        <v>172</v>
      </c>
      <c r="C1040" s="15">
        <v>172</v>
      </c>
      <c r="D1040" s="13"/>
      <c r="E1040" s="13"/>
      <c r="F1040" s="13"/>
      <c r="G1040" s="11">
        <v>0.64</v>
      </c>
      <c r="J1040">
        <f>VLOOKUP(A1040,'YB OAS'!B:F,5,0)</f>
        <v>90.348999000000006</v>
      </c>
      <c r="K1040" s="40">
        <f>VLOOKUP(A1040,'Refi Universe'!E:F,2,0)</f>
        <v>0.64278259999999998</v>
      </c>
    </row>
    <row r="1041" spans="1:12" ht="15" x14ac:dyDescent="0.25">
      <c r="A1041" s="14">
        <v>42095</v>
      </c>
      <c r="B1041" s="15">
        <v>181</v>
      </c>
      <c r="C1041" s="15">
        <v>181</v>
      </c>
      <c r="D1041" s="13"/>
      <c r="E1041" s="13"/>
      <c r="F1041" s="13"/>
      <c r="G1041" s="11">
        <v>0.64</v>
      </c>
      <c r="J1041">
        <f>VLOOKUP(A1041,'YB OAS'!B:F,5,0)</f>
        <v>92.643600000000006</v>
      </c>
      <c r="K1041" s="40">
        <f>VLOOKUP(A1041,'Refi Universe'!E:F,2,0)</f>
        <v>0.66718633000000005</v>
      </c>
    </row>
    <row r="1042" spans="1:12" ht="15" x14ac:dyDescent="0.25">
      <c r="A1042" s="14">
        <v>42096</v>
      </c>
      <c r="B1042" s="15">
        <v>175</v>
      </c>
      <c r="C1042" s="15">
        <v>175</v>
      </c>
      <c r="D1042" s="13"/>
      <c r="E1042" s="13"/>
      <c r="F1042" s="13"/>
      <c r="G1042" s="11">
        <v>0.64</v>
      </c>
      <c r="J1042">
        <f>VLOOKUP(A1042,'YB OAS'!B:F,5,0)</f>
        <v>87.216797</v>
      </c>
      <c r="K1042" s="40">
        <f>VLOOKUP(A1042,'Refi Universe'!E:F,2,0)</f>
        <v>0.63871856000000005</v>
      </c>
    </row>
    <row r="1043" spans="1:12" ht="15" x14ac:dyDescent="0.25">
      <c r="A1043" s="14">
        <v>42097</v>
      </c>
      <c r="B1043" s="15">
        <v>188</v>
      </c>
      <c r="C1043" s="15">
        <v>188</v>
      </c>
      <c r="D1043" s="13"/>
      <c r="E1043" s="13"/>
      <c r="F1043" s="13"/>
      <c r="G1043" s="11">
        <v>0.63</v>
      </c>
      <c r="J1043">
        <f>VLOOKUP(A1043,'YB OAS'!B:F,5,0)</f>
        <v>109.006897</v>
      </c>
      <c r="K1043" s="40">
        <f>VLOOKUP(A1043,'Refi Universe'!E:F,2,0)</f>
        <v>0.67304171000000002</v>
      </c>
    </row>
    <row r="1044" spans="1:12" ht="15" x14ac:dyDescent="0.25">
      <c r="A1044" s="14">
        <v>42100</v>
      </c>
      <c r="B1044" s="15">
        <v>187</v>
      </c>
      <c r="C1044" s="15">
        <v>187</v>
      </c>
      <c r="D1044" s="13"/>
      <c r="E1044" s="13"/>
      <c r="F1044" s="13"/>
      <c r="G1044" s="11">
        <v>0.63</v>
      </c>
      <c r="J1044">
        <f>VLOOKUP(A1044,'YB OAS'!B:F,5,0)</f>
        <v>109.935699</v>
      </c>
      <c r="K1044" s="40">
        <f>VLOOKUP(A1044,'Refi Universe'!E:F,2,0)</f>
        <v>0.64741552000000002</v>
      </c>
    </row>
    <row r="1045" spans="1:12" ht="15" x14ac:dyDescent="0.25">
      <c r="A1045" s="14">
        <v>42101</v>
      </c>
      <c r="B1045" s="15">
        <v>176</v>
      </c>
      <c r="C1045" s="15">
        <v>176</v>
      </c>
      <c r="D1045" s="13"/>
      <c r="E1045" s="13"/>
      <c r="F1045" s="13"/>
      <c r="G1045" s="11">
        <v>0.63</v>
      </c>
      <c r="J1045">
        <f>VLOOKUP(A1045,'YB OAS'!B:F,5,0)</f>
        <v>110.19699900000001</v>
      </c>
      <c r="K1045" s="40">
        <f>VLOOKUP(A1045,'Refi Universe'!E:F,2,0)</f>
        <v>0.64951369999999997</v>
      </c>
    </row>
    <row r="1046" spans="1:12" ht="15" x14ac:dyDescent="0.25">
      <c r="A1046" s="14">
        <v>42102</v>
      </c>
      <c r="B1046" s="15">
        <v>181</v>
      </c>
      <c r="C1046" s="15">
        <v>181</v>
      </c>
      <c r="D1046" s="13"/>
      <c r="E1046" s="13"/>
      <c r="F1046" s="13"/>
      <c r="G1046" s="11">
        <v>0.63</v>
      </c>
      <c r="J1046">
        <f>VLOOKUP(A1046,'YB OAS'!B:F,5,0)</f>
        <v>106.461197</v>
      </c>
      <c r="K1046" s="40">
        <f>VLOOKUP(A1046,'Refi Universe'!E:F,2,0)</f>
        <v>0.64690194999999995</v>
      </c>
    </row>
    <row r="1047" spans="1:12" ht="15" x14ac:dyDescent="0.25">
      <c r="A1047" s="14">
        <v>42103</v>
      </c>
      <c r="B1047" s="15">
        <v>185</v>
      </c>
      <c r="C1047" s="15">
        <v>185</v>
      </c>
      <c r="D1047" s="13"/>
      <c r="E1047" s="13"/>
      <c r="F1047" s="13"/>
      <c r="G1047" s="11">
        <v>0.63</v>
      </c>
      <c r="J1047">
        <f>VLOOKUP(A1047,'YB OAS'!B:F,5,0)</f>
        <v>109.697998</v>
      </c>
      <c r="K1047" s="40">
        <f>VLOOKUP(A1047,'Refi Universe'!E:F,2,0)</f>
        <v>0.63509870000000002</v>
      </c>
    </row>
    <row r="1048" spans="1:12" ht="15" x14ac:dyDescent="0.25">
      <c r="A1048" s="14">
        <v>42104</v>
      </c>
      <c r="B1048" s="15">
        <v>180</v>
      </c>
      <c r="C1048" s="15">
        <v>180</v>
      </c>
      <c r="D1048" s="13"/>
      <c r="E1048" s="13"/>
      <c r="F1048" s="13"/>
      <c r="G1048" s="11">
        <v>0.64</v>
      </c>
      <c r="J1048">
        <f>VLOOKUP(A1048,'YB OAS'!B:F,5,0)</f>
        <v>127.093498</v>
      </c>
      <c r="K1048" s="40">
        <f>VLOOKUP(A1048,'Refi Universe'!E:F,2,0)</f>
        <v>0.62711605000000004</v>
      </c>
    </row>
    <row r="1049" spans="1:12" ht="15" x14ac:dyDescent="0.25">
      <c r="A1049" s="14">
        <v>42107</v>
      </c>
      <c r="B1049" s="15">
        <v>194</v>
      </c>
      <c r="C1049" s="15">
        <v>194</v>
      </c>
      <c r="D1049" s="13"/>
      <c r="E1049" s="13"/>
      <c r="F1049" s="13"/>
      <c r="G1049" s="11">
        <v>0.64</v>
      </c>
      <c r="J1049">
        <f>VLOOKUP(A1049,'YB OAS'!B:F,5,0)</f>
        <v>130.75559999999999</v>
      </c>
      <c r="K1049" s="40">
        <f>VLOOKUP(A1049,'Refi Universe'!E:F,2,0)</f>
        <v>0.63732171999999998</v>
      </c>
    </row>
    <row r="1050" spans="1:12" ht="15" x14ac:dyDescent="0.25">
      <c r="A1050" s="24">
        <v>42108</v>
      </c>
      <c r="B1050" s="25">
        <v>203</v>
      </c>
      <c r="C1050" s="25">
        <v>203</v>
      </c>
      <c r="D1050" s="33"/>
      <c r="E1050" s="33"/>
      <c r="F1050" s="33"/>
      <c r="G1050" s="34">
        <v>0.64</v>
      </c>
      <c r="H1050" s="35"/>
      <c r="I1050" s="36"/>
      <c r="J1050">
        <f>VLOOKUP(A1050,'YB OAS'!B:F,5,0)</f>
        <v>138.28869599999999</v>
      </c>
      <c r="K1050" s="41">
        <f>VLOOKUP(A1050,'Refi Universe'!E:F,2,0)</f>
        <v>0.66014222</v>
      </c>
      <c r="L1050" s="10" t="s">
        <v>701</v>
      </c>
    </row>
    <row r="1051" spans="1:12" ht="15" x14ac:dyDescent="0.25">
      <c r="A1051" s="14">
        <v>42109</v>
      </c>
      <c r="B1051" s="15">
        <v>204</v>
      </c>
      <c r="C1051" s="15">
        <v>204</v>
      </c>
      <c r="D1051" s="13"/>
      <c r="E1051" s="13"/>
      <c r="F1051" s="13"/>
      <c r="G1051" s="11">
        <v>0.64</v>
      </c>
      <c r="J1051">
        <f>VLOOKUP(A1051,'YB OAS'!B:F,5,0)</f>
        <v>136.074905</v>
      </c>
      <c r="K1051" s="40">
        <f>VLOOKUP(A1051,'Refi Universe'!E:F,2,0)</f>
        <v>0.64826311000000003</v>
      </c>
    </row>
    <row r="1052" spans="1:12" ht="15" x14ac:dyDescent="0.25">
      <c r="A1052" s="14">
        <v>42110</v>
      </c>
      <c r="B1052" s="15">
        <v>203</v>
      </c>
      <c r="C1052" s="15">
        <v>203</v>
      </c>
      <c r="D1052" s="13"/>
      <c r="E1052" s="13"/>
      <c r="F1052" s="13"/>
      <c r="G1052" s="11">
        <v>0.64</v>
      </c>
      <c r="J1052">
        <f>VLOOKUP(A1052,'YB OAS'!B:F,5,0)</f>
        <v>139.176895</v>
      </c>
      <c r="K1052" s="40">
        <f>VLOOKUP(A1052,'Refi Universe'!E:F,2,0)</f>
        <v>0.65379001000000003</v>
      </c>
    </row>
    <row r="1053" spans="1:12" ht="15" x14ac:dyDescent="0.25">
      <c r="A1053" s="14">
        <v>42111</v>
      </c>
      <c r="B1053" s="15">
        <v>185</v>
      </c>
      <c r="C1053" s="15">
        <v>185</v>
      </c>
      <c r="D1053" s="13"/>
      <c r="E1053" s="13"/>
      <c r="F1053" s="13"/>
      <c r="G1053" s="11">
        <v>0.63</v>
      </c>
      <c r="J1053">
        <f>VLOOKUP(A1053,'YB OAS'!B:F,5,0)</f>
        <v>125.310097</v>
      </c>
      <c r="K1053" s="40">
        <f>VLOOKUP(A1053,'Refi Universe'!E:F,2,0)</f>
        <v>0.65890435000000003</v>
      </c>
    </row>
    <row r="1054" spans="1:12" ht="15" x14ac:dyDescent="0.25">
      <c r="A1054" s="14">
        <v>42114</v>
      </c>
      <c r="B1054" s="15">
        <v>182</v>
      </c>
      <c r="C1054" s="15">
        <v>182</v>
      </c>
      <c r="D1054" s="13"/>
      <c r="E1054" s="13"/>
      <c r="F1054" s="13"/>
      <c r="G1054" s="11">
        <v>0.63</v>
      </c>
      <c r="J1054">
        <f>VLOOKUP(A1054,'YB OAS'!B:F,5,0)</f>
        <v>115.679703</v>
      </c>
      <c r="K1054" s="40">
        <f>VLOOKUP(A1054,'Refi Universe'!E:F,2,0)</f>
        <v>0.64190619000000004</v>
      </c>
    </row>
    <row r="1055" spans="1:12" ht="15" x14ac:dyDescent="0.25">
      <c r="A1055" s="14">
        <v>42115</v>
      </c>
      <c r="B1055" s="15">
        <v>170</v>
      </c>
      <c r="C1055" s="15">
        <v>170</v>
      </c>
      <c r="D1055" s="13"/>
      <c r="E1055" s="13"/>
      <c r="F1055" s="13"/>
      <c r="G1055" s="11">
        <v>0.63</v>
      </c>
      <c r="J1055">
        <f>VLOOKUP(A1055,'YB OAS'!B:F,5,0)</f>
        <v>107.4842</v>
      </c>
      <c r="K1055" s="40">
        <f>VLOOKUP(A1055,'Refi Universe'!E:F,2,0)</f>
        <v>0.63233556000000002</v>
      </c>
    </row>
    <row r="1056" spans="1:12" ht="15" x14ac:dyDescent="0.25">
      <c r="A1056" s="14">
        <v>42116</v>
      </c>
      <c r="B1056" s="15">
        <v>153</v>
      </c>
      <c r="C1056" s="15">
        <v>153</v>
      </c>
      <c r="D1056" s="13"/>
      <c r="E1056" s="13"/>
      <c r="F1056" s="13"/>
      <c r="G1056" s="11">
        <v>0.63</v>
      </c>
      <c r="J1056">
        <f>VLOOKUP(A1056,'YB OAS'!B:F,5,0)</f>
        <v>99.495795999999999</v>
      </c>
      <c r="K1056" s="40">
        <f>VLOOKUP(A1056,'Refi Universe'!E:F,2,0)</f>
        <v>0.61916736999999999</v>
      </c>
    </row>
    <row r="1057" spans="1:11" ht="15" x14ac:dyDescent="0.25">
      <c r="A1057" s="14">
        <v>42117</v>
      </c>
      <c r="B1057" s="15">
        <v>167</v>
      </c>
      <c r="C1057" s="15">
        <v>167</v>
      </c>
      <c r="D1057" s="13"/>
      <c r="E1057" s="13"/>
      <c r="F1057" s="13"/>
      <c r="G1057" s="11">
        <v>0.63</v>
      </c>
      <c r="J1057">
        <f>VLOOKUP(A1057,'YB OAS'!B:F,5,0)</f>
        <v>99.143401999999995</v>
      </c>
      <c r="K1057" s="40">
        <f>VLOOKUP(A1057,'Refi Universe'!E:F,2,0)</f>
        <v>0.62872844000000006</v>
      </c>
    </row>
    <row r="1058" spans="1:11" ht="15" x14ac:dyDescent="0.25">
      <c r="A1058" s="14">
        <v>42118</v>
      </c>
      <c r="B1058" s="15">
        <v>156</v>
      </c>
      <c r="C1058" s="15">
        <v>156</v>
      </c>
      <c r="D1058" s="13"/>
      <c r="E1058" s="13"/>
      <c r="F1058" s="13"/>
      <c r="G1058" s="11">
        <v>0.63</v>
      </c>
      <c r="J1058">
        <f>VLOOKUP(A1058,'YB OAS'!B:F,5,0)</f>
        <v>100.383301</v>
      </c>
      <c r="K1058" s="40">
        <f>VLOOKUP(A1058,'Refi Universe'!E:F,2,0)</f>
        <v>0.63907605999999995</v>
      </c>
    </row>
    <row r="1059" spans="1:11" ht="15" x14ac:dyDescent="0.25">
      <c r="A1059" s="14">
        <v>42121</v>
      </c>
      <c r="B1059" s="15">
        <v>157</v>
      </c>
      <c r="C1059" s="15">
        <v>157</v>
      </c>
      <c r="D1059" s="13"/>
      <c r="E1059" s="13"/>
      <c r="F1059" s="13"/>
      <c r="G1059" s="11">
        <v>0.65</v>
      </c>
      <c r="J1059">
        <f>VLOOKUP(A1059,'YB OAS'!B:F,5,0)</f>
        <v>97.072700999999995</v>
      </c>
      <c r="K1059" s="40">
        <f>VLOOKUP(A1059,'Refi Universe'!E:F,2,0)</f>
        <v>0.63426943000000002</v>
      </c>
    </row>
    <row r="1060" spans="1:11" ht="15" x14ac:dyDescent="0.25">
      <c r="A1060" s="14">
        <v>42122</v>
      </c>
      <c r="B1060" s="15">
        <v>151</v>
      </c>
      <c r="C1060" s="15">
        <v>151</v>
      </c>
      <c r="D1060" s="13"/>
      <c r="E1060" s="13"/>
      <c r="F1060" s="13"/>
      <c r="G1060" s="11">
        <v>0.65</v>
      </c>
      <c r="J1060">
        <f>VLOOKUP(A1060,'YB OAS'!B:F,5,0)</f>
        <v>81.623901000000004</v>
      </c>
      <c r="K1060" s="40">
        <f>VLOOKUP(A1060,'Refi Universe'!E:F,2,0)</f>
        <v>0.6113807</v>
      </c>
    </row>
    <row r="1061" spans="1:11" ht="15" x14ac:dyDescent="0.25">
      <c r="A1061" s="14">
        <v>42123</v>
      </c>
      <c r="B1061" s="15">
        <v>137</v>
      </c>
      <c r="C1061" s="15">
        <v>137</v>
      </c>
      <c r="D1061" s="13"/>
      <c r="E1061" s="13"/>
      <c r="F1061" s="13"/>
      <c r="G1061" s="11">
        <v>0.65</v>
      </c>
      <c r="J1061">
        <f>VLOOKUP(A1061,'YB OAS'!B:F,5,0)</f>
        <v>74.139899999999997</v>
      </c>
      <c r="K1061" s="40">
        <f>VLOOKUP(A1061,'Refi Universe'!E:F,2,0)</f>
        <v>0.60890275999999999</v>
      </c>
    </row>
    <row r="1062" spans="1:11" ht="15" x14ac:dyDescent="0.25">
      <c r="A1062" s="14">
        <v>42124</v>
      </c>
      <c r="B1062" s="15">
        <v>121</v>
      </c>
      <c r="C1062" s="15">
        <v>121</v>
      </c>
      <c r="D1062" s="13"/>
      <c r="E1062" s="13"/>
      <c r="F1062" s="13"/>
      <c r="G1062" s="11">
        <v>0.64</v>
      </c>
      <c r="J1062">
        <f>VLOOKUP(A1062,'YB OAS'!B:F,5,0)</f>
        <v>70.966599000000002</v>
      </c>
      <c r="K1062" s="40">
        <f>VLOOKUP(A1062,'Refi Universe'!E:F,2,0)</f>
        <v>0.60856288999999997</v>
      </c>
    </row>
    <row r="1063" spans="1:11" ht="15" x14ac:dyDescent="0.25">
      <c r="A1063" s="14">
        <v>42125</v>
      </c>
      <c r="B1063" s="15">
        <v>129</v>
      </c>
      <c r="C1063" s="15">
        <v>129</v>
      </c>
      <c r="D1063" s="13"/>
      <c r="E1063" s="13"/>
      <c r="F1063" s="13"/>
      <c r="G1063" s="11">
        <v>0.64</v>
      </c>
      <c r="J1063">
        <f>VLOOKUP(A1063,'YB OAS'!B:F,5,0)</f>
        <v>63.666697999999997</v>
      </c>
      <c r="K1063" s="40">
        <f>VLOOKUP(A1063,'Refi Universe'!E:F,2,0)</f>
        <v>0.57527417999999997</v>
      </c>
    </row>
    <row r="1064" spans="1:11" ht="15" x14ac:dyDescent="0.25">
      <c r="A1064" s="14">
        <v>42128</v>
      </c>
      <c r="B1064" s="15">
        <v>115</v>
      </c>
      <c r="C1064" s="15">
        <v>115</v>
      </c>
      <c r="D1064" s="13"/>
      <c r="E1064" s="13"/>
      <c r="F1064" s="13"/>
      <c r="G1064" s="11">
        <v>0.64</v>
      </c>
      <c r="J1064">
        <f>VLOOKUP(A1064,'YB OAS'!B:F,5,0)</f>
        <v>60.739798999999998</v>
      </c>
      <c r="K1064" s="40">
        <f>VLOOKUP(A1064,'Refi Universe'!E:F,2,0)</f>
        <v>0.56343195999999995</v>
      </c>
    </row>
    <row r="1065" spans="1:11" ht="15" x14ac:dyDescent="0.25">
      <c r="A1065" s="14">
        <v>42129</v>
      </c>
      <c r="B1065" s="15">
        <v>99</v>
      </c>
      <c r="C1065" s="15">
        <v>99</v>
      </c>
      <c r="D1065" s="13"/>
      <c r="E1065" s="13"/>
      <c r="F1065" s="13"/>
      <c r="G1065" s="11">
        <v>0.64</v>
      </c>
      <c r="J1065">
        <f>VLOOKUP(A1065,'YB OAS'!B:F,5,0)</f>
        <v>43.620499000000002</v>
      </c>
      <c r="K1065" s="40">
        <f>VLOOKUP(A1065,'Refi Universe'!E:F,2,0)</f>
        <v>0.54434817000000002</v>
      </c>
    </row>
    <row r="1066" spans="1:11" ht="15" x14ac:dyDescent="0.25">
      <c r="A1066" s="14">
        <v>42130</v>
      </c>
      <c r="B1066" s="15">
        <v>94</v>
      </c>
      <c r="C1066" s="15">
        <v>94</v>
      </c>
      <c r="D1066" s="13"/>
      <c r="E1066" s="13"/>
      <c r="F1066" s="13"/>
      <c r="G1066" s="11">
        <v>0.64</v>
      </c>
      <c r="J1066">
        <f>VLOOKUP(A1066,'YB OAS'!B:F,5,0)</f>
        <v>40.097800999999997</v>
      </c>
      <c r="K1066" s="40">
        <f>VLOOKUP(A1066,'Refi Universe'!E:F,2,0)</f>
        <v>0.54383247000000001</v>
      </c>
    </row>
    <row r="1067" spans="1:11" ht="15" x14ac:dyDescent="0.25">
      <c r="A1067" s="14">
        <v>42131</v>
      </c>
      <c r="B1067" s="15">
        <v>92</v>
      </c>
      <c r="C1067" s="15">
        <v>92</v>
      </c>
      <c r="D1067" s="13"/>
      <c r="E1067" s="13"/>
      <c r="F1067" s="13"/>
      <c r="G1067" s="11">
        <v>0.57999999999999996</v>
      </c>
      <c r="J1067">
        <f>VLOOKUP(A1067,'YB OAS'!B:F,5,0)</f>
        <v>41.355998999999997</v>
      </c>
      <c r="K1067" s="40">
        <f>VLOOKUP(A1067,'Refi Universe'!E:F,2,0)</f>
        <v>0.57105379999999994</v>
      </c>
    </row>
    <row r="1068" spans="1:11" ht="15" x14ac:dyDescent="0.25">
      <c r="A1068" s="14">
        <v>42132</v>
      </c>
      <c r="B1068" s="15">
        <v>92</v>
      </c>
      <c r="C1068" s="15">
        <v>92</v>
      </c>
      <c r="D1068" s="13"/>
      <c r="E1068" s="13"/>
      <c r="F1068" s="13"/>
      <c r="G1068" s="11">
        <v>0.57999999999999996</v>
      </c>
      <c r="J1068">
        <f>VLOOKUP(A1068,'YB OAS'!B:F,5,0)</f>
        <v>56.278801000000001</v>
      </c>
      <c r="K1068" s="40">
        <f>VLOOKUP(A1068,'Refi Universe'!E:F,2,0)</f>
        <v>0.59227565999999998</v>
      </c>
    </row>
    <row r="1069" spans="1:11" ht="15" x14ac:dyDescent="0.25">
      <c r="A1069" s="14">
        <v>42135</v>
      </c>
      <c r="B1069" s="15">
        <v>100</v>
      </c>
      <c r="C1069" s="15">
        <v>100</v>
      </c>
      <c r="D1069" s="13"/>
      <c r="E1069" s="13"/>
      <c r="F1069" s="13"/>
      <c r="G1069" s="11">
        <v>0.57999999999999996</v>
      </c>
      <c r="J1069">
        <f>VLOOKUP(A1069,'YB OAS'!B:F,5,0)</f>
        <v>44.369900000000001</v>
      </c>
      <c r="K1069" s="40">
        <f>VLOOKUP(A1069,'Refi Universe'!E:F,2,0)</f>
        <v>0.54383247000000001</v>
      </c>
    </row>
    <row r="1070" spans="1:11" ht="15" x14ac:dyDescent="0.25">
      <c r="A1070" s="14">
        <v>42136</v>
      </c>
      <c r="B1070" s="15">
        <v>105</v>
      </c>
      <c r="C1070" s="15">
        <v>105</v>
      </c>
      <c r="D1070" s="13"/>
      <c r="E1070" s="13"/>
      <c r="F1070" s="13"/>
      <c r="G1070" s="11">
        <v>0.57999999999999996</v>
      </c>
      <c r="J1070">
        <f>VLOOKUP(A1070,'YB OAS'!B:F,5,0)</f>
        <v>45.197600999999999</v>
      </c>
      <c r="K1070" s="40">
        <f>VLOOKUP(A1070,'Refi Universe'!E:F,2,0)</f>
        <v>0.53697927999999995</v>
      </c>
    </row>
    <row r="1071" spans="1:11" ht="15" x14ac:dyDescent="0.25">
      <c r="A1071" s="14">
        <v>42137</v>
      </c>
      <c r="B1071" s="15">
        <v>106</v>
      </c>
      <c r="C1071" s="15">
        <v>106</v>
      </c>
      <c r="D1071" s="13"/>
      <c r="E1071" s="13"/>
      <c r="F1071" s="13"/>
      <c r="G1071" s="11">
        <v>0.57999999999999996</v>
      </c>
      <c r="J1071">
        <f>VLOOKUP(A1071,'YB OAS'!B:F,5,0)</f>
        <v>54.435501000000002</v>
      </c>
      <c r="K1071" s="40">
        <f>VLOOKUP(A1071,'Refi Universe'!E:F,2,0)</f>
        <v>0.53282945000000004</v>
      </c>
    </row>
    <row r="1072" spans="1:11" ht="15" x14ac:dyDescent="0.25">
      <c r="A1072" s="14">
        <v>42138</v>
      </c>
      <c r="B1072" s="15">
        <v>110</v>
      </c>
      <c r="C1072" s="15">
        <v>110</v>
      </c>
      <c r="D1072" s="13"/>
      <c r="E1072" s="13"/>
      <c r="F1072" s="13"/>
      <c r="G1072" s="11">
        <v>0.57999999999999996</v>
      </c>
      <c r="J1072">
        <f>VLOOKUP(A1072,'YB OAS'!B:F,5,0)</f>
        <v>67.711303999999998</v>
      </c>
      <c r="K1072" s="40">
        <f>VLOOKUP(A1072,'Refi Universe'!E:F,2,0)</f>
        <v>0.55462948999999995</v>
      </c>
    </row>
    <row r="1073" spans="1:11" ht="15" x14ac:dyDescent="0.25">
      <c r="A1073" s="14">
        <v>42139</v>
      </c>
      <c r="B1073" s="15">
        <v>120</v>
      </c>
      <c r="C1073" s="15">
        <v>120</v>
      </c>
      <c r="D1073" s="13"/>
      <c r="E1073" s="13"/>
      <c r="F1073" s="13"/>
      <c r="G1073" s="11">
        <v>0.56000000000000005</v>
      </c>
      <c r="J1073">
        <f>VLOOKUP(A1073,'YB OAS'!B:F,5,0)</f>
        <v>66.403503000000001</v>
      </c>
      <c r="K1073" s="40">
        <f>VLOOKUP(A1073,'Refi Universe'!E:F,2,0)</f>
        <v>0.58997149000000004</v>
      </c>
    </row>
    <row r="1074" spans="1:11" ht="15" x14ac:dyDescent="0.25">
      <c r="A1074" s="14">
        <v>42142</v>
      </c>
      <c r="B1074" s="15">
        <v>116</v>
      </c>
      <c r="C1074" s="15">
        <v>116</v>
      </c>
      <c r="D1074" s="13"/>
      <c r="E1074" s="13"/>
      <c r="F1074" s="13"/>
      <c r="G1074" s="11">
        <v>0.56000000000000005</v>
      </c>
      <c r="J1074">
        <f>VLOOKUP(A1074,'YB OAS'!B:F,5,0)</f>
        <v>61.451698</v>
      </c>
      <c r="K1074" s="40">
        <f>VLOOKUP(A1074,'Refi Universe'!E:F,2,0)</f>
        <v>0.56506259999999997</v>
      </c>
    </row>
    <row r="1075" spans="1:11" ht="15" x14ac:dyDescent="0.25">
      <c r="A1075" s="14">
        <v>42143</v>
      </c>
      <c r="B1075" s="15">
        <v>96</v>
      </c>
      <c r="C1075" s="15">
        <v>96</v>
      </c>
      <c r="D1075" s="13"/>
      <c r="E1075" s="13"/>
      <c r="F1075" s="13"/>
      <c r="G1075" s="11">
        <v>0.56000000000000005</v>
      </c>
      <c r="J1075">
        <f>VLOOKUP(A1075,'YB OAS'!B:F,5,0)</f>
        <v>51.1721</v>
      </c>
      <c r="K1075" s="40">
        <f>VLOOKUP(A1075,'Refi Universe'!E:F,2,0)</f>
        <v>0.54660865999999997</v>
      </c>
    </row>
    <row r="1076" spans="1:11" ht="15" x14ac:dyDescent="0.25">
      <c r="A1076" s="14">
        <v>42144</v>
      </c>
      <c r="B1076" s="15">
        <v>105</v>
      </c>
      <c r="C1076" s="15">
        <v>105</v>
      </c>
      <c r="D1076" s="13"/>
      <c r="E1076" s="13"/>
      <c r="F1076" s="13"/>
      <c r="G1076" s="11">
        <v>0.56000000000000005</v>
      </c>
      <c r="J1076">
        <f>VLOOKUP(A1076,'YB OAS'!B:F,5,0)</f>
        <v>55.920399000000003</v>
      </c>
      <c r="K1076" s="40">
        <f>VLOOKUP(A1076,'Refi Universe'!E:F,2,0)</f>
        <v>0.54219410999999995</v>
      </c>
    </row>
    <row r="1077" spans="1:11" ht="15" x14ac:dyDescent="0.25">
      <c r="A1077" s="14">
        <v>42145</v>
      </c>
      <c r="B1077" s="15">
        <v>132</v>
      </c>
      <c r="C1077" s="15">
        <v>132</v>
      </c>
      <c r="D1077" s="13"/>
      <c r="E1077" s="13"/>
      <c r="F1077" s="13"/>
      <c r="G1077" s="11">
        <v>0.56000000000000005</v>
      </c>
      <c r="J1077">
        <f>VLOOKUP(A1077,'YB OAS'!B:F,5,0)</f>
        <v>65.277901</v>
      </c>
      <c r="K1077" s="40">
        <f>VLOOKUP(A1077,'Refi Universe'!E:F,2,0)</f>
        <v>0.56754351999999997</v>
      </c>
    </row>
    <row r="1078" spans="1:11" ht="15" x14ac:dyDescent="0.25">
      <c r="A1078" s="14">
        <v>42146</v>
      </c>
      <c r="B1078" s="15">
        <v>118</v>
      </c>
      <c r="C1078" s="15">
        <v>118</v>
      </c>
      <c r="D1078" s="13"/>
      <c r="E1078" s="13"/>
      <c r="F1078" s="13"/>
      <c r="G1078" s="11">
        <v>0.55000000000000004</v>
      </c>
      <c r="J1078">
        <f>VLOOKUP(A1078,'YB OAS'!B:F,5,0)</f>
        <v>47.527000000000001</v>
      </c>
      <c r="K1078" s="40">
        <f>VLOOKUP(A1078,'Refi Universe'!E:F,2,0)</f>
        <v>0.55246136000000001</v>
      </c>
    </row>
    <row r="1079" spans="1:11" ht="15" x14ac:dyDescent="0.25">
      <c r="A1079" s="14">
        <v>42150</v>
      </c>
      <c r="B1079" s="15">
        <v>128</v>
      </c>
      <c r="C1079" s="15">
        <v>128</v>
      </c>
      <c r="D1079" s="13"/>
      <c r="E1079" s="13"/>
      <c r="F1079" s="13"/>
      <c r="G1079" s="11">
        <v>0.55000000000000004</v>
      </c>
      <c r="J1079">
        <f>VLOOKUP(A1079,'YB OAS'!B:F,5,0)</f>
        <v>59.977699000000001</v>
      </c>
      <c r="K1079" s="40">
        <f>VLOOKUP(A1079,'Refi Universe'!E:F,2,0)</f>
        <v>0.57070580999999998</v>
      </c>
    </row>
    <row r="1080" spans="1:11" ht="15" x14ac:dyDescent="0.25">
      <c r="A1080" s="14">
        <v>42151</v>
      </c>
      <c r="B1080" s="15">
        <v>119</v>
      </c>
      <c r="C1080" s="15">
        <v>119</v>
      </c>
      <c r="D1080" s="13"/>
      <c r="E1080" s="13"/>
      <c r="F1080" s="13"/>
      <c r="G1080" s="11">
        <v>0.55000000000000004</v>
      </c>
      <c r="J1080">
        <f>VLOOKUP(A1080,'YB OAS'!B:F,5,0)</f>
        <v>59.118099000000001</v>
      </c>
      <c r="K1080" s="40">
        <f>VLOOKUP(A1080,'Refi Universe'!E:F,2,0)</f>
        <v>0.55839386999999996</v>
      </c>
    </row>
    <row r="1081" spans="1:11" ht="15" x14ac:dyDescent="0.25">
      <c r="A1081" s="14">
        <v>42152</v>
      </c>
      <c r="B1081" s="15">
        <v>124</v>
      </c>
      <c r="C1081" s="15">
        <v>124</v>
      </c>
      <c r="D1081" s="13"/>
      <c r="E1081" s="13"/>
      <c r="F1081" s="13"/>
      <c r="G1081" s="11">
        <v>0.55000000000000004</v>
      </c>
      <c r="J1081">
        <f>VLOOKUP(A1081,'YB OAS'!B:F,5,0)</f>
        <v>63.244598000000003</v>
      </c>
      <c r="K1081" s="40">
        <f>VLOOKUP(A1081,'Refi Universe'!E:F,2,0)</f>
        <v>0.56120232000000003</v>
      </c>
    </row>
    <row r="1082" spans="1:11" ht="15" x14ac:dyDescent="0.25">
      <c r="A1082" s="14">
        <v>42153</v>
      </c>
      <c r="B1082" s="15">
        <v>124</v>
      </c>
      <c r="C1082" s="15">
        <v>124</v>
      </c>
      <c r="D1082" s="13"/>
      <c r="E1082" s="13"/>
      <c r="F1082" s="13"/>
      <c r="G1082" s="11">
        <v>0.55000000000000004</v>
      </c>
      <c r="J1082">
        <f>VLOOKUP(A1082,'YB OAS'!B:F,5,0)</f>
        <v>61.723098999999998</v>
      </c>
      <c r="K1082" s="40">
        <f>VLOOKUP(A1082,'Refi Universe'!E:F,2,0)</f>
        <v>0.57203724</v>
      </c>
    </row>
    <row r="1083" spans="1:11" ht="15" x14ac:dyDescent="0.25">
      <c r="A1083" s="14">
        <v>42156</v>
      </c>
      <c r="B1083" s="15">
        <v>120</v>
      </c>
      <c r="C1083" s="15">
        <v>120</v>
      </c>
      <c r="D1083" s="13"/>
      <c r="E1083" s="13"/>
      <c r="F1083" s="13"/>
      <c r="G1083" s="11">
        <v>0.55000000000000004</v>
      </c>
      <c r="J1083">
        <f>VLOOKUP(A1083,'YB OAS'!B:F,5,0)</f>
        <v>55.639999000000003</v>
      </c>
      <c r="K1083" s="40">
        <f>VLOOKUP(A1083,'Refi Universe'!E:F,2,0)</f>
        <v>0.52927780000000002</v>
      </c>
    </row>
    <row r="1084" spans="1:11" ht="15" x14ac:dyDescent="0.25">
      <c r="A1084" s="14">
        <v>42157</v>
      </c>
      <c r="B1084" s="15">
        <v>106</v>
      </c>
      <c r="C1084" s="15">
        <v>106</v>
      </c>
      <c r="D1084" s="13"/>
      <c r="E1084" s="13"/>
      <c r="F1084" s="13"/>
      <c r="G1084" s="11">
        <v>0.55000000000000004</v>
      </c>
      <c r="J1084">
        <f>VLOOKUP(A1084,'YB OAS'!B:F,5,0)</f>
        <v>49.394699000000003</v>
      </c>
      <c r="K1084" s="40">
        <f>VLOOKUP(A1084,'Refi Universe'!E:F,2,0)</f>
        <v>0.50560183999999997</v>
      </c>
    </row>
    <row r="1085" spans="1:11" ht="15" x14ac:dyDescent="0.25">
      <c r="A1085" s="14">
        <v>42158</v>
      </c>
      <c r="B1085" s="15">
        <v>109</v>
      </c>
      <c r="C1085" s="15">
        <v>109</v>
      </c>
      <c r="D1085" s="13"/>
      <c r="E1085" s="13"/>
      <c r="F1085" s="13"/>
      <c r="G1085" s="11">
        <v>0.55000000000000004</v>
      </c>
      <c r="J1085">
        <f>VLOOKUP(A1085,'YB OAS'!B:F,5,0)</f>
        <v>42.030399000000003</v>
      </c>
      <c r="K1085" s="40">
        <f>VLOOKUP(A1085,'Refi Universe'!E:F,2,0)</f>
        <v>0.46091277000000003</v>
      </c>
    </row>
    <row r="1086" spans="1:11" ht="15" x14ac:dyDescent="0.25">
      <c r="A1086" s="14">
        <v>42159</v>
      </c>
      <c r="B1086" s="15">
        <v>112</v>
      </c>
      <c r="C1086" s="15">
        <v>112</v>
      </c>
      <c r="D1086" s="13"/>
      <c r="E1086" s="13"/>
      <c r="F1086" s="13"/>
      <c r="G1086" s="11">
        <v>0.54</v>
      </c>
      <c r="J1086">
        <f>VLOOKUP(A1086,'YB OAS'!B:F,5,0)</f>
        <v>45.790599999999998</v>
      </c>
      <c r="K1086" s="40">
        <f>VLOOKUP(A1086,'Refi Universe'!E:F,2,0)</f>
        <v>0.49867202999999999</v>
      </c>
    </row>
    <row r="1087" spans="1:11" ht="15" x14ac:dyDescent="0.25">
      <c r="A1087" s="14">
        <v>42160</v>
      </c>
      <c r="B1087" s="15">
        <v>87</v>
      </c>
      <c r="C1087" s="15">
        <v>87</v>
      </c>
      <c r="D1087" s="13"/>
      <c r="E1087" s="13"/>
      <c r="F1087" s="13"/>
      <c r="G1087" s="11">
        <v>0.54</v>
      </c>
      <c r="J1087">
        <f>VLOOKUP(A1087,'YB OAS'!B:F,5,0)</f>
        <v>32.251399999999997</v>
      </c>
      <c r="K1087" s="40">
        <f>VLOOKUP(A1087,'Refi Universe'!E:F,2,0)</f>
        <v>0.43004924</v>
      </c>
    </row>
    <row r="1088" spans="1:11" ht="15" x14ac:dyDescent="0.25">
      <c r="A1088" s="14">
        <v>42163</v>
      </c>
      <c r="B1088" s="15">
        <v>88</v>
      </c>
      <c r="C1088" s="15">
        <v>88</v>
      </c>
      <c r="D1088" s="13"/>
      <c r="E1088" s="13"/>
      <c r="F1088" s="13"/>
      <c r="G1088" s="11">
        <v>0.54</v>
      </c>
      <c r="J1088">
        <f>VLOOKUP(A1088,'YB OAS'!B:F,5,0)</f>
        <v>36.173000000000002</v>
      </c>
      <c r="K1088" s="40">
        <f>VLOOKUP(A1088,'Refi Universe'!E:F,2,0)</f>
        <v>0.45300783</v>
      </c>
    </row>
    <row r="1089" spans="1:12" ht="15" x14ac:dyDescent="0.25">
      <c r="A1089" s="14">
        <v>42164</v>
      </c>
      <c r="B1089" s="15">
        <v>87</v>
      </c>
      <c r="C1089" s="15">
        <v>87</v>
      </c>
      <c r="D1089" s="13"/>
      <c r="E1089" s="13"/>
      <c r="F1089" s="13"/>
      <c r="G1089" s="11">
        <v>0.54</v>
      </c>
      <c r="J1089">
        <f>VLOOKUP(A1089,'YB OAS'!B:F,5,0)</f>
        <v>37.133499</v>
      </c>
      <c r="K1089" s="40">
        <f>VLOOKUP(A1089,'Refi Universe'!E:F,2,0)</f>
        <v>0.42406532000000002</v>
      </c>
    </row>
    <row r="1090" spans="1:12" ht="15" x14ac:dyDescent="0.25">
      <c r="A1090" s="14">
        <v>42165</v>
      </c>
      <c r="B1090" s="15">
        <v>84</v>
      </c>
      <c r="C1090" s="15">
        <v>84</v>
      </c>
      <c r="D1090" s="13"/>
      <c r="E1090" s="13"/>
      <c r="F1090" s="13"/>
      <c r="G1090" s="11">
        <v>0.54</v>
      </c>
      <c r="J1090">
        <f>VLOOKUP(A1090,'YB OAS'!B:F,5,0)</f>
        <v>32.290100000000002</v>
      </c>
      <c r="K1090" s="40">
        <f>VLOOKUP(A1090,'Refi Universe'!E:F,2,0)</f>
        <v>0.40268363000000001</v>
      </c>
    </row>
    <row r="1091" spans="1:12" ht="15" x14ac:dyDescent="0.25">
      <c r="A1091" s="14">
        <v>42166</v>
      </c>
      <c r="B1091" s="15">
        <v>86</v>
      </c>
      <c r="C1091" s="15">
        <v>86</v>
      </c>
      <c r="D1091" s="13"/>
      <c r="E1091" s="13"/>
      <c r="F1091" s="13"/>
      <c r="G1091" s="11">
        <v>0.54</v>
      </c>
      <c r="J1091">
        <f>VLOOKUP(A1091,'YB OAS'!B:F,5,0)</f>
        <v>40.877701000000002</v>
      </c>
      <c r="K1091" s="40">
        <f>VLOOKUP(A1091,'Refi Universe'!E:F,2,0)</f>
        <v>0.47962304</v>
      </c>
    </row>
    <row r="1092" spans="1:12" ht="15" x14ac:dyDescent="0.25">
      <c r="A1092" s="14">
        <v>42167</v>
      </c>
      <c r="B1092" s="15">
        <v>93</v>
      </c>
      <c r="C1092" s="15">
        <v>93</v>
      </c>
      <c r="D1092" s="13"/>
      <c r="E1092" s="13"/>
      <c r="F1092" s="13"/>
      <c r="G1092" s="11">
        <v>0.45</v>
      </c>
      <c r="J1092">
        <f>VLOOKUP(A1092,'YB OAS'!B:F,5,0)</f>
        <v>40.369801000000002</v>
      </c>
      <c r="K1092" s="40">
        <f>VLOOKUP(A1092,'Refi Universe'!E:F,2,0)</f>
        <v>0.46608720999999997</v>
      </c>
    </row>
    <row r="1093" spans="1:12" ht="15" x14ac:dyDescent="0.25">
      <c r="A1093" s="14">
        <v>42170</v>
      </c>
      <c r="B1093" s="15">
        <v>101</v>
      </c>
      <c r="C1093" s="15">
        <v>101</v>
      </c>
      <c r="D1093" s="13"/>
      <c r="E1093" s="13"/>
      <c r="F1093" s="13"/>
      <c r="G1093" s="11">
        <v>0.45</v>
      </c>
      <c r="J1093">
        <f>VLOOKUP(A1093,'YB OAS'!B:F,5,0)</f>
        <v>40.040999999999997</v>
      </c>
      <c r="K1093" s="40">
        <f>VLOOKUP(A1093,'Refi Universe'!E:F,2,0)</f>
        <v>0.47166384</v>
      </c>
    </row>
    <row r="1094" spans="1:12" ht="15" x14ac:dyDescent="0.25">
      <c r="A1094" s="14">
        <v>42171</v>
      </c>
      <c r="B1094" s="15">
        <v>101</v>
      </c>
      <c r="C1094" s="15">
        <v>101</v>
      </c>
      <c r="D1094" s="13"/>
      <c r="E1094" s="13"/>
      <c r="F1094" s="13"/>
      <c r="G1094" s="11">
        <v>0.45</v>
      </c>
      <c r="J1094">
        <f>VLOOKUP(A1094,'YB OAS'!B:F,5,0)</f>
        <v>39.193297999999999</v>
      </c>
      <c r="K1094" s="40">
        <f>VLOOKUP(A1094,'Refi Universe'!E:F,2,0)</f>
        <v>0.49552404999999999</v>
      </c>
    </row>
    <row r="1095" spans="1:12" ht="15" x14ac:dyDescent="0.25">
      <c r="A1095" s="14">
        <v>42172</v>
      </c>
      <c r="B1095" s="15">
        <v>95</v>
      </c>
      <c r="C1095" s="15">
        <v>95</v>
      </c>
      <c r="D1095" s="13"/>
      <c r="E1095" s="13"/>
      <c r="F1095" s="13"/>
      <c r="G1095" s="11">
        <v>0.45</v>
      </c>
      <c r="J1095">
        <f>VLOOKUP(A1095,'YB OAS'!B:F,5,0)</f>
        <v>41.273499000000001</v>
      </c>
      <c r="K1095" s="40">
        <f>VLOOKUP(A1095,'Refi Universe'!E:F,2,0)</f>
        <v>0.49291583999999999</v>
      </c>
    </row>
    <row r="1096" spans="1:12" ht="15" x14ac:dyDescent="0.25">
      <c r="A1096" s="14">
        <v>42173</v>
      </c>
      <c r="B1096" s="15">
        <v>89</v>
      </c>
      <c r="C1096" s="15">
        <v>89</v>
      </c>
      <c r="D1096" s="13"/>
      <c r="E1096" s="13"/>
      <c r="F1096" s="13"/>
      <c r="G1096" s="11">
        <v>0.45</v>
      </c>
      <c r="J1096">
        <f>VLOOKUP(A1096,'YB OAS'!B:F,5,0)</f>
        <v>38.582099999999997</v>
      </c>
      <c r="K1096" s="40">
        <f>VLOOKUP(A1096,'Refi Universe'!E:F,2,0)</f>
        <v>0.48320742999999999</v>
      </c>
    </row>
    <row r="1097" spans="1:12" ht="15" x14ac:dyDescent="0.25">
      <c r="A1097" s="14">
        <v>42174</v>
      </c>
      <c r="B1097" s="15">
        <v>93</v>
      </c>
      <c r="C1097" s="15">
        <v>93</v>
      </c>
      <c r="D1097" s="13"/>
      <c r="E1097" s="13"/>
      <c r="F1097" s="13"/>
      <c r="G1097" s="11">
        <v>0.47</v>
      </c>
      <c r="J1097">
        <f>VLOOKUP(A1097,'YB OAS'!B:F,5,0)</f>
        <v>34.370499000000002</v>
      </c>
      <c r="K1097" s="40">
        <f>VLOOKUP(A1097,'Refi Universe'!E:F,2,0)</f>
        <v>0.51637186999999996</v>
      </c>
    </row>
    <row r="1098" spans="1:12" ht="15" x14ac:dyDescent="0.25">
      <c r="A1098" s="14">
        <v>42177</v>
      </c>
      <c r="B1098" s="15">
        <v>91</v>
      </c>
      <c r="C1098" s="15">
        <v>91</v>
      </c>
      <c r="D1098" s="13"/>
      <c r="E1098" s="13"/>
      <c r="F1098" s="13"/>
      <c r="G1098" s="11">
        <v>0.47</v>
      </c>
      <c r="J1098">
        <f>VLOOKUP(A1098,'YB OAS'!B:F,5,0)</f>
        <v>32.802298999999998</v>
      </c>
      <c r="K1098" s="40">
        <f>VLOOKUP(A1098,'Refi Universe'!E:F,2,0)</f>
        <v>0.45692780999999999</v>
      </c>
    </row>
    <row r="1099" spans="1:12" ht="15" x14ac:dyDescent="0.25">
      <c r="A1099" s="14">
        <v>42178</v>
      </c>
      <c r="B1099" s="15">
        <v>84</v>
      </c>
      <c r="C1099" s="15">
        <v>84</v>
      </c>
      <c r="D1099" s="13"/>
      <c r="E1099" s="13"/>
      <c r="F1099" s="13"/>
      <c r="G1099" s="11">
        <v>0.47</v>
      </c>
      <c r="J1099">
        <f>VLOOKUP(A1099,'YB OAS'!B:F,5,0)</f>
        <v>32.325001</v>
      </c>
      <c r="K1099" s="40">
        <f>VLOOKUP(A1099,'Refi Universe'!E:F,2,0)</f>
        <v>0.42691006999999997</v>
      </c>
    </row>
    <row r="1100" spans="1:12" ht="15" x14ac:dyDescent="0.25">
      <c r="A1100" s="14">
        <v>42179</v>
      </c>
      <c r="B1100" s="15">
        <v>91</v>
      </c>
      <c r="C1100" s="15">
        <v>91</v>
      </c>
      <c r="D1100" s="13"/>
      <c r="E1100" s="13"/>
      <c r="F1100" s="13"/>
      <c r="G1100" s="11">
        <v>0.47</v>
      </c>
      <c r="J1100">
        <f>VLOOKUP(A1100,'YB OAS'!B:F,5,0)</f>
        <v>35.141399</v>
      </c>
      <c r="K1100" s="40">
        <f>VLOOKUP(A1100,'Refi Universe'!E:F,2,0)</f>
        <v>0.43110091</v>
      </c>
    </row>
    <row r="1101" spans="1:12" ht="15" x14ac:dyDescent="0.25">
      <c r="A1101" s="14">
        <v>42180</v>
      </c>
      <c r="B1101" s="15">
        <v>89</v>
      </c>
      <c r="C1101" s="15">
        <v>89</v>
      </c>
      <c r="D1101" s="13"/>
      <c r="E1101" s="13"/>
      <c r="F1101" s="13"/>
      <c r="G1101" s="11">
        <v>0.45</v>
      </c>
      <c r="J1101">
        <f>VLOOKUP(A1101,'YB OAS'!B:F,5,0)</f>
        <v>35.195098999999999</v>
      </c>
      <c r="K1101" s="40">
        <f>VLOOKUP(A1101,'Refi Universe'!E:F,2,0)</f>
        <v>0.41325156000000002</v>
      </c>
    </row>
    <row r="1102" spans="1:12" ht="15" x14ac:dyDescent="0.25">
      <c r="A1102" s="14">
        <v>42181</v>
      </c>
      <c r="B1102" s="15">
        <v>85</v>
      </c>
      <c r="C1102" s="15">
        <v>85</v>
      </c>
      <c r="D1102" s="13"/>
      <c r="E1102" s="13"/>
      <c r="F1102" s="13"/>
      <c r="G1102" s="11">
        <v>0.45</v>
      </c>
      <c r="J1102">
        <f>VLOOKUP(A1102,'YB OAS'!B:F,5,0)</f>
        <v>34.680900999999999</v>
      </c>
      <c r="K1102" s="40">
        <f>VLOOKUP(A1102,'Refi Universe'!E:F,2,0)</f>
        <v>0.35438286000000002</v>
      </c>
      <c r="L1102" s="10" t="s">
        <v>697</v>
      </c>
    </row>
    <row r="1103" spans="1:12" ht="15" x14ac:dyDescent="0.25">
      <c r="A1103" s="14">
        <v>42184</v>
      </c>
      <c r="B1103" s="15">
        <v>102</v>
      </c>
      <c r="C1103" s="15">
        <v>102</v>
      </c>
      <c r="D1103" s="13"/>
      <c r="E1103" s="13"/>
      <c r="F1103" s="13"/>
      <c r="G1103" s="11">
        <v>0.45</v>
      </c>
      <c r="J1103">
        <f>VLOOKUP(A1103,'YB OAS'!B:F,5,0)</f>
        <v>37.764400000000002</v>
      </c>
      <c r="K1103" s="40">
        <f>VLOOKUP(A1103,'Refi Universe'!E:F,2,0)</f>
        <v>0.43423267999999998</v>
      </c>
      <c r="L1103" s="18">
        <v>102</v>
      </c>
    </row>
    <row r="1104" spans="1:12" ht="15" x14ac:dyDescent="0.25">
      <c r="A1104" s="14">
        <v>42185</v>
      </c>
      <c r="B1104" s="15">
        <v>104</v>
      </c>
      <c r="C1104" s="15">
        <v>104</v>
      </c>
      <c r="D1104" s="13"/>
      <c r="E1104" s="13"/>
      <c r="F1104" s="13"/>
      <c r="G1104" s="11">
        <v>0.45</v>
      </c>
      <c r="J1104">
        <f>VLOOKUP(A1104,'YB OAS'!B:F,5,0)</f>
        <v>41.394599999999997</v>
      </c>
      <c r="K1104" s="40">
        <f>VLOOKUP(A1104,'Refi Universe'!E:F,2,0)</f>
        <v>0.4424227</v>
      </c>
      <c r="L1104" s="18">
        <v>104</v>
      </c>
    </row>
    <row r="1105" spans="1:12" ht="15" x14ac:dyDescent="0.25">
      <c r="A1105" s="24">
        <v>42186</v>
      </c>
      <c r="B1105" s="25">
        <v>99</v>
      </c>
      <c r="C1105" s="28">
        <v>0</v>
      </c>
      <c r="D1105" s="13"/>
      <c r="E1105" s="13"/>
      <c r="F1105" s="13"/>
      <c r="G1105" s="11">
        <v>0.45</v>
      </c>
      <c r="J1105">
        <f>VLOOKUP(A1105,'YB OAS'!B:F,5,0)</f>
        <v>43.230801</v>
      </c>
      <c r="K1105" s="40">
        <f>VLOOKUP(A1105,'Refi Universe'!E:F,2,0)</f>
        <v>0.39231037000000002</v>
      </c>
      <c r="L1105" s="28">
        <v>99</v>
      </c>
    </row>
    <row r="1106" spans="1:12" ht="15" x14ac:dyDescent="0.25">
      <c r="A1106" s="14">
        <v>42187</v>
      </c>
      <c r="B1106" s="15">
        <v>108</v>
      </c>
      <c r="C1106" s="18">
        <v>7</v>
      </c>
      <c r="D1106" s="13"/>
      <c r="E1106" s="13"/>
      <c r="F1106" s="13"/>
      <c r="G1106" s="11">
        <v>0.43</v>
      </c>
      <c r="J1106">
        <f>VLOOKUP(A1106,'YB OAS'!B:F,5,0)</f>
        <v>39.493198</v>
      </c>
      <c r="K1106" s="40">
        <f>VLOOKUP(A1106,'Refi Universe'!E:F,2,0)</f>
        <v>0.41464839999999997</v>
      </c>
      <c r="L1106" s="18">
        <v>108</v>
      </c>
    </row>
    <row r="1107" spans="1:12" ht="15" x14ac:dyDescent="0.25">
      <c r="A1107" s="14">
        <v>42191</v>
      </c>
      <c r="B1107" s="15">
        <v>107</v>
      </c>
      <c r="C1107" s="18">
        <v>2</v>
      </c>
      <c r="D1107" s="13"/>
      <c r="E1107" s="13"/>
      <c r="F1107" s="13"/>
      <c r="G1107" s="11">
        <v>0.43</v>
      </c>
      <c r="J1107">
        <f>VLOOKUP(A1107,'YB OAS'!B:F,5,0)</f>
        <v>38.337299000000002</v>
      </c>
      <c r="K1107" s="40">
        <f>VLOOKUP(A1107,'Refi Universe'!E:F,2,0)</f>
        <v>0.48204760000000002</v>
      </c>
      <c r="L1107" s="18">
        <v>107</v>
      </c>
    </row>
    <row r="1108" spans="1:12" ht="15" x14ac:dyDescent="0.25">
      <c r="A1108" s="14">
        <v>42192</v>
      </c>
      <c r="B1108" s="15">
        <v>107</v>
      </c>
      <c r="C1108" s="18">
        <v>1</v>
      </c>
      <c r="D1108" s="13"/>
      <c r="E1108" s="13"/>
      <c r="F1108" s="13"/>
      <c r="G1108" s="11">
        <v>0.43</v>
      </c>
      <c r="J1108">
        <f>VLOOKUP(A1108,'YB OAS'!B:F,5,0)</f>
        <v>38.754798999999998</v>
      </c>
      <c r="K1108" s="40">
        <f>VLOOKUP(A1108,'Refi Universe'!E:F,2,0)</f>
        <v>0.50027485000000005</v>
      </c>
      <c r="L1108" s="18">
        <v>107</v>
      </c>
    </row>
    <row r="1109" spans="1:12" ht="15" x14ac:dyDescent="0.25">
      <c r="A1109" s="14">
        <v>42193</v>
      </c>
      <c r="B1109" s="15">
        <v>106</v>
      </c>
      <c r="C1109" s="18">
        <v>2</v>
      </c>
      <c r="D1109" s="13"/>
      <c r="E1109" s="13"/>
      <c r="F1109" s="13"/>
      <c r="G1109" s="11">
        <v>0.43</v>
      </c>
      <c r="J1109">
        <f>VLOOKUP(A1109,'YB OAS'!B:F,5,0)</f>
        <v>39.565300000000001</v>
      </c>
      <c r="K1109" s="40">
        <f>VLOOKUP(A1109,'Refi Universe'!E:F,2,0)</f>
        <v>0.49109761000000002</v>
      </c>
      <c r="L1109" s="18">
        <v>106</v>
      </c>
    </row>
    <row r="1110" spans="1:12" ht="15" x14ac:dyDescent="0.25">
      <c r="A1110" s="14">
        <v>42194</v>
      </c>
      <c r="B1110" s="15">
        <v>105</v>
      </c>
      <c r="C1110" s="18">
        <v>5</v>
      </c>
      <c r="D1110" s="13"/>
      <c r="E1110" s="13"/>
      <c r="F1110" s="13"/>
      <c r="G1110" s="11">
        <v>0.45</v>
      </c>
      <c r="J1110">
        <f>VLOOKUP(A1110,'YB OAS'!B:F,5,0)</f>
        <v>36.898997999999999</v>
      </c>
      <c r="K1110" s="40">
        <f>VLOOKUP(A1110,'Refi Universe'!E:F,2,0)</f>
        <v>0.43686424000000001</v>
      </c>
      <c r="L1110" s="18">
        <v>105</v>
      </c>
    </row>
    <row r="1111" spans="1:12" ht="15" x14ac:dyDescent="0.25">
      <c r="A1111" s="14">
        <v>42195</v>
      </c>
      <c r="B1111" s="15">
        <v>95</v>
      </c>
      <c r="C1111" s="18">
        <v>0</v>
      </c>
      <c r="D1111" s="13"/>
      <c r="E1111" s="13"/>
      <c r="F1111" s="13"/>
      <c r="G1111" s="11">
        <v>0.45</v>
      </c>
      <c r="J1111">
        <f>VLOOKUP(A1111,'YB OAS'!B:F,5,0)</f>
        <v>42.467799999999997</v>
      </c>
      <c r="K1111" s="40">
        <f>VLOOKUP(A1111,'Refi Universe'!E:F,2,0)</f>
        <v>0.36671435000000002</v>
      </c>
      <c r="L1111" s="18">
        <v>95</v>
      </c>
    </row>
    <row r="1112" spans="1:12" ht="15" x14ac:dyDescent="0.25">
      <c r="A1112" s="14">
        <v>42198</v>
      </c>
      <c r="B1112" s="15">
        <v>97</v>
      </c>
      <c r="C1112" s="18">
        <v>3</v>
      </c>
      <c r="D1112" s="13"/>
      <c r="E1112" s="13"/>
      <c r="F1112" s="13"/>
      <c r="G1112" s="11">
        <v>0.45</v>
      </c>
      <c r="J1112">
        <f>VLOOKUP(A1112,'YB OAS'!B:F,5,0)</f>
        <v>38.671398000000003</v>
      </c>
      <c r="K1112" s="40">
        <f>VLOOKUP(A1112,'Refi Universe'!E:F,2,0)</f>
        <v>0.36916188</v>
      </c>
      <c r="L1112" s="18">
        <v>97</v>
      </c>
    </row>
    <row r="1113" spans="1:12" ht="15" x14ac:dyDescent="0.25">
      <c r="A1113" s="14">
        <v>42199</v>
      </c>
      <c r="B1113" s="15">
        <v>103</v>
      </c>
      <c r="C1113" s="18">
        <v>5</v>
      </c>
      <c r="D1113" s="13"/>
      <c r="E1113" s="13"/>
      <c r="F1113" s="13"/>
      <c r="G1113" s="11">
        <v>0.45</v>
      </c>
      <c r="J1113">
        <f>VLOOKUP(A1113,'YB OAS'!B:F,5,0)</f>
        <v>46.182200999999999</v>
      </c>
      <c r="K1113" s="40">
        <f>VLOOKUP(A1113,'Refi Universe'!E:F,2,0)</f>
        <v>0.39714528999999998</v>
      </c>
      <c r="L1113" s="18">
        <v>103</v>
      </c>
    </row>
    <row r="1114" spans="1:12" ht="15" x14ac:dyDescent="0.25">
      <c r="A1114" s="14">
        <v>42200</v>
      </c>
      <c r="B1114" s="15">
        <v>104</v>
      </c>
      <c r="C1114" s="18">
        <v>3</v>
      </c>
      <c r="D1114" s="13"/>
      <c r="E1114" s="13"/>
      <c r="F1114" s="13"/>
      <c r="G1114" s="11">
        <v>0.45</v>
      </c>
      <c r="J1114">
        <f>VLOOKUP(A1114,'YB OAS'!B:F,5,0)</f>
        <v>48.624198999999997</v>
      </c>
      <c r="K1114" s="40">
        <f>VLOOKUP(A1114,'Refi Universe'!E:F,2,0)</f>
        <v>0.43686424000000001</v>
      </c>
      <c r="L1114" s="18">
        <v>104</v>
      </c>
    </row>
    <row r="1115" spans="1:12" ht="15" x14ac:dyDescent="0.25">
      <c r="A1115" s="14">
        <v>42201</v>
      </c>
      <c r="B1115" s="15">
        <v>107</v>
      </c>
      <c r="C1115" s="18">
        <v>6</v>
      </c>
      <c r="D1115" s="13"/>
      <c r="E1115" s="13"/>
      <c r="F1115" s="13"/>
      <c r="G1115" s="11">
        <v>0.42</v>
      </c>
      <c r="J1115">
        <f>VLOOKUP(A1115,'YB OAS'!B:F,5,0)</f>
        <v>48.332099999999997</v>
      </c>
      <c r="K1115" s="40">
        <f>VLOOKUP(A1115,'Refi Universe'!E:F,2,0)</f>
        <v>0.43721469000000002</v>
      </c>
      <c r="L1115" s="18">
        <v>107</v>
      </c>
    </row>
    <row r="1116" spans="1:12" ht="15" x14ac:dyDescent="0.25">
      <c r="A1116" s="14">
        <v>42202</v>
      </c>
      <c r="B1116" s="15">
        <v>105</v>
      </c>
      <c r="C1116" s="18">
        <v>3</v>
      </c>
      <c r="D1116" s="13"/>
      <c r="E1116" s="13"/>
      <c r="F1116" s="13"/>
      <c r="G1116" s="11">
        <v>0.42</v>
      </c>
      <c r="J1116">
        <f>VLOOKUP(A1116,'YB OAS'!B:F,5,0)</f>
        <v>47.820202000000002</v>
      </c>
      <c r="K1116" s="40">
        <f>VLOOKUP(A1116,'Refi Universe'!E:F,2,0)</f>
        <v>0.44583529999999999</v>
      </c>
      <c r="L1116" s="18">
        <v>105</v>
      </c>
    </row>
    <row r="1117" spans="1:12" ht="15" x14ac:dyDescent="0.25">
      <c r="A1117" s="14">
        <v>42205</v>
      </c>
      <c r="B1117" s="15">
        <v>102</v>
      </c>
      <c r="C1117" s="18">
        <v>1</v>
      </c>
      <c r="D1117" s="13"/>
      <c r="E1117" s="13"/>
      <c r="F1117" s="13"/>
      <c r="G1117" s="11">
        <v>0.42</v>
      </c>
      <c r="J1117">
        <f>VLOOKUP(A1117,'YB OAS'!B:F,5,0)</f>
        <v>45.566502</v>
      </c>
      <c r="K1117" s="40">
        <f>VLOOKUP(A1117,'Refi Universe'!E:F,2,0)</f>
        <v>0.43253349000000002</v>
      </c>
      <c r="L1117" s="18">
        <v>102</v>
      </c>
    </row>
    <row r="1118" spans="1:12" ht="15" x14ac:dyDescent="0.25">
      <c r="A1118" s="14">
        <v>42206</v>
      </c>
      <c r="B1118" s="15">
        <v>103</v>
      </c>
      <c r="C1118" s="18">
        <v>0</v>
      </c>
      <c r="D1118" s="13"/>
      <c r="E1118" s="13"/>
      <c r="F1118" s="13"/>
      <c r="G1118" s="11">
        <v>0.42</v>
      </c>
      <c r="J1118">
        <f>VLOOKUP(A1118,'YB OAS'!B:F,5,0)</f>
        <v>44.955897999999998</v>
      </c>
      <c r="K1118" s="40">
        <f>VLOOKUP(A1118,'Refi Universe'!E:F,2,0)</f>
        <v>0.45450624000000001</v>
      </c>
      <c r="L1118" s="18">
        <v>103</v>
      </c>
    </row>
    <row r="1119" spans="1:12" ht="15" x14ac:dyDescent="0.25">
      <c r="A1119" s="14">
        <v>42207</v>
      </c>
      <c r="B1119" s="15">
        <v>97</v>
      </c>
      <c r="C1119" s="18">
        <v>-8</v>
      </c>
      <c r="D1119" s="13"/>
      <c r="E1119" s="13"/>
      <c r="F1119" s="13"/>
      <c r="G1119" s="11">
        <v>0.42</v>
      </c>
      <c r="J1119">
        <f>VLOOKUP(A1119,'YB OAS'!B:F,5,0)</f>
        <v>39.336899000000003</v>
      </c>
      <c r="K1119" s="40">
        <f>VLOOKUP(A1119,'Refi Universe'!E:F,2,0)</f>
        <v>0.46379726999999998</v>
      </c>
      <c r="L1119" s="18">
        <v>97</v>
      </c>
    </row>
    <row r="1120" spans="1:12" ht="15" x14ac:dyDescent="0.25">
      <c r="A1120" s="14">
        <v>42208</v>
      </c>
      <c r="B1120" s="15">
        <v>96</v>
      </c>
      <c r="C1120" s="18">
        <v>-11</v>
      </c>
      <c r="D1120" s="13"/>
      <c r="E1120" s="13"/>
      <c r="F1120" s="13"/>
      <c r="G1120" s="11">
        <v>0.45</v>
      </c>
      <c r="J1120">
        <f>VLOOKUP(A1120,'YB OAS'!B:F,5,0)</f>
        <v>35.850700000000003</v>
      </c>
      <c r="K1120" s="40">
        <f>VLOOKUP(A1120,'Refi Universe'!E:F,2,0)</f>
        <v>0.48346902000000003</v>
      </c>
      <c r="L1120" s="18">
        <v>96</v>
      </c>
    </row>
    <row r="1121" spans="1:12" ht="15" x14ac:dyDescent="0.25">
      <c r="A1121" s="14">
        <v>42209</v>
      </c>
      <c r="B1121" s="15">
        <v>97</v>
      </c>
      <c r="C1121" s="18">
        <v>-9</v>
      </c>
      <c r="D1121" s="13"/>
      <c r="E1121" s="13"/>
      <c r="F1121" s="13"/>
      <c r="G1121" s="11">
        <v>0.45</v>
      </c>
      <c r="J1121">
        <f>VLOOKUP(A1121,'YB OAS'!B:F,5,0)</f>
        <v>35.290100000000002</v>
      </c>
      <c r="K1121" s="40">
        <f>VLOOKUP(A1121,'Refi Universe'!E:F,2,0)</f>
        <v>0.47806061999999999</v>
      </c>
      <c r="L1121" s="18">
        <v>97</v>
      </c>
    </row>
    <row r="1122" spans="1:12" ht="15" x14ac:dyDescent="0.25">
      <c r="A1122" s="14">
        <v>42212</v>
      </c>
      <c r="B1122" s="15">
        <v>106</v>
      </c>
      <c r="C1122" s="18">
        <v>-1</v>
      </c>
      <c r="D1122" s="13"/>
      <c r="E1122" s="13"/>
      <c r="F1122" s="13"/>
      <c r="G1122" s="11">
        <v>0.45</v>
      </c>
      <c r="J1122">
        <f>VLOOKUP(A1122,'YB OAS'!B:F,5,0)</f>
        <v>45.665698999999996</v>
      </c>
      <c r="K1122" s="40">
        <f>VLOOKUP(A1122,'Refi Universe'!E:F,2,0)</f>
        <v>0.49836355999999998</v>
      </c>
      <c r="L1122" s="18">
        <v>106</v>
      </c>
    </row>
    <row r="1123" spans="1:12" ht="15" x14ac:dyDescent="0.25">
      <c r="A1123" s="14">
        <v>42213</v>
      </c>
      <c r="B1123" s="15">
        <v>107</v>
      </c>
      <c r="C1123" s="18">
        <v>-1</v>
      </c>
      <c r="D1123" s="13"/>
      <c r="E1123" s="13"/>
      <c r="F1123" s="13"/>
      <c r="G1123" s="11">
        <v>0.45</v>
      </c>
      <c r="J1123">
        <f>VLOOKUP(A1123,'YB OAS'!B:F,5,0)</f>
        <v>44.048000000000002</v>
      </c>
      <c r="K1123" s="40">
        <f>VLOOKUP(A1123,'Refi Universe'!E:F,2,0)</f>
        <v>0.50078915000000002</v>
      </c>
      <c r="L1123" s="18">
        <v>107</v>
      </c>
    </row>
    <row r="1124" spans="1:12" ht="15" x14ac:dyDescent="0.25">
      <c r="A1124" s="14">
        <v>42214</v>
      </c>
      <c r="B1124" s="15">
        <v>120</v>
      </c>
      <c r="C1124" s="18">
        <v>12</v>
      </c>
      <c r="D1124" s="13"/>
      <c r="E1124" s="13"/>
      <c r="F1124" s="13"/>
      <c r="G1124" s="11">
        <v>0.45</v>
      </c>
      <c r="J1124">
        <f>VLOOKUP(A1124,'YB OAS'!B:F,5,0)</f>
        <v>52.541901000000003</v>
      </c>
      <c r="K1124" s="40">
        <f>VLOOKUP(A1124,'Refi Universe'!E:F,2,0)</f>
        <v>0.48791089999999998</v>
      </c>
      <c r="L1124" s="18">
        <v>120</v>
      </c>
    </row>
    <row r="1125" spans="1:12" ht="15" x14ac:dyDescent="0.25">
      <c r="A1125" s="14">
        <v>42215</v>
      </c>
      <c r="B1125" s="15">
        <v>109</v>
      </c>
      <c r="C1125" s="18">
        <v>1</v>
      </c>
      <c r="D1125" s="13"/>
      <c r="E1125" s="13"/>
      <c r="F1125" s="13"/>
      <c r="G1125" s="11">
        <v>0.5</v>
      </c>
      <c r="J1125">
        <f>VLOOKUP(A1125,'YB OAS'!B:F,5,0)</f>
        <v>56.813701999999999</v>
      </c>
      <c r="K1125" s="40">
        <f>VLOOKUP(A1125,'Refi Universe'!E:F,2,0)</f>
        <v>0.48860219999999999</v>
      </c>
      <c r="L1125" s="18">
        <v>109</v>
      </c>
    </row>
    <row r="1126" spans="1:12" ht="15" x14ac:dyDescent="0.25">
      <c r="A1126" s="14">
        <v>42216</v>
      </c>
      <c r="B1126" s="15">
        <v>123</v>
      </c>
      <c r="C1126" s="18">
        <v>10</v>
      </c>
      <c r="D1126" s="13"/>
      <c r="E1126" s="13"/>
      <c r="F1126" s="13"/>
      <c r="G1126" s="11">
        <v>0.5</v>
      </c>
      <c r="J1126">
        <f>VLOOKUP(A1126,'YB OAS'!B:F,5,0)</f>
        <v>55.182701000000002</v>
      </c>
      <c r="K1126" s="40">
        <f>VLOOKUP(A1126,'Refi Universe'!E:F,2,0)</f>
        <v>0.51760958999999995</v>
      </c>
      <c r="L1126" s="18">
        <v>123</v>
      </c>
    </row>
    <row r="1127" spans="1:12" ht="15" x14ac:dyDescent="0.25">
      <c r="A1127" s="14">
        <v>42219</v>
      </c>
      <c r="B1127" s="15">
        <v>127</v>
      </c>
      <c r="C1127" s="18">
        <v>11</v>
      </c>
      <c r="D1127" s="13"/>
      <c r="E1127" s="13"/>
      <c r="F1127" s="13"/>
      <c r="G1127" s="11">
        <v>0.5</v>
      </c>
      <c r="J1127">
        <f>VLOOKUP(A1127,'YB OAS'!B:F,5,0)</f>
        <v>53.487900000000003</v>
      </c>
      <c r="K1127" s="40">
        <f>VLOOKUP(A1127,'Refi Universe'!E:F,2,0)</f>
        <v>0.52361420000000003</v>
      </c>
      <c r="L1127" s="18">
        <v>127</v>
      </c>
    </row>
    <row r="1128" spans="1:12" ht="15" x14ac:dyDescent="0.25">
      <c r="A1128" s="14">
        <v>42220</v>
      </c>
      <c r="B1128" s="15">
        <v>114</v>
      </c>
      <c r="C1128" s="18">
        <v>4</v>
      </c>
      <c r="D1128" s="13"/>
      <c r="E1128" s="13"/>
      <c r="F1128" s="13"/>
      <c r="G1128" s="11">
        <v>0.5</v>
      </c>
      <c r="J1128">
        <f>VLOOKUP(A1128,'YB OAS'!B:F,5,0)</f>
        <v>54.321201000000002</v>
      </c>
      <c r="K1128" s="40">
        <f>VLOOKUP(A1128,'Refi Universe'!E:F,2,0)</f>
        <v>0.49985484000000002</v>
      </c>
      <c r="L1128" s="18">
        <v>114</v>
      </c>
    </row>
    <row r="1129" spans="1:12" ht="15" x14ac:dyDescent="0.25">
      <c r="A1129" s="14">
        <v>42221</v>
      </c>
      <c r="B1129" s="15">
        <v>125</v>
      </c>
      <c r="C1129" s="18">
        <v>18</v>
      </c>
      <c r="D1129" s="13"/>
      <c r="E1129" s="13"/>
      <c r="F1129" s="13"/>
      <c r="G1129" s="11">
        <v>0.5</v>
      </c>
      <c r="J1129">
        <f>VLOOKUP(A1129,'YB OAS'!B:F,5,0)</f>
        <v>55.3979</v>
      </c>
      <c r="K1129" s="40">
        <f>VLOOKUP(A1129,'Refi Universe'!E:F,2,0)</f>
        <v>0.49262108999999998</v>
      </c>
      <c r="L1129" s="18">
        <v>125</v>
      </c>
    </row>
    <row r="1130" spans="1:12" ht="15" x14ac:dyDescent="0.25">
      <c r="A1130" s="14">
        <v>42222</v>
      </c>
      <c r="B1130" s="15">
        <v>123</v>
      </c>
      <c r="C1130" s="18">
        <v>13</v>
      </c>
      <c r="D1130" s="13"/>
      <c r="E1130" s="13"/>
      <c r="F1130" s="13"/>
      <c r="G1130" s="11">
        <v>0.52</v>
      </c>
      <c r="J1130">
        <f>VLOOKUP(A1130,'YB OAS'!B:F,5,0)</f>
        <v>52.941502</v>
      </c>
      <c r="K1130" s="40">
        <f>VLOOKUP(A1130,'Refi Universe'!E:F,2,0)</f>
        <v>0.50436276000000002</v>
      </c>
      <c r="L1130" s="18">
        <v>123</v>
      </c>
    </row>
    <row r="1131" spans="1:12" ht="15" x14ac:dyDescent="0.25">
      <c r="A1131" s="14">
        <v>42223</v>
      </c>
      <c r="B1131" s="15">
        <v>117</v>
      </c>
      <c r="C1131" s="18">
        <v>8</v>
      </c>
      <c r="D1131" s="13"/>
      <c r="E1131" s="13"/>
      <c r="F1131" s="13"/>
      <c r="G1131" s="11">
        <v>0.52</v>
      </c>
      <c r="J1131">
        <f>VLOOKUP(A1131,'YB OAS'!B:F,5,0)</f>
        <v>47.944901000000002</v>
      </c>
      <c r="K1131" s="40">
        <f>VLOOKUP(A1131,'Refi Universe'!E:F,2,0)</f>
        <v>0.52122531999999999</v>
      </c>
      <c r="L1131" s="18">
        <v>117</v>
      </c>
    </row>
    <row r="1132" spans="1:12" ht="15" x14ac:dyDescent="0.25">
      <c r="A1132" s="14">
        <v>42226</v>
      </c>
      <c r="B1132" s="15">
        <v>110</v>
      </c>
      <c r="C1132" s="18">
        <v>5</v>
      </c>
      <c r="D1132" s="13"/>
      <c r="E1132" s="13"/>
      <c r="F1132" s="13"/>
      <c r="G1132" s="11">
        <v>0.52</v>
      </c>
      <c r="J1132">
        <f>VLOOKUP(A1132,'YB OAS'!B:F,5,0)</f>
        <v>48.788798999999997</v>
      </c>
      <c r="K1132" s="40">
        <f>VLOOKUP(A1132,'Refi Universe'!E:F,2,0)</f>
        <v>0.50362235</v>
      </c>
      <c r="L1132" s="18">
        <v>110</v>
      </c>
    </row>
    <row r="1133" spans="1:12" ht="15" x14ac:dyDescent="0.25">
      <c r="A1133" s="14">
        <v>42227</v>
      </c>
      <c r="B1133" s="15">
        <v>113</v>
      </c>
      <c r="C1133" s="18">
        <v>2</v>
      </c>
      <c r="D1133" s="13"/>
      <c r="E1133" s="13"/>
      <c r="F1133" s="13"/>
      <c r="G1133" s="11">
        <v>0.52</v>
      </c>
      <c r="J1133">
        <f>VLOOKUP(A1133,'YB OAS'!B:F,5,0)</f>
        <v>49.109797999999998</v>
      </c>
      <c r="K1133" s="40">
        <f>VLOOKUP(A1133,'Refi Universe'!E:F,2,0)</f>
        <v>0.54047655999999999</v>
      </c>
      <c r="L1133" s="18">
        <v>113</v>
      </c>
    </row>
    <row r="1134" spans="1:12" ht="15" x14ac:dyDescent="0.25">
      <c r="A1134" s="14">
        <v>42228</v>
      </c>
      <c r="B1134" s="15">
        <v>124</v>
      </c>
      <c r="C1134" s="18">
        <v>12</v>
      </c>
      <c r="D1134" s="13"/>
      <c r="E1134" s="13"/>
      <c r="F1134" s="13"/>
      <c r="G1134" s="11">
        <v>0.52</v>
      </c>
      <c r="J1134">
        <f>VLOOKUP(A1134,'YB OAS'!B:F,5,0)</f>
        <v>49.711399</v>
      </c>
      <c r="K1134" s="40">
        <f>VLOOKUP(A1134,'Refi Universe'!E:F,2,0)</f>
        <v>0.51406275000000001</v>
      </c>
      <c r="L1134" s="18">
        <v>124</v>
      </c>
    </row>
    <row r="1135" spans="1:12" ht="15" x14ac:dyDescent="0.25">
      <c r="A1135" s="14">
        <v>42229</v>
      </c>
      <c r="B1135" s="15">
        <v>112</v>
      </c>
      <c r="C1135" s="18">
        <v>3</v>
      </c>
      <c r="D1135" s="13"/>
      <c r="E1135" s="13"/>
      <c r="F1135" s="13"/>
      <c r="G1135" s="11">
        <v>0.51</v>
      </c>
      <c r="J1135">
        <f>VLOOKUP(A1135,'YB OAS'!B:F,5,0)</f>
        <v>49.487000000000002</v>
      </c>
      <c r="K1135" s="40">
        <f>VLOOKUP(A1135,'Refi Universe'!E:F,2,0)</f>
        <v>0.49770785000000001</v>
      </c>
      <c r="L1135" s="18">
        <v>112</v>
      </c>
    </row>
    <row r="1136" spans="1:12" ht="15" x14ac:dyDescent="0.25">
      <c r="A1136" s="14">
        <v>42230</v>
      </c>
      <c r="B1136" s="15">
        <v>112</v>
      </c>
      <c r="C1136" s="18">
        <v>3</v>
      </c>
      <c r="D1136" s="13"/>
      <c r="E1136" s="13"/>
      <c r="F1136" s="13"/>
      <c r="G1136" s="11">
        <v>0.51</v>
      </c>
      <c r="J1136">
        <f>VLOOKUP(A1136,'YB OAS'!B:F,5,0)</f>
        <v>46.8979</v>
      </c>
      <c r="K1136" s="40">
        <f>VLOOKUP(A1136,'Refi Universe'!E:F,2,0)</f>
        <v>0.48956336</v>
      </c>
      <c r="L1136" s="18">
        <v>112</v>
      </c>
    </row>
    <row r="1137" spans="1:12" ht="15" x14ac:dyDescent="0.25">
      <c r="A1137" s="14">
        <v>42233</v>
      </c>
      <c r="B1137" s="15">
        <v>116</v>
      </c>
      <c r="C1137" s="18">
        <v>6</v>
      </c>
      <c r="D1137" s="13"/>
      <c r="E1137" s="13"/>
      <c r="F1137" s="13"/>
      <c r="G1137" s="11">
        <v>0.51</v>
      </c>
      <c r="J1137">
        <f>VLOOKUP(A1137,'YB OAS'!B:F,5,0)</f>
        <v>51.718497999999997</v>
      </c>
      <c r="K1137" s="40">
        <f>VLOOKUP(A1137,'Refi Universe'!E:F,2,0)</f>
        <v>0.50021404999999997</v>
      </c>
      <c r="L1137" s="18">
        <v>116</v>
      </c>
    </row>
    <row r="1138" spans="1:12" ht="15" x14ac:dyDescent="0.25">
      <c r="A1138" s="14">
        <v>42234</v>
      </c>
      <c r="B1138" s="15">
        <v>114</v>
      </c>
      <c r="C1138" s="18">
        <v>6</v>
      </c>
      <c r="D1138" s="13"/>
      <c r="E1138" s="13"/>
      <c r="F1138" s="13"/>
      <c r="G1138" s="11">
        <v>0.51</v>
      </c>
      <c r="J1138">
        <f>VLOOKUP(A1138,'YB OAS'!B:F,5,0)</f>
        <v>55.388302000000003</v>
      </c>
      <c r="K1138" s="40">
        <f>VLOOKUP(A1138,'Refi Universe'!E:F,2,0)</f>
        <v>0.49077204000000002</v>
      </c>
      <c r="L1138" s="18">
        <v>114</v>
      </c>
    </row>
    <row r="1139" spans="1:12" ht="15" x14ac:dyDescent="0.25">
      <c r="A1139" s="14">
        <v>42235</v>
      </c>
      <c r="B1139" s="15">
        <v>124</v>
      </c>
      <c r="C1139" s="18">
        <v>9</v>
      </c>
      <c r="D1139" s="13"/>
      <c r="E1139" s="13"/>
      <c r="F1139" s="13"/>
      <c r="G1139" s="11">
        <v>0.51</v>
      </c>
      <c r="J1139">
        <f>VLOOKUP(A1139,'YB OAS'!B:F,5,0)</f>
        <v>65.387801999999994</v>
      </c>
      <c r="K1139" s="40">
        <f>VLOOKUP(A1139,'Refi Universe'!E:F,2,0)</f>
        <v>0.52031886000000005</v>
      </c>
      <c r="L1139" s="18">
        <v>124</v>
      </c>
    </row>
    <row r="1140" spans="1:12" ht="15" x14ac:dyDescent="0.25">
      <c r="A1140" s="14">
        <v>42236</v>
      </c>
      <c r="B1140" s="15">
        <v>129</v>
      </c>
      <c r="C1140" s="18">
        <v>12</v>
      </c>
      <c r="D1140" s="13"/>
      <c r="E1140" s="13"/>
      <c r="F1140" s="13"/>
      <c r="G1140" s="11">
        <v>0.51</v>
      </c>
      <c r="J1140">
        <f>VLOOKUP(A1140,'YB OAS'!B:F,5,0)</f>
        <v>63.930401000000003</v>
      </c>
      <c r="K1140" s="40">
        <f>VLOOKUP(A1140,'Refi Universe'!E:F,2,0)</f>
        <v>0.53631419999999996</v>
      </c>
      <c r="L1140" s="18">
        <v>129</v>
      </c>
    </row>
    <row r="1141" spans="1:12" ht="15" x14ac:dyDescent="0.25">
      <c r="A1141" s="14">
        <v>42237</v>
      </c>
      <c r="B1141" s="15">
        <v>135</v>
      </c>
      <c r="C1141" s="18">
        <v>15</v>
      </c>
      <c r="D1141" s="13"/>
      <c r="E1141" s="13"/>
      <c r="F1141" s="13"/>
      <c r="G1141" s="11">
        <v>0.51</v>
      </c>
      <c r="J1141">
        <f>VLOOKUP(A1141,'YB OAS'!B:F,5,0)</f>
        <v>66.918296999999995</v>
      </c>
      <c r="K1141" s="40">
        <f>VLOOKUP(A1141,'Refi Universe'!E:F,2,0)</f>
        <v>0.54741704999999996</v>
      </c>
      <c r="L1141" s="18">
        <v>135</v>
      </c>
    </row>
    <row r="1142" spans="1:12" ht="15" x14ac:dyDescent="0.25">
      <c r="A1142" s="14">
        <v>42240</v>
      </c>
      <c r="B1142" s="15">
        <v>148</v>
      </c>
      <c r="C1142" s="18">
        <v>24</v>
      </c>
      <c r="D1142" s="13"/>
      <c r="E1142" s="13"/>
      <c r="F1142" s="13"/>
      <c r="G1142" s="11">
        <v>0.51</v>
      </c>
      <c r="J1142">
        <f>VLOOKUP(A1142,'YB OAS'!B:F,5,0)</f>
        <v>73.872001999999995</v>
      </c>
      <c r="K1142" s="40">
        <f>VLOOKUP(A1142,'Refi Universe'!E:F,2,0)</f>
        <v>0.56736513</v>
      </c>
      <c r="L1142" s="18">
        <v>148</v>
      </c>
    </row>
    <row r="1143" spans="1:12" ht="15" x14ac:dyDescent="0.25">
      <c r="A1143" s="14">
        <v>42241</v>
      </c>
      <c r="B1143" s="15">
        <v>128</v>
      </c>
      <c r="C1143" s="18">
        <v>16</v>
      </c>
      <c r="D1143" s="13"/>
      <c r="E1143" s="13"/>
      <c r="F1143" s="13"/>
      <c r="G1143" s="11">
        <v>0.51</v>
      </c>
      <c r="J1143">
        <f>VLOOKUP(A1143,'YB OAS'!B:F,5,0)</f>
        <v>73.705200000000005</v>
      </c>
      <c r="K1143" s="40">
        <f>VLOOKUP(A1143,'Refi Universe'!E:F,2,0)</f>
        <v>0.51305791999999995</v>
      </c>
      <c r="L1143" s="18">
        <v>128</v>
      </c>
    </row>
    <row r="1144" spans="1:12" ht="15" x14ac:dyDescent="0.25">
      <c r="A1144" s="14">
        <v>42242</v>
      </c>
      <c r="B1144" s="15">
        <v>135</v>
      </c>
      <c r="C1144" s="18">
        <v>22</v>
      </c>
      <c r="D1144" s="13"/>
      <c r="E1144" s="13"/>
      <c r="F1144" s="13"/>
      <c r="G1144" s="11">
        <v>0.51</v>
      </c>
      <c r="J1144">
        <f>VLOOKUP(A1144,'YB OAS'!B:F,5,0)</f>
        <v>75.466797</v>
      </c>
      <c r="K1144" s="40">
        <f>VLOOKUP(A1144,'Refi Universe'!E:F,2,0)</f>
        <v>0.51647642000000005</v>
      </c>
      <c r="L1144" s="18">
        <v>135</v>
      </c>
    </row>
    <row r="1145" spans="1:12" ht="15" x14ac:dyDescent="0.25">
      <c r="A1145" s="14">
        <v>42243</v>
      </c>
      <c r="B1145" s="15">
        <v>133</v>
      </c>
      <c r="C1145" s="18">
        <v>21</v>
      </c>
      <c r="D1145" s="13"/>
      <c r="E1145" s="13"/>
      <c r="F1145" s="13"/>
      <c r="G1145" s="11">
        <v>0.55000000000000004</v>
      </c>
      <c r="J1145">
        <f>VLOOKUP(A1145,'YB OAS'!B:F,5,0)</f>
        <v>75.684402000000006</v>
      </c>
      <c r="K1145" s="40">
        <f>VLOOKUP(A1145,'Refi Universe'!E:F,2,0)</f>
        <v>0.51793573000000004</v>
      </c>
      <c r="L1145" s="18">
        <v>133</v>
      </c>
    </row>
    <row r="1146" spans="1:12" ht="15" x14ac:dyDescent="0.25">
      <c r="A1146" s="14">
        <v>42244</v>
      </c>
      <c r="B1146" s="15">
        <v>126</v>
      </c>
      <c r="C1146" s="18">
        <v>14</v>
      </c>
      <c r="D1146" s="13"/>
      <c r="E1146" s="13"/>
      <c r="F1146" s="13"/>
      <c r="G1146" s="11">
        <v>0.55000000000000004</v>
      </c>
      <c r="J1146">
        <f>VLOOKUP(A1146,'YB OAS'!B:F,5,0)</f>
        <v>64.847504000000001</v>
      </c>
      <c r="K1146" s="40">
        <f>VLOOKUP(A1146,'Refi Universe'!E:F,2,0)</f>
        <v>0.51574027</v>
      </c>
      <c r="L1146" s="18">
        <v>126</v>
      </c>
    </row>
    <row r="1147" spans="1:12" ht="15" x14ac:dyDescent="0.25">
      <c r="A1147" s="14">
        <v>42247</v>
      </c>
      <c r="B1147" s="15">
        <v>129</v>
      </c>
      <c r="C1147" s="18">
        <v>18</v>
      </c>
      <c r="D1147" s="13"/>
      <c r="E1147" s="13"/>
      <c r="F1147" s="13"/>
      <c r="G1147" s="11">
        <v>0.55000000000000004</v>
      </c>
      <c r="J1147">
        <f>VLOOKUP(A1147,'YB OAS'!B:F,5,0)</f>
        <v>69.105103</v>
      </c>
      <c r="K1147" s="40">
        <f>VLOOKUP(A1147,'Refi Universe'!E:F,2,0)</f>
        <v>0.50869439000000005</v>
      </c>
      <c r="L1147" s="18">
        <v>129</v>
      </c>
    </row>
    <row r="1148" spans="1:12" ht="15" x14ac:dyDescent="0.25">
      <c r="A1148" s="14">
        <v>42248</v>
      </c>
      <c r="B1148" s="15">
        <v>131</v>
      </c>
      <c r="C1148" s="18">
        <v>20</v>
      </c>
      <c r="D1148" s="13"/>
      <c r="E1148" s="13"/>
      <c r="F1148" s="13"/>
      <c r="G1148" s="11">
        <v>0.55000000000000004</v>
      </c>
      <c r="J1148">
        <f>VLOOKUP(A1148,'YB OAS'!B:F,5,0)</f>
        <v>71.987701000000001</v>
      </c>
      <c r="K1148" s="40">
        <f>VLOOKUP(A1148,'Refi Universe'!E:F,2,0)</f>
        <v>0.51178652000000002</v>
      </c>
      <c r="L1148" s="18">
        <v>131</v>
      </c>
    </row>
    <row r="1149" spans="1:12" ht="15" x14ac:dyDescent="0.25">
      <c r="A1149" s="14">
        <v>42249</v>
      </c>
      <c r="B1149" s="15">
        <v>135</v>
      </c>
      <c r="C1149" s="18">
        <v>27</v>
      </c>
      <c r="D1149" s="13"/>
      <c r="E1149" s="13"/>
      <c r="F1149" s="13"/>
      <c r="G1149" s="11">
        <v>0.55000000000000004</v>
      </c>
      <c r="J1149">
        <f>VLOOKUP(A1149,'YB OAS'!B:F,5,0)</f>
        <v>76.873099999999994</v>
      </c>
      <c r="K1149" s="40">
        <f>VLOOKUP(A1149,'Refi Universe'!E:F,2,0)</f>
        <v>0.50599921999999997</v>
      </c>
      <c r="L1149" s="18">
        <v>135</v>
      </c>
    </row>
    <row r="1150" spans="1:12" ht="15" x14ac:dyDescent="0.25">
      <c r="A1150" s="14">
        <v>42250</v>
      </c>
      <c r="B1150" s="15">
        <v>149</v>
      </c>
      <c r="C1150" s="18">
        <v>36</v>
      </c>
      <c r="D1150" s="13"/>
      <c r="E1150" s="13"/>
      <c r="F1150" s="13"/>
      <c r="G1150" s="11">
        <v>0.52</v>
      </c>
      <c r="J1150">
        <f>VLOOKUP(A1150,'YB OAS'!B:F,5,0)</f>
        <v>85.278801000000001</v>
      </c>
      <c r="K1150" s="40">
        <f>VLOOKUP(A1150,'Refi Universe'!E:F,2,0)</f>
        <v>0.51889669999999999</v>
      </c>
      <c r="L1150" s="18">
        <v>149</v>
      </c>
    </row>
    <row r="1151" spans="1:12" ht="15" x14ac:dyDescent="0.25">
      <c r="A1151" s="14">
        <v>42251</v>
      </c>
      <c r="B1151" s="15">
        <v>145</v>
      </c>
      <c r="C1151" s="18">
        <v>30</v>
      </c>
      <c r="D1151" s="13"/>
      <c r="E1151" s="13"/>
      <c r="F1151" s="13"/>
      <c r="G1151" s="11">
        <v>0.52</v>
      </c>
      <c r="J1151">
        <f>VLOOKUP(A1151,'YB OAS'!B:F,5,0)</f>
        <v>80.154297</v>
      </c>
      <c r="K1151" s="40">
        <f>VLOOKUP(A1151,'Refi Universe'!E:F,2,0)</f>
        <v>0.53448357999999996</v>
      </c>
      <c r="L1151" s="18">
        <v>145</v>
      </c>
    </row>
    <row r="1152" spans="1:12" ht="15" x14ac:dyDescent="0.25">
      <c r="A1152" s="14">
        <v>42255</v>
      </c>
      <c r="B1152" s="15">
        <v>130</v>
      </c>
      <c r="C1152" s="18">
        <v>22</v>
      </c>
      <c r="D1152" s="13"/>
      <c r="E1152" s="13"/>
      <c r="F1152" s="13"/>
      <c r="G1152" s="11">
        <v>0.52</v>
      </c>
      <c r="J1152">
        <f>VLOOKUP(A1152,'YB OAS'!B:F,5,0)</f>
        <v>75.223099000000005</v>
      </c>
      <c r="K1152" s="40">
        <f>VLOOKUP(A1152,'Refi Universe'!E:F,2,0)</f>
        <v>0.51178652000000002</v>
      </c>
      <c r="L1152" s="18">
        <v>130</v>
      </c>
    </row>
    <row r="1153" spans="1:12" ht="15" x14ac:dyDescent="0.25">
      <c r="A1153" s="14">
        <v>42256</v>
      </c>
      <c r="B1153" s="15">
        <v>129</v>
      </c>
      <c r="C1153" s="18">
        <v>19</v>
      </c>
      <c r="D1153" s="13"/>
      <c r="E1153" s="13"/>
      <c r="F1153" s="13"/>
      <c r="G1153" s="11">
        <v>0.52</v>
      </c>
      <c r="J1153">
        <f>VLOOKUP(A1153,'YB OAS'!B:F,5,0)</f>
        <v>73.505500999999995</v>
      </c>
      <c r="K1153" s="40">
        <f>VLOOKUP(A1153,'Refi Universe'!E:F,2,0)</f>
        <v>0.50698535</v>
      </c>
      <c r="L1153" s="18">
        <v>129</v>
      </c>
    </row>
    <row r="1154" spans="1:12" ht="15" x14ac:dyDescent="0.25">
      <c r="A1154" s="14">
        <v>42257</v>
      </c>
      <c r="B1154" s="15">
        <v>127</v>
      </c>
      <c r="C1154" s="18">
        <v>19</v>
      </c>
      <c r="D1154" s="13"/>
      <c r="E1154" s="13"/>
      <c r="F1154" s="13"/>
      <c r="G1154" s="11">
        <v>0.51</v>
      </c>
      <c r="J1154">
        <f>VLOOKUP(A1154,'YB OAS'!B:F,5,0)</f>
        <v>73.217903000000007</v>
      </c>
      <c r="K1154" s="40">
        <f>VLOOKUP(A1154,'Refi Universe'!E:F,2,0)</f>
        <v>0.49792618999999999</v>
      </c>
      <c r="L1154" s="18">
        <v>127</v>
      </c>
    </row>
    <row r="1155" spans="1:12" ht="15" x14ac:dyDescent="0.25">
      <c r="A1155" s="14">
        <v>42258</v>
      </c>
      <c r="B1155" s="15">
        <v>134</v>
      </c>
      <c r="C1155" s="18">
        <v>24</v>
      </c>
      <c r="D1155" s="13"/>
      <c r="E1155" s="13"/>
      <c r="F1155" s="13"/>
      <c r="G1155" s="11">
        <v>0.51</v>
      </c>
      <c r="J1155">
        <f>VLOOKUP(A1155,'YB OAS'!B:F,5,0)</f>
        <v>73.873703000000006</v>
      </c>
      <c r="K1155" s="40">
        <f>VLOOKUP(A1155,'Refi Universe'!E:F,2,0)</f>
        <v>0.50244840000000002</v>
      </c>
      <c r="L1155" s="18">
        <v>134</v>
      </c>
    </row>
    <row r="1156" spans="1:12" ht="15" x14ac:dyDescent="0.25">
      <c r="A1156" s="14">
        <v>42261</v>
      </c>
      <c r="B1156" s="15">
        <v>134</v>
      </c>
      <c r="C1156" s="18">
        <v>24</v>
      </c>
      <c r="D1156" s="13"/>
      <c r="E1156" s="13"/>
      <c r="F1156" s="13"/>
      <c r="G1156" s="11">
        <v>0.51</v>
      </c>
      <c r="J1156">
        <f>VLOOKUP(A1156,'YB OAS'!B:F,5,0)</f>
        <v>73.320999</v>
      </c>
      <c r="K1156" s="40">
        <f>VLOOKUP(A1156,'Refi Universe'!E:F,2,0)</f>
        <v>0.50553360999999997</v>
      </c>
      <c r="L1156" s="18">
        <v>134</v>
      </c>
    </row>
    <row r="1157" spans="1:12" ht="15" x14ac:dyDescent="0.25">
      <c r="A1157" s="14">
        <v>42262</v>
      </c>
      <c r="B1157" s="15">
        <v>128</v>
      </c>
      <c r="C1157" s="18">
        <v>25</v>
      </c>
      <c r="D1157" s="13"/>
      <c r="E1157" s="13"/>
      <c r="F1157" s="13"/>
      <c r="G1157" s="11">
        <v>0.51</v>
      </c>
      <c r="J1157">
        <f>VLOOKUP(A1157,'YB OAS'!B:F,5,0)</f>
        <v>74.177902000000003</v>
      </c>
      <c r="K1157" s="40">
        <f>VLOOKUP(A1157,'Refi Universe'!E:F,2,0)</f>
        <v>0.47261544999999999</v>
      </c>
      <c r="L1157" s="18">
        <v>128</v>
      </c>
    </row>
    <row r="1158" spans="1:12" ht="15" x14ac:dyDescent="0.25">
      <c r="A1158" s="14">
        <v>42263</v>
      </c>
      <c r="B1158" s="15">
        <v>131</v>
      </c>
      <c r="C1158" s="18">
        <v>27</v>
      </c>
      <c r="D1158" s="13"/>
      <c r="E1158" s="13"/>
      <c r="F1158" s="13"/>
      <c r="G1158" s="11">
        <v>0.51</v>
      </c>
      <c r="J1158">
        <f>VLOOKUP(A1158,'YB OAS'!B:F,5,0)</f>
        <v>76.993401000000006</v>
      </c>
      <c r="K1158" s="40">
        <f>VLOOKUP(A1158,'Refi Universe'!E:F,2,0)</f>
        <v>0.49091327000000001</v>
      </c>
      <c r="L1158" s="18">
        <v>131</v>
      </c>
    </row>
    <row r="1159" spans="1:12" ht="15" x14ac:dyDescent="0.25">
      <c r="A1159" s="14">
        <v>42264</v>
      </c>
      <c r="B1159" s="15">
        <v>139</v>
      </c>
      <c r="C1159" s="18">
        <v>27</v>
      </c>
      <c r="D1159" s="13"/>
      <c r="E1159" s="13"/>
      <c r="F1159" s="13"/>
      <c r="G1159" s="11">
        <v>0.51</v>
      </c>
      <c r="J1159">
        <f>VLOOKUP(A1159,'YB OAS'!B:F,5,0)</f>
        <v>88.775702999999993</v>
      </c>
      <c r="K1159" s="40">
        <f>VLOOKUP(A1159,'Refi Universe'!E:F,2,0)</f>
        <v>0.52915392000000006</v>
      </c>
      <c r="L1159" s="18">
        <v>139</v>
      </c>
    </row>
    <row r="1160" spans="1:12" ht="15" x14ac:dyDescent="0.25">
      <c r="A1160" s="14">
        <v>42265</v>
      </c>
      <c r="B1160" s="15">
        <v>147</v>
      </c>
      <c r="C1160" s="18">
        <v>28</v>
      </c>
      <c r="D1160" s="13"/>
      <c r="E1160" s="13"/>
      <c r="F1160" s="13"/>
      <c r="G1160" s="11">
        <v>0.51</v>
      </c>
      <c r="J1160">
        <f>VLOOKUP(A1160,'YB OAS'!B:F,5,0)</f>
        <v>90.847801000000004</v>
      </c>
      <c r="K1160" s="40">
        <f>VLOOKUP(A1160,'Refi Universe'!E:F,2,0)</f>
        <v>0.55836633000000002</v>
      </c>
      <c r="L1160" s="18">
        <v>147</v>
      </c>
    </row>
    <row r="1161" spans="1:12" ht="15" x14ac:dyDescent="0.25">
      <c r="A1161" s="14">
        <v>42268</v>
      </c>
      <c r="B1161" s="15">
        <v>141</v>
      </c>
      <c r="C1161" s="18">
        <v>31</v>
      </c>
      <c r="D1161" s="13"/>
      <c r="E1161" s="13"/>
      <c r="F1161" s="13"/>
      <c r="G1161" s="11">
        <v>0.51</v>
      </c>
      <c r="J1161">
        <f>VLOOKUP(A1161,'YB OAS'!B:F,5,0)</f>
        <v>92.118103000000005</v>
      </c>
      <c r="K1161" s="40">
        <f>VLOOKUP(A1161,'Refi Universe'!E:F,2,0)</f>
        <v>0.51756157999999997</v>
      </c>
      <c r="L1161" s="18">
        <v>141</v>
      </c>
    </row>
    <row r="1162" spans="1:12" ht="15" x14ac:dyDescent="0.25">
      <c r="A1162" s="14">
        <v>42269</v>
      </c>
      <c r="B1162" s="15">
        <v>147</v>
      </c>
      <c r="C1162" s="18">
        <v>31</v>
      </c>
      <c r="D1162" s="13"/>
      <c r="E1162" s="13"/>
      <c r="F1162" s="13"/>
      <c r="G1162" s="11">
        <v>0.51</v>
      </c>
      <c r="J1162">
        <f>VLOOKUP(A1162,'YB OAS'!B:F,5,0)</f>
        <v>91.347603000000007</v>
      </c>
      <c r="K1162" s="40">
        <f>VLOOKUP(A1162,'Refi Universe'!E:F,2,0)</f>
        <v>0.54699834000000003</v>
      </c>
      <c r="L1162" s="18">
        <v>147</v>
      </c>
    </row>
    <row r="1163" spans="1:12" ht="15" x14ac:dyDescent="0.25">
      <c r="A1163" s="14">
        <v>42270</v>
      </c>
      <c r="B1163" s="15">
        <v>141</v>
      </c>
      <c r="C1163" s="18">
        <v>26</v>
      </c>
      <c r="D1163" s="13"/>
      <c r="E1163" s="13"/>
      <c r="F1163" s="13"/>
      <c r="G1163" s="11">
        <v>0.51</v>
      </c>
      <c r="J1163">
        <f>VLOOKUP(A1163,'YB OAS'!B:F,5,0)</f>
        <v>93.388901000000004</v>
      </c>
      <c r="K1163" s="40">
        <f>VLOOKUP(A1163,'Refi Universe'!E:F,2,0)</f>
        <v>0.51456749000000002</v>
      </c>
      <c r="L1163" s="18">
        <v>141</v>
      </c>
    </row>
    <row r="1164" spans="1:12" ht="15" x14ac:dyDescent="0.25">
      <c r="A1164" s="14">
        <v>42271</v>
      </c>
      <c r="B1164" s="15">
        <v>151</v>
      </c>
      <c r="C1164" s="18">
        <v>34</v>
      </c>
      <c r="D1164" s="13"/>
      <c r="E1164" s="13"/>
      <c r="F1164" s="13"/>
      <c r="G1164" s="11">
        <v>0.52</v>
      </c>
      <c r="J1164">
        <f>VLOOKUP(A1164,'YB OAS'!B:F,5,0)</f>
        <v>94.691901999999999</v>
      </c>
      <c r="K1164" s="40">
        <f>VLOOKUP(A1164,'Refi Universe'!E:F,2,0)</f>
        <v>0.51546252000000004</v>
      </c>
      <c r="L1164" s="18">
        <v>151</v>
      </c>
    </row>
    <row r="1165" spans="1:12" ht="15" x14ac:dyDescent="0.25">
      <c r="A1165" s="14">
        <v>42272</v>
      </c>
      <c r="B1165" s="15">
        <v>142</v>
      </c>
      <c r="C1165" s="18">
        <v>28</v>
      </c>
      <c r="D1165" s="13"/>
      <c r="E1165" s="13"/>
      <c r="F1165" s="13"/>
      <c r="G1165" s="11">
        <v>0.52</v>
      </c>
      <c r="J1165">
        <f>VLOOKUP(A1165,'YB OAS'!B:F,5,0)</f>
        <v>92.216003000000001</v>
      </c>
      <c r="K1165" s="40">
        <f>VLOOKUP(A1165,'Refi Universe'!E:F,2,0)</f>
        <v>0.50470086000000003</v>
      </c>
      <c r="L1165" s="18">
        <v>142</v>
      </c>
    </row>
    <row r="1166" spans="1:12" ht="15" x14ac:dyDescent="0.25">
      <c r="A1166" s="14">
        <v>42275</v>
      </c>
      <c r="B1166" s="15">
        <v>148</v>
      </c>
      <c r="C1166" s="18">
        <v>30</v>
      </c>
      <c r="D1166" s="13"/>
      <c r="E1166" s="13"/>
      <c r="F1166" s="13"/>
      <c r="G1166" s="11">
        <v>0.52</v>
      </c>
      <c r="J1166">
        <f>VLOOKUP(A1166,'YB OAS'!B:F,5,0)</f>
        <v>95.076401000000004</v>
      </c>
      <c r="K1166" s="40">
        <f>VLOOKUP(A1166,'Refi Universe'!E:F,2,0)</f>
        <v>0.52561398999999998</v>
      </c>
      <c r="L1166" s="18">
        <v>148</v>
      </c>
    </row>
    <row r="1167" spans="1:12" ht="15" x14ac:dyDescent="0.25">
      <c r="A1167" s="14">
        <v>42276</v>
      </c>
      <c r="B1167" s="15">
        <v>152</v>
      </c>
      <c r="C1167" s="18">
        <v>28</v>
      </c>
      <c r="D1167" s="13"/>
      <c r="E1167" s="13"/>
      <c r="F1167" s="13"/>
      <c r="G1167" s="11">
        <v>0.52</v>
      </c>
      <c r="J1167">
        <f>VLOOKUP(A1167,'YB OAS'!B:F,5,0)</f>
        <v>93.705498000000006</v>
      </c>
      <c r="K1167" s="40">
        <f>VLOOKUP(A1167,'Refi Universe'!E:F,2,0)</f>
        <v>0.54699834000000003</v>
      </c>
      <c r="L1167" s="18">
        <v>152</v>
      </c>
    </row>
    <row r="1168" spans="1:12" ht="15" x14ac:dyDescent="0.25">
      <c r="A1168" s="14">
        <v>42277</v>
      </c>
      <c r="B1168" s="15">
        <v>160</v>
      </c>
      <c r="C1168" s="18">
        <v>34</v>
      </c>
      <c r="D1168" s="13"/>
      <c r="E1168" s="13"/>
      <c r="F1168" s="13"/>
      <c r="G1168" s="11">
        <v>0.52</v>
      </c>
      <c r="J1168">
        <f>VLOOKUP(A1168,'YB OAS'!B:F,5,0)</f>
        <v>99.454498000000001</v>
      </c>
      <c r="K1168" s="40">
        <f>VLOOKUP(A1168,'Refi Universe'!E:F,2,0)</f>
        <v>0.55419123999999997</v>
      </c>
      <c r="L1168" s="18">
        <v>160</v>
      </c>
    </row>
    <row r="1169" spans="1:12" ht="15" x14ac:dyDescent="0.25">
      <c r="A1169" s="14">
        <v>42278</v>
      </c>
      <c r="B1169" s="15">
        <v>180</v>
      </c>
      <c r="C1169" s="18">
        <v>52</v>
      </c>
      <c r="D1169" s="13"/>
      <c r="E1169" s="13"/>
      <c r="F1169" s="13"/>
      <c r="G1169" s="11">
        <v>0.53</v>
      </c>
      <c r="J1169">
        <f>VLOOKUP(A1169,'YB OAS'!B:F,5,0)</f>
        <v>109.387199</v>
      </c>
      <c r="K1169" s="40">
        <f>VLOOKUP(A1169,'Refi Universe'!E:F,2,0)</f>
        <v>0.56462911000000005</v>
      </c>
      <c r="L1169" s="18">
        <v>180</v>
      </c>
    </row>
    <row r="1170" spans="1:12" ht="15" x14ac:dyDescent="0.25">
      <c r="A1170" s="14">
        <v>42279</v>
      </c>
      <c r="B1170" s="15">
        <v>202</v>
      </c>
      <c r="C1170" s="18">
        <v>68</v>
      </c>
      <c r="D1170" s="13"/>
      <c r="E1170" s="13"/>
      <c r="F1170" s="13"/>
      <c r="G1170" s="11">
        <v>0.53</v>
      </c>
      <c r="J1170">
        <f>VLOOKUP(A1170,'YB OAS'!B:F,5,0)</f>
        <v>128.826706</v>
      </c>
      <c r="K1170" s="40">
        <f>VLOOKUP(A1170,'Refi Universe'!E:F,2,0)</f>
        <v>0.59206276000000002</v>
      </c>
      <c r="L1170" s="18">
        <v>202</v>
      </c>
    </row>
    <row r="1171" spans="1:12" ht="15" x14ac:dyDescent="0.25">
      <c r="A1171" s="14">
        <v>42282</v>
      </c>
      <c r="B1171" s="15">
        <v>202</v>
      </c>
      <c r="C1171" s="18">
        <v>74</v>
      </c>
      <c r="G1171" s="11">
        <v>0.53</v>
      </c>
      <c r="J1171">
        <f>VLOOKUP(A1171,'YB OAS'!B:F,5,0)</f>
        <v>129.79480000000001</v>
      </c>
      <c r="K1171" s="40">
        <f>VLOOKUP(A1171,'Refi Universe'!E:F,2,0)</f>
        <v>0.56743953999999996</v>
      </c>
      <c r="L1171" s="18">
        <v>202</v>
      </c>
    </row>
    <row r="1172" spans="1:12" ht="15" x14ac:dyDescent="0.25">
      <c r="A1172" s="14">
        <v>42283</v>
      </c>
      <c r="B1172" s="15">
        <v>185</v>
      </c>
      <c r="C1172" s="18">
        <v>56</v>
      </c>
      <c r="G1172" s="11">
        <v>0.53</v>
      </c>
      <c r="J1172">
        <f>VLOOKUP(A1172,'YB OAS'!B:F,5,0)</f>
        <v>128.95159899999999</v>
      </c>
      <c r="K1172" s="40">
        <f>VLOOKUP(A1172,'Refi Universe'!E:F,2,0)</f>
        <v>0.57890863999999997</v>
      </c>
      <c r="L1172" s="18">
        <v>185</v>
      </c>
    </row>
    <row r="1173" spans="1:12" ht="15" x14ac:dyDescent="0.25">
      <c r="A1173" s="14">
        <v>42284</v>
      </c>
      <c r="B1173" s="15">
        <v>189</v>
      </c>
      <c r="C1173" s="18">
        <v>62</v>
      </c>
      <c r="G1173" s="11">
        <v>0.53</v>
      </c>
      <c r="J1173">
        <f>VLOOKUP(A1173,'YB OAS'!B:F,5,0)</f>
        <v>127.693901</v>
      </c>
      <c r="K1173" s="40">
        <f>VLOOKUP(A1173,'Refi Universe'!E:F,2,0)</f>
        <v>0.57359285000000004</v>
      </c>
      <c r="L1173" s="18">
        <v>189</v>
      </c>
    </row>
    <row r="1174" spans="1:12" ht="15" x14ac:dyDescent="0.25">
      <c r="A1174" s="14">
        <v>42285</v>
      </c>
      <c r="B1174" s="15">
        <v>189</v>
      </c>
      <c r="C1174" s="18">
        <v>68</v>
      </c>
      <c r="G1174" s="11">
        <v>0.57894029457192531</v>
      </c>
      <c r="J1174">
        <f>VLOOKUP(A1174,'YB OAS'!B:F,5,0)</f>
        <v>131.168701</v>
      </c>
      <c r="K1174" s="40">
        <f>VLOOKUP(A1174,'Refi Universe'!E:F,2,0)</f>
        <v>0.54491213000000005</v>
      </c>
      <c r="L1174" s="18">
        <v>189</v>
      </c>
    </row>
    <row r="1175" spans="1:12" ht="15" x14ac:dyDescent="0.25">
      <c r="A1175" s="14">
        <v>42286</v>
      </c>
      <c r="B1175" s="15">
        <v>180</v>
      </c>
      <c r="C1175" s="18">
        <v>58</v>
      </c>
      <c r="G1175" s="11">
        <v>0.57894029457192531</v>
      </c>
      <c r="J1175">
        <f>VLOOKUP(A1175,'YB OAS'!B:F,5,0)</f>
        <v>128.14529400000001</v>
      </c>
      <c r="K1175" s="40">
        <f>VLOOKUP(A1175,'Refi Universe'!E:F,2,0)</f>
        <v>0.54440880999999997</v>
      </c>
      <c r="L1175" s="18">
        <v>180</v>
      </c>
    </row>
    <row r="1176" spans="1:12" ht="15" x14ac:dyDescent="0.25">
      <c r="A1176" s="14">
        <v>42290</v>
      </c>
      <c r="B1176" s="15">
        <v>198</v>
      </c>
      <c r="C1176" s="18">
        <v>72</v>
      </c>
      <c r="G1176" s="11">
        <v>0.57894029457192531</v>
      </c>
      <c r="J1176">
        <f>VLOOKUP(A1176,'YB OAS'!B:F,5,0)</f>
        <v>136.1987</v>
      </c>
      <c r="K1176" s="40">
        <f>VLOOKUP(A1176,'Refi Universe'!E:F,2,0)</f>
        <v>0.56100377000000001</v>
      </c>
      <c r="L1176" s="18">
        <v>198</v>
      </c>
    </row>
    <row r="1177" spans="1:12" ht="15" x14ac:dyDescent="0.25">
      <c r="A1177" s="14">
        <v>42291</v>
      </c>
      <c r="B1177" s="15">
        <v>200</v>
      </c>
      <c r="C1177" s="18">
        <v>63</v>
      </c>
      <c r="G1177" s="11">
        <v>0.57894029457192531</v>
      </c>
      <c r="J1177">
        <f>VLOOKUP(A1177,'YB OAS'!B:F,5,0)</f>
        <v>136.86979700000001</v>
      </c>
      <c r="K1177" s="40">
        <f>VLOOKUP(A1177,'Refi Universe'!E:F,2,0)</f>
        <v>0.58353460999999995</v>
      </c>
      <c r="L1177" s="18">
        <v>200</v>
      </c>
    </row>
    <row r="1178" spans="1:12" ht="15" x14ac:dyDescent="0.25">
      <c r="A1178" s="14">
        <v>42292</v>
      </c>
      <c r="B1178" s="15">
        <v>199</v>
      </c>
      <c r="C1178" s="18">
        <v>64</v>
      </c>
      <c r="G1178" s="11">
        <v>0.54767612302289337</v>
      </c>
      <c r="J1178">
        <f>VLOOKUP(A1178,'YB OAS'!B:F,5,0)</f>
        <v>136.18150299999999</v>
      </c>
      <c r="K1178" s="40">
        <f>VLOOKUP(A1178,'Refi Universe'!E:F,2,0)</f>
        <v>0.57359285000000004</v>
      </c>
      <c r="L1178" s="18">
        <v>199</v>
      </c>
    </row>
    <row r="1179" spans="1:12" ht="15" x14ac:dyDescent="0.25">
      <c r="A1179" s="14">
        <v>42293</v>
      </c>
      <c r="B1179" s="15">
        <v>197</v>
      </c>
      <c r="C1179" s="18">
        <v>63</v>
      </c>
      <c r="G1179" s="11">
        <v>0.54767612302289337</v>
      </c>
      <c r="J1179">
        <f>VLOOKUP(A1179,'YB OAS'!B:F,5,0)</f>
        <v>133.98539700000001</v>
      </c>
      <c r="K1179" s="40">
        <f>VLOOKUP(A1179,'Refi Universe'!E:F,2,0)</f>
        <v>0.57089999999999996</v>
      </c>
      <c r="L1179" s="18">
        <v>197</v>
      </c>
    </row>
    <row r="1180" spans="1:12" ht="15" x14ac:dyDescent="0.25">
      <c r="A1180" s="14">
        <v>42296</v>
      </c>
      <c r="B1180" s="15">
        <v>204</v>
      </c>
      <c r="C1180" s="18">
        <v>70</v>
      </c>
      <c r="G1180" s="11">
        <f>IF(ISNA(VLOOKUP(A1180,'Refi Universe'!A:B,2,0)),G1179,VLOOKUP(A1180,'Refi Universe'!A:B,2,0))</f>
        <v>0.54767612302289337</v>
      </c>
      <c r="J1180">
        <f>VLOOKUP(A1180,'YB OAS'!B:F,5,0)</f>
        <v>139.81500199999999</v>
      </c>
      <c r="K1180" s="40">
        <f>VLOOKUP(A1180,'Refi Universe'!E:F,2,0)</f>
        <v>0.56985229999999998</v>
      </c>
      <c r="L1180" s="18">
        <v>204</v>
      </c>
    </row>
    <row r="1181" spans="1:12" ht="15" x14ac:dyDescent="0.25">
      <c r="A1181" s="14">
        <v>42297</v>
      </c>
      <c r="B1181" s="15">
        <v>197</v>
      </c>
      <c r="C1181" s="18">
        <v>68</v>
      </c>
      <c r="G1181" s="11">
        <f>IF(ISNA(VLOOKUP(A1181,'Refi Universe'!A:B,2,0)),G1180,VLOOKUP(A1181,'Refi Universe'!A:B,2,0))</f>
        <v>0.54767612302289337</v>
      </c>
      <c r="J1181">
        <f>VLOOKUP(A1181,'YB OAS'!B:F,5,0)</f>
        <v>137.84599299999999</v>
      </c>
      <c r="K1181" s="40">
        <f>VLOOKUP(A1181,'Refi Universe'!E:F,2,0)</f>
        <v>0.54682167000000004</v>
      </c>
      <c r="L1181" s="18">
        <v>197</v>
      </c>
    </row>
    <row r="1182" spans="1:12" ht="15" x14ac:dyDescent="0.25">
      <c r="A1182" s="14">
        <v>42298</v>
      </c>
      <c r="B1182" s="15">
        <v>196</v>
      </c>
      <c r="C1182" s="18">
        <v>62</v>
      </c>
      <c r="G1182" s="11">
        <f>IF(ISNA(VLOOKUP(A1182,'Refi Universe'!A:B,2,0)),G1181,VLOOKUP(A1182,'Refi Universe'!A:B,2,0))</f>
        <v>0.54767612302289337</v>
      </c>
      <c r="J1182">
        <f>VLOOKUP(A1182,'YB OAS'!B:F,5,0)</f>
        <v>139.73890700000001</v>
      </c>
      <c r="K1182" s="40">
        <f>VLOOKUP(A1182,'Refi Universe'!E:F,2,0)</f>
        <v>0.55860147999999998</v>
      </c>
      <c r="L1182" s="18">
        <v>196</v>
      </c>
    </row>
    <row r="1183" spans="1:12" ht="15" x14ac:dyDescent="0.25">
      <c r="A1183" s="14">
        <v>42299</v>
      </c>
      <c r="B1183" s="15">
        <v>204</v>
      </c>
      <c r="C1183" s="18">
        <v>67</v>
      </c>
      <c r="G1183" s="11">
        <f>IF(ISNA(VLOOKUP(A1183,'Refi Universe'!A:B,2,0)),G1182,VLOOKUP(A1183,'Refi Universe'!A:B,2,0))</f>
        <v>0.56317380692680197</v>
      </c>
      <c r="J1183">
        <f>VLOOKUP(A1183,'YB OAS'!B:F,5,0)</f>
        <v>139.04269400000001</v>
      </c>
      <c r="K1183" s="40">
        <f>VLOOKUP(A1183,'Refi Universe'!E:F,2,0)</f>
        <v>0.57587261000000001</v>
      </c>
      <c r="L1183" s="18">
        <v>204</v>
      </c>
    </row>
    <row r="1184" spans="1:12" ht="15" x14ac:dyDescent="0.25">
      <c r="A1184" s="14">
        <v>42300</v>
      </c>
      <c r="B1184" s="15">
        <v>188</v>
      </c>
      <c r="C1184" s="18">
        <v>57</v>
      </c>
      <c r="G1184" s="11">
        <f>IF(ISNA(VLOOKUP(A1184,'Refi Universe'!A:B,2,0)),G1183,VLOOKUP(A1184,'Refi Universe'!A:B,2,0))</f>
        <v>0.56317380692680197</v>
      </c>
      <c r="J1184">
        <f>VLOOKUP(A1184,'YB OAS'!B:F,5,0)</f>
        <v>128.54040499999999</v>
      </c>
      <c r="K1184" s="40">
        <f>VLOOKUP(A1184,'Refi Universe'!E:F,2,0)</f>
        <v>0.54362469000000002</v>
      </c>
      <c r="L1184" s="18">
        <v>188</v>
      </c>
    </row>
    <row r="1185" spans="1:12" ht="15" x14ac:dyDescent="0.25">
      <c r="A1185" s="14">
        <v>42303</v>
      </c>
      <c r="B1185" s="15">
        <v>185</v>
      </c>
      <c r="C1185" s="18">
        <v>53</v>
      </c>
      <c r="G1185" s="11">
        <f>IF(ISNA(VLOOKUP(A1185,'Refi Universe'!A:B,2,0)),G1184,VLOOKUP(A1185,'Refi Universe'!A:B,2,0))</f>
        <v>0.56317380692680197</v>
      </c>
      <c r="J1185">
        <f>VLOOKUP(A1185,'YB OAS'!B:F,5,0)</f>
        <v>126.251999</v>
      </c>
      <c r="K1185" s="40">
        <f>VLOOKUP(A1185,'Refi Universe'!E:F,2,0)</f>
        <v>0.55113287</v>
      </c>
      <c r="L1185" s="18">
        <v>185</v>
      </c>
    </row>
    <row r="1186" spans="1:12" ht="15" x14ac:dyDescent="0.25">
      <c r="A1186" s="14">
        <v>42304</v>
      </c>
      <c r="B1186" s="15">
        <v>189</v>
      </c>
      <c r="C1186" s="18">
        <v>53</v>
      </c>
      <c r="G1186" s="11">
        <f>IF(ISNA(VLOOKUP(A1186,'Refi Universe'!A:B,2,0)),G1185,VLOOKUP(A1186,'Refi Universe'!A:B,2,0))</f>
        <v>0.56317380692680197</v>
      </c>
      <c r="J1186">
        <f>VLOOKUP(A1186,'YB OAS'!B:F,5,0)</f>
        <v>125.121002</v>
      </c>
      <c r="K1186" s="40">
        <f>VLOOKUP(A1186,'Refi Universe'!E:F,2,0)</f>
        <v>0.57160407999999996</v>
      </c>
      <c r="L1186" s="18">
        <v>189</v>
      </c>
    </row>
    <row r="1187" spans="1:12" ht="15" x14ac:dyDescent="0.25">
      <c r="A1187" s="14">
        <v>42305</v>
      </c>
      <c r="B1187" s="15">
        <v>170</v>
      </c>
      <c r="C1187" s="18">
        <v>41</v>
      </c>
      <c r="G1187" s="11">
        <f>IF(ISNA(VLOOKUP(A1187,'Refi Universe'!A:B,2,0)),G1186,VLOOKUP(A1187,'Refi Universe'!A:B,2,0))</f>
        <v>0.56317380692680197</v>
      </c>
      <c r="J1187">
        <f>VLOOKUP(A1187,'YB OAS'!B:F,5,0)</f>
        <v>114.82759900000001</v>
      </c>
      <c r="K1187" s="40">
        <f>VLOOKUP(A1187,'Refi Universe'!E:F,2,0)</f>
        <v>0.55113287</v>
      </c>
      <c r="L1187" s="18">
        <v>170</v>
      </c>
    </row>
    <row r="1188" spans="1:12" ht="15" x14ac:dyDescent="0.25">
      <c r="A1188" s="14">
        <v>42306</v>
      </c>
      <c r="B1188" s="15">
        <v>168</v>
      </c>
      <c r="C1188" s="18">
        <v>48</v>
      </c>
      <c r="G1188" s="11">
        <f>IF(ISNA(VLOOKUP(A1188,'Refi Universe'!A:B,2,0)),G1187,VLOOKUP(A1188,'Refi Universe'!A:B,2,0))</f>
        <v>0.57894029457192531</v>
      </c>
      <c r="J1188">
        <f>VLOOKUP(A1188,'YB OAS'!B:F,5,0)</f>
        <v>111.132103</v>
      </c>
      <c r="K1188" s="40">
        <f>VLOOKUP(A1188,'Refi Universe'!E:F,2,0)</f>
        <v>0.50746528000000002</v>
      </c>
      <c r="L1188" s="18">
        <v>168</v>
      </c>
    </row>
    <row r="1189" spans="1:12" ht="15" x14ac:dyDescent="0.25">
      <c r="A1189" s="14">
        <v>42307</v>
      </c>
      <c r="B1189" s="15">
        <v>155</v>
      </c>
      <c r="C1189" s="18">
        <v>32</v>
      </c>
      <c r="G1189" s="11">
        <f>IF(ISNA(VLOOKUP(A1189,'Refi Universe'!A:B,2,0)),G1188,VLOOKUP(A1189,'Refi Universe'!A:B,2,0))</f>
        <v>0.57894029457192531</v>
      </c>
      <c r="J1189">
        <f>VLOOKUP(A1189,'YB OAS'!B:F,5,0)</f>
        <v>99.487503000000004</v>
      </c>
      <c r="K1189" s="40">
        <f>VLOOKUP(A1189,'Refi Universe'!E:F,2,0)</f>
        <v>0.52637942999999998</v>
      </c>
      <c r="L1189" s="18">
        <v>155</v>
      </c>
    </row>
    <row r="1190" spans="1:12" ht="15" x14ac:dyDescent="0.25">
      <c r="A1190" s="14">
        <v>42310</v>
      </c>
      <c r="B1190" s="15">
        <v>146</v>
      </c>
      <c r="C1190" s="18">
        <v>26</v>
      </c>
      <c r="G1190" s="11">
        <f>IF(ISNA(VLOOKUP(A1190,'Refi Universe'!A:B,2,0)),G1189,VLOOKUP(A1190,'Refi Universe'!A:B,2,0))</f>
        <v>0.57894029457192531</v>
      </c>
      <c r="J1190">
        <f>VLOOKUP(A1190,'YB OAS'!B:F,5,0)</f>
        <v>96.958397000000005</v>
      </c>
      <c r="K1190" s="40">
        <f>VLOOKUP(A1190,'Refi Universe'!E:F,2,0)</f>
        <v>0.50891735999999999</v>
      </c>
      <c r="L1190" s="18">
        <v>146</v>
      </c>
    </row>
    <row r="1191" spans="1:12" ht="15" x14ac:dyDescent="0.25">
      <c r="A1191" s="14">
        <v>42311</v>
      </c>
      <c r="B1191" s="15">
        <v>142</v>
      </c>
      <c r="C1191" s="18">
        <v>24</v>
      </c>
      <c r="G1191" s="11">
        <f>IF(ISNA(VLOOKUP(A1191,'Refi Universe'!A:B,2,0)),G1190,VLOOKUP(A1191,'Refi Universe'!A:B,2,0))</f>
        <v>0.57894029457192531</v>
      </c>
      <c r="J1191">
        <f>VLOOKUP(A1191,'YB OAS'!B:F,5,0)</f>
        <v>92.429496999999998</v>
      </c>
      <c r="K1191" s="40">
        <f>VLOOKUP(A1191,'Refi Universe'!E:F,2,0)</f>
        <v>0.49479933999999998</v>
      </c>
      <c r="L1191" s="18">
        <v>142</v>
      </c>
    </row>
    <row r="1192" spans="1:12" ht="15" x14ac:dyDescent="0.25">
      <c r="A1192" s="14">
        <v>42312</v>
      </c>
      <c r="B1192" s="15">
        <v>131</v>
      </c>
      <c r="C1192" s="18">
        <v>15</v>
      </c>
      <c r="G1192" s="11">
        <f>IF(ISNA(VLOOKUP(A1192,'Refi Universe'!A:B,2,0)),G1191,VLOOKUP(A1192,'Refi Universe'!A:B,2,0))</f>
        <v>0.57894029457192531</v>
      </c>
      <c r="J1192">
        <f>VLOOKUP(A1192,'YB OAS'!B:F,5,0)</f>
        <v>84.497703999999999</v>
      </c>
      <c r="K1192" s="40">
        <f>VLOOKUP(A1192,'Refi Universe'!E:F,2,0)</f>
        <v>0.48993692</v>
      </c>
      <c r="L1192" s="18">
        <v>131</v>
      </c>
    </row>
    <row r="1193" spans="1:12" ht="15" x14ac:dyDescent="0.25">
      <c r="A1193" s="14">
        <v>42313</v>
      </c>
      <c r="B1193" s="15">
        <v>128</v>
      </c>
      <c r="C1193" s="18">
        <v>13</v>
      </c>
      <c r="G1193" s="11">
        <f>IF(ISNA(VLOOKUP(A1193,'Refi Universe'!A:B,2,0)),G1192,VLOOKUP(A1193,'Refi Universe'!A:B,2,0))</f>
        <v>0.51511509569715663</v>
      </c>
      <c r="J1193">
        <f>VLOOKUP(A1193,'YB OAS'!B:F,5,0)</f>
        <v>89.150902000000002</v>
      </c>
      <c r="K1193" s="40">
        <f>VLOOKUP(A1193,'Refi Universe'!E:F,2,0)</f>
        <v>0.48840109999999998</v>
      </c>
      <c r="L1193" s="18">
        <v>128</v>
      </c>
    </row>
    <row r="1194" spans="1:12" ht="15" x14ac:dyDescent="0.25">
      <c r="A1194" s="14">
        <v>42314</v>
      </c>
      <c r="B1194" s="15">
        <v>123</v>
      </c>
      <c r="C1194" s="18">
        <v>17</v>
      </c>
      <c r="G1194" s="11">
        <f>IF(ISNA(VLOOKUP(A1194,'Refi Universe'!A:B,2,0)),G1193,VLOOKUP(A1194,'Refi Universe'!A:B,2,0))</f>
        <v>0.51511509569715663</v>
      </c>
      <c r="J1194">
        <f>VLOOKUP(A1194,'YB OAS'!B:F,5,0)</f>
        <v>77.278701999999996</v>
      </c>
      <c r="K1194" s="40">
        <f>VLOOKUP(A1194,'Refi Universe'!E:F,2,0)</f>
        <v>0.45491517999999997</v>
      </c>
      <c r="L1194" s="18">
        <v>123</v>
      </c>
    </row>
    <row r="1195" spans="1:12" ht="15" x14ac:dyDescent="0.25">
      <c r="A1195" s="14">
        <v>42317</v>
      </c>
      <c r="B1195" s="15">
        <v>119</v>
      </c>
      <c r="C1195" s="18">
        <v>15</v>
      </c>
      <c r="G1195" s="11">
        <f>IF(ISNA(VLOOKUP(A1195,'Refi Universe'!A:B,2,0)),G1194,VLOOKUP(A1195,'Refi Universe'!A:B,2,0))</f>
        <v>0.51511509569715663</v>
      </c>
      <c r="J1195">
        <f>VLOOKUP(A1195,'YB OAS'!B:F,5,0)</f>
        <v>79.424499999999995</v>
      </c>
      <c r="K1195" s="40">
        <f>VLOOKUP(A1195,'Refi Universe'!E:F,2,0)</f>
        <v>0.43414174</v>
      </c>
      <c r="L1195" s="18">
        <v>119</v>
      </c>
    </row>
    <row r="1196" spans="1:12" ht="15" x14ac:dyDescent="0.25">
      <c r="A1196" s="14">
        <v>42318</v>
      </c>
      <c r="B1196" s="15">
        <v>113</v>
      </c>
      <c r="C1196" s="18">
        <v>9</v>
      </c>
      <c r="G1196" s="11">
        <f>IF(ISNA(VLOOKUP(A1196,'Refi Universe'!A:B,2,0)),G1195,VLOOKUP(A1196,'Refi Universe'!A:B,2,0))</f>
        <v>0.51511509569715663</v>
      </c>
      <c r="J1196">
        <f>VLOOKUP(A1196,'YB OAS'!B:F,5,0)</f>
        <v>99.684997999999993</v>
      </c>
      <c r="K1196" s="40">
        <f>VLOOKUP(A1196,'Refi Universe'!E:F,2,0)</f>
        <v>0.45419498000000003</v>
      </c>
      <c r="L1196" s="18">
        <v>113</v>
      </c>
    </row>
    <row r="1197" spans="1:12" ht="15" x14ac:dyDescent="0.25">
      <c r="A1197" s="14">
        <v>42320</v>
      </c>
      <c r="B1197" s="15">
        <v>135</v>
      </c>
      <c r="C1197" s="18">
        <v>30</v>
      </c>
      <c r="G1197" s="11">
        <f>IF(ISNA(VLOOKUP(A1197,'Refi Universe'!A:B,2,0)),G1196,VLOOKUP(A1197,'Refi Universe'!A:B,2,0))</f>
        <v>0.4725306175940911</v>
      </c>
      <c r="J1197">
        <f>VLOOKUP(A1197,'YB OAS'!B:F,5,0)</f>
        <v>91.113097999999994</v>
      </c>
      <c r="K1197" s="40">
        <f>VLOOKUP(A1197,'Refi Universe'!E:F,2,0)</f>
        <v>0.44028864000000001</v>
      </c>
      <c r="L1197" s="18">
        <v>135</v>
      </c>
    </row>
    <row r="1198" spans="1:12" ht="15" x14ac:dyDescent="0.25">
      <c r="A1198" s="14">
        <v>42321</v>
      </c>
      <c r="B1198" s="15">
        <v>122</v>
      </c>
      <c r="C1198" s="18">
        <v>13</v>
      </c>
      <c r="G1198" s="11">
        <f>IF(ISNA(VLOOKUP(A1198,'Refi Universe'!A:B,2,0)),G1197,VLOOKUP(A1198,'Refi Universe'!A:B,2,0))</f>
        <v>0.4725306175940911</v>
      </c>
      <c r="J1198">
        <f>VLOOKUP(A1198,'YB OAS'!B:F,5,0)</f>
        <v>87.482902999999993</v>
      </c>
      <c r="K1198" s="40">
        <f>VLOOKUP(A1198,'Refi Universe'!E:F,2,0)</f>
        <v>0.46793132999999998</v>
      </c>
      <c r="L1198" s="18">
        <v>122</v>
      </c>
    </row>
    <row r="1199" spans="1:12" ht="15" x14ac:dyDescent="0.25">
      <c r="A1199" s="14">
        <v>42324</v>
      </c>
      <c r="B1199" s="15">
        <v>135</v>
      </c>
      <c r="C1199" s="18">
        <v>26</v>
      </c>
      <c r="G1199" s="11">
        <f>IF(ISNA(VLOOKUP(A1199,'Refi Universe'!A:B,2,0)),G1198,VLOOKUP(A1199,'Refi Universe'!A:B,2,0))</f>
        <v>0.4725306175940911</v>
      </c>
      <c r="J1199">
        <f>VLOOKUP(A1199,'YB OAS'!B:F,5,0)</f>
        <v>90.169098000000005</v>
      </c>
      <c r="K1199" s="40">
        <f>VLOOKUP(A1199,'Refi Universe'!E:F,2,0)</f>
        <v>0.47244762000000001</v>
      </c>
      <c r="L1199" s="18">
        <v>135</v>
      </c>
    </row>
    <row r="1200" spans="1:12" ht="15" x14ac:dyDescent="0.25">
      <c r="A1200" s="14">
        <v>42325</v>
      </c>
      <c r="B1200" s="15">
        <v>125</v>
      </c>
      <c r="C1200" s="18">
        <v>14</v>
      </c>
      <c r="G1200" s="11">
        <f>IF(ISNA(VLOOKUP(A1200,'Refi Universe'!A:B,2,0)),G1199,VLOOKUP(A1200,'Refi Universe'!A:B,2,0))</f>
        <v>0.4725306175940911</v>
      </c>
      <c r="J1200">
        <f>VLOOKUP(A1200,'YB OAS'!B:F,5,0)</f>
        <v>88.009804000000003</v>
      </c>
      <c r="K1200" s="40">
        <f>VLOOKUP(A1200,'Refi Universe'!E:F,2,0)</f>
        <v>0.47802441000000001</v>
      </c>
      <c r="L1200" s="18">
        <v>125</v>
      </c>
    </row>
    <row r="1201" spans="1:12" ht="15" x14ac:dyDescent="0.25">
      <c r="A1201" s="14">
        <v>42326</v>
      </c>
      <c r="B1201" s="15">
        <v>124</v>
      </c>
      <c r="C1201" s="18">
        <v>13</v>
      </c>
      <c r="G1201" s="11">
        <f>IF(ISNA(VLOOKUP(A1201,'Refi Universe'!A:B,2,0)),G1200,VLOOKUP(A1201,'Refi Universe'!A:B,2,0))</f>
        <v>0.4725306175940911</v>
      </c>
      <c r="J1201">
        <f>VLOOKUP(A1201,'YB OAS'!B:F,5,0)</f>
        <v>80.545303000000004</v>
      </c>
      <c r="K1201" s="40">
        <f>VLOOKUP(A1201,'Refi Universe'!E:F,2,0)</f>
        <v>0.48255048</v>
      </c>
      <c r="L1201" s="18">
        <v>124</v>
      </c>
    </row>
    <row r="1202" spans="1:12" ht="15" x14ac:dyDescent="0.25">
      <c r="A1202" s="14">
        <v>42327</v>
      </c>
      <c r="B1202" s="15">
        <v>120</v>
      </c>
      <c r="C1202" s="18">
        <v>5</v>
      </c>
      <c r="G1202" s="11">
        <f>IF(ISNA(VLOOKUP(A1202,'Refi Universe'!A:B,2,0)),G1201,VLOOKUP(A1202,'Refi Universe'!A:B,2,0))</f>
        <v>0.47861527230793388</v>
      </c>
      <c r="J1202">
        <f>VLOOKUP(A1202,'YB OAS'!B:F,5,0)</f>
        <v>80.391502000000003</v>
      </c>
      <c r="K1202" s="40">
        <f>VLOOKUP(A1202,'Refi Universe'!E:F,2,0)</f>
        <v>0.48797668999999999</v>
      </c>
      <c r="L1202" s="18">
        <v>120</v>
      </c>
    </row>
    <row r="1203" spans="1:12" ht="15" x14ac:dyDescent="0.25">
      <c r="A1203" s="14">
        <v>42328</v>
      </c>
      <c r="B1203" s="15">
        <v>103</v>
      </c>
      <c r="C1203" s="18">
        <v>-11</v>
      </c>
      <c r="G1203" s="11">
        <f>IF(ISNA(VLOOKUP(A1203,'Refi Universe'!A:B,2,0)),G1202,VLOOKUP(A1203,'Refi Universe'!A:B,2,0))</f>
        <v>0.47861527230793388</v>
      </c>
      <c r="J1203">
        <f>VLOOKUP(A1203,'YB OAS'!B:F,5,0)</f>
        <v>69.588500999999994</v>
      </c>
      <c r="K1203" s="40">
        <f>VLOOKUP(A1203,'Refi Universe'!E:F,2,0)</f>
        <v>0.48276687000000001</v>
      </c>
      <c r="L1203" s="18">
        <v>103</v>
      </c>
    </row>
    <row r="1204" spans="1:12" ht="15" x14ac:dyDescent="0.25">
      <c r="A1204" s="14">
        <v>42331</v>
      </c>
      <c r="B1204" s="15">
        <v>104</v>
      </c>
      <c r="C1204" s="18">
        <v>-10</v>
      </c>
      <c r="G1204" s="11">
        <f>IF(ISNA(VLOOKUP(A1204,'Refi Universe'!A:B,2,0)),G1203,VLOOKUP(A1204,'Refi Universe'!A:B,2,0))</f>
        <v>0.47861527230793388</v>
      </c>
      <c r="J1204">
        <f>VLOOKUP(A1204,'YB OAS'!B:F,5,0)</f>
        <v>62.042000000000002</v>
      </c>
      <c r="K1204" s="40">
        <f>VLOOKUP(A1204,'Refi Universe'!E:F,2,0)</f>
        <v>0.48276687000000001</v>
      </c>
      <c r="L1204" s="18">
        <v>104</v>
      </c>
    </row>
    <row r="1205" spans="1:12" ht="15" x14ac:dyDescent="0.25">
      <c r="A1205" s="14">
        <v>42332</v>
      </c>
      <c r="B1205" s="15">
        <v>117</v>
      </c>
      <c r="C1205" s="18">
        <v>2</v>
      </c>
      <c r="G1205" s="11">
        <f>IF(ISNA(VLOOKUP(A1205,'Refi Universe'!A:B,2,0)),G1204,VLOOKUP(A1205,'Refi Universe'!A:B,2,0))</f>
        <v>0.47861527230793388</v>
      </c>
      <c r="J1205">
        <f>VLOOKUP(A1205,'YB OAS'!B:F,5,0)</f>
        <v>67.215401</v>
      </c>
      <c r="K1205" s="40">
        <f>VLOOKUP(A1205,'Refi Universe'!E:F,2,0)</f>
        <v>0.48422739999999997</v>
      </c>
      <c r="L1205" s="18">
        <v>117</v>
      </c>
    </row>
    <row r="1206" spans="1:12" ht="15" x14ac:dyDescent="0.25">
      <c r="A1206" s="14">
        <v>42333</v>
      </c>
      <c r="B1206" s="15">
        <v>107</v>
      </c>
      <c r="C1206" s="18">
        <v>-8</v>
      </c>
      <c r="G1206" s="11">
        <f>IF(ISNA(VLOOKUP(A1206,'Refi Universe'!A:B,2,0)),G1205,VLOOKUP(A1206,'Refi Universe'!A:B,2,0))</f>
        <v>0.47590352827743421</v>
      </c>
      <c r="J1206">
        <f>VLOOKUP(A1206,'YB OAS'!B:F,5,0)</f>
        <v>61.817298999999998</v>
      </c>
      <c r="K1206" s="40">
        <f>VLOOKUP(A1206,'Refi Universe'!E:F,2,0)</f>
        <v>0.47208881000000003</v>
      </c>
      <c r="L1206" s="18">
        <v>107</v>
      </c>
    </row>
    <row r="1207" spans="1:12" ht="15" x14ac:dyDescent="0.25">
      <c r="A1207" s="14">
        <v>42335</v>
      </c>
      <c r="B1207" s="15">
        <v>107</v>
      </c>
      <c r="C1207" s="18">
        <v>-9</v>
      </c>
      <c r="G1207" s="11">
        <f>IF(ISNA(VLOOKUP(A1207,'Refi Universe'!A:B,2,0)),G1206,VLOOKUP(A1207,'Refi Universe'!A:B,2,0))</f>
        <v>0.47590352827743421</v>
      </c>
      <c r="J1207">
        <f>VLOOKUP(A1207,'YB OAS'!B:F,5,0)</f>
        <v>58.950600000000001</v>
      </c>
      <c r="K1207" s="40">
        <f>VLOOKUP(A1207,'Refi Universe'!E:F,2,0)</f>
        <v>0.47558492000000002</v>
      </c>
      <c r="L1207" s="18">
        <v>107</v>
      </c>
    </row>
    <row r="1208" spans="1:12" ht="15" x14ac:dyDescent="0.25">
      <c r="A1208" s="14">
        <v>42338</v>
      </c>
      <c r="B1208" s="15">
        <v>104</v>
      </c>
      <c r="C1208" s="18">
        <v>-13</v>
      </c>
      <c r="G1208" s="11">
        <f>IF(ISNA(VLOOKUP(A1208,'Refi Universe'!A:B,2,0)),G1207,VLOOKUP(A1208,'Refi Universe'!A:B,2,0))</f>
        <v>0.47590352827743421</v>
      </c>
      <c r="J1208">
        <f>VLOOKUP(A1208,'YB OAS'!B:F,5,0)</f>
        <v>54.895099999999999</v>
      </c>
      <c r="K1208" s="40">
        <f>VLOOKUP(A1208,'Refi Universe'!E:F,2,0)</f>
        <v>0.48084427000000002</v>
      </c>
      <c r="L1208" s="18">
        <v>104</v>
      </c>
    </row>
    <row r="1209" spans="1:12" ht="15" x14ac:dyDescent="0.25">
      <c r="A1209" s="14">
        <v>42339</v>
      </c>
      <c r="B1209" s="15">
        <v>108</v>
      </c>
      <c r="C1209" s="18">
        <v>-10</v>
      </c>
      <c r="G1209" s="11">
        <f>IF(ISNA(VLOOKUP(A1209,'Refi Universe'!A:B,2,0)),G1208,VLOOKUP(A1209,'Refi Universe'!A:B,2,0))</f>
        <v>0.47590352827743421</v>
      </c>
      <c r="J1209">
        <f>VLOOKUP(A1209,'YB OAS'!B:F,5,0)</f>
        <v>55.493000000000002</v>
      </c>
      <c r="K1209" s="40">
        <f>VLOOKUP(A1209,'Refi Universe'!E:F,2,0)</f>
        <v>0.56660074000000005</v>
      </c>
      <c r="L1209" s="18">
        <v>108</v>
      </c>
    </row>
    <row r="1210" spans="1:12" ht="15" x14ac:dyDescent="0.25">
      <c r="A1210" s="14">
        <v>42340</v>
      </c>
      <c r="B1210" s="15">
        <v>101</v>
      </c>
      <c r="C1210" s="18">
        <v>-15</v>
      </c>
      <c r="G1210" s="11">
        <f>IF(ISNA(VLOOKUP(A1210,'Refi Universe'!A:B,2,0)),G1209,VLOOKUP(A1210,'Refi Universe'!A:B,2,0))</f>
        <v>0.47590352827743421</v>
      </c>
      <c r="J1210">
        <f>VLOOKUP(A1210,'YB OAS'!B:F,5,0)</f>
        <v>47.985298</v>
      </c>
      <c r="K1210" s="40">
        <f>VLOOKUP(A1210,'Refi Universe'!E:F,2,0)</f>
        <v>0.48488554</v>
      </c>
      <c r="L1210" s="18">
        <v>101</v>
      </c>
    </row>
    <row r="1211" spans="1:12" ht="15" x14ac:dyDescent="0.25">
      <c r="A1211" s="14">
        <v>42341</v>
      </c>
      <c r="B1211" s="15">
        <v>102</v>
      </c>
      <c r="C1211" s="18">
        <v>-2</v>
      </c>
      <c r="G1211" s="11">
        <f>IF(ISNA(VLOOKUP(A1211,'Refi Universe'!A:B,2,0)),G1210,VLOOKUP(A1211,'Refi Universe'!A:B,2,0))</f>
        <v>0.48721504831495865</v>
      </c>
      <c r="J1211">
        <f>VLOOKUP(A1211,'YB OAS'!B:F,5,0)</f>
        <v>43.203097999999997</v>
      </c>
      <c r="K1211" s="40">
        <f>VLOOKUP(A1211,'Refi Universe'!E:F,2,0)</f>
        <v>0.40747510999999997</v>
      </c>
      <c r="L1211" s="18">
        <v>102</v>
      </c>
    </row>
    <row r="1212" spans="1:12" ht="15" x14ac:dyDescent="0.25">
      <c r="A1212" s="14">
        <v>42342</v>
      </c>
      <c r="B1212" s="15">
        <v>85</v>
      </c>
      <c r="C1212" s="18">
        <v>-23</v>
      </c>
      <c r="G1212" s="11">
        <f>IF(ISNA(VLOOKUP(A1212,'Refi Universe'!A:B,2,0)),G1211,VLOOKUP(A1212,'Refi Universe'!A:B,2,0))</f>
        <v>0.48721504831495865</v>
      </c>
      <c r="J1212">
        <f>VLOOKUP(A1212,'YB OAS'!B:F,5,0)</f>
        <v>40.6096</v>
      </c>
      <c r="K1212" s="40">
        <f>VLOOKUP(A1212,'Refi Universe'!E:F,2,0)</f>
        <v>0.4507641</v>
      </c>
      <c r="L1212" s="18">
        <v>85</v>
      </c>
    </row>
    <row r="1213" spans="1:12" ht="15" x14ac:dyDescent="0.25">
      <c r="A1213" s="14">
        <v>42345</v>
      </c>
      <c r="B1213" s="15">
        <v>77</v>
      </c>
      <c r="C1213" s="18">
        <v>-36</v>
      </c>
      <c r="G1213" s="11">
        <f>IF(ISNA(VLOOKUP(A1213,'Refi Universe'!A:B,2,0)),G1212,VLOOKUP(A1213,'Refi Universe'!A:B,2,0))</f>
        <v>0.48721504831495865</v>
      </c>
      <c r="J1213">
        <f>VLOOKUP(A1213,'YB OAS'!B:F,5,0)</f>
        <v>33.585799999999999</v>
      </c>
      <c r="K1213" s="40">
        <f>VLOOKUP(A1213,'Refi Universe'!E:F,2,0)</f>
        <v>0.47633645000000002</v>
      </c>
      <c r="L1213" s="18">
        <v>77</v>
      </c>
    </row>
    <row r="1214" spans="1:12" ht="15" x14ac:dyDescent="0.25">
      <c r="A1214" s="14">
        <v>42346</v>
      </c>
      <c r="B1214" s="15">
        <v>89</v>
      </c>
      <c r="C1214" s="18">
        <v>-22</v>
      </c>
      <c r="G1214" s="11">
        <f>IF(ISNA(VLOOKUP(A1214,'Refi Universe'!A:B,2,0)),G1213,VLOOKUP(A1214,'Refi Universe'!A:B,2,0))</f>
        <v>0.48721504831495865</v>
      </c>
      <c r="J1214">
        <f>VLOOKUP(A1214,'YB OAS'!B:F,5,0)</f>
        <v>33.116599999999998</v>
      </c>
      <c r="K1214" s="40">
        <f>VLOOKUP(A1214,'Refi Universe'!E:F,2,0)</f>
        <v>0.46573657000000002</v>
      </c>
      <c r="L1214" s="18">
        <v>89</v>
      </c>
    </row>
    <row r="1215" spans="1:12" ht="15" x14ac:dyDescent="0.25">
      <c r="A1215" s="14">
        <v>42347</v>
      </c>
      <c r="B1215" s="15">
        <v>88</v>
      </c>
      <c r="C1215" s="18">
        <v>-25</v>
      </c>
      <c r="G1215" s="11">
        <f>IF(ISNA(VLOOKUP(A1215,'Refi Universe'!A:B,2,0)),G1214,VLOOKUP(A1215,'Refi Universe'!A:B,2,0))</f>
        <v>0.48721504831495865</v>
      </c>
      <c r="J1215">
        <f>VLOOKUP(A1215,'YB OAS'!B:F,5,0)</f>
        <v>29.989799000000001</v>
      </c>
      <c r="K1215" s="40">
        <f>VLOOKUP(A1215,'Refi Universe'!E:F,2,0)</f>
        <v>0.48373664</v>
      </c>
      <c r="L1215" s="18">
        <v>88</v>
      </c>
    </row>
    <row r="1216" spans="1:12" ht="15" x14ac:dyDescent="0.25">
      <c r="A1216" s="14">
        <v>42348</v>
      </c>
      <c r="B1216" s="15">
        <v>85</v>
      </c>
      <c r="C1216" s="18">
        <v>-24</v>
      </c>
      <c r="G1216" s="11">
        <f>IF(ISNA(VLOOKUP(A1216,'Refi Universe'!A:B,2,0)),G1215,VLOOKUP(A1216,'Refi Universe'!A:B,2,0))</f>
        <v>0.48108278915877944</v>
      </c>
      <c r="J1216">
        <f>VLOOKUP(A1216,'YB OAS'!B:F,5,0)</f>
        <v>37.681099000000003</v>
      </c>
      <c r="K1216" s="40">
        <f>VLOOKUP(A1216,'Refi Universe'!E:F,2,0)</f>
        <v>0.47195742000000002</v>
      </c>
      <c r="L1216" s="18">
        <v>85</v>
      </c>
    </row>
    <row r="1217" spans="1:12" ht="15" x14ac:dyDescent="0.25">
      <c r="A1217" s="14">
        <v>42349</v>
      </c>
      <c r="B1217" s="15">
        <v>80</v>
      </c>
      <c r="C1217" s="18">
        <v>-36</v>
      </c>
      <c r="G1217" s="11">
        <f>IF(ISNA(VLOOKUP(A1217,'Refi Universe'!A:B,2,0)),G1216,VLOOKUP(A1217,'Refi Universe'!A:B,2,0))</f>
        <v>0.48108278915877944</v>
      </c>
      <c r="J1217">
        <f>VLOOKUP(A1217,'YB OAS'!B:F,5,0)</f>
        <v>53.887000999999998</v>
      </c>
      <c r="K1217" s="40">
        <f>VLOOKUP(A1217,'Refi Universe'!E:F,2,0)</f>
        <v>0.49263546000000003</v>
      </c>
      <c r="L1217" s="18">
        <v>80</v>
      </c>
    </row>
    <row r="1218" spans="1:12" ht="15" x14ac:dyDescent="0.25">
      <c r="A1218" s="17">
        <v>42352</v>
      </c>
      <c r="B1218" s="18">
        <v>91</v>
      </c>
      <c r="C1218" s="18">
        <v>-19</v>
      </c>
      <c r="G1218" s="11">
        <f>IF(ISNA(VLOOKUP(A1218,'Refi Universe'!A:B,2,0)),G1217,VLOOKUP(A1218,'Refi Universe'!A:B,2,0))</f>
        <v>0.48108278915877944</v>
      </c>
      <c r="J1218">
        <f>VLOOKUP(A1218,'YB OAS'!B:F,5,0)</f>
        <v>46.580502000000003</v>
      </c>
      <c r="K1218" s="40">
        <f>VLOOKUP(A1218,'Refi Universe'!E:F,2,0)</f>
        <v>0.47264946000000002</v>
      </c>
      <c r="L1218" s="18">
        <v>91</v>
      </c>
    </row>
    <row r="1219" spans="1:12" ht="15" x14ac:dyDescent="0.25">
      <c r="A1219" s="17">
        <v>42353</v>
      </c>
      <c r="B1219" s="18">
        <v>92</v>
      </c>
      <c r="C1219" s="18">
        <v>-16</v>
      </c>
      <c r="G1219" s="11">
        <f>IF(ISNA(VLOOKUP(A1219,'Refi Universe'!A:B,2,0)),G1218,VLOOKUP(A1219,'Refi Universe'!A:B,2,0))</f>
        <v>0.48108278915877944</v>
      </c>
      <c r="J1219">
        <f>VLOOKUP(A1219,'YB OAS'!B:F,5,0)</f>
        <v>47.284801000000002</v>
      </c>
      <c r="K1219" s="40">
        <f>VLOOKUP(A1219,'Refi Universe'!E:F,2,0)</f>
        <v>0.45523454000000002</v>
      </c>
      <c r="L1219" s="18">
        <v>92</v>
      </c>
    </row>
    <row r="1220" spans="1:12" ht="15" x14ac:dyDescent="0.25">
      <c r="A1220" s="17">
        <v>42354</v>
      </c>
      <c r="B1220" s="18">
        <v>90</v>
      </c>
      <c r="C1220" s="18">
        <v>-17</v>
      </c>
      <c r="G1220" s="11">
        <f>IF(ISNA(VLOOKUP(A1220,'Refi Universe'!A:B,2,0)),G1219,VLOOKUP(A1220,'Refi Universe'!A:B,2,0))</f>
        <v>0.48108278915877944</v>
      </c>
      <c r="J1220">
        <f>VLOOKUP(A1220,'YB OAS'!B:F,5,0)</f>
        <v>52.166901000000003</v>
      </c>
      <c r="K1220" s="40">
        <f>VLOOKUP(A1220,'Refi Universe'!E:F,2,0)</f>
        <v>0.44349123000000001</v>
      </c>
      <c r="L1220" s="18">
        <v>90</v>
      </c>
    </row>
    <row r="1221" spans="1:12" ht="15" x14ac:dyDescent="0.25">
      <c r="A1221" s="17">
        <v>42355</v>
      </c>
      <c r="B1221" s="18">
        <v>89</v>
      </c>
      <c r="C1221" s="18">
        <v>-23</v>
      </c>
      <c r="G1221" s="11">
        <f>IF(ISNA(VLOOKUP(A1221,'Refi Universe'!A:B,2,0)),G1220,VLOOKUP(A1221,'Refi Universe'!A:B,2,0))</f>
        <v>0.4742419215656577</v>
      </c>
      <c r="J1221">
        <f>VLOOKUP(A1221,'YB OAS'!B:F,5,0)</f>
        <v>51.793900000000001</v>
      </c>
      <c r="K1221" s="40">
        <f>VLOOKUP(A1221,'Refi Universe'!E:F,2,0)</f>
        <v>0.4698406</v>
      </c>
      <c r="L1221" s="18">
        <v>89</v>
      </c>
    </row>
    <row r="1222" spans="1:12" ht="15" x14ac:dyDescent="0.25">
      <c r="A1222" s="17">
        <v>42356</v>
      </c>
      <c r="B1222" s="18">
        <v>95</v>
      </c>
      <c r="C1222" s="18">
        <v>-20</v>
      </c>
      <c r="G1222" s="11">
        <f>IF(ISNA(VLOOKUP(A1222,'Refi Universe'!A:B,2,0)),G1221,VLOOKUP(A1222,'Refi Universe'!A:B,2,0))</f>
        <v>0.4742419215656577</v>
      </c>
      <c r="J1222">
        <f>VLOOKUP(A1222,'YB OAS'!B:F,5,0)</f>
        <v>54.888401000000002</v>
      </c>
      <c r="K1222" s="40">
        <f>VLOOKUP(A1222,'Refi Universe'!E:F,2,0)</f>
        <v>0.47921917000000003</v>
      </c>
      <c r="L1222" s="18">
        <v>95</v>
      </c>
    </row>
    <row r="1223" spans="1:12" ht="15" x14ac:dyDescent="0.25">
      <c r="A1223" s="17">
        <v>42359</v>
      </c>
      <c r="B1223" s="18">
        <v>97</v>
      </c>
      <c r="C1223" s="18">
        <v>-16</v>
      </c>
      <c r="G1223" s="11">
        <f>IF(ISNA(VLOOKUP(A1223,'Refi Universe'!A:B,2,0)),G1222,VLOOKUP(A1223,'Refi Universe'!A:B,2,0))</f>
        <v>0.4742419215656577</v>
      </c>
      <c r="J1223">
        <f>VLOOKUP(A1223,'YB OAS'!B:F,5,0)</f>
        <v>58.032902</v>
      </c>
      <c r="K1223" s="40">
        <f>VLOOKUP(A1223,'Refi Universe'!E:F,2,0)</f>
        <v>0.47717956</v>
      </c>
      <c r="L1223" s="18">
        <v>97</v>
      </c>
    </row>
    <row r="1224" spans="1:12" ht="15" x14ac:dyDescent="0.25">
      <c r="A1224" s="17">
        <v>42360</v>
      </c>
      <c r="B1224" s="18">
        <v>104</v>
      </c>
      <c r="C1224" s="18">
        <v>-6</v>
      </c>
      <c r="G1224" s="11">
        <f>IF(ISNA(VLOOKUP(A1224,'Refi Universe'!A:B,2,0)),G1223,VLOOKUP(A1224,'Refi Universe'!A:B,2,0))</f>
        <v>0.4742419215656577</v>
      </c>
      <c r="J1224">
        <f>VLOOKUP(A1224,'YB OAS'!B:F,5,0)</f>
        <v>62.460498999999999</v>
      </c>
      <c r="K1224" s="40">
        <f>VLOOKUP(A1224,'Refi Universe'!E:F,2,0)</f>
        <v>0.45523454000000002</v>
      </c>
      <c r="L1224" s="18">
        <v>104</v>
      </c>
    </row>
    <row r="1225" spans="1:12" ht="15" x14ac:dyDescent="0.25">
      <c r="A1225" s="17">
        <v>42361</v>
      </c>
      <c r="B1225" s="18">
        <v>112</v>
      </c>
      <c r="C1225" s="18">
        <v>3</v>
      </c>
      <c r="G1225" s="11">
        <f>IF(ISNA(VLOOKUP(A1225,'Refi Universe'!A:B,2,0)),G1224,VLOOKUP(A1225,'Refi Universe'!A:B,2,0))</f>
        <v>0.4742419215656577</v>
      </c>
      <c r="J1225">
        <f>VLOOKUP(A1225,'YB OAS'!B:F,5,0)</f>
        <v>71.828102000000001</v>
      </c>
      <c r="K1225" s="40">
        <f>VLOOKUP(A1225,'Refi Universe'!E:F,2,0)</f>
        <v>0.44537185000000001</v>
      </c>
      <c r="L1225" s="18">
        <v>112</v>
      </c>
    </row>
    <row r="1226" spans="1:12" ht="15" x14ac:dyDescent="0.25">
      <c r="A1226" s="17">
        <v>42362</v>
      </c>
      <c r="B1226" s="18">
        <v>100</v>
      </c>
      <c r="C1226" s="18">
        <v>-10</v>
      </c>
      <c r="G1226" s="11">
        <f>IF(ISNA(VLOOKUP(A1226,'Refi Universe'!A:B,2,0)),G1225,VLOOKUP(A1226,'Refi Universe'!A:B,2,0))</f>
        <v>0.47802441207346119</v>
      </c>
      <c r="J1226">
        <f>VLOOKUP(A1226,'YB OAS'!B:F,5,0)</f>
        <v>64.733597000000003</v>
      </c>
      <c r="K1226" s="40">
        <f>VLOOKUP(A1226,'Refi Universe'!E:F,2,0)</f>
        <v>0.45615067999999998</v>
      </c>
      <c r="L1226" s="18">
        <v>100</v>
      </c>
    </row>
    <row r="1227" spans="1:12" ht="15" x14ac:dyDescent="0.25">
      <c r="A1227" s="17">
        <v>42366</v>
      </c>
      <c r="B1227" s="18">
        <v>104</v>
      </c>
      <c r="C1227" s="18">
        <v>-8</v>
      </c>
      <c r="G1227" s="11">
        <f>IF(ISNA(VLOOKUP(A1227,'Refi Universe'!A:B,2,0)),G1226,VLOOKUP(A1227,'Refi Universe'!A:B,2,0))</f>
        <v>0.47802441207346119</v>
      </c>
      <c r="J1227">
        <f>VLOOKUP(A1227,'YB OAS'!B:F,5,0)</f>
        <v>65.139602999999994</v>
      </c>
      <c r="K1227" s="40">
        <f>VLOOKUP(A1227,'Refi Universe'!E:F,2,0)</f>
        <v>0.47089364</v>
      </c>
      <c r="L1227" s="18">
        <v>104</v>
      </c>
    </row>
    <row r="1228" spans="1:12" ht="15" x14ac:dyDescent="0.25">
      <c r="A1228" s="17">
        <v>42367</v>
      </c>
      <c r="B1228" s="18">
        <v>112</v>
      </c>
      <c r="C1228" s="18">
        <v>5</v>
      </c>
      <c r="G1228" s="11">
        <f>IF(ISNA(VLOOKUP(A1228,'Refi Universe'!A:B,2,0)),G1227,VLOOKUP(A1228,'Refi Universe'!A:B,2,0))</f>
        <v>0.47802441207346119</v>
      </c>
      <c r="J1228">
        <f>VLOOKUP(A1228,'YB OAS'!B:F,5,0)</f>
        <v>62.847000000000001</v>
      </c>
      <c r="K1228" s="40">
        <f>VLOOKUP(A1228,'Refi Universe'!E:F,2,0)</f>
        <v>0.43395194999999998</v>
      </c>
      <c r="L1228" s="18">
        <v>112</v>
      </c>
    </row>
    <row r="1229" spans="1:12" ht="15" x14ac:dyDescent="0.25">
      <c r="A1229" s="17">
        <v>42368</v>
      </c>
      <c r="B1229" s="18">
        <v>103</v>
      </c>
      <c r="C1229" s="18">
        <v>-5</v>
      </c>
      <c r="G1229" s="11">
        <f>IF(ISNA(VLOOKUP(A1229,'Refi Universe'!A:B,2,0)),G1228,VLOOKUP(A1229,'Refi Universe'!A:B,2,0))</f>
        <v>0.47802441207346119</v>
      </c>
      <c r="J1229">
        <f>VLOOKUP(A1229,'YB OAS'!B:F,5,0)</f>
        <v>65.155602000000002</v>
      </c>
      <c r="K1229" s="40">
        <f>VLOOKUP(A1229,'Refi Universe'!E:F,2,0)</f>
        <v>0.42925727000000002</v>
      </c>
      <c r="L1229" s="18">
        <v>103</v>
      </c>
    </row>
    <row r="1230" spans="1:12" ht="15" x14ac:dyDescent="0.25">
      <c r="A1230" s="17">
        <v>42369</v>
      </c>
      <c r="B1230" s="18">
        <v>94</v>
      </c>
      <c r="C1230" s="18">
        <v>-18</v>
      </c>
      <c r="G1230" s="11">
        <f>IF(ISNA(VLOOKUP(A1230,'Refi Universe'!A:B,2,0)),G1229,VLOOKUP(A1230,'Refi Universe'!A:B,2,0))</f>
        <v>0.44657507929969392</v>
      </c>
      <c r="J1230">
        <f>VLOOKUP(A1230,'YB OAS'!B:F,5,0)</f>
        <v>61.520901000000002</v>
      </c>
      <c r="K1230" s="40">
        <f>VLOOKUP(A1230,'Refi Universe'!E:F,2,0)</f>
        <v>0.46126540999999999</v>
      </c>
      <c r="L1230" s="18">
        <v>94</v>
      </c>
    </row>
    <row r="1231" spans="1:12" ht="15" x14ac:dyDescent="0.25">
      <c r="A1231" s="17">
        <v>42373</v>
      </c>
      <c r="B1231" s="18">
        <v>108</v>
      </c>
      <c r="C1231" s="18">
        <v>-1</v>
      </c>
      <c r="G1231" s="11">
        <f>IF(ISNA(VLOOKUP(A1231,'Refi Universe'!A:B,2,0)),G1230,VLOOKUP(A1231,'Refi Universe'!A:B,2,0))</f>
        <v>0.44657507929969392</v>
      </c>
      <c r="J1231">
        <f>VLOOKUP(A1231,'YB OAS'!B:F,5,0)</f>
        <v>70.119399999999999</v>
      </c>
      <c r="K1231" s="40">
        <f>VLOOKUP(A1231,'Refi Universe'!E:F,2,0)</f>
        <v>0.46317427999999999</v>
      </c>
      <c r="L1231" s="18">
        <v>108</v>
      </c>
    </row>
    <row r="1232" spans="1:12" ht="15" x14ac:dyDescent="0.25">
      <c r="A1232" s="17">
        <v>42374</v>
      </c>
      <c r="B1232" s="18">
        <v>109</v>
      </c>
      <c r="C1232" s="18">
        <v>0</v>
      </c>
      <c r="G1232" s="11">
        <f>IF(ISNA(VLOOKUP(A1232,'Refi Universe'!A:B,2,0)),G1231,VLOOKUP(A1232,'Refi Universe'!A:B,2,0))</f>
        <v>0.44657507929969392</v>
      </c>
      <c r="J1232">
        <f>VLOOKUP(A1232,'YB OAS'!B:F,5,0)</f>
        <v>71.838500999999994</v>
      </c>
      <c r="K1232" s="40">
        <f>VLOOKUP(A1232,'Refi Universe'!E:F,2,0)</f>
        <v>0.46228602000000002</v>
      </c>
      <c r="L1232" s="18">
        <v>109</v>
      </c>
    </row>
    <row r="1233" spans="1:12" ht="15" x14ac:dyDescent="0.25">
      <c r="A1233" s="17">
        <v>42375</v>
      </c>
      <c r="B1233" s="18">
        <v>112</v>
      </c>
      <c r="C1233" s="18">
        <v>-4</v>
      </c>
      <c r="G1233" s="11">
        <f>IF(ISNA(VLOOKUP(A1233,'Refi Universe'!A:B,2,0)),G1232,VLOOKUP(A1233,'Refi Universe'!A:B,2,0))</f>
        <v>0.44657507929969392</v>
      </c>
      <c r="J1233">
        <f>VLOOKUP(A1233,'YB OAS'!B:F,5,0)</f>
        <v>79.472603000000007</v>
      </c>
      <c r="K1233" s="40">
        <f>VLOOKUP(A1233,'Refi Universe'!E:F,2,0)</f>
        <v>0.47847035999999998</v>
      </c>
      <c r="L1233" s="18">
        <v>112</v>
      </c>
    </row>
    <row r="1234" spans="1:12" ht="15" x14ac:dyDescent="0.25">
      <c r="A1234" s="17">
        <v>42376</v>
      </c>
      <c r="B1234" s="18">
        <v>122</v>
      </c>
      <c r="C1234" s="18">
        <v>5</v>
      </c>
      <c r="G1234" s="11">
        <f>IF(ISNA(VLOOKUP(A1234,'Refi Universe'!A:B,2,0)),G1233,VLOOKUP(A1234,'Refi Universe'!A:B,2,0))</f>
        <v>0.46862901952602543</v>
      </c>
      <c r="J1234">
        <f>VLOOKUP(A1234,'YB OAS'!B:F,5,0)</f>
        <v>84.571999000000005</v>
      </c>
      <c r="K1234" s="40">
        <f>VLOOKUP(A1234,'Refi Universe'!E:F,2,0)</f>
        <v>0.48494499000000002</v>
      </c>
      <c r="L1234" s="18">
        <v>122</v>
      </c>
    </row>
    <row r="1235" spans="1:12" ht="15" x14ac:dyDescent="0.25">
      <c r="A1235" s="17">
        <v>42377</v>
      </c>
      <c r="B1235" s="18">
        <v>125</v>
      </c>
      <c r="C1235" s="18">
        <v>5</v>
      </c>
      <c r="G1235" s="11">
        <f>IF(ISNA(VLOOKUP(A1235,'Refi Universe'!A:B,2,0)),G1234,VLOOKUP(A1235,'Refi Universe'!A:B,2,0))</f>
        <v>0.46862901952602543</v>
      </c>
      <c r="J1235">
        <f>VLOOKUP(A1235,'YB OAS'!B:F,5,0)</f>
        <v>92.742797999999993</v>
      </c>
      <c r="K1235" s="40">
        <f>VLOOKUP(A1235,'Refi Universe'!E:F,2,0)</f>
        <v>0.49696595999999998</v>
      </c>
      <c r="L1235" s="18">
        <v>125</v>
      </c>
    </row>
    <row r="1236" spans="1:12" ht="15" x14ac:dyDescent="0.25">
      <c r="A1236" s="17">
        <v>42380</v>
      </c>
      <c r="B1236" s="18">
        <v>127</v>
      </c>
      <c r="C1236" s="18">
        <v>9</v>
      </c>
      <c r="G1236" s="11">
        <f>IF(ISNA(VLOOKUP(A1236,'Refi Universe'!A:B,2,0)),G1235,VLOOKUP(A1236,'Refi Universe'!A:B,2,0))</f>
        <v>0.46862901952602543</v>
      </c>
      <c r="J1236">
        <f>VLOOKUP(A1236,'YB OAS'!B:F,5,0)</f>
        <v>95.882401000000002</v>
      </c>
      <c r="K1236" s="40">
        <f>VLOOKUP(A1236,'Refi Universe'!E:F,2,0)</f>
        <v>0.49069705000000002</v>
      </c>
      <c r="L1236" s="18">
        <v>127</v>
      </c>
    </row>
    <row r="1237" spans="1:12" ht="15" x14ac:dyDescent="0.25">
      <c r="A1237" s="17">
        <v>42381</v>
      </c>
      <c r="B1237" s="18">
        <v>133</v>
      </c>
      <c r="C1237" s="18">
        <v>9</v>
      </c>
      <c r="G1237" s="11">
        <f>IF(ISNA(VLOOKUP(A1237,'Refi Universe'!A:B,2,0)),G1236,VLOOKUP(A1237,'Refi Universe'!A:B,2,0))</f>
        <v>0.46862901952602543</v>
      </c>
      <c r="J1237">
        <f>VLOOKUP(A1237,'YB OAS'!B:F,5,0)</f>
        <v>95.195899999999995</v>
      </c>
      <c r="K1237" s="40">
        <f>VLOOKUP(A1237,'Refi Universe'!E:F,2,0)</f>
        <v>0.52167472000000004</v>
      </c>
      <c r="L1237" s="18">
        <v>133</v>
      </c>
    </row>
    <row r="1238" spans="1:12" ht="15" x14ac:dyDescent="0.25">
      <c r="A1238" s="17">
        <v>42382</v>
      </c>
      <c r="B1238" s="18">
        <v>157</v>
      </c>
      <c r="C1238" s="18">
        <v>28</v>
      </c>
      <c r="G1238" s="11">
        <f>IF(ISNA(VLOOKUP(A1238,'Refi Universe'!A:B,2,0)),G1237,VLOOKUP(A1238,'Refi Universe'!A:B,2,0))</f>
        <v>0.46862901952602543</v>
      </c>
      <c r="J1238">
        <f>VLOOKUP(A1238,'YB OAS'!B:F,5,0)</f>
        <v>98.239699999999999</v>
      </c>
      <c r="K1238" s="40">
        <f>VLOOKUP(A1238,'Refi Universe'!E:F,2,0)</f>
        <v>0.50384284000000001</v>
      </c>
      <c r="L1238" s="18">
        <v>157</v>
      </c>
    </row>
    <row r="1239" spans="1:12" ht="15" x14ac:dyDescent="0.25">
      <c r="A1239" s="17">
        <v>42383</v>
      </c>
      <c r="B1239" s="18">
        <v>167</v>
      </c>
      <c r="C1239" s="18">
        <v>39</v>
      </c>
      <c r="G1239" s="11">
        <f>IF(ISNA(VLOOKUP(A1239,'Refi Universe'!A:B,2,0)),G1238,VLOOKUP(A1239,'Refi Universe'!A:B,2,0))</f>
        <v>0.48424776223671406</v>
      </c>
      <c r="J1239">
        <f>VLOOKUP(A1239,'YB OAS'!B:F,5,0)</f>
        <v>112.55789900000001</v>
      </c>
      <c r="K1239" s="40">
        <f>VLOOKUP(A1239,'Refi Universe'!E:F,2,0)</f>
        <v>0.49594749999999999</v>
      </c>
      <c r="L1239" s="18">
        <v>167</v>
      </c>
    </row>
    <row r="1240" spans="1:12" ht="15" x14ac:dyDescent="0.25">
      <c r="A1240" s="17">
        <v>42384</v>
      </c>
      <c r="B1240" s="18">
        <v>177</v>
      </c>
      <c r="C1240" s="18">
        <v>42</v>
      </c>
      <c r="G1240" s="11">
        <f>IF(ISNA(VLOOKUP(A1240,'Refi Universe'!A:B,2,0)),G1239,VLOOKUP(A1240,'Refi Universe'!A:B,2,0))</f>
        <v>0.48424776223671406</v>
      </c>
      <c r="J1240">
        <f>VLOOKUP(A1240,'YB OAS'!B:F,5,0)</f>
        <v>117.712898</v>
      </c>
      <c r="K1240" s="40">
        <f>VLOOKUP(A1240,'Refi Universe'!E:F,2,0)</f>
        <v>0.52107168000000004</v>
      </c>
      <c r="L1240" s="18">
        <v>177</v>
      </c>
    </row>
    <row r="1241" spans="1:12" ht="15" x14ac:dyDescent="0.25">
      <c r="A1241" s="17">
        <v>42388</v>
      </c>
      <c r="B1241" s="18">
        <v>169</v>
      </c>
      <c r="C1241" s="18">
        <v>36</v>
      </c>
      <c r="G1241" s="11">
        <f>IF(ISNA(VLOOKUP(A1241,'Refi Universe'!A:B,2,0)),G1240,VLOOKUP(A1241,'Refi Universe'!A:B,2,0))</f>
        <v>0.48424776223671406</v>
      </c>
      <c r="J1241">
        <f>VLOOKUP(A1241,'YB OAS'!B:F,5,0)</f>
        <v>111.930099</v>
      </c>
      <c r="K1241" s="40">
        <f>VLOOKUP(A1241,'Refi Universe'!E:F,2,0)</f>
        <v>0.51856720000000001</v>
      </c>
      <c r="L1241" s="18">
        <v>169</v>
      </c>
    </row>
    <row r="1242" spans="1:12" ht="15" x14ac:dyDescent="0.25">
      <c r="A1242" s="17">
        <v>42389</v>
      </c>
      <c r="B1242" s="18">
        <v>185</v>
      </c>
      <c r="C1242" s="18">
        <v>44</v>
      </c>
      <c r="G1242" s="11">
        <f>IF(ISNA(VLOOKUP(A1242,'Refi Universe'!A:B,2,0)),G1241,VLOOKUP(A1242,'Refi Universe'!A:B,2,0))</f>
        <v>0.48424776223671406</v>
      </c>
      <c r="J1242">
        <f>VLOOKUP(A1242,'YB OAS'!B:F,5,0)</f>
        <v>116.53040300000001</v>
      </c>
      <c r="K1242" s="40">
        <f>VLOOKUP(A1242,'Refi Universe'!E:F,2,0)</f>
        <v>0.51737109000000003</v>
      </c>
      <c r="L1242" s="18">
        <v>185</v>
      </c>
    </row>
    <row r="1243" spans="1:12" ht="15" x14ac:dyDescent="0.25">
      <c r="A1243" s="17">
        <v>42390</v>
      </c>
      <c r="C1243" s="18">
        <v>42</v>
      </c>
      <c r="G1243" s="11">
        <f>IF(ISNA(VLOOKUP(A1243,'Refi Universe'!A:B,2,0)),G1242,VLOOKUP(A1243,'Refi Universe'!A:B,2,0))</f>
        <v>0.53686726891255199</v>
      </c>
      <c r="J1243">
        <f>VLOOKUP(A1243,'YB OAS'!B:F,5,0)</f>
        <v>121.905602</v>
      </c>
      <c r="K1243" s="40">
        <f>VLOOKUP(A1243,'Refi Universe'!E:F,2,0)</f>
        <v>0.54936136999999996</v>
      </c>
      <c r="L1243" s="22">
        <v>180</v>
      </c>
    </row>
    <row r="1244" spans="1:12" ht="15" x14ac:dyDescent="0.25">
      <c r="A1244" s="17">
        <v>42391</v>
      </c>
      <c r="B1244" s="18">
        <v>27</v>
      </c>
      <c r="C1244" s="18">
        <v>27</v>
      </c>
      <c r="G1244" s="11">
        <f>IF(ISNA(VLOOKUP(A1244,'Refi Universe'!A:B,2,0)),G1243,VLOOKUP(A1244,'Refi Universe'!A:B,2,0))</f>
        <v>0.53686726891255199</v>
      </c>
      <c r="J1244">
        <f>VLOOKUP(A1244,'YB OAS'!B:F,5,0)</f>
        <v>106.214798</v>
      </c>
      <c r="K1244" s="40">
        <f>VLOOKUP(A1244,'Refi Universe'!E:F,2,0)</f>
        <v>0.53387094000000002</v>
      </c>
    </row>
    <row r="1245" spans="1:12" ht="15" x14ac:dyDescent="0.25">
      <c r="A1245" s="17">
        <v>42394</v>
      </c>
      <c r="B1245" s="18">
        <v>26</v>
      </c>
      <c r="C1245" s="18">
        <v>26</v>
      </c>
      <c r="G1245" s="11">
        <f>IF(ISNA(VLOOKUP(A1245,'Refi Universe'!A:B,2,0)),G1244,VLOOKUP(A1245,'Refi Universe'!A:B,2,0))</f>
        <v>0.53686726891255199</v>
      </c>
      <c r="J1245">
        <f>VLOOKUP(A1245,'YB OAS'!B:F,5,0)</f>
        <v>106.173897</v>
      </c>
      <c r="K1245" s="40">
        <f>VLOOKUP(A1245,'Refi Universe'!E:F,2,0)</f>
        <v>0.54513613000000005</v>
      </c>
    </row>
    <row r="1246" spans="1:12" ht="15" x14ac:dyDescent="0.25">
      <c r="A1246" s="17">
        <v>42395</v>
      </c>
      <c r="B1246" s="18">
        <v>17</v>
      </c>
      <c r="C1246" s="18">
        <v>17</v>
      </c>
      <c r="G1246" s="11">
        <f>IF(ISNA(VLOOKUP(A1246,'Refi Universe'!A:B,2,0)),G1245,VLOOKUP(A1246,'Refi Universe'!A:B,2,0))</f>
        <v>0.53686726891255199</v>
      </c>
      <c r="J1246">
        <f>VLOOKUP(A1246,'YB OAS'!B:F,5,0)</f>
        <v>101.172997</v>
      </c>
      <c r="K1246" s="40">
        <f>VLOOKUP(A1246,'Refi Universe'!E:F,2,0)</f>
        <v>0.56985235999999995</v>
      </c>
    </row>
    <row r="1247" spans="1:12" ht="15" x14ac:dyDescent="0.25">
      <c r="A1247" s="17">
        <v>42396</v>
      </c>
      <c r="B1247" s="18">
        <v>23</v>
      </c>
      <c r="C1247" s="18">
        <v>23</v>
      </c>
      <c r="G1247" s="11">
        <f>IF(ISNA(VLOOKUP(A1247,'Refi Universe'!A:B,2,0)),G1246,VLOOKUP(A1247,'Refi Universe'!A:B,2,0))</f>
        <v>0.53686726891255199</v>
      </c>
      <c r="J1247">
        <f>VLOOKUP(A1247,'YB OAS'!B:F,5,0)</f>
        <v>105.427696</v>
      </c>
      <c r="K1247" s="40">
        <f>VLOOKUP(A1247,'Refi Universe'!E:F,2,0)</f>
        <v>0.56800748999999995</v>
      </c>
    </row>
    <row r="1248" spans="1:12" ht="15" x14ac:dyDescent="0.25">
      <c r="A1248" s="17">
        <v>42397</v>
      </c>
      <c r="B1248" s="18">
        <v>18</v>
      </c>
      <c r="C1248" s="18">
        <v>18</v>
      </c>
      <c r="G1248" s="11">
        <f>IF(ISNA(VLOOKUP(A1248,'Refi Universe'!A:B,2,0)),G1247,VLOOKUP(A1248,'Refi Universe'!A:B,2,0))</f>
        <v>0.53686726891255199</v>
      </c>
      <c r="J1248">
        <f>VLOOKUP(A1248,'YB OAS'!B:F,5,0)</f>
        <v>106.987801</v>
      </c>
      <c r="K1248" s="40">
        <f>VLOOKUP(A1248,'Refi Universe'!E:F,2,0)</f>
        <v>0.57711681000000004</v>
      </c>
    </row>
    <row r="1249" spans="1:11" ht="15" x14ac:dyDescent="0.25">
      <c r="A1249" s="17">
        <v>42398</v>
      </c>
      <c r="B1249" s="18">
        <v>10</v>
      </c>
      <c r="C1249" s="18">
        <v>10</v>
      </c>
      <c r="G1249" s="11">
        <f>IF(ISNA(VLOOKUP(A1249,'Refi Universe'!A:B,2,0)),G1248,VLOOKUP(A1249,'Refi Universe'!A:B,2,0))</f>
        <v>0.53686726891255199</v>
      </c>
      <c r="J1249">
        <f>VLOOKUP(A1249,'YB OAS'!B:F,5,0)</f>
        <v>99.289199999999994</v>
      </c>
      <c r="K1249" s="40">
        <f>VLOOKUP(A1249,'Refi Universe'!E:F,2,0)</f>
        <v>0.62325063999999997</v>
      </c>
    </row>
    <row r="1250" spans="1:11" ht="15" x14ac:dyDescent="0.25">
      <c r="A1250" s="17">
        <v>42401</v>
      </c>
      <c r="B1250" s="18">
        <v>18</v>
      </c>
      <c r="C1250" s="18">
        <v>18</v>
      </c>
      <c r="G1250" s="11">
        <f>IF(ISNA(VLOOKUP(A1250,'Refi Universe'!A:B,2,0)),G1249,VLOOKUP(A1250,'Refi Universe'!A:B,2,0))</f>
        <v>0.53686726891255199</v>
      </c>
      <c r="J1250">
        <f>VLOOKUP(A1250,'YB OAS'!B:F,5,0)</f>
        <v>103.93650100000001</v>
      </c>
      <c r="K1250" s="40">
        <f>VLOOKUP(A1250,'Refi Universe'!E:F,2,0)</f>
        <v>0.57364006000000001</v>
      </c>
    </row>
    <row r="1251" spans="1:11" ht="15" x14ac:dyDescent="0.25">
      <c r="A1251" s="17">
        <v>42402</v>
      </c>
      <c r="B1251" s="18">
        <v>13</v>
      </c>
      <c r="C1251" s="18">
        <v>13</v>
      </c>
      <c r="G1251" s="11">
        <f>IF(ISNA(VLOOKUP(A1251,'Refi Universe'!A:B,2,0)),G1250,VLOOKUP(A1251,'Refi Universe'!A:B,2,0))</f>
        <v>0.53686726891255199</v>
      </c>
      <c r="J1251">
        <f>VLOOKUP(A1251,'YB OAS'!B:F,5,0)</f>
        <v>102.911903</v>
      </c>
      <c r="K1251" s="40">
        <f>VLOOKUP(A1251,'Refi Universe'!E:F,2,0)</f>
        <v>0.64022367000000002</v>
      </c>
    </row>
    <row r="1252" spans="1:11" ht="15" x14ac:dyDescent="0.25">
      <c r="A1252" s="17">
        <v>42403</v>
      </c>
      <c r="B1252" s="18">
        <v>19</v>
      </c>
      <c r="C1252" s="18">
        <v>19</v>
      </c>
      <c r="G1252" s="11">
        <f>IF(ISNA(VLOOKUP(A1252,'Refi Universe'!A:B,2,0)),G1251,VLOOKUP(A1252,'Refi Universe'!A:B,2,0))</f>
        <v>0.53686726891255199</v>
      </c>
      <c r="J1252">
        <f>VLOOKUP(A1252,'YB OAS'!B:F,5,0)</f>
        <v>100.86799600000001</v>
      </c>
      <c r="K1252" s="40">
        <f>VLOOKUP(A1252,'Refi Universe'!E:F,2,0)</f>
        <v>0.64134849999999999</v>
      </c>
    </row>
    <row r="1253" spans="1:11" ht="15" x14ac:dyDescent="0.25">
      <c r="A1253" s="17">
        <v>42404</v>
      </c>
      <c r="B1253" s="18">
        <v>17</v>
      </c>
      <c r="C1253" s="18">
        <v>17</v>
      </c>
      <c r="G1253" s="11">
        <f>IF(ISNA(VLOOKUP(A1253,'Refi Universe'!A:B,2,0)),G1252,VLOOKUP(A1253,'Refi Universe'!A:B,2,0))</f>
        <v>0.53686726891255199</v>
      </c>
      <c r="J1253">
        <f>VLOOKUP(A1253,'YB OAS'!B:F,5,0)</f>
        <v>103.809303</v>
      </c>
      <c r="K1253" s="40">
        <f>VLOOKUP(A1253,'Refi Universe'!E:F,2,0)</f>
        <v>0.62090383000000005</v>
      </c>
    </row>
    <row r="1254" spans="1:11" ht="15" x14ac:dyDescent="0.25">
      <c r="A1254" s="17">
        <v>42405</v>
      </c>
      <c r="B1254" s="18">
        <v>2</v>
      </c>
      <c r="C1254" s="18">
        <v>2</v>
      </c>
      <c r="G1254" s="11">
        <f>IF(ISNA(VLOOKUP(A1254,'Refi Universe'!A:B,2,0)),G1253,VLOOKUP(A1254,'Refi Universe'!A:B,2,0))</f>
        <v>0.53686726891255199</v>
      </c>
      <c r="J1254">
        <f>VLOOKUP(A1254,'YB OAS'!B:F,5,0)</f>
        <v>100.627701</v>
      </c>
      <c r="K1254" s="40">
        <f>VLOOKUP(A1254,'Refi Universe'!E:F,2,0)</f>
        <v>0.62575740000000002</v>
      </c>
    </row>
    <row r="1255" spans="1:11" ht="15" x14ac:dyDescent="0.25">
      <c r="A1255" s="17">
        <v>42408</v>
      </c>
      <c r="B1255" s="18">
        <v>-15</v>
      </c>
      <c r="C1255" s="18">
        <v>-15</v>
      </c>
      <c r="G1255" s="11">
        <f>IF(ISNA(VLOOKUP(A1255,'Refi Universe'!A:B,2,0)),G1254,VLOOKUP(A1255,'Refi Universe'!A:B,2,0))</f>
        <v>0.53686726891255199</v>
      </c>
      <c r="J1255">
        <f>VLOOKUP(A1255,'YB OAS'!B:F,5,0)</f>
        <v>83.695396000000002</v>
      </c>
      <c r="K1255" s="40">
        <f>VLOOKUP(A1255,'Refi Universe'!E:F,2,0)</f>
        <v>0.68939402999999999</v>
      </c>
    </row>
    <row r="1256" spans="1:11" ht="15" x14ac:dyDescent="0.25">
      <c r="A1256" s="17">
        <v>42409</v>
      </c>
      <c r="B1256" s="18">
        <v>-29</v>
      </c>
      <c r="C1256" s="18">
        <v>-29</v>
      </c>
      <c r="G1256" s="11">
        <f>IF(ISNA(VLOOKUP(A1256,'Refi Universe'!A:B,2,0)),G1255,VLOOKUP(A1256,'Refi Universe'!A:B,2,0))</f>
        <v>0.53686726891255199</v>
      </c>
      <c r="J1256">
        <f>VLOOKUP(A1256,'YB OAS'!B:F,5,0)</f>
        <v>80.942902000000004</v>
      </c>
      <c r="K1256" s="40">
        <f>VLOOKUP(A1256,'Refi Universe'!E:F,2,0)</f>
        <v>0.72648203</v>
      </c>
    </row>
    <row r="1257" spans="1:11" ht="15" x14ac:dyDescent="0.25">
      <c r="A1257" s="17">
        <v>42410</v>
      </c>
      <c r="B1257" s="18">
        <v>-29</v>
      </c>
      <c r="C1257" s="18">
        <v>-29</v>
      </c>
      <c r="G1257" s="11">
        <f>IF(ISNA(VLOOKUP(A1257,'Refi Universe'!A:B,2,0)),G1256,VLOOKUP(A1257,'Refi Universe'!A:B,2,0))</f>
        <v>0.53686726891255199</v>
      </c>
      <c r="J1257">
        <f>VLOOKUP(A1257,'YB OAS'!B:F,5,0)</f>
        <v>87.731399999999994</v>
      </c>
      <c r="K1257" s="40">
        <f>VLOOKUP(A1257,'Refi Universe'!E:F,2,0)</f>
        <v>0.74538501999999995</v>
      </c>
    </row>
    <row r="1258" spans="1:11" ht="15" x14ac:dyDescent="0.25">
      <c r="A1258" s="17">
        <v>42411</v>
      </c>
      <c r="B1258" s="18">
        <v>-34</v>
      </c>
      <c r="C1258" s="18">
        <v>-34</v>
      </c>
      <c r="G1258" s="11">
        <f>IF(ISNA(VLOOKUP(A1258,'Refi Universe'!A:B,2,0)),G1257,VLOOKUP(A1258,'Refi Universe'!A:B,2,0))</f>
        <v>0.53686726891255199</v>
      </c>
      <c r="J1258">
        <f>VLOOKUP(A1258,'YB OAS'!B:F,5,0)</f>
        <v>76.545997999999997</v>
      </c>
      <c r="K1258" s="40">
        <v>0.74538501999999995</v>
      </c>
    </row>
    <row r="1259" spans="1:11" ht="15" x14ac:dyDescent="0.25">
      <c r="A1259" s="17">
        <v>42412</v>
      </c>
      <c r="B1259" s="18">
        <v>-8</v>
      </c>
      <c r="C1259" s="18"/>
      <c r="G1259" s="11">
        <f>IF(ISNA(VLOOKUP(A1259,'Refi Universe'!A:B,2,0)),G1258,VLOOKUP(A1259,'Refi Universe'!A:B,2,0))</f>
        <v>0.53686726891255199</v>
      </c>
      <c r="J1259">
        <f>VLOOKUP(A1259,'YB OAS'!B:F,5,0)</f>
        <v>85.475898999999998</v>
      </c>
      <c r="K1259" s="40">
        <f>VLOOKUP(A1259,'Refi Universe'!E:F,2,0)</f>
        <v>0.65222623000000002</v>
      </c>
    </row>
    <row r="1260" spans="1:11" ht="15" x14ac:dyDescent="0.25">
      <c r="A1260" s="17">
        <v>42416</v>
      </c>
      <c r="C1260" s="18"/>
      <c r="J1260">
        <f>VLOOKUP(A1260,'YB OAS'!B:F,5,0)</f>
        <v>92.657996999999995</v>
      </c>
      <c r="K1260" s="40">
        <f>VLOOKUP(A1260,'Refi Universe'!E:F,2,0)</f>
        <v>0.64863170000000003</v>
      </c>
    </row>
    <row r="1261" spans="1:11" ht="15" x14ac:dyDescent="0.25">
      <c r="A1261" s="17">
        <v>42417</v>
      </c>
      <c r="C1261" s="18"/>
      <c r="J1261">
        <f>VLOOKUP(A1261,'YB OAS'!B:F,5,0)</f>
        <v>105.87449599999999</v>
      </c>
      <c r="K1261" s="40">
        <f>VLOOKUP(A1261,'Refi Universe'!E:F,2,0)</f>
        <v>0.62260472</v>
      </c>
    </row>
    <row r="1262" spans="1:11" ht="15" x14ac:dyDescent="0.25">
      <c r="A1262" s="17">
        <v>42418</v>
      </c>
      <c r="C1262" s="18"/>
      <c r="J1262">
        <f>VLOOKUP(A1262,'YB OAS'!B:F,5,0)</f>
        <v>103.461304</v>
      </c>
      <c r="K1262" s="40">
        <f>VLOOKUP(A1262,'Refi Universe'!E:F,2,0)</f>
        <v>0.65222623000000002</v>
      </c>
    </row>
    <row r="1263" spans="1:11" ht="15" x14ac:dyDescent="0.25">
      <c r="A1263" s="17">
        <v>42419</v>
      </c>
      <c r="C1263" s="18"/>
      <c r="J1263">
        <f>VLOOKUP(A1263,'YB OAS'!B:F,5,0)</f>
        <v>96.458702000000002</v>
      </c>
      <c r="K1263" s="40">
        <f>VLOOKUP(A1263,'Refi Universe'!E:F,2,0)</f>
        <v>0.65191341000000003</v>
      </c>
    </row>
    <row r="1264" spans="1:11" ht="15" x14ac:dyDescent="0.25">
      <c r="A1264" s="17">
        <v>42422</v>
      </c>
      <c r="J1264">
        <f>VLOOKUP(A1264,'YB OAS'!B:F,5,0)</f>
        <v>89.089896999999993</v>
      </c>
      <c r="K1264" s="40">
        <f>VLOOKUP(A1264,'Refi Universe'!E:F,2,0)</f>
        <v>0.64620805999999997</v>
      </c>
    </row>
    <row r="1265" spans="1:11" ht="15" x14ac:dyDescent="0.25">
      <c r="A1265" s="17">
        <v>42423</v>
      </c>
      <c r="J1265">
        <f>VLOOKUP(A1265,'YB OAS'!B:F,5,0)</f>
        <v>79.5261</v>
      </c>
      <c r="K1265" s="40">
        <f>VLOOKUP(A1265,'Refi Universe'!E:F,2,0)</f>
        <v>0.65680558</v>
      </c>
    </row>
    <row r="1266" spans="1:11" ht="15" x14ac:dyDescent="0.25">
      <c r="A1266" s="17">
        <v>42424</v>
      </c>
      <c r="J1266">
        <f>VLOOKUP(A1266,'YB OAS'!B:F,5,0)</f>
        <v>72.053496999999993</v>
      </c>
      <c r="K1266" s="40">
        <f>VLOOKUP(A1266,'Refi Universe'!E:F,2,0)</f>
        <v>0.67354866999999996</v>
      </c>
    </row>
    <row r="1267" spans="1:11" ht="15" x14ac:dyDescent="0.25">
      <c r="A1267" s="17">
        <v>42425</v>
      </c>
      <c r="J1267">
        <f>VLOOKUP(A1267,'YB OAS'!B:F,5,0)</f>
        <v>70.974097999999998</v>
      </c>
      <c r="K1267" s="40">
        <f>VLOOKUP(A1267,'Refi Universe'!E:F,2,0)</f>
        <v>0.71465606999999998</v>
      </c>
    </row>
    <row r="1268" spans="1:11" ht="15" x14ac:dyDescent="0.25">
      <c r="A1268" s="17">
        <v>42426</v>
      </c>
      <c r="J1268">
        <f>VLOOKUP(A1268,'YB OAS'!B:F,5,0)</f>
        <v>76.661300999999995</v>
      </c>
      <c r="K1268" s="40">
        <f>VLOOKUP(A1268,'Refi Universe'!E:F,2,0)</f>
        <v>0.64933876999999995</v>
      </c>
    </row>
    <row r="1269" spans="1:11" ht="15" x14ac:dyDescent="0.25">
      <c r="A1269" s="17">
        <v>42429</v>
      </c>
      <c r="J1269">
        <f>VLOOKUP(A1269,'YB OAS'!B:F,5,0)</f>
        <v>70.162903</v>
      </c>
      <c r="K1269" s="40">
        <f>VLOOKUP(A1269,'Refi Universe'!E:F,2,0)</f>
        <v>0.66887903999999998</v>
      </c>
    </row>
    <row r="1270" spans="1:11" ht="15" x14ac:dyDescent="0.25">
      <c r="A1270" s="17">
        <v>42430</v>
      </c>
      <c r="J1270">
        <f>VLOOKUP(A1270,'YB OAS'!B:F,5,0)</f>
        <v>82.245399000000006</v>
      </c>
      <c r="K1270" s="40">
        <f>VLOOKUP(A1270,'Refi Universe'!E:F,2,0)</f>
        <v>0.60868164999999996</v>
      </c>
    </row>
    <row r="1271" spans="1:11" ht="15" x14ac:dyDescent="0.25">
      <c r="A1271" s="17">
        <v>42431</v>
      </c>
      <c r="J1271">
        <f>VLOOKUP(A1271,'YB OAS'!B:F,5,0)</f>
        <v>74.920699999999997</v>
      </c>
      <c r="K1271" s="40">
        <f>VLOOKUP(A1271,'Refi Universe'!E:F,2,0)</f>
        <v>0.58954857999999999</v>
      </c>
    </row>
    <row r="1272" spans="1:11" ht="15" x14ac:dyDescent="0.25">
      <c r="A1272" s="17">
        <v>42432</v>
      </c>
      <c r="J1272">
        <f>VLOOKUP(A1272,'YB OAS'!B:F,5,0)</f>
        <v>81.263603000000003</v>
      </c>
      <c r="K1272" s="40">
        <f>VLOOKUP(A1272,'Refi Universe'!E:F,2,0)</f>
        <v>0.63703244000000003</v>
      </c>
    </row>
    <row r="1273" spans="1:11" ht="15" x14ac:dyDescent="0.25">
      <c r="A1273" s="17">
        <v>42433</v>
      </c>
      <c r="J1273">
        <f>VLOOKUP(A1273,'YB OAS'!B:F,5,0)</f>
        <v>73.181800999999993</v>
      </c>
      <c r="K1273" s="40">
        <f>VLOOKUP(A1273,'Refi Universe'!E:F,2,0)</f>
        <v>0.61029120999999997</v>
      </c>
    </row>
    <row r="1274" spans="1:11" ht="15" x14ac:dyDescent="0.25">
      <c r="A1274" s="17">
        <v>42436</v>
      </c>
      <c r="J1274">
        <f>VLOOKUP(A1274,'YB OAS'!B:F,5,0)</f>
        <v>69.566101000000003</v>
      </c>
      <c r="K1274" s="40">
        <f>VLOOKUP(A1274,'Refi Universe'!E:F,2,0)</f>
        <v>0.58315185000000003</v>
      </c>
    </row>
    <row r="1275" spans="1:11" ht="15" x14ac:dyDescent="0.25">
      <c r="A1275" s="17">
        <v>42437</v>
      </c>
      <c r="J1275">
        <f>VLOOKUP(A1275,'YB OAS'!B:F,5,0)</f>
        <v>59.283000999999999</v>
      </c>
      <c r="K1275" s="40">
        <f>VLOOKUP(A1275,'Refi Universe'!E:F,2,0)</f>
        <v>0.62096764000000004</v>
      </c>
    </row>
    <row r="1276" spans="1:11" ht="15" x14ac:dyDescent="0.25">
      <c r="A1276" s="17">
        <v>42438</v>
      </c>
      <c r="J1276">
        <f>VLOOKUP(A1276,'YB OAS'!B:F,5,0)</f>
        <v>65.432700999999994</v>
      </c>
      <c r="K1276" s="40">
        <f>VLOOKUP(A1276,'Refi Universe'!E:F,2,0)</f>
        <v>0.56910388000000001</v>
      </c>
    </row>
    <row r="1277" spans="1:11" ht="15" x14ac:dyDescent="0.25">
      <c r="A1277" s="17">
        <v>42439</v>
      </c>
      <c r="J1277">
        <f>VLOOKUP(A1277,'YB OAS'!B:F,5,0)</f>
        <v>53.306702000000001</v>
      </c>
      <c r="K1277" s="40">
        <f>VLOOKUP(A1277,'Refi Universe'!E:F,2,0)</f>
        <v>0.59432430999999997</v>
      </c>
    </row>
    <row r="1278" spans="1:11" ht="15" x14ac:dyDescent="0.25">
      <c r="A1278" s="17">
        <v>42440</v>
      </c>
      <c r="J1278">
        <f>VLOOKUP(A1278,'YB OAS'!B:F,5,0)</f>
        <v>57.189602000000001</v>
      </c>
      <c r="K1278" s="40">
        <f>VLOOKUP(A1278,'Refi Universe'!E:F,2,0)</f>
        <v>0.57144903000000002</v>
      </c>
    </row>
    <row r="1279" spans="1:11" ht="15" x14ac:dyDescent="0.25">
      <c r="A1279" s="17">
        <v>42443</v>
      </c>
      <c r="J1279">
        <f>VLOOKUP(A1279,'YB OAS'!B:F,5,0)</f>
        <v>53.572800000000001</v>
      </c>
      <c r="K1279" s="40">
        <f>VLOOKUP(A1279,'Refi Universe'!E:F,2,0)</f>
        <v>0.57831770999999998</v>
      </c>
    </row>
    <row r="1280" spans="1:11" ht="15" x14ac:dyDescent="0.25">
      <c r="A1280" s="17">
        <v>42444</v>
      </c>
      <c r="J1280">
        <f>VLOOKUP(A1280,'YB OAS'!B:F,5,0)</f>
        <v>51.940497999999998</v>
      </c>
      <c r="K1280" s="40">
        <f>VLOOKUP(A1280,'Refi Universe'!E:F,2,0)</f>
        <v>0.56824863000000003</v>
      </c>
    </row>
    <row r="1281" spans="1:11" ht="15" x14ac:dyDescent="0.25">
      <c r="A1281" s="17">
        <v>42445</v>
      </c>
      <c r="J1281">
        <f>VLOOKUP(A1281,'YB OAS'!B:F,5,0)</f>
        <v>0</v>
      </c>
      <c r="K1281" s="40">
        <f>VLOOKUP(A1281,'Refi Universe'!E:F,2,0)</f>
        <v>0.60607814999999998</v>
      </c>
    </row>
  </sheetData>
  <pageMargins left="0.75" right="0.75" top="1" bottom="1" header="0.5" footer="0.5"/>
  <pageSetup paperSize="9" firstPageNumber="0" fitToWidth="0" fitToHeight="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19"/>
  <sheetViews>
    <sheetView zoomScaleNormal="100" workbookViewId="0">
      <selection activeCell="A37" sqref="A37"/>
    </sheetView>
  </sheetViews>
  <sheetFormatPr defaultRowHeight="12.75" x14ac:dyDescent="0.2"/>
  <cols>
    <col min="1" max="1" width="228" bestFit="1" customWidth="1"/>
  </cols>
  <sheetData>
    <row r="1" spans="1:1" ht="60" x14ac:dyDescent="0.25">
      <c r="A1" s="1" t="s">
        <v>3</v>
      </c>
    </row>
    <row r="2" spans="1:1" ht="15" x14ac:dyDescent="0.25">
      <c r="A2" s="2" t="s">
        <v>4</v>
      </c>
    </row>
    <row r="3" spans="1:1" ht="15" x14ac:dyDescent="0.25">
      <c r="A3" s="2" t="s">
        <v>5</v>
      </c>
    </row>
    <row r="4" spans="1:1" ht="15" x14ac:dyDescent="0.25">
      <c r="A4" s="2" t="s">
        <v>4</v>
      </c>
    </row>
    <row r="5" spans="1:1" ht="105" x14ac:dyDescent="0.25">
      <c r="A5" s="1" t="s">
        <v>6</v>
      </c>
    </row>
    <row r="6" spans="1:1" ht="15" x14ac:dyDescent="0.25">
      <c r="A6" s="2" t="s">
        <v>4</v>
      </c>
    </row>
    <row r="7" spans="1:1" ht="15" x14ac:dyDescent="0.25">
      <c r="A7" s="1" t="s">
        <v>7</v>
      </c>
    </row>
    <row r="8" spans="1:1" ht="15" x14ac:dyDescent="0.25">
      <c r="A8" s="2" t="s">
        <v>4</v>
      </c>
    </row>
    <row r="9" spans="1:1" ht="30" x14ac:dyDescent="0.25">
      <c r="A9" s="1" t="s">
        <v>8</v>
      </c>
    </row>
    <row r="10" spans="1:1" ht="15" x14ac:dyDescent="0.25">
      <c r="A10" s="2" t="s">
        <v>4</v>
      </c>
    </row>
    <row r="11" spans="1:1" ht="45" x14ac:dyDescent="0.25">
      <c r="A11" s="1" t="s">
        <v>9</v>
      </c>
    </row>
    <row r="12" spans="1:1" ht="15" x14ac:dyDescent="0.25">
      <c r="A12" s="2" t="s">
        <v>4</v>
      </c>
    </row>
    <row r="13" spans="1:1" ht="45" x14ac:dyDescent="0.25">
      <c r="A13" s="1" t="s">
        <v>10</v>
      </c>
    </row>
    <row r="14" spans="1:1" ht="15" x14ac:dyDescent="0.25">
      <c r="A14" s="2" t="s">
        <v>4</v>
      </c>
    </row>
    <row r="15" spans="1:1" ht="45" x14ac:dyDescent="0.25">
      <c r="A15" s="1" t="s">
        <v>11</v>
      </c>
    </row>
    <row r="16" spans="1:1" ht="15" x14ac:dyDescent="0.25">
      <c r="A16" s="2" t="s">
        <v>4</v>
      </c>
    </row>
    <row r="17" spans="1:1" ht="15" x14ac:dyDescent="0.25">
      <c r="A17" s="1" t="s">
        <v>12</v>
      </c>
    </row>
    <row r="18" spans="1:1" ht="15" x14ac:dyDescent="0.25">
      <c r="A18" s="2" t="s">
        <v>4</v>
      </c>
    </row>
    <row r="19" spans="1:1" ht="30" x14ac:dyDescent="0.25">
      <c r="A19" s="1" t="s">
        <v>13</v>
      </c>
    </row>
  </sheetData>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1302"/>
  <sheetViews>
    <sheetView workbookViewId="0">
      <selection activeCell="B56" sqref="B56"/>
    </sheetView>
  </sheetViews>
  <sheetFormatPr defaultRowHeight="12.75" x14ac:dyDescent="0.2"/>
  <cols>
    <col min="1" max="1" width="10.42578125" style="21" bestFit="1" customWidth="1"/>
    <col min="2" max="2" width="9.140625" style="21"/>
    <col min="7" max="7" width="10.140625" bestFit="1" customWidth="1"/>
    <col min="8" max="8" width="11" bestFit="1" customWidth="1"/>
  </cols>
  <sheetData>
    <row r="1" spans="1:6" x14ac:dyDescent="0.2">
      <c r="A1" s="19">
        <v>42390</v>
      </c>
      <c r="B1" s="20">
        <v>0.53686726891255199</v>
      </c>
      <c r="E1" s="23" t="s">
        <v>694</v>
      </c>
      <c r="F1" s="23" t="s">
        <v>696</v>
      </c>
    </row>
    <row r="2" spans="1:6" x14ac:dyDescent="0.2">
      <c r="A2" s="19">
        <v>42383</v>
      </c>
      <c r="B2" s="20">
        <v>0.48424776223671406</v>
      </c>
      <c r="E2" s="26">
        <v>42445</v>
      </c>
      <c r="F2">
        <v>0.60607814999999998</v>
      </c>
    </row>
    <row r="3" spans="1:6" x14ac:dyDescent="0.2">
      <c r="A3" s="19">
        <v>42376</v>
      </c>
      <c r="B3" s="20">
        <v>0.46862901952602543</v>
      </c>
      <c r="E3" s="26">
        <v>42444</v>
      </c>
      <c r="F3">
        <v>0.56824863000000003</v>
      </c>
    </row>
    <row r="4" spans="1:6" x14ac:dyDescent="0.2">
      <c r="A4" s="19">
        <v>42369</v>
      </c>
      <c r="B4" s="20">
        <v>0.44657507929969392</v>
      </c>
      <c r="E4" s="26">
        <v>42443</v>
      </c>
      <c r="F4">
        <v>0.57831770999999998</v>
      </c>
    </row>
    <row r="5" spans="1:6" x14ac:dyDescent="0.2">
      <c r="A5" s="19">
        <v>42362</v>
      </c>
      <c r="B5" s="20">
        <v>0.47802441207346119</v>
      </c>
      <c r="E5" s="26">
        <v>42440</v>
      </c>
      <c r="F5">
        <v>0.57144903000000002</v>
      </c>
    </row>
    <row r="6" spans="1:6" x14ac:dyDescent="0.2">
      <c r="A6" s="19">
        <v>42355</v>
      </c>
      <c r="B6" s="20">
        <v>0.4742419215656577</v>
      </c>
      <c r="E6" s="26">
        <v>42439</v>
      </c>
      <c r="F6">
        <v>0.59432430999999997</v>
      </c>
    </row>
    <row r="7" spans="1:6" x14ac:dyDescent="0.2">
      <c r="A7" s="19">
        <v>42348</v>
      </c>
      <c r="B7" s="20">
        <v>0.48108278915877944</v>
      </c>
      <c r="E7" s="26">
        <v>42438</v>
      </c>
      <c r="F7">
        <v>0.56910388000000001</v>
      </c>
    </row>
    <row r="8" spans="1:6" x14ac:dyDescent="0.2">
      <c r="A8" s="19">
        <v>42341</v>
      </c>
      <c r="B8" s="20">
        <v>0.48721504831495865</v>
      </c>
      <c r="E8" s="26">
        <v>42437</v>
      </c>
      <c r="F8">
        <v>0.62096764000000004</v>
      </c>
    </row>
    <row r="9" spans="1:6" x14ac:dyDescent="0.2">
      <c r="A9" s="19">
        <v>42333</v>
      </c>
      <c r="B9" s="20">
        <v>0.47590352827743421</v>
      </c>
      <c r="E9" s="26">
        <v>42436</v>
      </c>
      <c r="F9">
        <v>0.58315185000000003</v>
      </c>
    </row>
    <row r="10" spans="1:6" x14ac:dyDescent="0.2">
      <c r="A10" s="19">
        <v>42327</v>
      </c>
      <c r="B10" s="20">
        <v>0.47861527230793388</v>
      </c>
      <c r="E10" s="26">
        <v>42433</v>
      </c>
      <c r="F10">
        <v>0.61029120999999997</v>
      </c>
    </row>
    <row r="11" spans="1:6" x14ac:dyDescent="0.2">
      <c r="A11" s="19">
        <v>42320</v>
      </c>
      <c r="B11" s="20">
        <v>0.4725306175940911</v>
      </c>
      <c r="E11" s="26">
        <v>42432</v>
      </c>
      <c r="F11">
        <v>0.63703244000000003</v>
      </c>
    </row>
    <row r="12" spans="1:6" x14ac:dyDescent="0.2">
      <c r="A12" s="19">
        <v>42313</v>
      </c>
      <c r="B12" s="20">
        <v>0.51511509569715663</v>
      </c>
      <c r="E12" s="26">
        <v>42431</v>
      </c>
      <c r="F12">
        <v>0.58954857999999999</v>
      </c>
    </row>
    <row r="13" spans="1:6" x14ac:dyDescent="0.2">
      <c r="A13" s="19">
        <v>42306</v>
      </c>
      <c r="B13" s="20">
        <v>0.57894029457192531</v>
      </c>
      <c r="E13" s="26">
        <v>42430</v>
      </c>
      <c r="F13">
        <v>0.60868164999999996</v>
      </c>
    </row>
    <row r="14" spans="1:6" x14ac:dyDescent="0.2">
      <c r="A14" s="19">
        <v>42299</v>
      </c>
      <c r="B14" s="20">
        <v>0.56317380692680197</v>
      </c>
      <c r="E14" s="26">
        <v>42429</v>
      </c>
      <c r="F14">
        <v>0.66887903999999998</v>
      </c>
    </row>
    <row r="15" spans="1:6" x14ac:dyDescent="0.2">
      <c r="A15" s="19">
        <v>42292</v>
      </c>
      <c r="B15" s="20">
        <v>0.54767612302289337</v>
      </c>
      <c r="E15" s="26">
        <v>42426</v>
      </c>
      <c r="F15">
        <v>0.64933876999999995</v>
      </c>
    </row>
    <row r="16" spans="1:6" x14ac:dyDescent="0.2">
      <c r="A16" s="19">
        <v>42285</v>
      </c>
      <c r="B16" s="20">
        <v>0.57894029457192531</v>
      </c>
      <c r="E16" s="26">
        <v>42425</v>
      </c>
      <c r="F16">
        <v>0.71465606999999998</v>
      </c>
    </row>
    <row r="17" spans="1:6" x14ac:dyDescent="0.2">
      <c r="A17" s="19">
        <v>42278</v>
      </c>
      <c r="B17" s="20">
        <v>0.53391651509517579</v>
      </c>
      <c r="E17" s="26">
        <v>42424</v>
      </c>
      <c r="F17">
        <v>0.67354866999999996</v>
      </c>
    </row>
    <row r="18" spans="1:6" x14ac:dyDescent="0.2">
      <c r="A18" s="19">
        <v>42271</v>
      </c>
      <c r="B18" s="20">
        <v>0.51886914028697095</v>
      </c>
      <c r="E18" s="26">
        <v>42423</v>
      </c>
      <c r="F18">
        <v>0.65680558</v>
      </c>
    </row>
    <row r="19" spans="1:6" x14ac:dyDescent="0.2">
      <c r="A19" s="19">
        <v>42264</v>
      </c>
      <c r="B19" s="20">
        <v>0.50986906278318977</v>
      </c>
      <c r="E19" s="26">
        <v>42422</v>
      </c>
      <c r="F19">
        <v>0.64620805999999997</v>
      </c>
    </row>
    <row r="20" spans="1:6" x14ac:dyDescent="0.2">
      <c r="A20" s="19">
        <v>42257</v>
      </c>
      <c r="B20" s="20">
        <v>0.51338156329073437</v>
      </c>
      <c r="E20" s="26">
        <v>42419</v>
      </c>
      <c r="F20">
        <v>0.65191341000000003</v>
      </c>
    </row>
    <row r="21" spans="1:6" x14ac:dyDescent="0.2">
      <c r="A21" s="19">
        <v>42250</v>
      </c>
      <c r="B21" s="20">
        <v>0.51680555655781346</v>
      </c>
      <c r="E21" s="26">
        <v>42418</v>
      </c>
      <c r="F21">
        <v>0.65222623000000002</v>
      </c>
    </row>
    <row r="22" spans="1:6" x14ac:dyDescent="0.2">
      <c r="A22" s="19">
        <v>42243</v>
      </c>
      <c r="B22" s="20">
        <v>0.54776588117858471</v>
      </c>
      <c r="E22" s="26">
        <v>42417</v>
      </c>
      <c r="F22">
        <v>0.62260472</v>
      </c>
    </row>
    <row r="23" spans="1:6" x14ac:dyDescent="0.2">
      <c r="A23" s="19">
        <v>42236</v>
      </c>
      <c r="B23" s="20">
        <v>0.51006923311843089</v>
      </c>
      <c r="E23" s="26">
        <v>42416</v>
      </c>
      <c r="F23">
        <v>0.64863170000000003</v>
      </c>
    </row>
    <row r="24" spans="1:6" x14ac:dyDescent="0.2">
      <c r="A24" s="19">
        <v>42229</v>
      </c>
      <c r="B24" s="20">
        <v>0.50777768656321565</v>
      </c>
      <c r="E24" s="26">
        <v>42412</v>
      </c>
      <c r="F24">
        <v>0.65222623000000002</v>
      </c>
    </row>
    <row r="25" spans="1:6" x14ac:dyDescent="0.2">
      <c r="A25" s="19">
        <v>42222</v>
      </c>
      <c r="B25" s="20">
        <v>0.51562387102608387</v>
      </c>
      <c r="E25" s="26">
        <v>42411</v>
      </c>
      <c r="F25">
        <v>0.77575077000000003</v>
      </c>
    </row>
    <row r="26" spans="1:6" x14ac:dyDescent="0.2">
      <c r="A26" s="19">
        <v>42215</v>
      </c>
      <c r="B26" s="20">
        <v>0.49912270122048025</v>
      </c>
      <c r="E26" s="26">
        <v>42410</v>
      </c>
      <c r="F26">
        <v>0.74538501999999995</v>
      </c>
    </row>
    <row r="27" spans="1:6" x14ac:dyDescent="0.2">
      <c r="A27" s="19">
        <v>42208</v>
      </c>
      <c r="B27" s="20">
        <v>0.45300783987214877</v>
      </c>
      <c r="E27" s="26">
        <v>42409</v>
      </c>
      <c r="F27">
        <v>0.72648203</v>
      </c>
    </row>
    <row r="28" spans="1:6" x14ac:dyDescent="0.2">
      <c r="A28" s="19">
        <v>42201</v>
      </c>
      <c r="B28" s="20">
        <v>0.42011365068788514</v>
      </c>
      <c r="E28" s="26">
        <v>42408</v>
      </c>
      <c r="F28">
        <v>0.68939402999999999</v>
      </c>
    </row>
    <row r="29" spans="1:6" x14ac:dyDescent="0.2">
      <c r="A29" s="19">
        <v>42194</v>
      </c>
      <c r="B29" s="20">
        <v>0.45300783987214877</v>
      </c>
      <c r="E29" s="26">
        <v>42405</v>
      </c>
      <c r="F29">
        <v>0.62575740000000002</v>
      </c>
    </row>
    <row r="30" spans="1:6" x14ac:dyDescent="0.2">
      <c r="A30" s="19">
        <v>42187</v>
      </c>
      <c r="B30" s="20">
        <v>0.42691007799753877</v>
      </c>
      <c r="E30" s="26">
        <v>42404</v>
      </c>
      <c r="F30">
        <v>0.62090383000000005</v>
      </c>
    </row>
    <row r="31" spans="1:6" x14ac:dyDescent="0.2">
      <c r="A31" s="19">
        <v>42180</v>
      </c>
      <c r="B31" s="20">
        <v>0.45889007356496508</v>
      </c>
      <c r="E31" s="26">
        <v>42403</v>
      </c>
      <c r="F31">
        <v>0.64134849999999999</v>
      </c>
    </row>
    <row r="32" spans="1:6" x14ac:dyDescent="0.2">
      <c r="A32" s="19">
        <v>42173</v>
      </c>
      <c r="B32" s="20">
        <v>0.47504859154397289</v>
      </c>
      <c r="E32" s="26">
        <v>42402</v>
      </c>
      <c r="F32">
        <v>0.64022367000000002</v>
      </c>
    </row>
    <row r="33" spans="1:6" x14ac:dyDescent="0.2">
      <c r="A33" s="19">
        <v>42166</v>
      </c>
      <c r="B33" s="20">
        <v>0.46172473046300011</v>
      </c>
      <c r="E33" s="26">
        <v>42401</v>
      </c>
      <c r="F33">
        <v>0.57364006000000001</v>
      </c>
    </row>
    <row r="34" spans="1:6" x14ac:dyDescent="0.2">
      <c r="A34" s="19">
        <v>42159</v>
      </c>
      <c r="B34" s="20">
        <v>0.54951676769042945</v>
      </c>
      <c r="E34" s="26">
        <v>42398</v>
      </c>
      <c r="F34">
        <v>0.62325063999999997</v>
      </c>
    </row>
    <row r="35" spans="1:6" x14ac:dyDescent="0.2">
      <c r="A35" s="19">
        <v>42152</v>
      </c>
      <c r="B35" s="20">
        <v>0.55902460267794318</v>
      </c>
      <c r="E35" s="26">
        <v>42397</v>
      </c>
      <c r="F35">
        <v>0.57711681000000004</v>
      </c>
    </row>
    <row r="36" spans="1:6" x14ac:dyDescent="0.2">
      <c r="A36" s="19">
        <v>42145</v>
      </c>
      <c r="B36" s="20">
        <v>0.56247001508658589</v>
      </c>
      <c r="E36" s="26">
        <v>42396</v>
      </c>
      <c r="F36">
        <v>0.56800748999999995</v>
      </c>
    </row>
    <row r="37" spans="1:6" x14ac:dyDescent="0.2">
      <c r="A37" s="19">
        <v>42138</v>
      </c>
      <c r="B37" s="20">
        <v>0.57098174826031445</v>
      </c>
      <c r="E37" s="26">
        <v>42395</v>
      </c>
      <c r="F37">
        <v>0.56985235999999995</v>
      </c>
    </row>
    <row r="38" spans="1:6" x14ac:dyDescent="0.2">
      <c r="A38" s="19">
        <v>42131</v>
      </c>
      <c r="B38" s="20">
        <v>0.59037176491848908</v>
      </c>
      <c r="E38" s="26">
        <v>42394</v>
      </c>
      <c r="F38">
        <v>0.54513613000000005</v>
      </c>
    </row>
    <row r="39" spans="1:6" x14ac:dyDescent="0.2">
      <c r="A39" s="19">
        <v>42124</v>
      </c>
      <c r="B39" s="20">
        <v>0.64603046293502864</v>
      </c>
      <c r="E39" s="26">
        <v>42391</v>
      </c>
      <c r="F39">
        <v>0.53387094000000002</v>
      </c>
    </row>
    <row r="40" spans="1:6" x14ac:dyDescent="0.2">
      <c r="A40" s="19">
        <v>42117</v>
      </c>
      <c r="B40" s="20">
        <v>0.65844284474757131</v>
      </c>
      <c r="E40" s="26">
        <v>42390</v>
      </c>
      <c r="F40">
        <v>0.54936136999999996</v>
      </c>
    </row>
    <row r="41" spans="1:6" x14ac:dyDescent="0.2">
      <c r="A41" s="19">
        <v>42110</v>
      </c>
      <c r="B41" s="20">
        <v>0.64019129085731785</v>
      </c>
      <c r="E41" s="26">
        <v>42389</v>
      </c>
      <c r="F41">
        <v>0.51737109000000003</v>
      </c>
    </row>
    <row r="42" spans="1:6" x14ac:dyDescent="0.2">
      <c r="A42" s="19">
        <v>42103</v>
      </c>
      <c r="B42" s="20">
        <v>0.65412296677072113</v>
      </c>
      <c r="E42" s="26">
        <v>42388</v>
      </c>
      <c r="F42">
        <v>0.51856720000000001</v>
      </c>
    </row>
    <row r="43" spans="1:6" x14ac:dyDescent="0.2">
      <c r="A43" s="19">
        <v>42096</v>
      </c>
      <c r="B43" s="20">
        <v>0.63757021314193218</v>
      </c>
      <c r="E43" s="26">
        <v>42384</v>
      </c>
      <c r="F43">
        <v>0.52107168000000004</v>
      </c>
    </row>
    <row r="44" spans="1:6" x14ac:dyDescent="0.2">
      <c r="A44" s="19">
        <v>42089</v>
      </c>
      <c r="B44" s="20">
        <v>0.64890841265420796</v>
      </c>
      <c r="E44" s="26">
        <v>42383</v>
      </c>
      <c r="F44">
        <v>0.49594749999999999</v>
      </c>
    </row>
    <row r="45" spans="1:6" x14ac:dyDescent="0.2">
      <c r="A45" s="19">
        <v>42082</v>
      </c>
      <c r="B45" s="20">
        <v>0.61916808494400521</v>
      </c>
      <c r="E45" s="26">
        <v>42382</v>
      </c>
      <c r="F45">
        <v>0.50384284000000001</v>
      </c>
    </row>
    <row r="46" spans="1:6" x14ac:dyDescent="0.2">
      <c r="A46" s="19">
        <v>42075</v>
      </c>
      <c r="B46" s="20">
        <v>0.58615251978310723</v>
      </c>
      <c r="E46" s="26">
        <v>42381</v>
      </c>
      <c r="F46">
        <v>0.52167472000000004</v>
      </c>
    </row>
    <row r="47" spans="1:6" x14ac:dyDescent="0.2">
      <c r="A47" s="19">
        <v>42068</v>
      </c>
      <c r="B47" s="20">
        <v>0.62830808931498816</v>
      </c>
      <c r="E47" s="26">
        <v>42380</v>
      </c>
      <c r="F47">
        <v>0.49069705000000002</v>
      </c>
    </row>
    <row r="48" spans="1:6" x14ac:dyDescent="0.2">
      <c r="A48" s="19">
        <v>42061</v>
      </c>
      <c r="B48" s="20">
        <v>0.61469145921482737</v>
      </c>
      <c r="E48" s="26">
        <v>42377</v>
      </c>
      <c r="F48">
        <v>0.49696595999999998</v>
      </c>
    </row>
    <row r="49" spans="1:6" x14ac:dyDescent="0.2">
      <c r="A49" s="19">
        <v>42054</v>
      </c>
      <c r="B49" s="20">
        <v>0.62918563533375538</v>
      </c>
      <c r="E49" s="26">
        <v>42376</v>
      </c>
      <c r="F49">
        <v>0.48494499000000002</v>
      </c>
    </row>
    <row r="50" spans="1:6" x14ac:dyDescent="0.2">
      <c r="A50" s="19">
        <v>42047</v>
      </c>
      <c r="B50" s="20">
        <v>0.65089272690592892</v>
      </c>
      <c r="E50" s="26">
        <v>42375</v>
      </c>
      <c r="F50">
        <v>0.47847035999999998</v>
      </c>
    </row>
    <row r="51" spans="1:6" x14ac:dyDescent="0.2">
      <c r="A51" s="19">
        <v>42040</v>
      </c>
      <c r="B51" s="20">
        <v>0.68613791923063638</v>
      </c>
      <c r="E51" s="26">
        <v>42374</v>
      </c>
      <c r="F51">
        <v>0.46228602000000002</v>
      </c>
    </row>
    <row r="52" spans="1:6" x14ac:dyDescent="0.2">
      <c r="A52" s="19">
        <v>42033</v>
      </c>
      <c r="B52" s="20">
        <v>0.66237769243691424</v>
      </c>
      <c r="E52" s="26">
        <v>42373</v>
      </c>
      <c r="F52">
        <v>0.46317427999999999</v>
      </c>
    </row>
    <row r="53" spans="1:6" x14ac:dyDescent="0.2">
      <c r="A53" s="19">
        <v>42026</v>
      </c>
      <c r="B53" s="20">
        <v>0.66443740132152351</v>
      </c>
      <c r="E53" s="26">
        <v>42369</v>
      </c>
      <c r="F53">
        <v>0.46126540999999999</v>
      </c>
    </row>
    <row r="54" spans="1:6" x14ac:dyDescent="0.2">
      <c r="A54" s="19">
        <v>42019</v>
      </c>
      <c r="B54" s="20">
        <v>0.66237769243691424</v>
      </c>
      <c r="E54" s="26">
        <v>42368</v>
      </c>
      <c r="F54">
        <v>0.42925727000000002</v>
      </c>
    </row>
    <row r="55" spans="1:6" x14ac:dyDescent="0.2">
      <c r="A55" s="19">
        <v>42012</v>
      </c>
      <c r="B55" s="20">
        <v>0.63535246046030358</v>
      </c>
      <c r="E55" s="26">
        <v>42367</v>
      </c>
      <c r="F55">
        <v>0.43395194999999998</v>
      </c>
    </row>
    <row r="56" spans="1:6" x14ac:dyDescent="0.2">
      <c r="A56" s="19">
        <v>42004</v>
      </c>
      <c r="B56" s="20">
        <v>0.59452652549193286</v>
      </c>
      <c r="E56" s="26">
        <v>42366</v>
      </c>
      <c r="F56">
        <v>0.47089364</v>
      </c>
    </row>
    <row r="57" spans="1:6" x14ac:dyDescent="0.2">
      <c r="E57" s="26">
        <v>42362</v>
      </c>
      <c r="F57">
        <v>0.45615067999999998</v>
      </c>
    </row>
    <row r="58" spans="1:6" x14ac:dyDescent="0.2">
      <c r="E58" s="26">
        <v>42361</v>
      </c>
      <c r="F58">
        <v>0.44537185000000001</v>
      </c>
    </row>
    <row r="59" spans="1:6" x14ac:dyDescent="0.2">
      <c r="E59" s="26">
        <v>42360</v>
      </c>
      <c r="F59">
        <v>0.45523454000000002</v>
      </c>
    </row>
    <row r="60" spans="1:6" x14ac:dyDescent="0.2">
      <c r="E60" s="26">
        <v>42359</v>
      </c>
      <c r="F60">
        <v>0.47717956</v>
      </c>
    </row>
    <row r="61" spans="1:6" x14ac:dyDescent="0.2">
      <c r="E61" s="26">
        <v>42356</v>
      </c>
      <c r="F61">
        <v>0.47921917000000003</v>
      </c>
    </row>
    <row r="62" spans="1:6" x14ac:dyDescent="0.2">
      <c r="E62" s="26">
        <v>42355</v>
      </c>
      <c r="F62">
        <v>0.4698406</v>
      </c>
    </row>
    <row r="63" spans="1:6" x14ac:dyDescent="0.2">
      <c r="E63" s="26">
        <v>42354</v>
      </c>
      <c r="F63">
        <v>0.44349123000000001</v>
      </c>
    </row>
    <row r="64" spans="1:6" x14ac:dyDescent="0.2">
      <c r="E64" s="26">
        <v>42353</v>
      </c>
      <c r="F64">
        <v>0.45523454000000002</v>
      </c>
    </row>
    <row r="65" spans="5:6" x14ac:dyDescent="0.2">
      <c r="E65" s="26">
        <v>42352</v>
      </c>
      <c r="F65">
        <v>0.47264946000000002</v>
      </c>
    </row>
    <row r="66" spans="5:6" x14ac:dyDescent="0.2">
      <c r="E66" s="26">
        <v>42349</v>
      </c>
      <c r="F66">
        <v>0.49263546000000003</v>
      </c>
    </row>
    <row r="67" spans="5:6" x14ac:dyDescent="0.2">
      <c r="E67" s="26">
        <v>42348</v>
      </c>
      <c r="F67">
        <v>0.47195742000000002</v>
      </c>
    </row>
    <row r="68" spans="5:6" x14ac:dyDescent="0.2">
      <c r="E68" s="26">
        <v>42347</v>
      </c>
      <c r="F68">
        <v>0.48373664</v>
      </c>
    </row>
    <row r="69" spans="5:6" x14ac:dyDescent="0.2">
      <c r="E69" s="26">
        <v>42346</v>
      </c>
      <c r="F69">
        <v>0.46573657000000002</v>
      </c>
    </row>
    <row r="70" spans="5:6" x14ac:dyDescent="0.2">
      <c r="E70" s="26">
        <v>42345</v>
      </c>
      <c r="F70">
        <v>0.47633645000000002</v>
      </c>
    </row>
    <row r="71" spans="5:6" x14ac:dyDescent="0.2">
      <c r="E71" s="26">
        <v>42342</v>
      </c>
      <c r="F71">
        <v>0.4507641</v>
      </c>
    </row>
    <row r="72" spans="5:6" x14ac:dyDescent="0.2">
      <c r="E72" s="26">
        <v>42341</v>
      </c>
      <c r="F72">
        <v>0.40747510999999997</v>
      </c>
    </row>
    <row r="73" spans="5:6" x14ac:dyDescent="0.2">
      <c r="E73" s="26">
        <v>42340</v>
      </c>
      <c r="F73">
        <v>0.48488554</v>
      </c>
    </row>
    <row r="74" spans="5:6" x14ac:dyDescent="0.2">
      <c r="E74" s="26">
        <v>42339</v>
      </c>
      <c r="F74">
        <v>0.56660074000000005</v>
      </c>
    </row>
    <row r="75" spans="5:6" x14ac:dyDescent="0.2">
      <c r="E75" s="26">
        <v>42338</v>
      </c>
      <c r="F75">
        <v>0.48084427000000002</v>
      </c>
    </row>
    <row r="76" spans="5:6" x14ac:dyDescent="0.2">
      <c r="E76" s="26">
        <v>42335</v>
      </c>
      <c r="F76">
        <v>0.47558492000000002</v>
      </c>
    </row>
    <row r="77" spans="5:6" x14ac:dyDescent="0.2">
      <c r="E77" s="26">
        <v>42333</v>
      </c>
      <c r="F77">
        <v>0.47208881000000003</v>
      </c>
    </row>
    <row r="78" spans="5:6" x14ac:dyDescent="0.2">
      <c r="E78" s="26">
        <v>42332</v>
      </c>
      <c r="F78">
        <v>0.48422739999999997</v>
      </c>
    </row>
    <row r="79" spans="5:6" x14ac:dyDescent="0.2">
      <c r="E79" s="26">
        <v>42331</v>
      </c>
      <c r="F79">
        <v>0.48276687000000001</v>
      </c>
    </row>
    <row r="80" spans="5:6" x14ac:dyDescent="0.2">
      <c r="E80" s="26">
        <v>42328</v>
      </c>
      <c r="F80">
        <v>0.48276687000000001</v>
      </c>
    </row>
    <row r="81" spans="5:6" x14ac:dyDescent="0.2">
      <c r="E81" s="26">
        <v>42327</v>
      </c>
      <c r="F81">
        <v>0.48797668999999999</v>
      </c>
    </row>
    <row r="82" spans="5:6" x14ac:dyDescent="0.2">
      <c r="E82" s="26">
        <v>42326</v>
      </c>
      <c r="F82">
        <v>0.48255048</v>
      </c>
    </row>
    <row r="83" spans="5:6" x14ac:dyDescent="0.2">
      <c r="E83" s="26">
        <v>42325</v>
      </c>
      <c r="F83">
        <v>0.47802441000000001</v>
      </c>
    </row>
    <row r="84" spans="5:6" x14ac:dyDescent="0.2">
      <c r="E84" s="26">
        <v>42324</v>
      </c>
      <c r="F84">
        <v>0.47244762000000001</v>
      </c>
    </row>
    <row r="85" spans="5:6" x14ac:dyDescent="0.2">
      <c r="E85" s="26">
        <v>42321</v>
      </c>
      <c r="F85">
        <v>0.46793132999999998</v>
      </c>
    </row>
    <row r="86" spans="5:6" x14ac:dyDescent="0.2">
      <c r="E86" s="26">
        <v>42320</v>
      </c>
      <c r="F86">
        <v>0.44028864000000001</v>
      </c>
    </row>
    <row r="87" spans="5:6" x14ac:dyDescent="0.2">
      <c r="E87" s="26">
        <v>42318</v>
      </c>
      <c r="F87">
        <v>0.45419498000000003</v>
      </c>
    </row>
    <row r="88" spans="5:6" x14ac:dyDescent="0.2">
      <c r="E88" s="26">
        <v>42317</v>
      </c>
      <c r="F88">
        <v>0.43414174</v>
      </c>
    </row>
    <row r="89" spans="5:6" x14ac:dyDescent="0.2">
      <c r="E89" s="26">
        <v>42314</v>
      </c>
      <c r="F89">
        <v>0.45491517999999997</v>
      </c>
    </row>
    <row r="90" spans="5:6" x14ac:dyDescent="0.2">
      <c r="E90" s="26">
        <v>42313</v>
      </c>
      <c r="F90">
        <v>0.48840109999999998</v>
      </c>
    </row>
    <row r="91" spans="5:6" x14ac:dyDescent="0.2">
      <c r="E91" s="26">
        <v>42312</v>
      </c>
      <c r="F91">
        <v>0.48993692</v>
      </c>
    </row>
    <row r="92" spans="5:6" x14ac:dyDescent="0.2">
      <c r="E92" s="26">
        <v>42311</v>
      </c>
      <c r="F92">
        <v>0.49479933999999998</v>
      </c>
    </row>
    <row r="93" spans="5:6" x14ac:dyDescent="0.2">
      <c r="E93" s="26">
        <v>42310</v>
      </c>
      <c r="F93">
        <v>0.50891735999999999</v>
      </c>
    </row>
    <row r="94" spans="5:6" x14ac:dyDescent="0.2">
      <c r="E94" s="26">
        <v>42307</v>
      </c>
      <c r="F94">
        <v>0.52637942999999998</v>
      </c>
    </row>
    <row r="95" spans="5:6" x14ac:dyDescent="0.2">
      <c r="E95" s="26">
        <v>42306</v>
      </c>
      <c r="F95">
        <v>0.50746528000000002</v>
      </c>
    </row>
    <row r="96" spans="5:6" x14ac:dyDescent="0.2">
      <c r="E96" s="26">
        <v>42305</v>
      </c>
      <c r="F96">
        <v>0.55113287</v>
      </c>
    </row>
    <row r="97" spans="5:6" x14ac:dyDescent="0.2">
      <c r="E97" s="26">
        <v>42304</v>
      </c>
      <c r="F97">
        <v>0.57160407999999996</v>
      </c>
    </row>
    <row r="98" spans="5:6" x14ac:dyDescent="0.2">
      <c r="E98" s="26">
        <v>42303</v>
      </c>
      <c r="F98">
        <v>0.55113287</v>
      </c>
    </row>
    <row r="99" spans="5:6" x14ac:dyDescent="0.2">
      <c r="E99" s="26">
        <v>42300</v>
      </c>
      <c r="F99">
        <v>0.54362469000000002</v>
      </c>
    </row>
    <row r="100" spans="5:6" x14ac:dyDescent="0.2">
      <c r="E100" s="26">
        <v>42299</v>
      </c>
      <c r="F100">
        <v>0.57587261000000001</v>
      </c>
    </row>
    <row r="101" spans="5:6" x14ac:dyDescent="0.2">
      <c r="E101" s="26">
        <v>42298</v>
      </c>
      <c r="F101">
        <v>0.55860147999999998</v>
      </c>
    </row>
    <row r="102" spans="5:6" x14ac:dyDescent="0.2">
      <c r="E102" s="26">
        <v>42297</v>
      </c>
      <c r="F102">
        <v>0.54682167000000004</v>
      </c>
    </row>
    <row r="103" spans="5:6" x14ac:dyDescent="0.2">
      <c r="E103" s="26">
        <v>42296</v>
      </c>
      <c r="F103">
        <v>0.56985229999999998</v>
      </c>
    </row>
    <row r="104" spans="5:6" x14ac:dyDescent="0.2">
      <c r="E104" s="26">
        <v>42293</v>
      </c>
      <c r="F104">
        <v>0.57089999999999996</v>
      </c>
    </row>
    <row r="105" spans="5:6" x14ac:dyDescent="0.2">
      <c r="E105" s="26">
        <v>42292</v>
      </c>
      <c r="F105">
        <v>0.57359285000000004</v>
      </c>
    </row>
    <row r="106" spans="5:6" x14ac:dyDescent="0.2">
      <c r="E106" s="26">
        <v>42291</v>
      </c>
      <c r="F106">
        <v>0.58353460999999995</v>
      </c>
    </row>
    <row r="107" spans="5:6" x14ac:dyDescent="0.2">
      <c r="E107" s="26">
        <v>42290</v>
      </c>
      <c r="F107">
        <v>0.56100377000000001</v>
      </c>
    </row>
    <row r="108" spans="5:6" x14ac:dyDescent="0.2">
      <c r="E108" s="26">
        <v>42286</v>
      </c>
      <c r="F108">
        <v>0.54440880999999997</v>
      </c>
    </row>
    <row r="109" spans="5:6" x14ac:dyDescent="0.2">
      <c r="E109" s="26">
        <v>42285</v>
      </c>
      <c r="F109">
        <v>0.54491213000000005</v>
      </c>
    </row>
    <row r="110" spans="5:6" x14ac:dyDescent="0.2">
      <c r="E110" s="26">
        <v>42284</v>
      </c>
      <c r="F110">
        <v>0.57359285000000004</v>
      </c>
    </row>
    <row r="111" spans="5:6" x14ac:dyDescent="0.2">
      <c r="E111" s="26">
        <v>42283</v>
      </c>
      <c r="F111">
        <v>0.57890863999999997</v>
      </c>
    </row>
    <row r="112" spans="5:6" x14ac:dyDescent="0.2">
      <c r="E112" s="26">
        <v>42282</v>
      </c>
      <c r="F112">
        <v>0.56743953999999996</v>
      </c>
    </row>
    <row r="113" spans="5:6" x14ac:dyDescent="0.2">
      <c r="E113" s="26">
        <v>42279</v>
      </c>
      <c r="F113">
        <v>0.59206276000000002</v>
      </c>
    </row>
    <row r="114" spans="5:6" x14ac:dyDescent="0.2">
      <c r="E114" s="26">
        <v>42278</v>
      </c>
      <c r="F114">
        <v>0.56462911000000005</v>
      </c>
    </row>
    <row r="115" spans="5:6" x14ac:dyDescent="0.2">
      <c r="E115" s="26">
        <v>42277</v>
      </c>
      <c r="F115">
        <v>0.55419123999999997</v>
      </c>
    </row>
    <row r="116" spans="5:6" x14ac:dyDescent="0.2">
      <c r="E116" s="26">
        <v>42276</v>
      </c>
      <c r="F116">
        <v>0.54699834000000003</v>
      </c>
    </row>
    <row r="117" spans="5:6" x14ac:dyDescent="0.2">
      <c r="E117" s="26">
        <v>42275</v>
      </c>
      <c r="F117">
        <v>0.52561398999999998</v>
      </c>
    </row>
    <row r="118" spans="5:6" x14ac:dyDescent="0.2">
      <c r="E118" s="26">
        <v>42272</v>
      </c>
      <c r="F118">
        <v>0.50470086000000003</v>
      </c>
    </row>
    <row r="119" spans="5:6" x14ac:dyDescent="0.2">
      <c r="E119" s="26">
        <v>42271</v>
      </c>
      <c r="F119">
        <v>0.51546252000000004</v>
      </c>
    </row>
    <row r="120" spans="5:6" x14ac:dyDescent="0.2">
      <c r="E120" s="26">
        <v>42270</v>
      </c>
      <c r="F120">
        <v>0.51456749000000002</v>
      </c>
    </row>
    <row r="121" spans="5:6" x14ac:dyDescent="0.2">
      <c r="E121" s="26">
        <v>42269</v>
      </c>
      <c r="F121">
        <v>0.54699834000000003</v>
      </c>
    </row>
    <row r="122" spans="5:6" x14ac:dyDescent="0.2">
      <c r="E122" s="26">
        <v>42268</v>
      </c>
      <c r="F122">
        <v>0.51756157999999997</v>
      </c>
    </row>
    <row r="123" spans="5:6" x14ac:dyDescent="0.2">
      <c r="E123" s="26">
        <v>42265</v>
      </c>
      <c r="F123">
        <v>0.55836633000000002</v>
      </c>
    </row>
    <row r="124" spans="5:6" x14ac:dyDescent="0.2">
      <c r="E124" s="26">
        <v>42264</v>
      </c>
      <c r="F124">
        <v>0.52915392000000006</v>
      </c>
    </row>
    <row r="125" spans="5:6" x14ac:dyDescent="0.2">
      <c r="E125" s="26">
        <v>42263</v>
      </c>
      <c r="F125">
        <v>0.49091327000000001</v>
      </c>
    </row>
    <row r="126" spans="5:6" x14ac:dyDescent="0.2">
      <c r="E126" s="26">
        <v>42262</v>
      </c>
      <c r="F126">
        <v>0.47261544999999999</v>
      </c>
    </row>
    <row r="127" spans="5:6" x14ac:dyDescent="0.2">
      <c r="E127" s="26">
        <v>42261</v>
      </c>
      <c r="F127">
        <v>0.50553360999999997</v>
      </c>
    </row>
    <row r="128" spans="5:6" x14ac:dyDescent="0.2">
      <c r="E128" s="26">
        <v>42258</v>
      </c>
      <c r="F128">
        <v>0.50244840000000002</v>
      </c>
    </row>
    <row r="129" spans="5:6" x14ac:dyDescent="0.2">
      <c r="E129" s="26">
        <v>42257</v>
      </c>
      <c r="F129">
        <v>0.49792618999999999</v>
      </c>
    </row>
    <row r="130" spans="5:6" x14ac:dyDescent="0.2">
      <c r="E130" s="26">
        <v>42256</v>
      </c>
      <c r="F130">
        <v>0.50698535</v>
      </c>
    </row>
    <row r="131" spans="5:6" x14ac:dyDescent="0.2">
      <c r="E131" s="26">
        <v>42255</v>
      </c>
      <c r="F131">
        <v>0.51178652000000002</v>
      </c>
    </row>
    <row r="132" spans="5:6" x14ac:dyDescent="0.2">
      <c r="E132" s="26">
        <v>42251</v>
      </c>
      <c r="F132">
        <v>0.53448357999999996</v>
      </c>
    </row>
    <row r="133" spans="5:6" x14ac:dyDescent="0.2">
      <c r="E133" s="26">
        <v>42250</v>
      </c>
      <c r="F133">
        <v>0.51889669999999999</v>
      </c>
    </row>
    <row r="134" spans="5:6" x14ac:dyDescent="0.2">
      <c r="E134" s="26">
        <v>42249</v>
      </c>
      <c r="F134">
        <v>0.50599921999999997</v>
      </c>
    </row>
    <row r="135" spans="5:6" x14ac:dyDescent="0.2">
      <c r="E135" s="26">
        <v>42248</v>
      </c>
      <c r="F135">
        <v>0.51178652000000002</v>
      </c>
    </row>
    <row r="136" spans="5:6" x14ac:dyDescent="0.2">
      <c r="E136" s="26">
        <v>42247</v>
      </c>
      <c r="F136">
        <v>0.50869439000000005</v>
      </c>
    </row>
    <row r="137" spans="5:6" x14ac:dyDescent="0.2">
      <c r="E137" s="26">
        <v>42244</v>
      </c>
      <c r="F137">
        <v>0.51574027</v>
      </c>
    </row>
    <row r="138" spans="5:6" x14ac:dyDescent="0.2">
      <c r="E138" s="26">
        <v>42243</v>
      </c>
      <c r="F138">
        <v>0.51793573000000004</v>
      </c>
    </row>
    <row r="139" spans="5:6" x14ac:dyDescent="0.2">
      <c r="E139" s="26">
        <v>42242</v>
      </c>
      <c r="F139">
        <v>0.51647642000000005</v>
      </c>
    </row>
    <row r="140" spans="5:6" x14ac:dyDescent="0.2">
      <c r="E140" s="26">
        <v>42241</v>
      </c>
      <c r="F140">
        <v>0.51305791999999995</v>
      </c>
    </row>
    <row r="141" spans="5:6" x14ac:dyDescent="0.2">
      <c r="E141" s="26">
        <v>42240</v>
      </c>
      <c r="F141">
        <v>0.56736513</v>
      </c>
    </row>
    <row r="142" spans="5:6" x14ac:dyDescent="0.2">
      <c r="E142" s="26">
        <v>42237</v>
      </c>
      <c r="F142">
        <v>0.54741704999999996</v>
      </c>
    </row>
    <row r="143" spans="5:6" x14ac:dyDescent="0.2">
      <c r="E143" s="26">
        <v>42236</v>
      </c>
      <c r="F143">
        <v>0.53631419999999996</v>
      </c>
    </row>
    <row r="144" spans="5:6" x14ac:dyDescent="0.2">
      <c r="E144" s="26">
        <v>42235</v>
      </c>
      <c r="F144">
        <v>0.52031886000000005</v>
      </c>
    </row>
    <row r="145" spans="5:6" x14ac:dyDescent="0.2">
      <c r="E145" s="26">
        <v>42234</v>
      </c>
      <c r="F145">
        <v>0.49077204000000002</v>
      </c>
    </row>
    <row r="146" spans="5:6" x14ac:dyDescent="0.2">
      <c r="E146" s="26">
        <v>42233</v>
      </c>
      <c r="F146">
        <v>0.50021404999999997</v>
      </c>
    </row>
    <row r="147" spans="5:6" x14ac:dyDescent="0.2">
      <c r="E147" s="26">
        <v>42230</v>
      </c>
      <c r="F147">
        <v>0.48956336</v>
      </c>
    </row>
    <row r="148" spans="5:6" x14ac:dyDescent="0.2">
      <c r="E148" s="26">
        <v>42229</v>
      </c>
      <c r="F148">
        <v>0.49770785000000001</v>
      </c>
    </row>
    <row r="149" spans="5:6" x14ac:dyDescent="0.2">
      <c r="E149" s="26">
        <v>42228</v>
      </c>
      <c r="F149">
        <v>0.51406275000000001</v>
      </c>
    </row>
    <row r="150" spans="5:6" x14ac:dyDescent="0.2">
      <c r="E150" s="26">
        <v>42227</v>
      </c>
      <c r="F150">
        <v>0.54047655999999999</v>
      </c>
    </row>
    <row r="151" spans="5:6" x14ac:dyDescent="0.2">
      <c r="E151" s="26">
        <v>42226</v>
      </c>
      <c r="F151">
        <v>0.50362235</v>
      </c>
    </row>
    <row r="152" spans="5:6" x14ac:dyDescent="0.2">
      <c r="E152" s="26">
        <v>42223</v>
      </c>
      <c r="F152">
        <v>0.52122531999999999</v>
      </c>
    </row>
    <row r="153" spans="5:6" x14ac:dyDescent="0.2">
      <c r="E153" s="26">
        <v>42222</v>
      </c>
      <c r="F153">
        <v>0.50436276000000002</v>
      </c>
    </row>
    <row r="154" spans="5:6" x14ac:dyDescent="0.2">
      <c r="E154" s="26">
        <v>42221</v>
      </c>
      <c r="F154">
        <v>0.49262108999999998</v>
      </c>
    </row>
    <row r="155" spans="5:6" x14ac:dyDescent="0.2">
      <c r="E155" s="26">
        <v>42220</v>
      </c>
      <c r="F155">
        <v>0.49985484000000002</v>
      </c>
    </row>
    <row r="156" spans="5:6" x14ac:dyDescent="0.2">
      <c r="E156" s="26">
        <v>42219</v>
      </c>
      <c r="F156">
        <v>0.52361420000000003</v>
      </c>
    </row>
    <row r="157" spans="5:6" x14ac:dyDescent="0.2">
      <c r="E157" s="26">
        <v>42216</v>
      </c>
      <c r="F157">
        <v>0.51760958999999995</v>
      </c>
    </row>
    <row r="158" spans="5:6" x14ac:dyDescent="0.2">
      <c r="E158" s="26">
        <v>42215</v>
      </c>
      <c r="F158">
        <v>0.48860219999999999</v>
      </c>
    </row>
    <row r="159" spans="5:6" x14ac:dyDescent="0.2">
      <c r="E159" s="26">
        <v>42214</v>
      </c>
      <c r="F159">
        <v>0.48791089999999998</v>
      </c>
    </row>
    <row r="160" spans="5:6" x14ac:dyDescent="0.2">
      <c r="E160" s="26">
        <v>42213</v>
      </c>
      <c r="F160">
        <v>0.50078915000000002</v>
      </c>
    </row>
    <row r="161" spans="5:6" x14ac:dyDescent="0.2">
      <c r="E161" s="26">
        <v>42212</v>
      </c>
      <c r="F161">
        <v>0.49836355999999998</v>
      </c>
    </row>
    <row r="162" spans="5:6" x14ac:dyDescent="0.2">
      <c r="E162" s="26">
        <v>42209</v>
      </c>
      <c r="F162">
        <v>0.47806061999999999</v>
      </c>
    </row>
    <row r="163" spans="5:6" x14ac:dyDescent="0.2">
      <c r="E163" s="26">
        <v>42208</v>
      </c>
      <c r="F163">
        <v>0.48346902000000003</v>
      </c>
    </row>
    <row r="164" spans="5:6" x14ac:dyDescent="0.2">
      <c r="E164" s="26">
        <v>42207</v>
      </c>
      <c r="F164">
        <v>0.46379726999999998</v>
      </c>
    </row>
    <row r="165" spans="5:6" x14ac:dyDescent="0.2">
      <c r="E165" s="26">
        <v>42206</v>
      </c>
      <c r="F165">
        <v>0.45450624000000001</v>
      </c>
    </row>
    <row r="166" spans="5:6" x14ac:dyDescent="0.2">
      <c r="E166" s="26">
        <v>42205</v>
      </c>
      <c r="F166">
        <v>0.43253349000000002</v>
      </c>
    </row>
    <row r="167" spans="5:6" x14ac:dyDescent="0.2">
      <c r="E167" s="26">
        <v>42202</v>
      </c>
      <c r="F167">
        <v>0.44583529999999999</v>
      </c>
    </row>
    <row r="168" spans="5:6" x14ac:dyDescent="0.2">
      <c r="E168" s="26">
        <v>42201</v>
      </c>
      <c r="F168">
        <v>0.43721469000000002</v>
      </c>
    </row>
    <row r="169" spans="5:6" x14ac:dyDescent="0.2">
      <c r="E169" s="26">
        <v>42200</v>
      </c>
      <c r="F169">
        <v>0.43686424000000001</v>
      </c>
    </row>
    <row r="170" spans="5:6" x14ac:dyDescent="0.2">
      <c r="E170" s="26">
        <v>42199</v>
      </c>
      <c r="F170">
        <v>0.39714528999999998</v>
      </c>
    </row>
    <row r="171" spans="5:6" x14ac:dyDescent="0.2">
      <c r="E171" s="26">
        <v>42198</v>
      </c>
      <c r="F171">
        <v>0.36916188</v>
      </c>
    </row>
    <row r="172" spans="5:6" x14ac:dyDescent="0.2">
      <c r="E172" s="26">
        <v>42195</v>
      </c>
      <c r="F172">
        <v>0.36671435000000002</v>
      </c>
    </row>
    <row r="173" spans="5:6" x14ac:dyDescent="0.2">
      <c r="E173" s="26">
        <v>42194</v>
      </c>
      <c r="F173">
        <v>0.43686424000000001</v>
      </c>
    </row>
    <row r="174" spans="5:6" x14ac:dyDescent="0.2">
      <c r="E174" s="26">
        <v>42193</v>
      </c>
      <c r="F174">
        <v>0.49109761000000002</v>
      </c>
    </row>
    <row r="175" spans="5:6" x14ac:dyDescent="0.2">
      <c r="E175" s="26">
        <v>42192</v>
      </c>
      <c r="F175">
        <v>0.50027485000000005</v>
      </c>
    </row>
    <row r="176" spans="5:6" x14ac:dyDescent="0.2">
      <c r="E176" s="26">
        <v>42191</v>
      </c>
      <c r="F176">
        <v>0.48204760000000002</v>
      </c>
    </row>
    <row r="177" spans="5:6" x14ac:dyDescent="0.2">
      <c r="E177" s="26">
        <v>42187</v>
      </c>
      <c r="F177">
        <v>0.41464839999999997</v>
      </c>
    </row>
    <row r="178" spans="5:6" x14ac:dyDescent="0.2">
      <c r="E178" s="26">
        <v>42186</v>
      </c>
      <c r="F178">
        <v>0.39231037000000002</v>
      </c>
    </row>
    <row r="179" spans="5:6" x14ac:dyDescent="0.2">
      <c r="E179" s="26">
        <v>42185</v>
      </c>
      <c r="F179">
        <v>0.4424227</v>
      </c>
    </row>
    <row r="180" spans="5:6" x14ac:dyDescent="0.2">
      <c r="E180" s="26">
        <v>42184</v>
      </c>
      <c r="F180">
        <v>0.43423267999999998</v>
      </c>
    </row>
    <row r="181" spans="5:6" x14ac:dyDescent="0.2">
      <c r="E181" s="26">
        <v>42181</v>
      </c>
      <c r="F181">
        <v>0.35438286000000002</v>
      </c>
    </row>
    <row r="182" spans="5:6" x14ac:dyDescent="0.2">
      <c r="E182" s="26">
        <v>42180</v>
      </c>
      <c r="F182">
        <v>0.41325156000000002</v>
      </c>
    </row>
    <row r="183" spans="5:6" x14ac:dyDescent="0.2">
      <c r="E183" s="26">
        <v>42179</v>
      </c>
      <c r="F183">
        <v>0.43110091</v>
      </c>
    </row>
    <row r="184" spans="5:6" x14ac:dyDescent="0.2">
      <c r="E184" s="26">
        <v>42178</v>
      </c>
      <c r="F184">
        <v>0.42691006999999997</v>
      </c>
    </row>
    <row r="185" spans="5:6" x14ac:dyDescent="0.2">
      <c r="E185" s="26">
        <v>42177</v>
      </c>
      <c r="F185">
        <v>0.45692780999999999</v>
      </c>
    </row>
    <row r="186" spans="5:6" x14ac:dyDescent="0.2">
      <c r="E186" s="26">
        <v>42174</v>
      </c>
      <c r="F186">
        <v>0.51637186999999996</v>
      </c>
    </row>
    <row r="187" spans="5:6" x14ac:dyDescent="0.2">
      <c r="E187" s="26">
        <v>42173</v>
      </c>
      <c r="F187">
        <v>0.48320742999999999</v>
      </c>
    </row>
    <row r="188" spans="5:6" x14ac:dyDescent="0.2">
      <c r="E188" s="26">
        <v>42172</v>
      </c>
      <c r="F188">
        <v>0.49291583999999999</v>
      </c>
    </row>
    <row r="189" spans="5:6" x14ac:dyDescent="0.2">
      <c r="E189" s="26">
        <v>42171</v>
      </c>
      <c r="F189">
        <v>0.49552404999999999</v>
      </c>
    </row>
    <row r="190" spans="5:6" x14ac:dyDescent="0.2">
      <c r="E190" s="26">
        <v>42170</v>
      </c>
      <c r="F190">
        <v>0.47166384</v>
      </c>
    </row>
    <row r="191" spans="5:6" x14ac:dyDescent="0.2">
      <c r="E191" s="26">
        <v>42167</v>
      </c>
      <c r="F191">
        <v>0.46608720999999997</v>
      </c>
    </row>
    <row r="192" spans="5:6" x14ac:dyDescent="0.2">
      <c r="E192" s="26">
        <v>42166</v>
      </c>
      <c r="F192">
        <v>0.47962304</v>
      </c>
    </row>
    <row r="193" spans="5:6" x14ac:dyDescent="0.2">
      <c r="E193" s="26">
        <v>42165</v>
      </c>
      <c r="F193">
        <v>0.40268363000000001</v>
      </c>
    </row>
    <row r="194" spans="5:6" x14ac:dyDescent="0.2">
      <c r="E194" s="26">
        <v>42164</v>
      </c>
      <c r="F194">
        <v>0.42406532000000002</v>
      </c>
    </row>
    <row r="195" spans="5:6" x14ac:dyDescent="0.2">
      <c r="E195" s="26">
        <v>42163</v>
      </c>
      <c r="F195">
        <v>0.45300783</v>
      </c>
    </row>
    <row r="196" spans="5:6" x14ac:dyDescent="0.2">
      <c r="E196" s="26">
        <v>42160</v>
      </c>
      <c r="F196">
        <v>0.43004924</v>
      </c>
    </row>
    <row r="197" spans="5:6" x14ac:dyDescent="0.2">
      <c r="E197" s="26">
        <v>42159</v>
      </c>
      <c r="F197">
        <v>0.49867202999999999</v>
      </c>
    </row>
    <row r="198" spans="5:6" x14ac:dyDescent="0.2">
      <c r="E198" s="26">
        <v>42158</v>
      </c>
      <c r="F198">
        <v>0.46091277000000003</v>
      </c>
    </row>
    <row r="199" spans="5:6" x14ac:dyDescent="0.2">
      <c r="E199" s="26">
        <v>42157</v>
      </c>
      <c r="F199">
        <v>0.50560183999999997</v>
      </c>
    </row>
    <row r="200" spans="5:6" x14ac:dyDescent="0.2">
      <c r="E200" s="26">
        <v>42156</v>
      </c>
      <c r="F200">
        <v>0.52927780000000002</v>
      </c>
    </row>
    <row r="201" spans="5:6" x14ac:dyDescent="0.2">
      <c r="E201" s="26">
        <v>42153</v>
      </c>
      <c r="F201">
        <v>0.57203724</v>
      </c>
    </row>
    <row r="202" spans="5:6" x14ac:dyDescent="0.2">
      <c r="E202" s="26">
        <v>42152</v>
      </c>
      <c r="F202">
        <v>0.56120232000000003</v>
      </c>
    </row>
    <row r="203" spans="5:6" x14ac:dyDescent="0.2">
      <c r="E203" s="26">
        <v>42151</v>
      </c>
      <c r="F203">
        <v>0.55839386999999996</v>
      </c>
    </row>
    <row r="204" spans="5:6" x14ac:dyDescent="0.2">
      <c r="E204" s="26">
        <v>42150</v>
      </c>
      <c r="F204">
        <v>0.57070580999999998</v>
      </c>
    </row>
    <row r="205" spans="5:6" x14ac:dyDescent="0.2">
      <c r="E205" s="26">
        <v>42146</v>
      </c>
      <c r="F205">
        <v>0.55246136000000001</v>
      </c>
    </row>
    <row r="206" spans="5:6" x14ac:dyDescent="0.2">
      <c r="E206" s="26">
        <v>42145</v>
      </c>
      <c r="F206">
        <v>0.56754351999999997</v>
      </c>
    </row>
    <row r="207" spans="5:6" x14ac:dyDescent="0.2">
      <c r="E207" s="26">
        <v>42144</v>
      </c>
      <c r="F207">
        <v>0.54219410999999995</v>
      </c>
    </row>
    <row r="208" spans="5:6" x14ac:dyDescent="0.2">
      <c r="E208" s="26">
        <v>42143</v>
      </c>
      <c r="F208">
        <v>0.54660865999999997</v>
      </c>
    </row>
    <row r="209" spans="5:6" x14ac:dyDescent="0.2">
      <c r="E209" s="26">
        <v>42142</v>
      </c>
      <c r="F209">
        <v>0.56506259999999997</v>
      </c>
    </row>
    <row r="210" spans="5:6" x14ac:dyDescent="0.2">
      <c r="E210" s="26">
        <v>42139</v>
      </c>
      <c r="F210">
        <v>0.58997149000000004</v>
      </c>
    </row>
    <row r="211" spans="5:6" x14ac:dyDescent="0.2">
      <c r="E211" s="26">
        <v>42138</v>
      </c>
      <c r="F211">
        <v>0.55462948999999995</v>
      </c>
    </row>
    <row r="212" spans="5:6" x14ac:dyDescent="0.2">
      <c r="E212" s="26">
        <v>42137</v>
      </c>
      <c r="F212">
        <v>0.53282945000000004</v>
      </c>
    </row>
    <row r="213" spans="5:6" x14ac:dyDescent="0.2">
      <c r="E213" s="26">
        <v>42136</v>
      </c>
      <c r="F213">
        <v>0.53697927999999995</v>
      </c>
    </row>
    <row r="214" spans="5:6" x14ac:dyDescent="0.2">
      <c r="E214" s="26">
        <v>42135</v>
      </c>
      <c r="F214">
        <v>0.54383247000000001</v>
      </c>
    </row>
    <row r="215" spans="5:6" x14ac:dyDescent="0.2">
      <c r="E215" s="26">
        <v>42132</v>
      </c>
      <c r="F215">
        <v>0.59227565999999998</v>
      </c>
    </row>
    <row r="216" spans="5:6" x14ac:dyDescent="0.2">
      <c r="E216" s="26">
        <v>42131</v>
      </c>
      <c r="F216">
        <v>0.57105379999999994</v>
      </c>
    </row>
    <row r="217" spans="5:6" x14ac:dyDescent="0.2">
      <c r="E217" s="26">
        <v>42130</v>
      </c>
      <c r="F217">
        <v>0.54383247000000001</v>
      </c>
    </row>
    <row r="218" spans="5:6" x14ac:dyDescent="0.2">
      <c r="E218" s="26">
        <v>42129</v>
      </c>
      <c r="F218">
        <v>0.54434817000000002</v>
      </c>
    </row>
    <row r="219" spans="5:6" x14ac:dyDescent="0.2">
      <c r="E219" s="26">
        <v>42128</v>
      </c>
      <c r="F219">
        <v>0.56343195999999995</v>
      </c>
    </row>
    <row r="220" spans="5:6" x14ac:dyDescent="0.2">
      <c r="E220" s="26">
        <v>42125</v>
      </c>
      <c r="F220">
        <v>0.57527417999999997</v>
      </c>
    </row>
    <row r="221" spans="5:6" x14ac:dyDescent="0.2">
      <c r="E221" s="26">
        <v>42124</v>
      </c>
      <c r="F221">
        <v>0.60856288999999997</v>
      </c>
    </row>
    <row r="222" spans="5:6" x14ac:dyDescent="0.2">
      <c r="E222" s="26">
        <v>42123</v>
      </c>
      <c r="F222">
        <v>0.60890275999999999</v>
      </c>
    </row>
    <row r="223" spans="5:6" x14ac:dyDescent="0.2">
      <c r="E223" s="26">
        <v>42122</v>
      </c>
      <c r="F223">
        <v>0.6113807</v>
      </c>
    </row>
    <row r="224" spans="5:6" x14ac:dyDescent="0.2">
      <c r="E224" s="26">
        <v>42121</v>
      </c>
      <c r="F224">
        <v>0.63426943000000002</v>
      </c>
    </row>
    <row r="225" spans="5:6" x14ac:dyDescent="0.2">
      <c r="E225" s="26">
        <v>42118</v>
      </c>
      <c r="F225">
        <v>0.63907605999999995</v>
      </c>
    </row>
    <row r="226" spans="5:6" x14ac:dyDescent="0.2">
      <c r="E226" s="26">
        <v>42117</v>
      </c>
      <c r="F226">
        <v>0.62872844000000006</v>
      </c>
    </row>
    <row r="227" spans="5:6" x14ac:dyDescent="0.2">
      <c r="E227" s="26">
        <v>42116</v>
      </c>
      <c r="F227">
        <v>0.61916736999999999</v>
      </c>
    </row>
    <row r="228" spans="5:6" x14ac:dyDescent="0.2">
      <c r="E228" s="26">
        <v>42115</v>
      </c>
      <c r="F228">
        <v>0.63233556000000002</v>
      </c>
    </row>
    <row r="229" spans="5:6" x14ac:dyDescent="0.2">
      <c r="E229" s="26">
        <v>42114</v>
      </c>
      <c r="F229">
        <v>0.64190619000000004</v>
      </c>
    </row>
    <row r="230" spans="5:6" x14ac:dyDescent="0.2">
      <c r="E230" s="26">
        <v>42111</v>
      </c>
      <c r="F230">
        <v>0.65890435000000003</v>
      </c>
    </row>
    <row r="231" spans="5:6" x14ac:dyDescent="0.2">
      <c r="E231" s="26">
        <v>42110</v>
      </c>
      <c r="F231">
        <v>0.65379001000000003</v>
      </c>
    </row>
    <row r="232" spans="5:6" x14ac:dyDescent="0.2">
      <c r="E232" s="26">
        <v>42109</v>
      </c>
      <c r="F232">
        <v>0.64826311000000003</v>
      </c>
    </row>
    <row r="233" spans="5:6" x14ac:dyDescent="0.2">
      <c r="E233" s="26">
        <v>42108</v>
      </c>
      <c r="F233">
        <v>0.66014222</v>
      </c>
    </row>
    <row r="234" spans="5:6" x14ac:dyDescent="0.2">
      <c r="E234" s="26">
        <v>42107</v>
      </c>
      <c r="F234">
        <v>0.63732171999999998</v>
      </c>
    </row>
    <row r="235" spans="5:6" x14ac:dyDescent="0.2">
      <c r="E235" s="26">
        <v>42104</v>
      </c>
      <c r="F235">
        <v>0.62711605000000004</v>
      </c>
    </row>
    <row r="236" spans="5:6" x14ac:dyDescent="0.2">
      <c r="E236" s="26">
        <v>42103</v>
      </c>
      <c r="F236">
        <v>0.63509870000000002</v>
      </c>
    </row>
    <row r="237" spans="5:6" x14ac:dyDescent="0.2">
      <c r="E237" s="26">
        <v>42102</v>
      </c>
      <c r="F237">
        <v>0.64690194999999995</v>
      </c>
    </row>
    <row r="238" spans="5:6" x14ac:dyDescent="0.2">
      <c r="E238" s="26">
        <v>42101</v>
      </c>
      <c r="F238">
        <v>0.64951369999999997</v>
      </c>
    </row>
    <row r="239" spans="5:6" x14ac:dyDescent="0.2">
      <c r="E239" s="26">
        <v>42100</v>
      </c>
      <c r="F239">
        <v>0.64741552000000002</v>
      </c>
    </row>
    <row r="240" spans="5:6" x14ac:dyDescent="0.2">
      <c r="E240" s="26">
        <v>42097</v>
      </c>
      <c r="F240">
        <v>0.67304171000000002</v>
      </c>
    </row>
    <row r="241" spans="5:6" x14ac:dyDescent="0.2">
      <c r="E241" s="26">
        <v>42096</v>
      </c>
      <c r="F241">
        <v>0.63871856000000005</v>
      </c>
    </row>
    <row r="242" spans="5:6" x14ac:dyDescent="0.2">
      <c r="E242" s="26">
        <v>42095</v>
      </c>
      <c r="F242">
        <v>0.66718633000000005</v>
      </c>
    </row>
    <row r="243" spans="5:6" x14ac:dyDescent="0.2">
      <c r="E243" s="26">
        <v>42094</v>
      </c>
      <c r="F243">
        <v>0.64278259999999998</v>
      </c>
    </row>
    <row r="244" spans="5:6" x14ac:dyDescent="0.2">
      <c r="E244" s="26">
        <v>42093</v>
      </c>
      <c r="F244">
        <v>0.62881770999999997</v>
      </c>
    </row>
    <row r="245" spans="5:6" x14ac:dyDescent="0.2">
      <c r="E245" s="26">
        <v>42090</v>
      </c>
      <c r="F245">
        <v>0.62801742999999999</v>
      </c>
    </row>
    <row r="246" spans="5:6" x14ac:dyDescent="0.2">
      <c r="E246" s="26">
        <v>42089</v>
      </c>
      <c r="F246">
        <v>0.60937196000000005</v>
      </c>
    </row>
    <row r="247" spans="5:6" x14ac:dyDescent="0.2">
      <c r="E247" s="26">
        <v>42088</v>
      </c>
      <c r="F247">
        <v>0.64140439000000005</v>
      </c>
    </row>
    <row r="248" spans="5:6" x14ac:dyDescent="0.2">
      <c r="E248" s="26">
        <v>42087</v>
      </c>
      <c r="F248">
        <v>0.69357480999999999</v>
      </c>
    </row>
    <row r="249" spans="5:6" x14ac:dyDescent="0.2">
      <c r="E249" s="26">
        <v>42086</v>
      </c>
      <c r="F249">
        <v>0.66015654000000001</v>
      </c>
    </row>
    <row r="250" spans="5:6" x14ac:dyDescent="0.2">
      <c r="E250" s="26">
        <v>42083</v>
      </c>
      <c r="F250">
        <v>0.65412296000000003</v>
      </c>
    </row>
    <row r="251" spans="5:6" x14ac:dyDescent="0.2">
      <c r="E251" s="26">
        <v>42082</v>
      </c>
      <c r="F251">
        <v>0.63880055000000002</v>
      </c>
    </row>
    <row r="252" spans="5:6" x14ac:dyDescent="0.2">
      <c r="E252" s="26">
        <v>42081</v>
      </c>
      <c r="F252">
        <v>0.64537546000000001</v>
      </c>
    </row>
    <row r="253" spans="5:6" x14ac:dyDescent="0.2">
      <c r="E253" s="26">
        <v>42080</v>
      </c>
      <c r="F253">
        <v>0.60466905000000004</v>
      </c>
    </row>
    <row r="254" spans="5:6" x14ac:dyDescent="0.2">
      <c r="E254" s="26">
        <v>42079</v>
      </c>
      <c r="F254">
        <v>0.59252170000000004</v>
      </c>
    </row>
    <row r="255" spans="5:6" x14ac:dyDescent="0.2">
      <c r="E255" s="26">
        <v>42076</v>
      </c>
      <c r="F255">
        <v>0.59032121000000004</v>
      </c>
    </row>
    <row r="256" spans="5:6" x14ac:dyDescent="0.2">
      <c r="E256" s="26">
        <v>42075</v>
      </c>
      <c r="F256">
        <v>0.59610173</v>
      </c>
    </row>
    <row r="257" spans="5:6" x14ac:dyDescent="0.2">
      <c r="E257" s="26">
        <v>42074</v>
      </c>
      <c r="F257">
        <v>0.59157618999999995</v>
      </c>
    </row>
    <row r="258" spans="5:6" x14ac:dyDescent="0.2">
      <c r="E258" s="26">
        <v>42073</v>
      </c>
      <c r="F258">
        <v>0.59759189999999995</v>
      </c>
    </row>
    <row r="259" spans="5:6" x14ac:dyDescent="0.2">
      <c r="E259" s="26">
        <v>42072</v>
      </c>
      <c r="F259">
        <v>0.5745268</v>
      </c>
    </row>
    <row r="260" spans="5:6" x14ac:dyDescent="0.2">
      <c r="E260" s="26">
        <v>42069</v>
      </c>
      <c r="F260">
        <v>0.5608168</v>
      </c>
    </row>
    <row r="261" spans="5:6" x14ac:dyDescent="0.2">
      <c r="E261" s="26">
        <v>42068</v>
      </c>
      <c r="F261">
        <v>0.61056266000000003</v>
      </c>
    </row>
    <row r="262" spans="5:6" x14ac:dyDescent="0.2">
      <c r="E262" s="26">
        <v>42067</v>
      </c>
      <c r="F262">
        <v>0.60724995999999998</v>
      </c>
    </row>
    <row r="263" spans="5:6" x14ac:dyDescent="0.2">
      <c r="E263" s="26">
        <v>42066</v>
      </c>
      <c r="F263">
        <v>0.58614091000000001</v>
      </c>
    </row>
    <row r="264" spans="5:6" x14ac:dyDescent="0.2">
      <c r="E264" s="26">
        <v>42065</v>
      </c>
      <c r="F264">
        <v>0.60068379999999999</v>
      </c>
    </row>
    <row r="265" spans="5:6" x14ac:dyDescent="0.2">
      <c r="E265" s="26">
        <v>42062</v>
      </c>
      <c r="F265">
        <v>0.62925392000000002</v>
      </c>
    </row>
    <row r="266" spans="5:6" x14ac:dyDescent="0.2">
      <c r="E266" s="26">
        <v>42061</v>
      </c>
      <c r="F266">
        <v>0.62146232000000001</v>
      </c>
    </row>
    <row r="267" spans="5:6" x14ac:dyDescent="0.2">
      <c r="E267" s="26">
        <v>42060</v>
      </c>
      <c r="F267">
        <v>0.63216313999999996</v>
      </c>
    </row>
    <row r="268" spans="5:6" x14ac:dyDescent="0.2">
      <c r="E268" s="26">
        <v>42059</v>
      </c>
      <c r="F268">
        <v>0.63591737999999998</v>
      </c>
    </row>
    <row r="269" spans="5:6" x14ac:dyDescent="0.2">
      <c r="E269" s="26">
        <v>42058</v>
      </c>
      <c r="F269">
        <v>0.61867640999999995</v>
      </c>
    </row>
    <row r="270" spans="5:6" x14ac:dyDescent="0.2">
      <c r="E270" s="26">
        <v>42055</v>
      </c>
      <c r="F270">
        <v>0.60118245999999997</v>
      </c>
    </row>
    <row r="271" spans="5:6" x14ac:dyDescent="0.2">
      <c r="E271" s="26">
        <v>42054</v>
      </c>
      <c r="F271">
        <v>0.60779223000000004</v>
      </c>
    </row>
    <row r="272" spans="5:6" x14ac:dyDescent="0.2">
      <c r="E272" s="26">
        <v>42053</v>
      </c>
      <c r="F272">
        <v>0.61774534000000003</v>
      </c>
    </row>
    <row r="273" spans="5:6" x14ac:dyDescent="0.2">
      <c r="E273" s="26">
        <v>42052</v>
      </c>
      <c r="F273">
        <v>0.57876243000000005</v>
      </c>
    </row>
    <row r="274" spans="5:6" x14ac:dyDescent="0.2">
      <c r="E274" s="26">
        <v>42048</v>
      </c>
      <c r="F274">
        <v>0.62768749999999995</v>
      </c>
    </row>
    <row r="275" spans="5:6" x14ac:dyDescent="0.2">
      <c r="E275" s="26">
        <v>42047</v>
      </c>
      <c r="F275">
        <v>0.63304419999999995</v>
      </c>
    </row>
    <row r="276" spans="5:6" x14ac:dyDescent="0.2">
      <c r="E276" s="26">
        <v>42046</v>
      </c>
      <c r="F276">
        <v>0.62854273999999999</v>
      </c>
    </row>
    <row r="277" spans="5:6" x14ac:dyDescent="0.2">
      <c r="E277" s="26">
        <v>42045</v>
      </c>
      <c r="F277">
        <v>0.58853548</v>
      </c>
    </row>
    <row r="278" spans="5:6" x14ac:dyDescent="0.2">
      <c r="E278" s="26">
        <v>42044</v>
      </c>
      <c r="F278">
        <v>0.61306892999999996</v>
      </c>
    </row>
    <row r="279" spans="5:6" x14ac:dyDescent="0.2">
      <c r="E279" s="26">
        <v>42041</v>
      </c>
      <c r="F279">
        <v>0.61649233999999997</v>
      </c>
    </row>
    <row r="280" spans="5:6" x14ac:dyDescent="0.2">
      <c r="E280" s="26">
        <v>42040</v>
      </c>
      <c r="F280">
        <v>0.65571170999999995</v>
      </c>
    </row>
    <row r="281" spans="5:6" x14ac:dyDescent="0.2">
      <c r="E281" s="26">
        <v>42039</v>
      </c>
      <c r="F281">
        <v>0.65356482999999999</v>
      </c>
    </row>
    <row r="282" spans="5:6" x14ac:dyDescent="0.2">
      <c r="E282" s="26">
        <v>42038</v>
      </c>
      <c r="F282">
        <v>0.67780158999999995</v>
      </c>
    </row>
    <row r="283" spans="5:6" x14ac:dyDescent="0.2">
      <c r="E283" s="26">
        <v>42037</v>
      </c>
      <c r="F283">
        <v>0.76793736999999995</v>
      </c>
    </row>
    <row r="284" spans="5:6" x14ac:dyDescent="0.2">
      <c r="E284" s="26">
        <v>42034</v>
      </c>
      <c r="F284">
        <v>0.76666900999999998</v>
      </c>
    </row>
    <row r="285" spans="5:6" x14ac:dyDescent="0.2">
      <c r="E285" s="26">
        <v>42033</v>
      </c>
      <c r="F285">
        <v>0.70072699999999999</v>
      </c>
    </row>
    <row r="286" spans="5:6" x14ac:dyDescent="0.2">
      <c r="E286" s="26">
        <v>42032</v>
      </c>
      <c r="F286">
        <v>0.70869574000000002</v>
      </c>
    </row>
    <row r="287" spans="5:6" x14ac:dyDescent="0.2">
      <c r="E287" s="26">
        <v>42031</v>
      </c>
      <c r="F287">
        <v>0.64752867000000003</v>
      </c>
    </row>
    <row r="288" spans="5:6" x14ac:dyDescent="0.2">
      <c r="E288" s="26">
        <v>42030</v>
      </c>
      <c r="F288">
        <v>0.64299956000000003</v>
      </c>
    </row>
    <row r="289" spans="5:6" x14ac:dyDescent="0.2">
      <c r="E289" s="26">
        <v>42027</v>
      </c>
      <c r="F289">
        <v>0.65375899999999998</v>
      </c>
    </row>
    <row r="290" spans="5:6" x14ac:dyDescent="0.2">
      <c r="E290" s="26">
        <v>42026</v>
      </c>
      <c r="F290">
        <v>0.63573738000000002</v>
      </c>
    </row>
    <row r="291" spans="5:6" x14ac:dyDescent="0.2">
      <c r="E291" s="26">
        <v>42025</v>
      </c>
      <c r="F291">
        <v>0.63813522</v>
      </c>
    </row>
    <row r="292" spans="5:6" x14ac:dyDescent="0.2">
      <c r="E292" s="26">
        <v>42024</v>
      </c>
      <c r="F292">
        <v>0.68268572999999999</v>
      </c>
    </row>
    <row r="293" spans="5:6" x14ac:dyDescent="0.2">
      <c r="E293" s="26">
        <v>42020</v>
      </c>
      <c r="F293">
        <v>0.69078755999999997</v>
      </c>
    </row>
    <row r="294" spans="5:6" x14ac:dyDescent="0.2">
      <c r="E294" s="26">
        <v>42019</v>
      </c>
      <c r="F294">
        <v>0.77820301999999997</v>
      </c>
    </row>
    <row r="295" spans="5:6" x14ac:dyDescent="0.2">
      <c r="E295" s="26">
        <v>42018</v>
      </c>
      <c r="F295">
        <v>0.75092638</v>
      </c>
    </row>
    <row r="296" spans="5:6" x14ac:dyDescent="0.2">
      <c r="E296" s="26">
        <v>42017</v>
      </c>
      <c r="F296">
        <v>0.67716757999999999</v>
      </c>
    </row>
    <row r="297" spans="5:6" x14ac:dyDescent="0.2">
      <c r="E297" s="26">
        <v>42016</v>
      </c>
      <c r="F297">
        <v>0.66995446999999997</v>
      </c>
    </row>
    <row r="298" spans="5:6" x14ac:dyDescent="0.2">
      <c r="E298" s="26">
        <v>42013</v>
      </c>
      <c r="F298">
        <v>0.64879244000000003</v>
      </c>
    </row>
    <row r="299" spans="5:6" x14ac:dyDescent="0.2">
      <c r="E299" s="26">
        <v>42012</v>
      </c>
      <c r="F299">
        <v>0.63669825000000002</v>
      </c>
    </row>
    <row r="300" spans="5:6" x14ac:dyDescent="0.2">
      <c r="E300" s="26">
        <v>42011</v>
      </c>
      <c r="F300">
        <v>0.65653189999999995</v>
      </c>
    </row>
    <row r="301" spans="5:6" x14ac:dyDescent="0.2">
      <c r="E301" s="26">
        <v>42010</v>
      </c>
      <c r="F301">
        <v>0.67838461999999999</v>
      </c>
    </row>
    <row r="302" spans="5:6" x14ac:dyDescent="0.2">
      <c r="E302" s="26">
        <v>42009</v>
      </c>
      <c r="F302">
        <v>0.64440816999999995</v>
      </c>
    </row>
    <row r="303" spans="5:6" x14ac:dyDescent="0.2">
      <c r="E303" s="26">
        <v>42006</v>
      </c>
      <c r="F303">
        <v>0.61630004999999999</v>
      </c>
    </row>
    <row r="304" spans="5:6" x14ac:dyDescent="0.2">
      <c r="E304" s="26">
        <v>42004</v>
      </c>
      <c r="F304">
        <v>0.60249396</v>
      </c>
    </row>
    <row r="305" spans="5:6" x14ac:dyDescent="0.2">
      <c r="E305" s="26">
        <v>42003</v>
      </c>
      <c r="F305">
        <v>0.60957428000000002</v>
      </c>
    </row>
    <row r="306" spans="5:6" x14ac:dyDescent="0.2">
      <c r="E306" s="26">
        <v>42002</v>
      </c>
      <c r="F306">
        <v>0.60730706999999995</v>
      </c>
    </row>
    <row r="307" spans="5:6" x14ac:dyDescent="0.2">
      <c r="E307" s="26">
        <v>41999</v>
      </c>
      <c r="F307">
        <v>0.59844739000000002</v>
      </c>
    </row>
    <row r="308" spans="5:6" x14ac:dyDescent="0.2">
      <c r="E308" s="26">
        <v>41997</v>
      </c>
      <c r="F308">
        <v>0.59024577</v>
      </c>
    </row>
    <row r="309" spans="5:6" x14ac:dyDescent="0.2">
      <c r="E309" s="26">
        <v>41996</v>
      </c>
      <c r="F309">
        <v>0.58426213999999999</v>
      </c>
    </row>
    <row r="310" spans="5:6" x14ac:dyDescent="0.2">
      <c r="E310" s="26">
        <v>41995</v>
      </c>
      <c r="F310">
        <v>0.61490803999999999</v>
      </c>
    </row>
    <row r="311" spans="5:6" x14ac:dyDescent="0.2">
      <c r="E311" s="26">
        <v>41992</v>
      </c>
      <c r="F311">
        <v>0.61106543000000002</v>
      </c>
    </row>
    <row r="312" spans="5:6" x14ac:dyDescent="0.2">
      <c r="E312" s="26">
        <v>41991</v>
      </c>
      <c r="F312">
        <v>0.60467766000000001</v>
      </c>
    </row>
    <row r="313" spans="5:6" x14ac:dyDescent="0.2">
      <c r="E313" s="26">
        <v>41990</v>
      </c>
      <c r="F313">
        <v>0.60999000999999997</v>
      </c>
    </row>
    <row r="314" spans="5:6" x14ac:dyDescent="0.2">
      <c r="E314" s="26">
        <v>41989</v>
      </c>
      <c r="F314">
        <v>0.61851102999999996</v>
      </c>
    </row>
    <row r="315" spans="5:6" x14ac:dyDescent="0.2">
      <c r="E315" s="26">
        <v>41988</v>
      </c>
      <c r="F315">
        <v>0.60500788999999999</v>
      </c>
    </row>
    <row r="316" spans="5:6" x14ac:dyDescent="0.2">
      <c r="E316" s="26">
        <v>41985</v>
      </c>
      <c r="F316">
        <v>0.61318455999999999</v>
      </c>
    </row>
    <row r="317" spans="5:6" x14ac:dyDescent="0.2">
      <c r="E317" s="26">
        <v>41984</v>
      </c>
      <c r="F317">
        <v>0.59234335000000005</v>
      </c>
    </row>
    <row r="318" spans="5:6" x14ac:dyDescent="0.2">
      <c r="E318" s="26">
        <v>41983</v>
      </c>
      <c r="F318">
        <v>0.59762468000000002</v>
      </c>
    </row>
    <row r="319" spans="5:6" x14ac:dyDescent="0.2">
      <c r="E319" s="26">
        <v>41982</v>
      </c>
      <c r="F319">
        <v>0.59463946999999995</v>
      </c>
    </row>
    <row r="320" spans="5:6" x14ac:dyDescent="0.2">
      <c r="E320" s="26">
        <v>41981</v>
      </c>
      <c r="F320">
        <v>0.58594712999999998</v>
      </c>
    </row>
    <row r="321" spans="5:7" x14ac:dyDescent="0.2">
      <c r="E321" s="26">
        <v>41978</v>
      </c>
      <c r="F321">
        <v>0.57239673000000002</v>
      </c>
    </row>
    <row r="322" spans="5:7" x14ac:dyDescent="0.2">
      <c r="E322" s="26">
        <v>41977</v>
      </c>
      <c r="F322">
        <v>0.58835028</v>
      </c>
    </row>
    <row r="323" spans="5:7" x14ac:dyDescent="0.2">
      <c r="E323" s="26">
        <v>41976</v>
      </c>
      <c r="F323">
        <v>0.57867104999999996</v>
      </c>
    </row>
    <row r="324" spans="5:7" x14ac:dyDescent="0.2">
      <c r="E324" s="26">
        <v>41975</v>
      </c>
      <c r="F324">
        <v>0.57114505000000004</v>
      </c>
    </row>
    <row r="325" spans="5:7" x14ac:dyDescent="0.2">
      <c r="E325" s="26">
        <v>41974</v>
      </c>
      <c r="F325">
        <v>0.59072795</v>
      </c>
    </row>
    <row r="326" spans="5:7" x14ac:dyDescent="0.2">
      <c r="E326" s="26">
        <v>41971</v>
      </c>
      <c r="F326">
        <v>0.60133714000000005</v>
      </c>
    </row>
    <row r="327" spans="5:7" x14ac:dyDescent="0.2">
      <c r="E327" s="26">
        <v>41969</v>
      </c>
      <c r="F327">
        <v>0.58658396999999995</v>
      </c>
    </row>
    <row r="328" spans="5:7" x14ac:dyDescent="0.2">
      <c r="E328" s="26">
        <v>41968</v>
      </c>
      <c r="F328">
        <v>0.59653157000000001</v>
      </c>
    </row>
    <row r="329" spans="5:7" x14ac:dyDescent="0.2">
      <c r="E329" s="26">
        <v>41967</v>
      </c>
      <c r="F329">
        <v>0.57921135000000001</v>
      </c>
    </row>
    <row r="330" spans="5:7" x14ac:dyDescent="0.2">
      <c r="E330" s="26">
        <v>41964</v>
      </c>
      <c r="F330">
        <v>0.57608892</v>
      </c>
    </row>
    <row r="331" spans="5:7" x14ac:dyDescent="0.2">
      <c r="E331" s="26">
        <v>41963</v>
      </c>
      <c r="F331" s="27">
        <v>0.57240922999999999</v>
      </c>
      <c r="G331" s="3"/>
    </row>
    <row r="332" spans="5:7" x14ac:dyDescent="0.2">
      <c r="E332" s="26">
        <v>41962</v>
      </c>
      <c r="F332" s="27">
        <v>0.56281760999999997</v>
      </c>
      <c r="G332" s="3"/>
    </row>
    <row r="333" spans="5:7" x14ac:dyDescent="0.2">
      <c r="E333" s="26">
        <v>41961</v>
      </c>
      <c r="F333" s="27">
        <v>0.57506597999999998</v>
      </c>
      <c r="G333" s="3"/>
    </row>
    <row r="334" spans="5:7" x14ac:dyDescent="0.2">
      <c r="E334" s="26">
        <v>41960</v>
      </c>
      <c r="F334" s="27">
        <v>0.57256868000000005</v>
      </c>
      <c r="G334" s="3"/>
    </row>
    <row r="335" spans="5:7" x14ac:dyDescent="0.2">
      <c r="E335" s="26">
        <v>41957</v>
      </c>
      <c r="F335" s="27">
        <v>0.57386685999999998</v>
      </c>
      <c r="G335" s="3"/>
    </row>
    <row r="336" spans="5:7" x14ac:dyDescent="0.2">
      <c r="E336" s="26">
        <v>41956</v>
      </c>
      <c r="F336" s="27">
        <v>0.55857886000000001</v>
      </c>
      <c r="G336" s="3"/>
    </row>
    <row r="337" spans="5:7" x14ac:dyDescent="0.2">
      <c r="E337" s="26">
        <v>41955</v>
      </c>
      <c r="F337" s="27">
        <v>0.55171208000000005</v>
      </c>
      <c r="G337" s="3"/>
    </row>
    <row r="338" spans="5:7" x14ac:dyDescent="0.2">
      <c r="E338" s="26">
        <v>41953</v>
      </c>
      <c r="F338" s="27">
        <v>0.54089107999999997</v>
      </c>
      <c r="G338" s="3"/>
    </row>
    <row r="339" spans="5:7" x14ac:dyDescent="0.2">
      <c r="E339" s="26">
        <v>41950</v>
      </c>
      <c r="F339" s="27">
        <v>0.56332722000000002</v>
      </c>
      <c r="G339" s="3"/>
    </row>
    <row r="340" spans="5:7" x14ac:dyDescent="0.2">
      <c r="E340" s="26">
        <v>41949</v>
      </c>
      <c r="F340" s="27">
        <v>0.52681778999999995</v>
      </c>
      <c r="G340" s="3"/>
    </row>
    <row r="341" spans="5:7" x14ac:dyDescent="0.2">
      <c r="E341" s="26">
        <v>41948</v>
      </c>
      <c r="F341" s="27">
        <v>0.53403869000000004</v>
      </c>
      <c r="G341" s="3"/>
    </row>
    <row r="342" spans="5:7" x14ac:dyDescent="0.2">
      <c r="E342" s="26">
        <v>41947</v>
      </c>
      <c r="F342" s="27">
        <v>0.52073263000000003</v>
      </c>
      <c r="G342" s="3"/>
    </row>
    <row r="343" spans="5:7" x14ac:dyDescent="0.2">
      <c r="E343" s="26">
        <v>41946</v>
      </c>
      <c r="F343" s="27">
        <v>0.51669485000000004</v>
      </c>
      <c r="G343" s="3"/>
    </row>
    <row r="344" spans="5:7" x14ac:dyDescent="0.2">
      <c r="E344" s="26">
        <v>41943</v>
      </c>
      <c r="F344" s="27">
        <v>0.55191319999999999</v>
      </c>
      <c r="G344" s="3"/>
    </row>
    <row r="345" spans="5:7" x14ac:dyDescent="0.2">
      <c r="E345" s="26">
        <v>41942</v>
      </c>
      <c r="F345" s="27">
        <v>0.56428913000000003</v>
      </c>
      <c r="G345" s="3"/>
    </row>
    <row r="346" spans="5:7" x14ac:dyDescent="0.2">
      <c r="E346" s="26">
        <v>41941</v>
      </c>
      <c r="F346" s="27">
        <v>0.55231045999999995</v>
      </c>
      <c r="G346" s="3"/>
    </row>
    <row r="347" spans="5:7" x14ac:dyDescent="0.2">
      <c r="E347" s="26">
        <v>41940</v>
      </c>
      <c r="F347" s="27">
        <v>0.56621257999999997</v>
      </c>
      <c r="G347" s="3"/>
    </row>
    <row r="348" spans="5:7" x14ac:dyDescent="0.2">
      <c r="E348" s="26">
        <v>41939</v>
      </c>
      <c r="F348" s="27">
        <v>0.57517284000000002</v>
      </c>
      <c r="G348" s="3"/>
    </row>
    <row r="349" spans="5:7" x14ac:dyDescent="0.2">
      <c r="E349" s="26">
        <v>41936</v>
      </c>
      <c r="F349" s="27">
        <v>0.56916891000000003</v>
      </c>
      <c r="G349" s="3"/>
    </row>
    <row r="350" spans="5:7" x14ac:dyDescent="0.2">
      <c r="E350" s="26">
        <v>41935</v>
      </c>
      <c r="F350" s="27">
        <v>0.57350184999999998</v>
      </c>
      <c r="G350" s="3"/>
    </row>
    <row r="351" spans="5:7" x14ac:dyDescent="0.2">
      <c r="E351" s="26">
        <v>41934</v>
      </c>
      <c r="F351" s="27">
        <v>0.58371083000000001</v>
      </c>
      <c r="G351" s="3"/>
    </row>
    <row r="352" spans="5:7" x14ac:dyDescent="0.2">
      <c r="E352" s="26">
        <v>41933</v>
      </c>
      <c r="F352" s="27">
        <v>0.58248991000000006</v>
      </c>
      <c r="G352" s="3"/>
    </row>
    <row r="353" spans="5:7" x14ac:dyDescent="0.2">
      <c r="E353" s="26">
        <v>41932</v>
      </c>
      <c r="F353" s="27">
        <v>0.58745733</v>
      </c>
      <c r="G353" s="3"/>
    </row>
    <row r="354" spans="5:7" x14ac:dyDescent="0.2">
      <c r="E354" s="26">
        <v>41929</v>
      </c>
      <c r="F354" s="27">
        <v>0.5809723</v>
      </c>
      <c r="G354" s="3"/>
    </row>
    <row r="355" spans="5:7" x14ac:dyDescent="0.2">
      <c r="E355" s="26">
        <v>41928</v>
      </c>
      <c r="F355" s="27">
        <v>0.58581174999999996</v>
      </c>
      <c r="G355" s="3"/>
    </row>
    <row r="356" spans="5:7" x14ac:dyDescent="0.2">
      <c r="E356" s="26">
        <v>41927</v>
      </c>
      <c r="F356" s="27">
        <v>0.61046866</v>
      </c>
      <c r="G356" s="3"/>
    </row>
    <row r="357" spans="5:7" x14ac:dyDescent="0.2">
      <c r="E357" s="26">
        <v>41926</v>
      </c>
      <c r="F357" s="27">
        <v>0.58185359999999997</v>
      </c>
      <c r="G357" s="3"/>
    </row>
    <row r="358" spans="5:7" x14ac:dyDescent="0.2">
      <c r="E358" s="26">
        <v>41922</v>
      </c>
      <c r="F358" s="27">
        <v>0.54040732000000002</v>
      </c>
      <c r="G358" s="3"/>
    </row>
    <row r="359" spans="5:7" x14ac:dyDescent="0.2">
      <c r="E359" s="26">
        <v>41921</v>
      </c>
      <c r="F359" s="27">
        <v>0.53786215000000004</v>
      </c>
      <c r="G359" s="3"/>
    </row>
    <row r="360" spans="5:7" x14ac:dyDescent="0.2">
      <c r="E360" s="26">
        <v>41920</v>
      </c>
      <c r="F360" s="27">
        <v>0.53950783999999996</v>
      </c>
      <c r="G360" s="3"/>
    </row>
    <row r="361" spans="5:7" x14ac:dyDescent="0.2">
      <c r="E361" s="26">
        <v>41919</v>
      </c>
      <c r="F361" s="27">
        <v>0.53872109999999995</v>
      </c>
      <c r="G361" s="3"/>
    </row>
    <row r="362" spans="5:7" x14ac:dyDescent="0.2">
      <c r="E362" s="26">
        <v>41918</v>
      </c>
      <c r="F362" s="27">
        <v>0.48395365000000001</v>
      </c>
      <c r="G362" s="3"/>
    </row>
    <row r="363" spans="5:7" x14ac:dyDescent="0.2">
      <c r="E363" s="26">
        <v>41915</v>
      </c>
      <c r="F363" s="27">
        <v>0.47165448999999998</v>
      </c>
      <c r="G363" s="3"/>
    </row>
    <row r="364" spans="5:7" x14ac:dyDescent="0.2">
      <c r="E364" s="26">
        <v>41914</v>
      </c>
      <c r="F364" s="27">
        <v>0.47555366999999998</v>
      </c>
      <c r="G364" s="3"/>
    </row>
    <row r="365" spans="5:7" x14ac:dyDescent="0.2">
      <c r="E365" s="26">
        <v>41913</v>
      </c>
      <c r="F365" s="27">
        <v>0.48681100999999999</v>
      </c>
      <c r="G365" s="3"/>
    </row>
    <row r="366" spans="5:7" x14ac:dyDescent="0.2">
      <c r="E366" s="26">
        <v>41912</v>
      </c>
      <c r="F366" s="27">
        <v>0.44080891</v>
      </c>
      <c r="G366" s="3"/>
    </row>
    <row r="367" spans="5:7" x14ac:dyDescent="0.2">
      <c r="E367" s="26">
        <v>41911</v>
      </c>
      <c r="F367" s="27">
        <v>0.45435885999999998</v>
      </c>
      <c r="G367" s="3"/>
    </row>
    <row r="368" spans="5:7" x14ac:dyDescent="0.2">
      <c r="E368" s="26">
        <v>41908</v>
      </c>
      <c r="F368" s="27">
        <v>0.43658808999999998</v>
      </c>
      <c r="G368" s="3"/>
    </row>
    <row r="369" spans="5:7" x14ac:dyDescent="0.2">
      <c r="E369" s="26">
        <v>41907</v>
      </c>
      <c r="F369" s="27">
        <v>0.45034148000000002</v>
      </c>
      <c r="G369" s="3"/>
    </row>
    <row r="370" spans="5:7" x14ac:dyDescent="0.2">
      <c r="E370" s="26">
        <v>41906</v>
      </c>
      <c r="F370" s="27">
        <v>0.41973912000000002</v>
      </c>
      <c r="G370" s="3"/>
    </row>
    <row r="371" spans="5:7" x14ac:dyDescent="0.2">
      <c r="E371" s="26">
        <v>41905</v>
      </c>
      <c r="F371" s="27">
        <v>0.43566015000000002</v>
      </c>
      <c r="G371" s="3"/>
    </row>
    <row r="372" spans="5:7" x14ac:dyDescent="0.2">
      <c r="E372" s="26">
        <v>41904</v>
      </c>
      <c r="F372" s="27">
        <v>0.41911308000000003</v>
      </c>
      <c r="G372" s="3"/>
    </row>
    <row r="373" spans="5:7" x14ac:dyDescent="0.2">
      <c r="E373" s="26">
        <v>41901</v>
      </c>
      <c r="F373" s="27">
        <v>0.40994187999999998</v>
      </c>
      <c r="G373" s="3"/>
    </row>
    <row r="374" spans="5:7" x14ac:dyDescent="0.2">
      <c r="E374" s="26">
        <v>41900</v>
      </c>
      <c r="F374" s="27">
        <v>0.38833265</v>
      </c>
      <c r="G374" s="3"/>
    </row>
    <row r="375" spans="5:7" x14ac:dyDescent="0.2">
      <c r="E375" s="26">
        <v>41899</v>
      </c>
      <c r="F375" s="27">
        <v>0.39334992000000002</v>
      </c>
      <c r="G375" s="3"/>
    </row>
    <row r="376" spans="5:7" x14ac:dyDescent="0.2">
      <c r="E376" s="26">
        <v>41898</v>
      </c>
      <c r="F376" s="27">
        <v>0.40479328999999997</v>
      </c>
      <c r="G376" s="3"/>
    </row>
    <row r="377" spans="5:7" x14ac:dyDescent="0.2">
      <c r="E377" s="26">
        <v>41897</v>
      </c>
      <c r="F377" s="27">
        <v>0.40726297</v>
      </c>
      <c r="G377" s="3"/>
    </row>
    <row r="378" spans="5:7" x14ac:dyDescent="0.2">
      <c r="E378" s="26">
        <v>41894</v>
      </c>
      <c r="F378" s="27">
        <v>0.39612236000000001</v>
      </c>
      <c r="G378" s="3"/>
    </row>
    <row r="379" spans="5:7" x14ac:dyDescent="0.2">
      <c r="E379" s="26">
        <v>41893</v>
      </c>
      <c r="F379" s="27">
        <v>0.43119647999999999</v>
      </c>
      <c r="G379" s="3"/>
    </row>
    <row r="380" spans="5:7" x14ac:dyDescent="0.2">
      <c r="E380" s="26">
        <v>41892</v>
      </c>
      <c r="F380" s="27">
        <v>0.43049915999999999</v>
      </c>
      <c r="G380" s="3"/>
    </row>
    <row r="381" spans="5:7" x14ac:dyDescent="0.2">
      <c r="E381" s="26">
        <v>41891</v>
      </c>
      <c r="F381" s="27">
        <v>0.4137323</v>
      </c>
      <c r="G381" s="3"/>
    </row>
    <row r="382" spans="5:7" x14ac:dyDescent="0.2">
      <c r="E382" s="26">
        <v>41890</v>
      </c>
      <c r="F382" s="27">
        <v>0.43049915999999999</v>
      </c>
      <c r="G382" s="3"/>
    </row>
    <row r="383" spans="5:7" x14ac:dyDescent="0.2">
      <c r="E383" s="26">
        <v>41887</v>
      </c>
      <c r="F383" s="27">
        <v>0.43695918</v>
      </c>
      <c r="G383" s="3"/>
    </row>
    <row r="384" spans="5:7" x14ac:dyDescent="0.2">
      <c r="E384" s="26">
        <v>41886</v>
      </c>
      <c r="F384" s="27">
        <v>0.44790039999999998</v>
      </c>
      <c r="G384" s="3"/>
    </row>
    <row r="385" spans="5:7" x14ac:dyDescent="0.2">
      <c r="E385" s="26">
        <v>41885</v>
      </c>
      <c r="F385" s="27">
        <v>0.47231786999999997</v>
      </c>
      <c r="G385" s="3"/>
    </row>
    <row r="386" spans="5:7" x14ac:dyDescent="0.2">
      <c r="E386" s="26">
        <v>41884</v>
      </c>
      <c r="F386" s="27">
        <v>0.48863521999999998</v>
      </c>
      <c r="G386" s="3"/>
    </row>
    <row r="387" spans="5:7" x14ac:dyDescent="0.2">
      <c r="E387" s="26">
        <v>41880</v>
      </c>
      <c r="F387" s="27">
        <v>0.53590711999999996</v>
      </c>
      <c r="G387" s="3"/>
    </row>
    <row r="388" spans="5:7" x14ac:dyDescent="0.2">
      <c r="E388" s="26">
        <v>41879</v>
      </c>
      <c r="F388" s="27">
        <v>0.53780130000000004</v>
      </c>
      <c r="G388" s="3"/>
    </row>
    <row r="389" spans="5:7" x14ac:dyDescent="0.2">
      <c r="E389" s="26">
        <v>41878</v>
      </c>
      <c r="F389" s="27">
        <v>0.51857653999999997</v>
      </c>
      <c r="G389" s="3"/>
    </row>
    <row r="390" spans="5:7" x14ac:dyDescent="0.2">
      <c r="E390" s="26">
        <v>41877</v>
      </c>
      <c r="F390" s="27">
        <v>0.50171093</v>
      </c>
      <c r="G390" s="3"/>
    </row>
    <row r="391" spans="5:7" x14ac:dyDescent="0.2">
      <c r="E391" s="26">
        <v>41876</v>
      </c>
      <c r="F391" s="27">
        <v>0.49504305999999998</v>
      </c>
      <c r="G391" s="3"/>
    </row>
    <row r="392" spans="5:7" x14ac:dyDescent="0.2">
      <c r="E392" s="26">
        <v>41873</v>
      </c>
      <c r="F392" s="27">
        <v>0.48718482000000002</v>
      </c>
      <c r="G392" s="3"/>
    </row>
    <row r="393" spans="5:7" x14ac:dyDescent="0.2">
      <c r="E393" s="26">
        <v>41872</v>
      </c>
      <c r="F393" s="27">
        <v>0.48298119</v>
      </c>
      <c r="G393" s="3"/>
    </row>
    <row r="394" spans="5:7" x14ac:dyDescent="0.2">
      <c r="E394" s="26">
        <v>41871</v>
      </c>
      <c r="F394" s="27">
        <v>0.46301792000000003</v>
      </c>
      <c r="G394" s="3"/>
    </row>
    <row r="395" spans="5:7" x14ac:dyDescent="0.2">
      <c r="E395" s="26">
        <v>41870</v>
      </c>
      <c r="F395" s="27">
        <v>0.46856598999999999</v>
      </c>
      <c r="G395" s="3"/>
    </row>
    <row r="396" spans="5:7" x14ac:dyDescent="0.2">
      <c r="E396" s="26">
        <v>41869</v>
      </c>
      <c r="F396" s="27">
        <v>0.48660392000000002</v>
      </c>
      <c r="G396" s="3"/>
    </row>
    <row r="397" spans="5:7" x14ac:dyDescent="0.2">
      <c r="E397" s="26">
        <v>41866</v>
      </c>
      <c r="F397" s="27">
        <v>0.52088334000000003</v>
      </c>
      <c r="G397" s="3"/>
    </row>
    <row r="398" spans="5:7" x14ac:dyDescent="0.2">
      <c r="E398" s="26">
        <v>41865</v>
      </c>
      <c r="F398" s="27">
        <v>0.48660392000000002</v>
      </c>
      <c r="G398" s="3"/>
    </row>
    <row r="399" spans="5:7" x14ac:dyDescent="0.2">
      <c r="E399" s="26">
        <v>41864</v>
      </c>
      <c r="F399" s="27">
        <v>0.47060174999999999</v>
      </c>
      <c r="G399" s="3"/>
    </row>
    <row r="400" spans="5:7" x14ac:dyDescent="0.2">
      <c r="E400" s="26">
        <v>41863</v>
      </c>
      <c r="F400" s="27">
        <v>0.44966915000000002</v>
      </c>
      <c r="G400" s="3"/>
    </row>
    <row r="401" spans="5:7" x14ac:dyDescent="0.2">
      <c r="E401" s="26">
        <v>41862</v>
      </c>
      <c r="F401" s="27">
        <v>0.45912554999999999</v>
      </c>
      <c r="G401" s="3"/>
    </row>
    <row r="402" spans="5:7" x14ac:dyDescent="0.2">
      <c r="E402" s="26">
        <v>41859</v>
      </c>
      <c r="F402" s="27">
        <v>0.46856598999999999</v>
      </c>
      <c r="G402" s="3"/>
    </row>
    <row r="403" spans="5:7" x14ac:dyDescent="0.2">
      <c r="E403" s="26">
        <v>41858</v>
      </c>
      <c r="F403" s="27">
        <v>0.46029262999999998</v>
      </c>
      <c r="G403" s="3"/>
    </row>
    <row r="404" spans="5:7" x14ac:dyDescent="0.2">
      <c r="E404" s="26">
        <v>41857</v>
      </c>
      <c r="F404" s="27">
        <v>0.43155733000000002</v>
      </c>
      <c r="G404" s="3"/>
    </row>
    <row r="405" spans="5:7" x14ac:dyDescent="0.2">
      <c r="E405" s="26">
        <v>41856</v>
      </c>
      <c r="F405" s="27">
        <v>0.45575253999999998</v>
      </c>
      <c r="G405" s="3"/>
    </row>
    <row r="406" spans="5:7" x14ac:dyDescent="0.2">
      <c r="E406" s="26">
        <v>41855</v>
      </c>
      <c r="F406" s="27">
        <v>0.45464160999999997</v>
      </c>
      <c r="G406" s="3"/>
    </row>
    <row r="407" spans="5:7" x14ac:dyDescent="0.2">
      <c r="E407" s="26">
        <v>41852</v>
      </c>
      <c r="F407" s="27">
        <v>0.44509471</v>
      </c>
      <c r="G407" s="3"/>
    </row>
    <row r="408" spans="5:7" x14ac:dyDescent="0.2">
      <c r="E408" s="26">
        <v>41851</v>
      </c>
      <c r="F408" s="27">
        <v>0.41925241000000002</v>
      </c>
      <c r="G408" s="3"/>
    </row>
    <row r="409" spans="5:7" x14ac:dyDescent="0.2">
      <c r="E409" s="26">
        <v>41850</v>
      </c>
      <c r="F409" s="27">
        <v>0.42414057999999999</v>
      </c>
      <c r="G409" s="3"/>
    </row>
    <row r="410" spans="5:7" x14ac:dyDescent="0.2">
      <c r="E410" s="26">
        <v>41849</v>
      </c>
      <c r="F410" s="27">
        <v>0.44959285999999998</v>
      </c>
      <c r="G410" s="3"/>
    </row>
    <row r="411" spans="5:7" x14ac:dyDescent="0.2">
      <c r="E411" s="26">
        <v>41848</v>
      </c>
      <c r="F411" s="27">
        <v>0.43261189</v>
      </c>
      <c r="G411" s="3"/>
    </row>
    <row r="412" spans="5:7" x14ac:dyDescent="0.2">
      <c r="E412" s="26">
        <v>41845</v>
      </c>
      <c r="F412" s="27">
        <v>0.44317708</v>
      </c>
      <c r="G412" s="3"/>
    </row>
    <row r="413" spans="5:7" x14ac:dyDescent="0.2">
      <c r="E413" s="26">
        <v>41844</v>
      </c>
      <c r="F413" s="27">
        <v>0.41588460999999999</v>
      </c>
      <c r="G413" s="3"/>
    </row>
    <row r="414" spans="5:7" x14ac:dyDescent="0.2">
      <c r="E414" s="26">
        <v>41843</v>
      </c>
      <c r="F414" s="27">
        <v>0.44795372</v>
      </c>
      <c r="G414" s="3"/>
    </row>
    <row r="415" spans="5:7" x14ac:dyDescent="0.2">
      <c r="E415" s="26">
        <v>41842</v>
      </c>
      <c r="F415" s="27">
        <v>0.48811768</v>
      </c>
      <c r="G415" s="3"/>
    </row>
    <row r="416" spans="5:7" x14ac:dyDescent="0.2">
      <c r="E416" s="26">
        <v>41841</v>
      </c>
      <c r="F416" s="27">
        <v>0.48273333000000002</v>
      </c>
      <c r="G416" s="3"/>
    </row>
    <row r="417" spans="5:7" x14ac:dyDescent="0.2">
      <c r="E417" s="26">
        <v>41838</v>
      </c>
      <c r="F417" s="27">
        <v>0.47910324999999998</v>
      </c>
      <c r="G417" s="3"/>
    </row>
    <row r="418" spans="5:7" x14ac:dyDescent="0.2">
      <c r="E418" s="26">
        <v>41837</v>
      </c>
      <c r="F418" s="27">
        <v>0.47910324999999998</v>
      </c>
      <c r="G418" s="3"/>
    </row>
    <row r="419" spans="5:7" x14ac:dyDescent="0.2">
      <c r="E419" s="26">
        <v>41836</v>
      </c>
      <c r="F419" s="27">
        <v>0.43663878</v>
      </c>
      <c r="G419" s="3"/>
    </row>
    <row r="420" spans="5:7" x14ac:dyDescent="0.2">
      <c r="E420" s="26">
        <v>41835</v>
      </c>
      <c r="F420" s="27">
        <v>0.43107715000000002</v>
      </c>
      <c r="G420" s="3"/>
    </row>
    <row r="421" spans="5:7" x14ac:dyDescent="0.2">
      <c r="E421" s="26">
        <v>41834</v>
      </c>
      <c r="F421" s="27">
        <v>0.43683656999999998</v>
      </c>
      <c r="G421" s="3"/>
    </row>
    <row r="422" spans="5:7" x14ac:dyDescent="0.2">
      <c r="E422" s="26">
        <v>41831</v>
      </c>
      <c r="F422" s="27">
        <v>0.46728881999999999</v>
      </c>
      <c r="G422" s="3"/>
    </row>
    <row r="423" spans="5:7" x14ac:dyDescent="0.2">
      <c r="E423" s="26">
        <v>41830</v>
      </c>
      <c r="F423" s="27">
        <v>0.45347109000000002</v>
      </c>
      <c r="G423" s="3"/>
    </row>
    <row r="424" spans="5:7" x14ac:dyDescent="0.2">
      <c r="E424" s="26">
        <v>41829</v>
      </c>
      <c r="F424" s="27">
        <v>0.44063657000000001</v>
      </c>
      <c r="G424" s="3"/>
    </row>
    <row r="425" spans="5:7" x14ac:dyDescent="0.2">
      <c r="E425" s="26">
        <v>41828</v>
      </c>
      <c r="F425" s="27">
        <v>0.44795372</v>
      </c>
      <c r="G425" s="3"/>
    </row>
    <row r="426" spans="5:7" x14ac:dyDescent="0.2">
      <c r="E426" s="26">
        <v>41827</v>
      </c>
      <c r="F426" s="27">
        <v>0.42606885999999999</v>
      </c>
      <c r="G426" s="3"/>
    </row>
    <row r="427" spans="5:7" x14ac:dyDescent="0.2">
      <c r="E427" s="26">
        <v>41823</v>
      </c>
      <c r="F427" s="27">
        <v>0.41770215999999999</v>
      </c>
      <c r="G427" s="3"/>
    </row>
    <row r="428" spans="5:7" x14ac:dyDescent="0.2">
      <c r="E428" s="26">
        <v>41822</v>
      </c>
      <c r="F428" s="27">
        <v>0.43030836</v>
      </c>
      <c r="G428" s="3"/>
    </row>
    <row r="429" spans="5:7" x14ac:dyDescent="0.2">
      <c r="E429" s="26">
        <v>41821</v>
      </c>
      <c r="F429" s="27">
        <v>0.47824238000000002</v>
      </c>
      <c r="G429" s="3"/>
    </row>
    <row r="430" spans="5:7" x14ac:dyDescent="0.2">
      <c r="E430" s="26">
        <v>41820</v>
      </c>
      <c r="F430" s="27">
        <v>0.51776922999999997</v>
      </c>
      <c r="G430" s="3"/>
    </row>
    <row r="431" spans="5:7" x14ac:dyDescent="0.2">
      <c r="E431" s="26">
        <v>41817</v>
      </c>
      <c r="F431" s="27">
        <v>0.50844522999999997</v>
      </c>
      <c r="G431" s="3"/>
    </row>
    <row r="432" spans="5:7" x14ac:dyDescent="0.2">
      <c r="E432" s="26">
        <v>41816</v>
      </c>
      <c r="F432" s="27">
        <v>0.51066940999999999</v>
      </c>
      <c r="G432" s="3"/>
    </row>
    <row r="433" spans="5:7" x14ac:dyDescent="0.2">
      <c r="E433" s="26">
        <v>41815</v>
      </c>
      <c r="F433" s="27">
        <v>0.49225047999999999</v>
      </c>
      <c r="G433" s="3"/>
    </row>
    <row r="434" spans="5:7" x14ac:dyDescent="0.2">
      <c r="E434" s="26">
        <v>41814</v>
      </c>
      <c r="F434" s="27">
        <v>0.45198268000000003</v>
      </c>
      <c r="G434" s="3"/>
    </row>
    <row r="435" spans="5:7" x14ac:dyDescent="0.2">
      <c r="E435" s="26">
        <v>41813</v>
      </c>
      <c r="F435" s="27">
        <v>0.43452885000000002</v>
      </c>
      <c r="G435" s="3"/>
    </row>
    <row r="436" spans="5:7" x14ac:dyDescent="0.2">
      <c r="E436" s="26">
        <v>41810</v>
      </c>
      <c r="F436" s="27">
        <v>0.43655733000000002</v>
      </c>
      <c r="G436" s="3"/>
    </row>
    <row r="437" spans="5:7" x14ac:dyDescent="0.2">
      <c r="E437" s="26">
        <v>41809</v>
      </c>
      <c r="F437" s="27">
        <v>0.43522570999999999</v>
      </c>
      <c r="G437" s="3"/>
    </row>
    <row r="438" spans="5:7" x14ac:dyDescent="0.2">
      <c r="E438" s="26">
        <v>41808</v>
      </c>
      <c r="F438" s="27">
        <v>0.42635938000000001</v>
      </c>
      <c r="G438" s="3"/>
    </row>
    <row r="439" spans="5:7" x14ac:dyDescent="0.2">
      <c r="E439" s="26">
        <v>41807</v>
      </c>
      <c r="F439" s="27">
        <v>0.39932106000000001</v>
      </c>
      <c r="G439" s="3"/>
    </row>
    <row r="440" spans="5:7" x14ac:dyDescent="0.2">
      <c r="E440" s="26">
        <v>41806</v>
      </c>
      <c r="F440" s="27">
        <v>0.42322926999999999</v>
      </c>
      <c r="G440" s="3"/>
    </row>
    <row r="441" spans="5:7" x14ac:dyDescent="0.2">
      <c r="E441" s="26">
        <v>41803</v>
      </c>
      <c r="F441" s="27">
        <v>0.41768483000000001</v>
      </c>
      <c r="G441" s="3"/>
    </row>
    <row r="442" spans="5:7" x14ac:dyDescent="0.2">
      <c r="E442" s="26">
        <v>41802</v>
      </c>
      <c r="F442" s="27">
        <v>0.42476902</v>
      </c>
      <c r="G442" s="3"/>
    </row>
    <row r="443" spans="5:7" x14ac:dyDescent="0.2">
      <c r="E443" s="26">
        <v>41801</v>
      </c>
      <c r="F443" s="27">
        <v>0.40406526999999998</v>
      </c>
      <c r="G443" s="3"/>
    </row>
    <row r="444" spans="5:7" x14ac:dyDescent="0.2">
      <c r="E444" s="26">
        <v>41800</v>
      </c>
      <c r="F444" s="27">
        <v>0.41014107999999999</v>
      </c>
      <c r="G444" s="3"/>
    </row>
    <row r="445" spans="5:7" x14ac:dyDescent="0.2">
      <c r="E445" s="26">
        <v>41799</v>
      </c>
      <c r="F445" s="27">
        <v>0.42031565999999998</v>
      </c>
      <c r="G445" s="3"/>
    </row>
    <row r="446" spans="5:7" x14ac:dyDescent="0.2">
      <c r="E446" s="26">
        <v>41796</v>
      </c>
      <c r="F446" s="27">
        <v>0.42843293999999998</v>
      </c>
      <c r="G446" s="3"/>
    </row>
    <row r="447" spans="5:7" x14ac:dyDescent="0.2">
      <c r="E447" s="26">
        <v>41795</v>
      </c>
      <c r="F447" s="27">
        <v>0.43452885000000002</v>
      </c>
      <c r="G447" s="3"/>
    </row>
    <row r="448" spans="5:7" x14ac:dyDescent="0.2">
      <c r="E448" s="26">
        <v>41794</v>
      </c>
      <c r="F448" s="27">
        <v>0.42071955</v>
      </c>
      <c r="G448" s="3"/>
    </row>
    <row r="449" spans="5:7" x14ac:dyDescent="0.2">
      <c r="E449" s="26">
        <v>41793</v>
      </c>
      <c r="F449" s="27">
        <v>0.41014107999999999</v>
      </c>
      <c r="G449" s="3"/>
    </row>
    <row r="450" spans="5:7" x14ac:dyDescent="0.2">
      <c r="E450" s="26">
        <v>41792</v>
      </c>
      <c r="F450" s="27">
        <v>0.43706715000000002</v>
      </c>
      <c r="G450" s="3"/>
    </row>
    <row r="451" spans="5:7" x14ac:dyDescent="0.2">
      <c r="E451" s="26">
        <v>41789</v>
      </c>
      <c r="F451" s="27">
        <v>0.49500455999999998</v>
      </c>
      <c r="G451" s="3"/>
    </row>
    <row r="452" spans="5:7" x14ac:dyDescent="0.2">
      <c r="E452" s="26">
        <v>41788</v>
      </c>
      <c r="F452" s="27">
        <v>0.50196399000000003</v>
      </c>
      <c r="G452" s="3"/>
    </row>
    <row r="453" spans="5:7" x14ac:dyDescent="0.2">
      <c r="E453" s="26">
        <v>41787</v>
      </c>
      <c r="F453" s="27">
        <v>0.52091710000000002</v>
      </c>
      <c r="G453" s="3"/>
    </row>
    <row r="454" spans="5:7" x14ac:dyDescent="0.2">
      <c r="E454" s="26">
        <v>41786</v>
      </c>
      <c r="F454" s="27">
        <v>0.45865688999999998</v>
      </c>
      <c r="G454" s="3"/>
    </row>
    <row r="455" spans="5:7" x14ac:dyDescent="0.2">
      <c r="E455" s="26">
        <v>41782</v>
      </c>
      <c r="F455" s="27">
        <v>0.44289145000000002</v>
      </c>
      <c r="G455" s="3"/>
    </row>
    <row r="456" spans="5:7" x14ac:dyDescent="0.2">
      <c r="E456" s="26">
        <v>41781</v>
      </c>
      <c r="F456" s="27">
        <v>0.43740635</v>
      </c>
      <c r="G456" s="3"/>
    </row>
    <row r="457" spans="5:7" x14ac:dyDescent="0.2">
      <c r="E457" s="26">
        <v>41780</v>
      </c>
      <c r="F457" s="27">
        <v>0.44799454</v>
      </c>
      <c r="G457" s="3"/>
    </row>
    <row r="458" spans="5:7" x14ac:dyDescent="0.2">
      <c r="E458" s="26">
        <v>41779</v>
      </c>
      <c r="F458" s="27">
        <v>0.44898321000000002</v>
      </c>
      <c r="G458" s="3"/>
    </row>
    <row r="459" spans="5:7" x14ac:dyDescent="0.2">
      <c r="E459" s="26">
        <v>41778</v>
      </c>
      <c r="F459" s="27">
        <v>0.42645669000000003</v>
      </c>
      <c r="G459" s="3"/>
    </row>
    <row r="460" spans="5:7" x14ac:dyDescent="0.2">
      <c r="E460" s="26">
        <v>41775</v>
      </c>
      <c r="F460" s="27">
        <v>0.43683117999999999</v>
      </c>
      <c r="G460" s="3"/>
    </row>
    <row r="461" spans="5:7" x14ac:dyDescent="0.2">
      <c r="E461" s="26">
        <v>41774</v>
      </c>
      <c r="F461" s="27">
        <v>0.45737897</v>
      </c>
      <c r="G461" s="3"/>
    </row>
    <row r="462" spans="5:7" x14ac:dyDescent="0.2">
      <c r="E462" s="26">
        <v>41773</v>
      </c>
      <c r="F462" s="27">
        <v>0.44368063000000002</v>
      </c>
      <c r="G462" s="3"/>
    </row>
    <row r="463" spans="5:7" x14ac:dyDescent="0.2">
      <c r="E463" s="26">
        <v>41772</v>
      </c>
      <c r="F463" s="27">
        <v>0.40866859999999999</v>
      </c>
      <c r="G463" s="3"/>
    </row>
    <row r="464" spans="5:7" x14ac:dyDescent="0.2">
      <c r="E464" s="26">
        <v>41771</v>
      </c>
      <c r="F464" s="27">
        <v>0.40149435999999999</v>
      </c>
      <c r="G464" s="3"/>
    </row>
    <row r="465" spans="5:7" x14ac:dyDescent="0.2">
      <c r="E465" s="26">
        <v>41768</v>
      </c>
      <c r="F465" s="27">
        <v>0.41122847000000001</v>
      </c>
      <c r="G465" s="3"/>
    </row>
    <row r="466" spans="5:7" x14ac:dyDescent="0.2">
      <c r="E466" s="26">
        <v>41767</v>
      </c>
      <c r="F466" s="27">
        <v>0.42930450999999997</v>
      </c>
      <c r="G466" s="3"/>
    </row>
    <row r="467" spans="5:7" x14ac:dyDescent="0.2">
      <c r="E467" s="26">
        <v>41766</v>
      </c>
      <c r="F467" s="27">
        <v>0.42496286</v>
      </c>
      <c r="G467" s="3"/>
    </row>
    <row r="468" spans="5:7" x14ac:dyDescent="0.2">
      <c r="E468" s="26">
        <v>41765</v>
      </c>
      <c r="F468" s="27">
        <v>0.40250726999999997</v>
      </c>
      <c r="G468" s="3"/>
    </row>
    <row r="469" spans="5:7" x14ac:dyDescent="0.2">
      <c r="E469" s="26">
        <v>41764</v>
      </c>
      <c r="F469" s="27">
        <v>0.39494004999999999</v>
      </c>
      <c r="G469" s="3"/>
    </row>
    <row r="470" spans="5:7" x14ac:dyDescent="0.2">
      <c r="E470" s="26">
        <v>41761</v>
      </c>
      <c r="F470" s="27">
        <v>0.40005795999999999</v>
      </c>
      <c r="G470" s="3"/>
    </row>
    <row r="471" spans="5:7" x14ac:dyDescent="0.2">
      <c r="E471" s="26">
        <v>41760</v>
      </c>
      <c r="F471" s="27">
        <v>0.39536387000000001</v>
      </c>
      <c r="G471" s="3"/>
    </row>
    <row r="472" spans="5:7" x14ac:dyDescent="0.2">
      <c r="E472" s="26">
        <v>41759</v>
      </c>
      <c r="F472" s="27">
        <v>0.38362900999999999</v>
      </c>
      <c r="G472" s="3"/>
    </row>
    <row r="473" spans="5:7" x14ac:dyDescent="0.2">
      <c r="E473" s="26">
        <v>41758</v>
      </c>
      <c r="F473" s="27">
        <v>0.38065389999999999</v>
      </c>
      <c r="G473" s="3"/>
    </row>
    <row r="474" spans="5:7" x14ac:dyDescent="0.2">
      <c r="E474" s="26">
        <v>41757</v>
      </c>
      <c r="F474" s="27">
        <v>0.38804882000000002</v>
      </c>
      <c r="G474" s="3"/>
    </row>
    <row r="475" spans="5:7" x14ac:dyDescent="0.2">
      <c r="E475" s="26">
        <v>41754</v>
      </c>
      <c r="F475" s="27">
        <v>0.39074209999999998</v>
      </c>
      <c r="G475" s="3"/>
    </row>
    <row r="476" spans="5:7" x14ac:dyDescent="0.2">
      <c r="E476" s="26">
        <v>41753</v>
      </c>
      <c r="F476" s="27">
        <v>0.38310160999999998</v>
      </c>
      <c r="G476" s="3"/>
    </row>
    <row r="477" spans="5:7" x14ac:dyDescent="0.2">
      <c r="E477" s="26">
        <v>41752</v>
      </c>
      <c r="F477" s="27">
        <v>0.38124049999999998</v>
      </c>
      <c r="G477" s="3"/>
    </row>
    <row r="478" spans="5:7" x14ac:dyDescent="0.2">
      <c r="E478" s="26">
        <v>41751</v>
      </c>
      <c r="F478" s="27">
        <v>0.36404024000000001</v>
      </c>
      <c r="G478" s="3"/>
    </row>
    <row r="479" spans="5:7" x14ac:dyDescent="0.2">
      <c r="E479" s="26">
        <v>41750</v>
      </c>
      <c r="F479" s="27">
        <v>0.36314741</v>
      </c>
      <c r="G479" s="3"/>
    </row>
    <row r="480" spans="5:7" x14ac:dyDescent="0.2">
      <c r="E480" s="26">
        <v>41746</v>
      </c>
      <c r="F480" s="27">
        <v>0.36524489999999998</v>
      </c>
      <c r="G480" s="3"/>
    </row>
    <row r="481" spans="5:7" x14ac:dyDescent="0.2">
      <c r="E481" s="26">
        <v>41745</v>
      </c>
      <c r="F481" s="27">
        <v>0.37764312999999999</v>
      </c>
      <c r="G481" s="3"/>
    </row>
    <row r="482" spans="5:7" x14ac:dyDescent="0.2">
      <c r="E482" s="26">
        <v>41744</v>
      </c>
      <c r="F482" s="27">
        <v>0.38310160999999998</v>
      </c>
      <c r="G482" s="3"/>
    </row>
    <row r="483" spans="5:7" x14ac:dyDescent="0.2">
      <c r="E483" s="26">
        <v>41743</v>
      </c>
      <c r="F483" s="27">
        <v>0.38166971999999999</v>
      </c>
      <c r="G483" s="3"/>
    </row>
    <row r="484" spans="5:7" x14ac:dyDescent="0.2">
      <c r="E484" s="26">
        <v>41740</v>
      </c>
      <c r="F484" s="27">
        <v>0.39074209999999998</v>
      </c>
      <c r="G484" s="3"/>
    </row>
    <row r="485" spans="5:7" x14ac:dyDescent="0.2">
      <c r="E485" s="26">
        <v>41739</v>
      </c>
      <c r="F485" s="27">
        <v>0.39074209999999998</v>
      </c>
      <c r="G485" s="3"/>
    </row>
    <row r="486" spans="5:7" x14ac:dyDescent="0.2">
      <c r="E486" s="26">
        <v>41738</v>
      </c>
      <c r="F486" s="27">
        <v>0.37418036999999998</v>
      </c>
      <c r="G486" s="3"/>
    </row>
    <row r="487" spans="5:7" x14ac:dyDescent="0.2">
      <c r="E487" s="26">
        <v>41737</v>
      </c>
      <c r="F487" s="27">
        <v>0.36809291999999999</v>
      </c>
      <c r="G487" s="3"/>
    </row>
    <row r="488" spans="5:7" x14ac:dyDescent="0.2">
      <c r="E488" s="26">
        <v>41736</v>
      </c>
      <c r="F488" s="27">
        <v>0.36410197</v>
      </c>
      <c r="G488" s="3"/>
    </row>
    <row r="489" spans="5:7" x14ac:dyDescent="0.2">
      <c r="E489" s="26">
        <v>41733</v>
      </c>
      <c r="F489" s="27">
        <v>0.35888523</v>
      </c>
      <c r="G489" s="3"/>
    </row>
    <row r="490" spans="5:7" x14ac:dyDescent="0.2">
      <c r="E490" s="26">
        <v>41732</v>
      </c>
      <c r="F490" s="27">
        <v>0.34278551000000002</v>
      </c>
      <c r="G490" s="3"/>
    </row>
    <row r="491" spans="5:7" x14ac:dyDescent="0.2">
      <c r="E491" s="26">
        <v>41731</v>
      </c>
      <c r="F491" s="27">
        <v>0.32510613999999999</v>
      </c>
      <c r="G491" s="3"/>
    </row>
    <row r="492" spans="5:7" x14ac:dyDescent="0.2">
      <c r="E492" s="26">
        <v>41730</v>
      </c>
      <c r="F492" s="27">
        <v>0.35763015999999997</v>
      </c>
      <c r="G492" s="3"/>
    </row>
    <row r="493" spans="5:7" x14ac:dyDescent="0.2">
      <c r="E493" s="26">
        <v>41729</v>
      </c>
      <c r="F493" s="27">
        <v>0.36629566000000002</v>
      </c>
      <c r="G493" s="3"/>
    </row>
    <row r="494" spans="5:7" x14ac:dyDescent="0.2">
      <c r="E494" s="26">
        <v>41726</v>
      </c>
      <c r="F494" s="27">
        <v>0.36821619999999999</v>
      </c>
      <c r="G494" s="3"/>
    </row>
    <row r="495" spans="5:7" x14ac:dyDescent="0.2">
      <c r="E495" s="26">
        <v>41725</v>
      </c>
      <c r="F495" s="27">
        <v>0.372867</v>
      </c>
      <c r="G495" s="3"/>
    </row>
    <row r="496" spans="5:7" x14ac:dyDescent="0.2">
      <c r="E496" s="26">
        <v>41724</v>
      </c>
      <c r="F496" s="27">
        <v>0.36965078000000001</v>
      </c>
      <c r="G496" s="3"/>
    </row>
    <row r="497" spans="5:7" x14ac:dyDescent="0.2">
      <c r="E497" s="26">
        <v>41723</v>
      </c>
      <c r="F497" s="27">
        <v>0.36900695</v>
      </c>
      <c r="G497" s="3"/>
    </row>
    <row r="498" spans="5:7" x14ac:dyDescent="0.2">
      <c r="E498" s="26">
        <v>41722</v>
      </c>
      <c r="F498" s="27">
        <v>0.36875239999999998</v>
      </c>
      <c r="G498" s="3"/>
    </row>
    <row r="499" spans="5:7" x14ac:dyDescent="0.2">
      <c r="E499" s="26">
        <v>41719</v>
      </c>
      <c r="F499" s="27">
        <v>0.36875239999999998</v>
      </c>
      <c r="G499" s="3"/>
    </row>
    <row r="500" spans="5:7" x14ac:dyDescent="0.2">
      <c r="E500" s="26">
        <v>41718</v>
      </c>
      <c r="F500" s="27">
        <v>0.36442224000000001</v>
      </c>
      <c r="G500" s="3"/>
    </row>
    <row r="501" spans="5:7" x14ac:dyDescent="0.2">
      <c r="E501" s="26">
        <v>41717</v>
      </c>
      <c r="F501" s="27">
        <v>0.36629566000000002</v>
      </c>
      <c r="G501" s="3"/>
    </row>
    <row r="502" spans="5:7" x14ac:dyDescent="0.2">
      <c r="E502" s="26">
        <v>41716</v>
      </c>
      <c r="F502" s="27">
        <v>0.37829073000000002</v>
      </c>
      <c r="G502" s="3"/>
    </row>
    <row r="503" spans="5:7" x14ac:dyDescent="0.2">
      <c r="E503" s="26">
        <v>41715</v>
      </c>
      <c r="F503" s="27">
        <v>0.37328842000000001</v>
      </c>
      <c r="G503" s="3"/>
    </row>
    <row r="504" spans="5:7" x14ac:dyDescent="0.2">
      <c r="E504" s="26">
        <v>41712</v>
      </c>
      <c r="F504" s="27">
        <v>0.38471656999999998</v>
      </c>
      <c r="G504" s="3"/>
    </row>
    <row r="505" spans="5:7" x14ac:dyDescent="0.2">
      <c r="E505" s="26">
        <v>41711</v>
      </c>
      <c r="F505" s="27">
        <v>0.39003900000000002</v>
      </c>
      <c r="G505" s="3"/>
    </row>
    <row r="506" spans="5:7" x14ac:dyDescent="0.2">
      <c r="E506" s="26">
        <v>41710</v>
      </c>
      <c r="F506" s="27">
        <v>0.37541637</v>
      </c>
      <c r="G506" s="3"/>
    </row>
    <row r="507" spans="5:7" x14ac:dyDescent="0.2">
      <c r="E507" s="26">
        <v>41709</v>
      </c>
      <c r="F507" s="27">
        <v>0.36705627000000002</v>
      </c>
      <c r="G507" s="3"/>
    </row>
    <row r="508" spans="5:7" x14ac:dyDescent="0.2">
      <c r="E508" s="26">
        <v>41708</v>
      </c>
      <c r="F508" s="27">
        <v>0.36689958</v>
      </c>
      <c r="G508" s="3"/>
    </row>
    <row r="509" spans="5:7" x14ac:dyDescent="0.2">
      <c r="E509" s="26">
        <v>41705</v>
      </c>
      <c r="F509" s="27">
        <v>0.36521861</v>
      </c>
      <c r="G509" s="3"/>
    </row>
    <row r="510" spans="5:7" x14ac:dyDescent="0.2">
      <c r="E510" s="26">
        <v>41704</v>
      </c>
      <c r="F510" s="27">
        <v>0.37076211999999997</v>
      </c>
      <c r="G510" s="3"/>
    </row>
    <row r="511" spans="5:7" x14ac:dyDescent="0.2">
      <c r="E511" s="26">
        <v>41703</v>
      </c>
      <c r="F511" s="27">
        <v>0.37511482000000002</v>
      </c>
      <c r="G511" s="3"/>
    </row>
    <row r="512" spans="5:7" x14ac:dyDescent="0.2">
      <c r="E512" s="26">
        <v>41702</v>
      </c>
      <c r="F512" s="27">
        <v>0.36705627000000002</v>
      </c>
      <c r="G512" s="3"/>
    </row>
    <row r="513" spans="5:7" x14ac:dyDescent="0.2">
      <c r="E513" s="26">
        <v>41701</v>
      </c>
      <c r="F513" s="27">
        <v>0.38146136000000003</v>
      </c>
      <c r="G513" s="3"/>
    </row>
    <row r="514" spans="5:7" x14ac:dyDescent="0.2">
      <c r="E514" s="26">
        <v>41698</v>
      </c>
      <c r="F514" s="27">
        <v>0.37864172000000001</v>
      </c>
      <c r="G514" s="3"/>
    </row>
    <row r="515" spans="5:7" x14ac:dyDescent="0.2">
      <c r="E515" s="26">
        <v>41697</v>
      </c>
      <c r="F515" s="27">
        <v>0.38166811</v>
      </c>
      <c r="G515" s="3"/>
    </row>
    <row r="516" spans="5:7" x14ac:dyDescent="0.2">
      <c r="E516" s="26">
        <v>41696</v>
      </c>
      <c r="F516" s="27">
        <v>0.37644865</v>
      </c>
      <c r="G516" s="3"/>
    </row>
    <row r="517" spans="5:7" x14ac:dyDescent="0.2">
      <c r="E517" s="26">
        <v>41695</v>
      </c>
      <c r="F517" s="27">
        <v>0.38281317999999998</v>
      </c>
      <c r="G517" s="3"/>
    </row>
    <row r="518" spans="5:7" x14ac:dyDescent="0.2">
      <c r="E518" s="26">
        <v>41694</v>
      </c>
      <c r="F518" s="27">
        <v>0.37197777999999998</v>
      </c>
      <c r="G518" s="3"/>
    </row>
    <row r="519" spans="5:7" x14ac:dyDescent="0.2">
      <c r="E519" s="26">
        <v>41691</v>
      </c>
      <c r="F519" s="27">
        <v>0.3734152</v>
      </c>
      <c r="G519" s="3"/>
    </row>
    <row r="520" spans="5:7" x14ac:dyDescent="0.2">
      <c r="E520" s="26">
        <v>41690</v>
      </c>
      <c r="F520" s="27">
        <v>0.37039466999999998</v>
      </c>
      <c r="G520" s="3"/>
    </row>
    <row r="521" spans="5:7" x14ac:dyDescent="0.2">
      <c r="E521" s="26">
        <v>41689</v>
      </c>
      <c r="F521" s="27">
        <v>0.37407465000000001</v>
      </c>
      <c r="G521" s="3"/>
    </row>
    <row r="522" spans="5:7" x14ac:dyDescent="0.2">
      <c r="E522" s="26">
        <v>41688</v>
      </c>
      <c r="F522" s="27">
        <v>0.38072624999999999</v>
      </c>
      <c r="G522" s="3"/>
    </row>
    <row r="523" spans="5:7" x14ac:dyDescent="0.2">
      <c r="E523" s="26">
        <v>41684</v>
      </c>
      <c r="F523" s="27">
        <v>0.37644865</v>
      </c>
      <c r="G523" s="3"/>
    </row>
    <row r="524" spans="5:7" x14ac:dyDescent="0.2">
      <c r="E524" s="26">
        <v>41683</v>
      </c>
      <c r="F524" s="27">
        <v>0.38252577999999998</v>
      </c>
      <c r="G524" s="3"/>
    </row>
    <row r="525" spans="5:7" x14ac:dyDescent="0.2">
      <c r="E525" s="26">
        <v>41682</v>
      </c>
      <c r="F525" s="27">
        <v>0.37451881999999997</v>
      </c>
      <c r="G525" s="3"/>
    </row>
    <row r="526" spans="5:7" x14ac:dyDescent="0.2">
      <c r="E526" s="26">
        <v>41681</v>
      </c>
      <c r="F526" s="27">
        <v>0.38426450000000001</v>
      </c>
      <c r="G526" s="3"/>
    </row>
    <row r="527" spans="5:7" x14ac:dyDescent="0.2">
      <c r="E527" s="26">
        <v>41680</v>
      </c>
      <c r="F527" s="27">
        <v>0.39378672999999997</v>
      </c>
      <c r="G527" s="3"/>
    </row>
    <row r="528" spans="5:7" x14ac:dyDescent="0.2">
      <c r="E528" s="26">
        <v>41677</v>
      </c>
      <c r="F528" s="27">
        <v>0.39589350000000001</v>
      </c>
      <c r="G528" s="3"/>
    </row>
    <row r="529" spans="5:7" x14ac:dyDescent="0.2">
      <c r="E529" s="26">
        <v>41676</v>
      </c>
      <c r="F529" s="27">
        <v>0.38532630000000001</v>
      </c>
      <c r="G529" s="3"/>
    </row>
    <row r="530" spans="5:7" x14ac:dyDescent="0.2">
      <c r="E530" s="26">
        <v>41675</v>
      </c>
      <c r="F530" s="27">
        <v>0.39173230999999997</v>
      </c>
      <c r="G530" s="3"/>
    </row>
    <row r="531" spans="5:7" x14ac:dyDescent="0.2">
      <c r="E531" s="26">
        <v>41674</v>
      </c>
      <c r="F531" s="27">
        <v>0.40068102999999999</v>
      </c>
      <c r="G531" s="3"/>
    </row>
    <row r="532" spans="5:7" x14ac:dyDescent="0.2">
      <c r="E532" s="26">
        <v>41673</v>
      </c>
      <c r="F532" s="27">
        <v>0.41262241999999999</v>
      </c>
      <c r="G532" s="3"/>
    </row>
    <row r="533" spans="5:7" x14ac:dyDescent="0.2">
      <c r="E533" s="26">
        <v>41670</v>
      </c>
      <c r="F533" s="27">
        <v>0.39414626000000003</v>
      </c>
      <c r="G533" s="3"/>
    </row>
    <row r="534" spans="5:7" x14ac:dyDescent="0.2">
      <c r="E534" s="26">
        <v>41669</v>
      </c>
      <c r="F534" s="27">
        <v>0.38669977</v>
      </c>
      <c r="G534" s="3"/>
    </row>
    <row r="535" spans="5:7" x14ac:dyDescent="0.2">
      <c r="E535" s="26">
        <v>41668</v>
      </c>
      <c r="F535" s="27">
        <v>0.38811614</v>
      </c>
      <c r="G535" s="3"/>
    </row>
    <row r="536" spans="5:7" x14ac:dyDescent="0.2">
      <c r="E536" s="26">
        <v>41667</v>
      </c>
      <c r="F536" s="27">
        <v>0.37568222000000001</v>
      </c>
      <c r="G536" s="3"/>
    </row>
    <row r="537" spans="5:7" x14ac:dyDescent="0.2">
      <c r="E537" s="26">
        <v>41666</v>
      </c>
      <c r="F537" s="27">
        <v>0.37460282</v>
      </c>
      <c r="G537" s="3"/>
    </row>
    <row r="538" spans="5:7" x14ac:dyDescent="0.2">
      <c r="E538" s="26">
        <v>41663</v>
      </c>
      <c r="F538" s="27">
        <v>0.38154102000000001</v>
      </c>
      <c r="G538" s="3"/>
    </row>
    <row r="539" spans="5:7" x14ac:dyDescent="0.2">
      <c r="E539" s="26">
        <v>41662</v>
      </c>
      <c r="F539" s="27">
        <v>0.37453638</v>
      </c>
      <c r="G539" s="3"/>
    </row>
    <row r="540" spans="5:7" x14ac:dyDescent="0.2">
      <c r="E540" s="26">
        <v>41661</v>
      </c>
      <c r="F540" s="27">
        <v>0.36503538000000002</v>
      </c>
      <c r="G540" s="3"/>
    </row>
    <row r="541" spans="5:7" x14ac:dyDescent="0.2">
      <c r="E541" s="26">
        <v>41660</v>
      </c>
      <c r="F541" s="27">
        <v>0.375996</v>
      </c>
      <c r="G541" s="3"/>
    </row>
    <row r="542" spans="5:7" x14ac:dyDescent="0.2">
      <c r="E542" s="26">
        <v>41656</v>
      </c>
      <c r="F542" s="27">
        <v>0.37537902000000001</v>
      </c>
      <c r="G542" s="3"/>
    </row>
    <row r="543" spans="5:7" x14ac:dyDescent="0.2">
      <c r="E543" s="26">
        <v>41655</v>
      </c>
      <c r="F543" s="27">
        <v>0.37351021000000001</v>
      </c>
      <c r="G543" s="3"/>
    </row>
    <row r="544" spans="5:7" x14ac:dyDescent="0.2">
      <c r="E544" s="26">
        <v>41654</v>
      </c>
      <c r="F544" s="27">
        <v>0.36667421</v>
      </c>
      <c r="G544" s="3"/>
    </row>
    <row r="545" spans="5:7" x14ac:dyDescent="0.2">
      <c r="E545" s="26">
        <v>41653</v>
      </c>
      <c r="F545" s="27">
        <v>0.36774881999999998</v>
      </c>
      <c r="G545" s="3"/>
    </row>
    <row r="546" spans="5:7" x14ac:dyDescent="0.2">
      <c r="E546" s="26">
        <v>41652</v>
      </c>
      <c r="F546" s="27">
        <v>0.37578397000000002</v>
      </c>
      <c r="G546" s="3"/>
    </row>
    <row r="547" spans="5:7" x14ac:dyDescent="0.2">
      <c r="E547" s="26">
        <v>41649</v>
      </c>
      <c r="F547" s="27">
        <v>0.36933837000000003</v>
      </c>
      <c r="G547" s="3"/>
    </row>
    <row r="548" spans="5:7" x14ac:dyDescent="0.2">
      <c r="E548" s="26">
        <v>41648</v>
      </c>
      <c r="F548" s="27">
        <v>0.30155963000000002</v>
      </c>
      <c r="G548" s="3"/>
    </row>
    <row r="549" spans="5:7" x14ac:dyDescent="0.2">
      <c r="E549" s="26">
        <v>41647</v>
      </c>
      <c r="F549" s="27">
        <v>0.27876012999999999</v>
      </c>
      <c r="G549" s="3"/>
    </row>
    <row r="550" spans="5:7" x14ac:dyDescent="0.2">
      <c r="E550" s="26">
        <v>41646</v>
      </c>
      <c r="F550" s="27">
        <v>0.30341024</v>
      </c>
      <c r="G550" s="3"/>
    </row>
    <row r="551" spans="5:7" x14ac:dyDescent="0.2">
      <c r="E551" s="26">
        <v>41645</v>
      </c>
      <c r="F551" s="27">
        <v>0.27050189000000002</v>
      </c>
      <c r="G551" s="3"/>
    </row>
    <row r="552" spans="5:7" x14ac:dyDescent="0.2">
      <c r="E552" s="26">
        <v>41642</v>
      </c>
      <c r="F552" s="27">
        <v>0.25966006000000003</v>
      </c>
      <c r="G552" s="3"/>
    </row>
    <row r="553" spans="5:7" x14ac:dyDescent="0.2">
      <c r="E553" s="26">
        <v>41641</v>
      </c>
      <c r="F553" s="27">
        <v>0.26125130000000002</v>
      </c>
      <c r="G553" s="3"/>
    </row>
    <row r="554" spans="5:7" x14ac:dyDescent="0.2">
      <c r="E554" s="26">
        <v>41639</v>
      </c>
      <c r="F554" s="27">
        <v>0.26847971999999998</v>
      </c>
      <c r="G554" s="3"/>
    </row>
    <row r="555" spans="5:7" x14ac:dyDescent="0.2">
      <c r="E555" s="26">
        <v>41638</v>
      </c>
      <c r="F555" s="27">
        <v>0.32171274</v>
      </c>
      <c r="G555" s="3"/>
    </row>
    <row r="556" spans="5:7" x14ac:dyDescent="0.2">
      <c r="E556" s="26">
        <v>41635</v>
      </c>
      <c r="F556" s="27">
        <v>0.28295542000000001</v>
      </c>
      <c r="G556" s="3"/>
    </row>
    <row r="557" spans="5:7" x14ac:dyDescent="0.2">
      <c r="E557" s="26">
        <v>41634</v>
      </c>
      <c r="F557" s="27">
        <v>0.28170294000000001</v>
      </c>
      <c r="G557" s="3"/>
    </row>
    <row r="558" spans="5:7" x14ac:dyDescent="0.2">
      <c r="E558" s="26">
        <v>41632</v>
      </c>
      <c r="F558" s="27">
        <v>0.28242096999999999</v>
      </c>
      <c r="G558" s="3"/>
    </row>
    <row r="559" spans="5:7" x14ac:dyDescent="0.2">
      <c r="E559" s="26">
        <v>41631</v>
      </c>
      <c r="F559" s="27">
        <v>0.32708043999999997</v>
      </c>
      <c r="G559" s="3"/>
    </row>
    <row r="560" spans="5:7" x14ac:dyDescent="0.2">
      <c r="E560" s="26">
        <v>41628</v>
      </c>
      <c r="F560" s="27">
        <v>0.34672830999999998</v>
      </c>
      <c r="G560" s="3"/>
    </row>
    <row r="561" spans="5:7" x14ac:dyDescent="0.2">
      <c r="E561" s="26">
        <v>41627</v>
      </c>
      <c r="F561" s="27">
        <v>0.27857630999999999</v>
      </c>
      <c r="G561" s="3"/>
    </row>
    <row r="562" spans="5:7" x14ac:dyDescent="0.2">
      <c r="E562" s="26">
        <v>41626</v>
      </c>
      <c r="F562" s="27">
        <v>0.32708043999999997</v>
      </c>
      <c r="G562" s="3"/>
    </row>
    <row r="563" spans="5:7" x14ac:dyDescent="0.2">
      <c r="E563" s="26">
        <v>41625</v>
      </c>
      <c r="F563" s="27">
        <v>0.37416398000000001</v>
      </c>
      <c r="G563" s="3"/>
    </row>
    <row r="564" spans="5:7" x14ac:dyDescent="0.2">
      <c r="E564" s="26">
        <v>41624</v>
      </c>
      <c r="F564" s="27">
        <v>0.36327559999999998</v>
      </c>
      <c r="G564" s="3"/>
    </row>
    <row r="565" spans="5:7" x14ac:dyDescent="0.2">
      <c r="E565" s="26">
        <v>41621</v>
      </c>
      <c r="F565" s="27">
        <v>0.36453579000000003</v>
      </c>
      <c r="G565" s="3"/>
    </row>
    <row r="566" spans="5:7" x14ac:dyDescent="0.2">
      <c r="E566" s="26">
        <v>41620</v>
      </c>
      <c r="F566" s="27">
        <v>0.35777890000000001</v>
      </c>
      <c r="G566" s="3"/>
    </row>
    <row r="567" spans="5:7" x14ac:dyDescent="0.2">
      <c r="E567" s="26">
        <v>41619</v>
      </c>
      <c r="F567" s="27">
        <v>0.37034011999999999</v>
      </c>
      <c r="G567" s="3"/>
    </row>
    <row r="568" spans="5:7" x14ac:dyDescent="0.2">
      <c r="E568" s="26">
        <v>41618</v>
      </c>
      <c r="F568" s="27">
        <v>0.37537373000000002</v>
      </c>
      <c r="G568" s="3"/>
    </row>
    <row r="569" spans="5:7" x14ac:dyDescent="0.2">
      <c r="E569" s="26">
        <v>41617</v>
      </c>
      <c r="F569" s="27">
        <v>0.36453579000000003</v>
      </c>
      <c r="G569" s="3"/>
    </row>
    <row r="570" spans="5:7" x14ac:dyDescent="0.2">
      <c r="E570" s="26">
        <v>41614</v>
      </c>
      <c r="F570" s="27">
        <v>0.34216846000000001</v>
      </c>
      <c r="G570" s="3"/>
    </row>
    <row r="571" spans="5:7" x14ac:dyDescent="0.2">
      <c r="E571" s="26">
        <v>41613</v>
      </c>
      <c r="F571" s="27">
        <v>0.32814632999999999</v>
      </c>
      <c r="G571" s="3"/>
    </row>
    <row r="572" spans="5:7" x14ac:dyDescent="0.2">
      <c r="E572" s="26">
        <v>41612</v>
      </c>
      <c r="F572" s="27">
        <v>0.34044994000000001</v>
      </c>
      <c r="G572" s="3"/>
    </row>
    <row r="573" spans="5:7" x14ac:dyDescent="0.2">
      <c r="E573" s="26">
        <v>41611</v>
      </c>
      <c r="F573" s="27">
        <v>0.37704095999999998</v>
      </c>
      <c r="G573" s="3"/>
    </row>
    <row r="574" spans="5:7" x14ac:dyDescent="0.2">
      <c r="E574" s="26">
        <v>41610</v>
      </c>
      <c r="F574" s="27">
        <v>0.37676027000000001</v>
      </c>
      <c r="G574" s="3"/>
    </row>
    <row r="575" spans="5:7" x14ac:dyDescent="0.2">
      <c r="E575" s="26">
        <v>41607</v>
      </c>
      <c r="F575" s="27">
        <v>0.39248038000000002</v>
      </c>
      <c r="G575" s="3"/>
    </row>
    <row r="576" spans="5:7" x14ac:dyDescent="0.2">
      <c r="E576" s="26">
        <v>41605</v>
      </c>
      <c r="F576" s="27">
        <v>0.39288242000000001</v>
      </c>
      <c r="G576" s="3"/>
    </row>
    <row r="577" spans="5:7" x14ac:dyDescent="0.2">
      <c r="E577" s="26">
        <v>41604</v>
      </c>
      <c r="F577" s="27">
        <v>0.40444497000000001</v>
      </c>
      <c r="G577" s="3"/>
    </row>
    <row r="578" spans="5:7" x14ac:dyDescent="0.2">
      <c r="E578" s="26">
        <v>41603</v>
      </c>
      <c r="F578" s="27">
        <v>0.40159792999999999</v>
      </c>
      <c r="G578" s="3"/>
    </row>
    <row r="579" spans="5:7" x14ac:dyDescent="0.2">
      <c r="E579" s="26">
        <v>41600</v>
      </c>
      <c r="F579" s="27">
        <v>0.40216698000000001</v>
      </c>
      <c r="G579" s="3"/>
    </row>
    <row r="580" spans="5:7" x14ac:dyDescent="0.2">
      <c r="E580" s="26">
        <v>41599</v>
      </c>
      <c r="F580" s="27">
        <v>0.39857682999999999</v>
      </c>
      <c r="G580" s="3"/>
    </row>
    <row r="581" spans="5:7" x14ac:dyDescent="0.2">
      <c r="E581" s="26">
        <v>41598</v>
      </c>
      <c r="F581" s="27">
        <v>0.39806186999999998</v>
      </c>
      <c r="G581" s="3"/>
    </row>
    <row r="582" spans="5:7" x14ac:dyDescent="0.2">
      <c r="E582" s="26">
        <v>41597</v>
      </c>
      <c r="F582" s="27">
        <v>0.39630022999999998</v>
      </c>
      <c r="G582" s="3"/>
    </row>
    <row r="583" spans="5:7" x14ac:dyDescent="0.2">
      <c r="E583" s="26">
        <v>41596</v>
      </c>
      <c r="F583" s="27">
        <v>0.40298490999999997</v>
      </c>
      <c r="G583" s="3"/>
    </row>
    <row r="584" spans="5:7" x14ac:dyDescent="0.2">
      <c r="E584" s="26">
        <v>41593</v>
      </c>
      <c r="F584" s="27">
        <v>0.39599199000000002</v>
      </c>
      <c r="G584" s="3"/>
    </row>
    <row r="585" spans="5:7" x14ac:dyDescent="0.2">
      <c r="E585" s="26">
        <v>41592</v>
      </c>
      <c r="F585" s="27">
        <v>0.39450030000000003</v>
      </c>
      <c r="G585" s="3"/>
    </row>
    <row r="586" spans="5:7" x14ac:dyDescent="0.2">
      <c r="E586" s="26">
        <v>41591</v>
      </c>
      <c r="F586" s="27">
        <v>0.38690331</v>
      </c>
      <c r="G586" s="3"/>
    </row>
    <row r="587" spans="5:7" x14ac:dyDescent="0.2">
      <c r="E587" s="26">
        <v>41590</v>
      </c>
      <c r="F587" s="27">
        <v>0.38747167999999999</v>
      </c>
      <c r="G587" s="3"/>
    </row>
    <row r="588" spans="5:7" x14ac:dyDescent="0.2">
      <c r="E588" s="26">
        <v>41586</v>
      </c>
      <c r="F588" s="27">
        <v>0.38823085000000002</v>
      </c>
      <c r="G588" s="3"/>
    </row>
    <row r="589" spans="5:7" x14ac:dyDescent="0.2">
      <c r="E589" s="26">
        <v>41585</v>
      </c>
      <c r="F589" s="27">
        <v>0.41435673000000001</v>
      </c>
      <c r="G589" s="3"/>
    </row>
    <row r="590" spans="5:7" x14ac:dyDescent="0.2">
      <c r="E590" s="26">
        <v>41584</v>
      </c>
      <c r="F590" s="27">
        <v>0.41274392999999998</v>
      </c>
      <c r="G590" s="3"/>
    </row>
    <row r="591" spans="5:7" x14ac:dyDescent="0.2">
      <c r="E591" s="26">
        <v>41583</v>
      </c>
      <c r="F591" s="27">
        <v>0.40444497000000001</v>
      </c>
      <c r="G591" s="3"/>
    </row>
    <row r="592" spans="5:7" x14ac:dyDescent="0.2">
      <c r="E592" s="26">
        <v>41582</v>
      </c>
      <c r="F592" s="27">
        <v>0.42327273999999998</v>
      </c>
      <c r="G592" s="3"/>
    </row>
    <row r="593" spans="5:7" x14ac:dyDescent="0.2">
      <c r="E593" s="26">
        <v>41579</v>
      </c>
      <c r="F593" s="27">
        <v>0.41875307000000001</v>
      </c>
      <c r="G593" s="3"/>
    </row>
    <row r="594" spans="5:7" x14ac:dyDescent="0.2">
      <c r="E594" s="26">
        <v>41578</v>
      </c>
      <c r="F594" s="27">
        <v>0.44816967000000002</v>
      </c>
      <c r="G594" s="3"/>
    </row>
    <row r="595" spans="5:7" x14ac:dyDescent="0.2">
      <c r="E595" s="26">
        <v>41577</v>
      </c>
      <c r="F595" s="27">
        <v>0.46022834000000001</v>
      </c>
      <c r="G595" s="3"/>
    </row>
    <row r="596" spans="5:7" x14ac:dyDescent="0.2">
      <c r="E596" s="26">
        <v>41576</v>
      </c>
      <c r="F596" s="27">
        <v>0.47251102</v>
      </c>
      <c r="G596" s="3"/>
    </row>
    <row r="597" spans="5:7" x14ac:dyDescent="0.2">
      <c r="E597" s="26">
        <v>41575</v>
      </c>
      <c r="F597" s="27">
        <v>0.47004080999999998</v>
      </c>
      <c r="G597" s="3"/>
    </row>
    <row r="598" spans="5:7" x14ac:dyDescent="0.2">
      <c r="E598" s="26">
        <v>41572</v>
      </c>
      <c r="F598" s="27">
        <v>0.47335920999999997</v>
      </c>
      <c r="G598" s="3"/>
    </row>
    <row r="599" spans="5:7" x14ac:dyDescent="0.2">
      <c r="E599" s="26">
        <v>41571</v>
      </c>
      <c r="F599" s="27">
        <v>0.45620115</v>
      </c>
      <c r="G599" s="3"/>
    </row>
    <row r="600" spans="5:7" x14ac:dyDescent="0.2">
      <c r="E600" s="26">
        <v>41570</v>
      </c>
      <c r="F600" s="27">
        <v>0.47251102</v>
      </c>
      <c r="G600" s="3"/>
    </row>
    <row r="601" spans="5:7" x14ac:dyDescent="0.2">
      <c r="E601" s="26">
        <v>41569</v>
      </c>
      <c r="F601" s="27">
        <v>0.45559037000000002</v>
      </c>
      <c r="G601" s="3"/>
    </row>
    <row r="602" spans="5:7" x14ac:dyDescent="0.2">
      <c r="E602" s="26">
        <v>41568</v>
      </c>
      <c r="F602" s="27">
        <v>0.41834654999999998</v>
      </c>
      <c r="G602" s="3"/>
    </row>
    <row r="603" spans="5:7" x14ac:dyDescent="0.2">
      <c r="E603" s="26">
        <v>41565</v>
      </c>
      <c r="F603" s="27">
        <v>0.42308899</v>
      </c>
      <c r="G603" s="3"/>
    </row>
    <row r="604" spans="5:7" x14ac:dyDescent="0.2">
      <c r="E604" s="26">
        <v>41564</v>
      </c>
      <c r="F604" s="27">
        <v>0.42440229000000002</v>
      </c>
      <c r="G604" s="3"/>
    </row>
    <row r="605" spans="5:7" x14ac:dyDescent="0.2">
      <c r="E605" s="26">
        <v>41563</v>
      </c>
      <c r="F605" s="27">
        <v>0.40419688999999998</v>
      </c>
      <c r="G605" s="3"/>
    </row>
    <row r="606" spans="5:7" x14ac:dyDescent="0.2">
      <c r="E606" s="26">
        <v>41562</v>
      </c>
      <c r="F606" s="27">
        <v>0.39927588000000003</v>
      </c>
      <c r="G606" s="3"/>
    </row>
    <row r="607" spans="5:7" x14ac:dyDescent="0.2">
      <c r="E607" s="26">
        <v>41558</v>
      </c>
      <c r="F607" s="27">
        <v>0.40564359</v>
      </c>
      <c r="G607" s="3"/>
    </row>
    <row r="608" spans="5:7" x14ac:dyDescent="0.2">
      <c r="E608" s="26">
        <v>41557</v>
      </c>
      <c r="F608" s="27">
        <v>0.40641392999999998</v>
      </c>
      <c r="G608" s="3"/>
    </row>
    <row r="609" spans="5:7" x14ac:dyDescent="0.2">
      <c r="E609" s="26">
        <v>41556</v>
      </c>
      <c r="F609" s="27">
        <v>0.40868282</v>
      </c>
      <c r="G609" s="3"/>
    </row>
    <row r="610" spans="5:7" x14ac:dyDescent="0.2">
      <c r="E610" s="26">
        <v>41555</v>
      </c>
      <c r="F610" s="27">
        <v>0.40977889000000001</v>
      </c>
      <c r="G610" s="3"/>
    </row>
    <row r="611" spans="5:7" x14ac:dyDescent="0.2">
      <c r="E611" s="26">
        <v>41554</v>
      </c>
      <c r="F611" s="27">
        <v>0.41384989999999999</v>
      </c>
      <c r="G611" s="3"/>
    </row>
    <row r="612" spans="5:7" x14ac:dyDescent="0.2">
      <c r="E612" s="26">
        <v>41551</v>
      </c>
      <c r="F612" s="27">
        <v>0.41384989999999999</v>
      </c>
      <c r="G612" s="3"/>
    </row>
    <row r="613" spans="5:7" x14ac:dyDescent="0.2">
      <c r="E613" s="26">
        <v>41550</v>
      </c>
      <c r="F613" s="27">
        <v>0.42005614000000002</v>
      </c>
      <c r="G613" s="3"/>
    </row>
    <row r="614" spans="5:7" x14ac:dyDescent="0.2">
      <c r="E614" s="26">
        <v>41549</v>
      </c>
      <c r="F614" s="27">
        <v>0.41492382</v>
      </c>
      <c r="G614" s="3"/>
    </row>
    <row r="615" spans="5:7" x14ac:dyDescent="0.2">
      <c r="E615" s="26">
        <v>41548</v>
      </c>
      <c r="F615" s="27">
        <v>0.40735265999999998</v>
      </c>
      <c r="G615" s="3"/>
    </row>
    <row r="616" spans="5:7" x14ac:dyDescent="0.2">
      <c r="E616" s="26">
        <v>41547</v>
      </c>
      <c r="F616" s="27">
        <v>0.41213623999999999</v>
      </c>
      <c r="G616" s="3"/>
    </row>
    <row r="617" spans="5:7" x14ac:dyDescent="0.2">
      <c r="E617" s="26">
        <v>41544</v>
      </c>
      <c r="F617" s="27">
        <v>0.41228937999999998</v>
      </c>
      <c r="G617" s="3"/>
    </row>
    <row r="618" spans="5:7" x14ac:dyDescent="0.2">
      <c r="E618" s="26">
        <v>41543</v>
      </c>
      <c r="F618" s="27">
        <v>0.40892709999999999</v>
      </c>
      <c r="G618" s="3"/>
    </row>
    <row r="619" spans="5:7" x14ac:dyDescent="0.2">
      <c r="E619" s="26">
        <v>41542</v>
      </c>
      <c r="F619" s="27">
        <v>0.41205318000000002</v>
      </c>
      <c r="G619" s="3"/>
    </row>
    <row r="620" spans="5:7" x14ac:dyDescent="0.2">
      <c r="E620" s="26">
        <v>41541</v>
      </c>
      <c r="F620" s="27">
        <v>0.40942932999999998</v>
      </c>
      <c r="G620" s="3"/>
    </row>
    <row r="621" spans="5:7" x14ac:dyDescent="0.2">
      <c r="E621" s="26">
        <v>41540</v>
      </c>
      <c r="F621" s="27">
        <v>0.40442292000000002</v>
      </c>
      <c r="G621" s="3"/>
    </row>
    <row r="622" spans="5:7" x14ac:dyDescent="0.2">
      <c r="E622" s="26">
        <v>41537</v>
      </c>
      <c r="F622" s="27">
        <v>0.40062763000000001</v>
      </c>
      <c r="G622" s="3"/>
    </row>
    <row r="623" spans="5:7" x14ac:dyDescent="0.2">
      <c r="E623" s="26">
        <v>41536</v>
      </c>
      <c r="F623" s="27">
        <v>0.40169234999999998</v>
      </c>
      <c r="G623" s="3"/>
    </row>
    <row r="624" spans="5:7" x14ac:dyDescent="0.2">
      <c r="E624" s="26">
        <v>41535</v>
      </c>
      <c r="F624" s="27">
        <v>0.40430395000000002</v>
      </c>
      <c r="G624" s="3"/>
    </row>
    <row r="625" spans="5:7" x14ac:dyDescent="0.2">
      <c r="E625" s="26">
        <v>41534</v>
      </c>
      <c r="F625" s="27">
        <v>0.35600051999999999</v>
      </c>
      <c r="G625" s="3"/>
    </row>
    <row r="626" spans="5:7" x14ac:dyDescent="0.2">
      <c r="E626" s="26">
        <v>41533</v>
      </c>
      <c r="F626" s="27">
        <v>0.33935362000000002</v>
      </c>
      <c r="G626" s="3"/>
    </row>
    <row r="627" spans="5:7" x14ac:dyDescent="0.2">
      <c r="E627" s="26">
        <v>41530</v>
      </c>
      <c r="F627" s="27">
        <v>0.2925217</v>
      </c>
      <c r="G627" s="3"/>
    </row>
    <row r="628" spans="5:7" x14ac:dyDescent="0.2">
      <c r="E628" s="26">
        <v>41529</v>
      </c>
      <c r="F628" s="27">
        <v>0.28637426999999999</v>
      </c>
      <c r="G628" s="3"/>
    </row>
    <row r="629" spans="5:7" x14ac:dyDescent="0.2">
      <c r="E629" s="26">
        <v>41528</v>
      </c>
      <c r="F629" s="27">
        <v>0.28595882</v>
      </c>
      <c r="G629" s="3"/>
    </row>
    <row r="630" spans="5:7" x14ac:dyDescent="0.2">
      <c r="E630" s="26">
        <v>41527</v>
      </c>
      <c r="F630" s="27">
        <v>0.26296286000000002</v>
      </c>
      <c r="G630" s="3"/>
    </row>
    <row r="631" spans="5:7" x14ac:dyDescent="0.2">
      <c r="E631" s="26">
        <v>41526</v>
      </c>
      <c r="F631" s="27">
        <v>0.26769354000000001</v>
      </c>
      <c r="G631" s="3"/>
    </row>
    <row r="632" spans="5:7" x14ac:dyDescent="0.2">
      <c r="E632" s="26">
        <v>41523</v>
      </c>
      <c r="F632" s="27">
        <v>0.26194300999999998</v>
      </c>
      <c r="G632" s="3"/>
    </row>
    <row r="633" spans="5:7" x14ac:dyDescent="0.2">
      <c r="E633" s="26">
        <v>41522</v>
      </c>
      <c r="F633" s="27">
        <v>0.25826391999999998</v>
      </c>
      <c r="G633" s="3"/>
    </row>
    <row r="634" spans="5:7" x14ac:dyDescent="0.2">
      <c r="E634" s="26">
        <v>41521</v>
      </c>
      <c r="F634" s="27">
        <v>0.26443326</v>
      </c>
      <c r="G634" s="3"/>
    </row>
    <row r="635" spans="5:7" x14ac:dyDescent="0.2">
      <c r="E635" s="26">
        <v>41520</v>
      </c>
      <c r="F635" s="27">
        <v>0.29002791</v>
      </c>
      <c r="G635" s="3"/>
    </row>
    <row r="636" spans="5:7" x14ac:dyDescent="0.2">
      <c r="E636" s="26">
        <v>41516</v>
      </c>
      <c r="F636" s="27">
        <v>0.39522167000000002</v>
      </c>
      <c r="G636" s="3"/>
    </row>
    <row r="637" spans="5:7" x14ac:dyDescent="0.2">
      <c r="E637" s="26">
        <v>41515</v>
      </c>
      <c r="F637" s="27">
        <v>0.39563315999999998</v>
      </c>
      <c r="G637" s="3"/>
    </row>
    <row r="638" spans="5:7" x14ac:dyDescent="0.2">
      <c r="E638" s="26">
        <v>41514</v>
      </c>
      <c r="F638" s="27">
        <v>0.35578878000000003</v>
      </c>
      <c r="G638" s="3"/>
    </row>
    <row r="639" spans="5:7" x14ac:dyDescent="0.2">
      <c r="E639" s="26">
        <v>41513</v>
      </c>
      <c r="F639" s="27">
        <v>0.38014408</v>
      </c>
      <c r="G639" s="3"/>
    </row>
    <row r="640" spans="5:7" x14ac:dyDescent="0.2">
      <c r="E640" s="26">
        <v>41512</v>
      </c>
      <c r="F640" s="27">
        <v>0.30800234999999998</v>
      </c>
      <c r="G640" s="3"/>
    </row>
    <row r="641" spans="5:7" x14ac:dyDescent="0.2">
      <c r="E641" s="26">
        <v>41509</v>
      </c>
      <c r="F641" s="27">
        <v>0.29198242000000002</v>
      </c>
      <c r="G641" s="3"/>
    </row>
    <row r="642" spans="5:7" x14ac:dyDescent="0.2">
      <c r="E642" s="26">
        <v>41508</v>
      </c>
      <c r="F642" s="27">
        <v>0.27358157</v>
      </c>
      <c r="G642" s="3"/>
    </row>
    <row r="643" spans="5:7" x14ac:dyDescent="0.2">
      <c r="E643" s="26">
        <v>41507</v>
      </c>
      <c r="F643" s="27">
        <v>0.27644807999999998</v>
      </c>
      <c r="G643" s="3"/>
    </row>
    <row r="644" spans="5:7" x14ac:dyDescent="0.2">
      <c r="E644" s="26">
        <v>41506</v>
      </c>
      <c r="F644" s="27">
        <v>0.28096123000000001</v>
      </c>
      <c r="G644" s="3"/>
    </row>
    <row r="645" spans="5:7" x14ac:dyDescent="0.2">
      <c r="E645" s="26">
        <v>41505</v>
      </c>
      <c r="F645" s="27">
        <v>0.27263881000000001</v>
      </c>
      <c r="G645" s="3"/>
    </row>
    <row r="646" spans="5:7" x14ac:dyDescent="0.2">
      <c r="E646" s="26">
        <v>41502</v>
      </c>
      <c r="F646" s="27">
        <v>0.28031014999999998</v>
      </c>
      <c r="G646" s="3"/>
    </row>
    <row r="647" spans="5:7" x14ac:dyDescent="0.2">
      <c r="E647" s="26">
        <v>41501</v>
      </c>
      <c r="F647" s="27">
        <v>0.31455759999999999</v>
      </c>
      <c r="G647" s="3"/>
    </row>
    <row r="648" spans="5:7" x14ac:dyDescent="0.2">
      <c r="E648" s="26">
        <v>41500</v>
      </c>
      <c r="F648" s="27">
        <v>0.37743947</v>
      </c>
      <c r="G648" s="3"/>
    </row>
    <row r="649" spans="5:7" x14ac:dyDescent="0.2">
      <c r="E649" s="26">
        <v>41499</v>
      </c>
      <c r="F649" s="27">
        <v>0.39312795</v>
      </c>
      <c r="G649" s="3"/>
    </row>
    <row r="650" spans="5:7" x14ac:dyDescent="0.2">
      <c r="E650" s="26">
        <v>41498</v>
      </c>
      <c r="F650" s="27">
        <v>0.41321912</v>
      </c>
      <c r="G650" s="3"/>
    </row>
    <row r="651" spans="5:7" x14ac:dyDescent="0.2">
      <c r="E651" s="26">
        <v>41495</v>
      </c>
      <c r="F651" s="27">
        <v>0.41576205999999999</v>
      </c>
      <c r="G651" s="3"/>
    </row>
    <row r="652" spans="5:7" x14ac:dyDescent="0.2">
      <c r="E652" s="26">
        <v>41494</v>
      </c>
      <c r="F652" s="27">
        <v>0.41331764999999998</v>
      </c>
      <c r="G652" s="3"/>
    </row>
    <row r="653" spans="5:7" x14ac:dyDescent="0.2">
      <c r="E653" s="26">
        <v>41493</v>
      </c>
      <c r="F653" s="27">
        <v>0.41115397999999997</v>
      </c>
      <c r="G653" s="3"/>
    </row>
    <row r="654" spans="5:7" x14ac:dyDescent="0.2">
      <c r="E654" s="26">
        <v>41492</v>
      </c>
      <c r="F654" s="27">
        <v>0.40437019000000002</v>
      </c>
      <c r="G654" s="3"/>
    </row>
    <row r="655" spans="5:7" x14ac:dyDescent="0.2">
      <c r="E655" s="26">
        <v>41491</v>
      </c>
      <c r="F655" s="27">
        <v>0.40903135000000002</v>
      </c>
      <c r="G655" s="3"/>
    </row>
    <row r="656" spans="5:7" x14ac:dyDescent="0.2">
      <c r="E656" s="26">
        <v>41488</v>
      </c>
      <c r="F656" s="27">
        <v>0.41078564000000001</v>
      </c>
      <c r="G656" s="3"/>
    </row>
    <row r="657" spans="5:7" x14ac:dyDescent="0.2">
      <c r="E657" s="26">
        <v>41487</v>
      </c>
      <c r="F657" s="27">
        <v>0.33232054999999999</v>
      </c>
      <c r="G657" s="3"/>
    </row>
    <row r="658" spans="5:7" x14ac:dyDescent="0.2">
      <c r="E658" s="26">
        <v>41486</v>
      </c>
      <c r="F658" s="27">
        <v>0.42516652999999999</v>
      </c>
      <c r="G658" s="3"/>
    </row>
    <row r="659" spans="5:7" x14ac:dyDescent="0.2">
      <c r="E659" s="26">
        <v>41485</v>
      </c>
      <c r="F659" s="27">
        <v>0.42348314999999997</v>
      </c>
      <c r="G659" s="3"/>
    </row>
    <row r="660" spans="5:7" x14ac:dyDescent="0.2">
      <c r="E660" s="26">
        <v>41484</v>
      </c>
      <c r="F660" s="27">
        <v>0.42603953</v>
      </c>
      <c r="G660" s="3"/>
    </row>
    <row r="661" spans="5:7" x14ac:dyDescent="0.2">
      <c r="E661" s="26">
        <v>41481</v>
      </c>
      <c r="F661" s="27">
        <v>0.42646224999999999</v>
      </c>
      <c r="G661" s="3"/>
    </row>
    <row r="662" spans="5:7" x14ac:dyDescent="0.2">
      <c r="E662" s="26">
        <v>41480</v>
      </c>
      <c r="F662" s="27">
        <v>0.42186098999999999</v>
      </c>
      <c r="G662" s="3"/>
    </row>
    <row r="663" spans="5:7" x14ac:dyDescent="0.2">
      <c r="E663" s="26">
        <v>41479</v>
      </c>
      <c r="F663" s="27">
        <v>0.42334037000000002</v>
      </c>
      <c r="G663" s="3"/>
    </row>
    <row r="664" spans="5:7" x14ac:dyDescent="0.2">
      <c r="E664" s="26">
        <v>41478</v>
      </c>
      <c r="F664" s="27">
        <v>0.43127566000000001</v>
      </c>
      <c r="G664" s="3"/>
    </row>
    <row r="665" spans="5:7" x14ac:dyDescent="0.2">
      <c r="E665" s="26">
        <v>41477</v>
      </c>
      <c r="F665" s="27">
        <v>0.43375761000000002</v>
      </c>
      <c r="G665" s="3"/>
    </row>
    <row r="666" spans="5:7" x14ac:dyDescent="0.2">
      <c r="E666" s="26">
        <v>41474</v>
      </c>
      <c r="F666" s="27">
        <v>0.43340129999999999</v>
      </c>
      <c r="G666" s="3"/>
    </row>
    <row r="667" spans="5:7" x14ac:dyDescent="0.2">
      <c r="E667" s="26">
        <v>41473</v>
      </c>
      <c r="F667" s="27">
        <v>0.42837238</v>
      </c>
      <c r="G667" s="3"/>
    </row>
    <row r="668" spans="5:7" x14ac:dyDescent="0.2">
      <c r="E668" s="26">
        <v>41472</v>
      </c>
      <c r="F668" s="27">
        <v>0.43264901</v>
      </c>
      <c r="G668" s="3"/>
    </row>
    <row r="669" spans="5:7" x14ac:dyDescent="0.2">
      <c r="E669" s="26">
        <v>41471</v>
      </c>
      <c r="F669" s="27">
        <v>0.42713065</v>
      </c>
      <c r="G669" s="3"/>
    </row>
    <row r="670" spans="5:7" x14ac:dyDescent="0.2">
      <c r="E670" s="26">
        <v>41470</v>
      </c>
      <c r="F670" s="27">
        <v>0.42632069</v>
      </c>
      <c r="G670" s="3"/>
    </row>
    <row r="671" spans="5:7" x14ac:dyDescent="0.2">
      <c r="E671" s="26">
        <v>41467</v>
      </c>
      <c r="F671" s="27">
        <v>0.41215266</v>
      </c>
      <c r="G671" s="3"/>
    </row>
    <row r="672" spans="5:7" x14ac:dyDescent="0.2">
      <c r="E672" s="26">
        <v>41466</v>
      </c>
      <c r="F672" s="27">
        <v>0.41506283999999999</v>
      </c>
      <c r="G672" s="3"/>
    </row>
    <row r="673" spans="5:7" x14ac:dyDescent="0.2">
      <c r="E673" s="26">
        <v>41465</v>
      </c>
      <c r="F673" s="27">
        <v>0.31225017999999999</v>
      </c>
      <c r="G673" s="3"/>
    </row>
    <row r="674" spans="5:7" x14ac:dyDescent="0.2">
      <c r="E674" s="26">
        <v>41464</v>
      </c>
      <c r="F674" s="27">
        <v>0.39961025999999999</v>
      </c>
      <c r="G674" s="3"/>
    </row>
    <row r="675" spans="5:7" x14ac:dyDescent="0.2">
      <c r="E675" s="26">
        <v>41463</v>
      </c>
      <c r="F675" s="27">
        <v>0.33666590000000002</v>
      </c>
      <c r="G675" s="3"/>
    </row>
    <row r="676" spans="5:7" x14ac:dyDescent="0.2">
      <c r="E676" s="26">
        <v>41460</v>
      </c>
      <c r="F676" s="27">
        <v>0.28872759999999997</v>
      </c>
      <c r="G676" s="3"/>
    </row>
    <row r="677" spans="5:7" x14ac:dyDescent="0.2">
      <c r="E677" s="26">
        <v>41458</v>
      </c>
      <c r="F677" s="27">
        <v>0.42879772999999999</v>
      </c>
      <c r="G677" s="3"/>
    </row>
    <row r="678" spans="5:7" x14ac:dyDescent="0.2">
      <c r="E678" s="26">
        <v>41457</v>
      </c>
      <c r="F678" s="27">
        <v>0.42614523999999998</v>
      </c>
      <c r="G678" s="3"/>
    </row>
    <row r="679" spans="5:7" x14ac:dyDescent="0.2">
      <c r="E679" s="26">
        <v>41456</v>
      </c>
      <c r="F679" s="27">
        <v>0.42692645000000001</v>
      </c>
      <c r="G679" s="3"/>
    </row>
    <row r="680" spans="5:7" x14ac:dyDescent="0.2">
      <c r="E680" s="26">
        <v>41453</v>
      </c>
      <c r="F680" s="27">
        <v>0.44439106</v>
      </c>
      <c r="G680" s="3"/>
    </row>
    <row r="681" spans="5:7" x14ac:dyDescent="0.2">
      <c r="E681" s="26">
        <v>41452</v>
      </c>
      <c r="F681" s="27">
        <v>0.44367911999999998</v>
      </c>
      <c r="G681" s="3"/>
    </row>
    <row r="682" spans="5:7" x14ac:dyDescent="0.2">
      <c r="E682" s="26">
        <v>41451</v>
      </c>
      <c r="F682" s="27">
        <v>0.36913066</v>
      </c>
      <c r="G682" s="3"/>
    </row>
    <row r="683" spans="5:7" x14ac:dyDescent="0.2">
      <c r="E683" s="26">
        <v>41450</v>
      </c>
      <c r="F683" s="27">
        <v>0.41918834999999999</v>
      </c>
      <c r="G683" s="3"/>
    </row>
    <row r="684" spans="5:7" x14ac:dyDescent="0.2">
      <c r="E684" s="26">
        <v>41449</v>
      </c>
      <c r="F684" s="27">
        <v>0.42893935</v>
      </c>
      <c r="G684" s="3"/>
    </row>
    <row r="685" spans="5:7" x14ac:dyDescent="0.2">
      <c r="E685" s="26">
        <v>41446</v>
      </c>
      <c r="F685" s="27">
        <v>0.44323100999999998</v>
      </c>
      <c r="G685" s="3"/>
    </row>
    <row r="686" spans="5:7" x14ac:dyDescent="0.2">
      <c r="E686" s="26">
        <v>41445</v>
      </c>
      <c r="F686" s="27">
        <v>0.45672223000000001</v>
      </c>
      <c r="G686" s="3"/>
    </row>
    <row r="687" spans="5:7" x14ac:dyDescent="0.2">
      <c r="E687" s="26">
        <v>41444</v>
      </c>
      <c r="F687" s="27">
        <v>0.50423591999999995</v>
      </c>
      <c r="G687" s="3"/>
    </row>
    <row r="688" spans="5:7" x14ac:dyDescent="0.2">
      <c r="E688" s="26">
        <v>41443</v>
      </c>
      <c r="F688" s="27">
        <v>0.57834057000000005</v>
      </c>
      <c r="G688" s="3"/>
    </row>
    <row r="689" spans="5:7" x14ac:dyDescent="0.2">
      <c r="E689" s="26">
        <v>41442</v>
      </c>
      <c r="F689" s="27">
        <v>0.57679937999999997</v>
      </c>
      <c r="G689" s="3"/>
    </row>
    <row r="690" spans="5:7" x14ac:dyDescent="0.2">
      <c r="E690" s="26">
        <v>41439</v>
      </c>
      <c r="F690" s="27">
        <v>0.60357554000000002</v>
      </c>
      <c r="G690" s="3"/>
    </row>
    <row r="691" spans="5:7" x14ac:dyDescent="0.2">
      <c r="E691" s="26">
        <v>41438</v>
      </c>
      <c r="F691" s="27">
        <v>0.58616818000000004</v>
      </c>
      <c r="G691" s="3"/>
    </row>
    <row r="692" spans="5:7" x14ac:dyDescent="0.2">
      <c r="E692" s="26">
        <v>41437</v>
      </c>
      <c r="F692" s="27">
        <v>0.55153556000000004</v>
      </c>
      <c r="G692" s="3"/>
    </row>
    <row r="693" spans="5:7" x14ac:dyDescent="0.2">
      <c r="E693" s="26">
        <v>41436</v>
      </c>
      <c r="F693" s="27">
        <v>0.59643793000000001</v>
      </c>
      <c r="G693" s="3"/>
    </row>
    <row r="694" spans="5:7" x14ac:dyDescent="0.2">
      <c r="E694" s="26">
        <v>41435</v>
      </c>
      <c r="F694" s="27">
        <v>0.57834057000000005</v>
      </c>
      <c r="G694" s="3"/>
    </row>
    <row r="695" spans="5:7" x14ac:dyDescent="0.2">
      <c r="E695" s="26">
        <v>41432</v>
      </c>
      <c r="F695" s="27">
        <v>0.59389106999999997</v>
      </c>
      <c r="G695" s="3"/>
    </row>
    <row r="696" spans="5:7" x14ac:dyDescent="0.2">
      <c r="E696" s="26">
        <v>41431</v>
      </c>
      <c r="F696" s="27">
        <v>0.60807341999999998</v>
      </c>
      <c r="G696" s="3"/>
    </row>
    <row r="697" spans="5:7" x14ac:dyDescent="0.2">
      <c r="E697" s="26">
        <v>41430</v>
      </c>
      <c r="F697" s="27">
        <v>0.60259748000000002</v>
      </c>
      <c r="G697" s="3"/>
    </row>
    <row r="698" spans="5:7" x14ac:dyDescent="0.2">
      <c r="E698" s="26">
        <v>41429</v>
      </c>
      <c r="F698" s="27">
        <v>0.59229140999999996</v>
      </c>
      <c r="G698" s="3"/>
    </row>
    <row r="699" spans="5:7" x14ac:dyDescent="0.2">
      <c r="E699" s="26">
        <v>41428</v>
      </c>
      <c r="F699" s="27">
        <v>0.60388423000000002</v>
      </c>
      <c r="G699" s="3"/>
    </row>
    <row r="700" spans="5:7" x14ac:dyDescent="0.2">
      <c r="E700" s="26">
        <v>41425</v>
      </c>
      <c r="F700" s="27">
        <v>0.62532821000000005</v>
      </c>
      <c r="G700" s="3"/>
    </row>
    <row r="701" spans="5:7" x14ac:dyDescent="0.2">
      <c r="E701" s="26">
        <v>41424</v>
      </c>
      <c r="F701" s="27">
        <v>0.63071074000000005</v>
      </c>
      <c r="G701" s="3"/>
    </row>
    <row r="702" spans="5:7" x14ac:dyDescent="0.2">
      <c r="E702" s="26">
        <v>41423</v>
      </c>
      <c r="F702" s="27">
        <v>0.62947549999999997</v>
      </c>
      <c r="G702" s="3"/>
    </row>
    <row r="703" spans="5:7" x14ac:dyDescent="0.2">
      <c r="E703" s="26">
        <v>41422</v>
      </c>
      <c r="F703" s="27">
        <v>0.63160108999999998</v>
      </c>
      <c r="G703" s="3"/>
    </row>
    <row r="704" spans="5:7" x14ac:dyDescent="0.2">
      <c r="E704" s="26">
        <v>41418</v>
      </c>
      <c r="F704" s="27">
        <v>0.64577068999999998</v>
      </c>
      <c r="G704" s="3"/>
    </row>
    <row r="705" spans="5:7" x14ac:dyDescent="0.2">
      <c r="E705" s="26">
        <v>41417</v>
      </c>
      <c r="F705" s="27">
        <v>0.64488252000000001</v>
      </c>
      <c r="G705" s="3"/>
    </row>
    <row r="706" spans="5:7" x14ac:dyDescent="0.2">
      <c r="E706" s="26">
        <v>41416</v>
      </c>
      <c r="F706" s="27">
        <v>0.65091405000000002</v>
      </c>
      <c r="G706" s="3"/>
    </row>
    <row r="707" spans="5:7" x14ac:dyDescent="0.2">
      <c r="E707" s="26">
        <v>41415</v>
      </c>
      <c r="F707" s="27">
        <v>0.72319169000000005</v>
      </c>
      <c r="G707" s="3"/>
    </row>
    <row r="708" spans="5:7" x14ac:dyDescent="0.2">
      <c r="E708" s="26">
        <v>41414</v>
      </c>
      <c r="F708" s="27">
        <v>0.67816416000000002</v>
      </c>
      <c r="G708" s="3"/>
    </row>
    <row r="709" spans="5:7" x14ac:dyDescent="0.2">
      <c r="E709" s="26">
        <v>41411</v>
      </c>
      <c r="F709" s="27">
        <v>0.69528027999999997</v>
      </c>
      <c r="G709" s="3"/>
    </row>
    <row r="710" spans="5:7" x14ac:dyDescent="0.2">
      <c r="E710" s="26">
        <v>41410</v>
      </c>
      <c r="F710" s="27">
        <v>0.79431673999999997</v>
      </c>
      <c r="G710" s="3"/>
    </row>
    <row r="711" spans="5:7" x14ac:dyDescent="0.2">
      <c r="E711" s="26">
        <v>41409</v>
      </c>
      <c r="F711" s="27">
        <v>0.72537130999999999</v>
      </c>
      <c r="G711" s="3"/>
    </row>
    <row r="712" spans="5:7" x14ac:dyDescent="0.2">
      <c r="E712" s="26">
        <v>41408</v>
      </c>
      <c r="F712" s="27">
        <v>0.66956373000000002</v>
      </c>
      <c r="G712" s="3"/>
    </row>
    <row r="713" spans="5:7" x14ac:dyDescent="0.2">
      <c r="E713" s="26">
        <v>41407</v>
      </c>
      <c r="F713" s="27">
        <v>0.69142342000000001</v>
      </c>
      <c r="G713" s="3"/>
    </row>
    <row r="714" spans="5:7" x14ac:dyDescent="0.2">
      <c r="E714" s="26">
        <v>41404</v>
      </c>
      <c r="F714" s="27">
        <v>0.73210434000000002</v>
      </c>
      <c r="G714" s="3"/>
    </row>
    <row r="715" spans="5:7" x14ac:dyDescent="0.2">
      <c r="E715" s="26">
        <v>41403</v>
      </c>
      <c r="F715" s="27">
        <v>0.79380801000000001</v>
      </c>
      <c r="G715" s="3"/>
    </row>
    <row r="716" spans="5:7" x14ac:dyDescent="0.2">
      <c r="E716" s="26">
        <v>41402</v>
      </c>
      <c r="F716" s="27">
        <v>0.80403139000000001</v>
      </c>
      <c r="G716" s="3"/>
    </row>
    <row r="717" spans="5:7" x14ac:dyDescent="0.2">
      <c r="E717" s="26">
        <v>41401</v>
      </c>
      <c r="F717" s="27">
        <v>0.79431673999999997</v>
      </c>
      <c r="G717" s="3"/>
    </row>
    <row r="718" spans="5:7" x14ac:dyDescent="0.2">
      <c r="E718" s="26">
        <v>41400</v>
      </c>
      <c r="F718" s="27">
        <v>0.80165001999999996</v>
      </c>
      <c r="G718" s="3"/>
    </row>
    <row r="719" spans="5:7" x14ac:dyDescent="0.2">
      <c r="E719" s="26">
        <v>41397</v>
      </c>
      <c r="F719" s="27">
        <v>0.80593608999999999</v>
      </c>
      <c r="G719" s="3"/>
    </row>
    <row r="720" spans="5:7" x14ac:dyDescent="0.2">
      <c r="E720" s="26">
        <v>41396</v>
      </c>
      <c r="F720" s="27">
        <v>0.82159804000000003</v>
      </c>
      <c r="G720" s="3"/>
    </row>
    <row r="721" spans="5:7" x14ac:dyDescent="0.2">
      <c r="E721" s="26">
        <v>41395</v>
      </c>
      <c r="F721" s="27">
        <v>0.82752897000000003</v>
      </c>
      <c r="G721" s="3"/>
    </row>
    <row r="722" spans="5:7" x14ac:dyDescent="0.2">
      <c r="E722" s="26">
        <v>41394</v>
      </c>
      <c r="F722" s="27">
        <v>0.83356730999999995</v>
      </c>
      <c r="G722" s="3"/>
    </row>
    <row r="723" spans="5:7" x14ac:dyDescent="0.2">
      <c r="E723" s="26">
        <v>41393</v>
      </c>
      <c r="F723" s="27">
        <v>0.83156322999999999</v>
      </c>
      <c r="G723" s="3"/>
    </row>
    <row r="724" spans="5:7" x14ac:dyDescent="0.2">
      <c r="E724" s="26">
        <v>41390</v>
      </c>
      <c r="F724" s="27">
        <v>0.83113250999999999</v>
      </c>
      <c r="G724" s="3"/>
    </row>
    <row r="725" spans="5:7" x14ac:dyDescent="0.2">
      <c r="E725" s="26">
        <v>41389</v>
      </c>
      <c r="F725" s="27">
        <v>0.82574130999999995</v>
      </c>
      <c r="G725" s="3"/>
    </row>
    <row r="726" spans="5:7" x14ac:dyDescent="0.2">
      <c r="E726" s="26">
        <v>41388</v>
      </c>
      <c r="F726" s="27">
        <v>0.82574130999999995</v>
      </c>
      <c r="G726" s="3"/>
    </row>
    <row r="727" spans="5:7" x14ac:dyDescent="0.2">
      <c r="E727" s="26">
        <v>41387</v>
      </c>
      <c r="F727" s="27">
        <v>0.82856768000000003</v>
      </c>
      <c r="G727" s="3"/>
    </row>
    <row r="728" spans="5:7" x14ac:dyDescent="0.2">
      <c r="E728" s="26">
        <v>41386</v>
      </c>
      <c r="F728" s="27">
        <v>0.82804226999999997</v>
      </c>
      <c r="G728" s="3"/>
    </row>
    <row r="729" spans="5:7" x14ac:dyDescent="0.2">
      <c r="E729" s="26">
        <v>41383</v>
      </c>
      <c r="F729" s="27">
        <v>0.82800551</v>
      </c>
      <c r="G729" s="3"/>
    </row>
    <row r="730" spans="5:7" x14ac:dyDescent="0.2">
      <c r="E730" s="26">
        <v>41382</v>
      </c>
      <c r="F730" s="27">
        <v>0.82956596000000005</v>
      </c>
      <c r="G730" s="3"/>
    </row>
    <row r="731" spans="5:7" x14ac:dyDescent="0.2">
      <c r="E731" s="26">
        <v>41381</v>
      </c>
      <c r="F731" s="27">
        <v>0.82774426000000001</v>
      </c>
      <c r="G731" s="3"/>
    </row>
    <row r="732" spans="5:7" x14ac:dyDescent="0.2">
      <c r="E732" s="26">
        <v>41380</v>
      </c>
      <c r="F732" s="27">
        <v>0.82470003999999997</v>
      </c>
      <c r="G732" s="3"/>
    </row>
    <row r="733" spans="5:7" x14ac:dyDescent="0.2">
      <c r="E733" s="26">
        <v>41379</v>
      </c>
      <c r="F733" s="27">
        <v>0.82715181999999998</v>
      </c>
      <c r="G733" s="3"/>
    </row>
    <row r="734" spans="5:7" x14ac:dyDescent="0.2">
      <c r="E734" s="26">
        <v>41376</v>
      </c>
      <c r="F734" s="27">
        <v>0.82477339000000005</v>
      </c>
      <c r="G734" s="3"/>
    </row>
    <row r="735" spans="5:7" x14ac:dyDescent="0.2">
      <c r="E735" s="26">
        <v>41375</v>
      </c>
      <c r="F735" s="27">
        <v>0.80849727999999998</v>
      </c>
      <c r="G735" s="3"/>
    </row>
    <row r="736" spans="5:7" x14ac:dyDescent="0.2">
      <c r="E736" s="26">
        <v>41374</v>
      </c>
      <c r="F736" s="27">
        <v>0.79452882999999996</v>
      </c>
      <c r="G736" s="3"/>
    </row>
    <row r="737" spans="5:7" x14ac:dyDescent="0.2">
      <c r="E737" s="26">
        <v>41373</v>
      </c>
      <c r="F737" s="27">
        <v>0.81850336999999995</v>
      </c>
      <c r="G737" s="3"/>
    </row>
    <row r="738" spans="5:7" x14ac:dyDescent="0.2">
      <c r="E738" s="26">
        <v>41372</v>
      </c>
      <c r="F738" s="27">
        <v>0.82265425999999997</v>
      </c>
      <c r="G738" s="3"/>
    </row>
    <row r="739" spans="5:7" x14ac:dyDescent="0.2">
      <c r="E739" s="26">
        <v>41369</v>
      </c>
      <c r="F739" s="27">
        <v>0.82856768000000003</v>
      </c>
      <c r="G739" s="3"/>
    </row>
    <row r="740" spans="5:7" x14ac:dyDescent="0.2">
      <c r="E740" s="26">
        <v>41368</v>
      </c>
      <c r="F740" s="27">
        <v>0.81980116999999997</v>
      </c>
      <c r="G740" s="3"/>
    </row>
    <row r="741" spans="5:7" x14ac:dyDescent="0.2">
      <c r="E741" s="26">
        <v>41367</v>
      </c>
      <c r="F741" s="27">
        <v>0.77887764000000004</v>
      </c>
      <c r="G741" s="3"/>
    </row>
    <row r="742" spans="5:7" x14ac:dyDescent="0.2">
      <c r="E742" s="26">
        <v>41366</v>
      </c>
      <c r="F742" s="27">
        <v>0.74944891000000002</v>
      </c>
      <c r="G742" s="3"/>
    </row>
    <row r="743" spans="5:7" x14ac:dyDescent="0.2">
      <c r="E743" s="26">
        <v>41365</v>
      </c>
      <c r="F743" s="27">
        <v>0.76571301000000003</v>
      </c>
      <c r="G743" s="3"/>
    </row>
    <row r="744" spans="5:7" x14ac:dyDescent="0.2">
      <c r="E744" s="26">
        <v>41361</v>
      </c>
      <c r="F744" s="27">
        <v>0.76515105000000005</v>
      </c>
      <c r="G744" s="3"/>
    </row>
    <row r="745" spans="5:7" x14ac:dyDescent="0.2">
      <c r="E745" s="26">
        <v>41360</v>
      </c>
      <c r="F745" s="27">
        <v>0.77084069</v>
      </c>
      <c r="G745" s="3"/>
    </row>
    <row r="746" spans="5:7" x14ac:dyDescent="0.2">
      <c r="E746" s="26">
        <v>41359</v>
      </c>
      <c r="F746" s="27">
        <v>0.77702022999999998</v>
      </c>
      <c r="G746" s="3"/>
    </row>
    <row r="747" spans="5:7" x14ac:dyDescent="0.2">
      <c r="E747" s="26">
        <v>41358</v>
      </c>
      <c r="F747" s="27">
        <v>0.77926318999999999</v>
      </c>
      <c r="G747" s="3"/>
    </row>
    <row r="748" spans="5:7" x14ac:dyDescent="0.2">
      <c r="E748" s="26">
        <v>41355</v>
      </c>
      <c r="F748" s="27">
        <v>0.77786171000000004</v>
      </c>
      <c r="G748" s="3"/>
    </row>
    <row r="749" spans="5:7" x14ac:dyDescent="0.2">
      <c r="E749" s="26">
        <v>41354</v>
      </c>
      <c r="F749" s="27">
        <v>0.73465606999999999</v>
      </c>
      <c r="G749" s="3"/>
    </row>
    <row r="750" spans="5:7" x14ac:dyDescent="0.2">
      <c r="E750" s="26">
        <v>41353</v>
      </c>
      <c r="F750" s="27">
        <v>0.77084069</v>
      </c>
      <c r="G750" s="3"/>
    </row>
    <row r="751" spans="5:7" x14ac:dyDescent="0.2">
      <c r="E751" s="26">
        <v>41352</v>
      </c>
      <c r="F751" s="27">
        <v>0.78695435999999996</v>
      </c>
      <c r="G751" s="3"/>
    </row>
    <row r="752" spans="5:7" x14ac:dyDescent="0.2">
      <c r="E752" s="26">
        <v>41351</v>
      </c>
      <c r="F752" s="27">
        <v>0.76202199999999998</v>
      </c>
      <c r="G752" s="3"/>
    </row>
    <row r="753" spans="5:7" x14ac:dyDescent="0.2">
      <c r="E753" s="26">
        <v>41348</v>
      </c>
      <c r="F753" s="27">
        <v>0.72532763</v>
      </c>
      <c r="G753" s="3"/>
    </row>
    <row r="754" spans="5:7" x14ac:dyDescent="0.2">
      <c r="E754" s="26">
        <v>41347</v>
      </c>
      <c r="F754" s="27">
        <v>0.70558498000000003</v>
      </c>
      <c r="G754" s="3"/>
    </row>
    <row r="755" spans="5:7" x14ac:dyDescent="0.2">
      <c r="E755" s="26">
        <v>41346</v>
      </c>
      <c r="F755" s="27">
        <v>0.70688881999999997</v>
      </c>
      <c r="G755" s="3"/>
    </row>
    <row r="756" spans="5:7" x14ac:dyDescent="0.2">
      <c r="E756" s="26">
        <v>41345</v>
      </c>
      <c r="F756" s="27">
        <v>0.69888139000000005</v>
      </c>
      <c r="G756" s="3"/>
    </row>
    <row r="757" spans="5:7" x14ac:dyDescent="0.2">
      <c r="E757" s="26">
        <v>41344</v>
      </c>
      <c r="F757" s="27">
        <v>0.69041534999999998</v>
      </c>
      <c r="G757" s="3"/>
    </row>
    <row r="758" spans="5:7" x14ac:dyDescent="0.2">
      <c r="E758" s="26">
        <v>41341</v>
      </c>
      <c r="F758" s="27">
        <v>0.68844536999999995</v>
      </c>
      <c r="G758" s="3"/>
    </row>
    <row r="759" spans="5:7" x14ac:dyDescent="0.2">
      <c r="E759" s="26">
        <v>41340</v>
      </c>
      <c r="F759" s="27">
        <v>0.71013143999999995</v>
      </c>
      <c r="G759" s="3"/>
    </row>
    <row r="760" spans="5:7" x14ac:dyDescent="0.2">
      <c r="E760" s="26">
        <v>41339</v>
      </c>
      <c r="F760" s="27">
        <v>0.75669235000000001</v>
      </c>
      <c r="G760" s="3"/>
    </row>
    <row r="761" spans="5:7" x14ac:dyDescent="0.2">
      <c r="E761" s="26">
        <v>41338</v>
      </c>
      <c r="F761" s="27">
        <v>0.81743252</v>
      </c>
      <c r="G761" s="3"/>
    </row>
    <row r="762" spans="5:7" x14ac:dyDescent="0.2">
      <c r="E762" s="26">
        <v>41337</v>
      </c>
      <c r="F762" s="27">
        <v>0.82448531000000003</v>
      </c>
      <c r="G762" s="3"/>
    </row>
    <row r="763" spans="5:7" x14ac:dyDescent="0.2">
      <c r="E763" s="26">
        <v>41334</v>
      </c>
      <c r="F763" s="27">
        <v>0.83067533000000005</v>
      </c>
      <c r="G763" s="3"/>
    </row>
    <row r="764" spans="5:7" x14ac:dyDescent="0.2">
      <c r="E764" s="26">
        <v>41333</v>
      </c>
      <c r="F764" s="27">
        <v>0.84309752999999998</v>
      </c>
      <c r="G764" s="3"/>
    </row>
    <row r="765" spans="5:7" x14ac:dyDescent="0.2">
      <c r="E765" s="26">
        <v>41332</v>
      </c>
      <c r="F765" s="27">
        <v>0.82756768000000003</v>
      </c>
      <c r="G765" s="3"/>
    </row>
    <row r="766" spans="5:7" x14ac:dyDescent="0.2">
      <c r="E766" s="26">
        <v>41331</v>
      </c>
      <c r="F766" s="27">
        <v>0.84215019999999996</v>
      </c>
      <c r="G766" s="3"/>
    </row>
    <row r="767" spans="5:7" x14ac:dyDescent="0.2">
      <c r="E767" s="26">
        <v>41330</v>
      </c>
      <c r="F767" s="27">
        <v>0.83204617000000003</v>
      </c>
      <c r="G767" s="3"/>
    </row>
    <row r="768" spans="5:7" x14ac:dyDescent="0.2">
      <c r="E768" s="26">
        <v>41327</v>
      </c>
      <c r="F768" s="27">
        <v>0.76181047000000002</v>
      </c>
      <c r="G768" s="3"/>
    </row>
    <row r="769" spans="5:7" x14ac:dyDescent="0.2">
      <c r="E769" s="26">
        <v>41326</v>
      </c>
      <c r="F769" s="27">
        <v>0.75956073000000002</v>
      </c>
      <c r="G769" s="3"/>
    </row>
    <row r="770" spans="5:7" x14ac:dyDescent="0.2">
      <c r="E770" s="26">
        <v>41325</v>
      </c>
      <c r="F770" s="27">
        <v>0.74910363000000002</v>
      </c>
      <c r="G770" s="3"/>
    </row>
    <row r="771" spans="5:7" x14ac:dyDescent="0.2">
      <c r="E771" s="26">
        <v>41324</v>
      </c>
      <c r="F771" s="27">
        <v>0.74506516</v>
      </c>
      <c r="G771" s="3"/>
    </row>
    <row r="772" spans="5:7" x14ac:dyDescent="0.2">
      <c r="E772" s="26">
        <v>41320</v>
      </c>
      <c r="F772" s="27">
        <v>0.75767121000000004</v>
      </c>
      <c r="G772" s="3"/>
    </row>
    <row r="773" spans="5:7" x14ac:dyDescent="0.2">
      <c r="E773" s="26">
        <v>41319</v>
      </c>
      <c r="F773" s="27">
        <v>0.77547370000000004</v>
      </c>
      <c r="G773" s="3"/>
    </row>
    <row r="774" spans="5:7" x14ac:dyDescent="0.2">
      <c r="E774" s="26">
        <v>41318</v>
      </c>
      <c r="F774" s="27">
        <v>0.73648318000000002</v>
      </c>
      <c r="G774" s="3"/>
    </row>
    <row r="775" spans="5:7" x14ac:dyDescent="0.2">
      <c r="E775" s="26">
        <v>41317</v>
      </c>
      <c r="F775" s="27">
        <v>0.75767121000000004</v>
      </c>
      <c r="G775" s="3"/>
    </row>
    <row r="776" spans="5:7" x14ac:dyDescent="0.2">
      <c r="E776" s="26">
        <v>41316</v>
      </c>
      <c r="F776" s="27">
        <v>0.80855876999999998</v>
      </c>
      <c r="G776" s="3"/>
    </row>
    <row r="777" spans="5:7" x14ac:dyDescent="0.2">
      <c r="E777" s="26">
        <v>41313</v>
      </c>
      <c r="F777" s="27">
        <v>0.79899058000000001</v>
      </c>
      <c r="G777" s="3"/>
    </row>
    <row r="778" spans="5:7" x14ac:dyDescent="0.2">
      <c r="E778" s="26">
        <v>41312</v>
      </c>
      <c r="F778" s="27">
        <v>0.82222097000000005</v>
      </c>
      <c r="G778" s="3"/>
    </row>
    <row r="779" spans="5:7" x14ac:dyDescent="0.2">
      <c r="E779" s="26">
        <v>41311</v>
      </c>
      <c r="F779" s="27">
        <v>0.81304865000000004</v>
      </c>
      <c r="G779" s="3"/>
    </row>
    <row r="780" spans="5:7" x14ac:dyDescent="0.2">
      <c r="E780" s="26">
        <v>41310</v>
      </c>
      <c r="F780" s="27">
        <v>0.73569048000000004</v>
      </c>
      <c r="G780" s="3"/>
    </row>
    <row r="781" spans="5:7" x14ac:dyDescent="0.2">
      <c r="E781" s="26">
        <v>41309</v>
      </c>
      <c r="F781" s="27">
        <v>0.77338823999999995</v>
      </c>
      <c r="G781" s="3"/>
    </row>
    <row r="782" spans="5:7" x14ac:dyDescent="0.2">
      <c r="E782" s="26">
        <v>41306</v>
      </c>
      <c r="F782" s="27">
        <v>0.74042772999999995</v>
      </c>
      <c r="G782" s="3"/>
    </row>
    <row r="783" spans="5:7" x14ac:dyDescent="0.2">
      <c r="E783" s="26">
        <v>41305</v>
      </c>
      <c r="F783" s="27">
        <v>0.77474962999999997</v>
      </c>
      <c r="G783" s="3"/>
    </row>
    <row r="784" spans="5:7" x14ac:dyDescent="0.2">
      <c r="E784" s="26">
        <v>41304</v>
      </c>
      <c r="F784" s="27">
        <v>0.77275377999999995</v>
      </c>
      <c r="G784" s="3"/>
    </row>
    <row r="785" spans="5:7" x14ac:dyDescent="0.2">
      <c r="E785" s="26">
        <v>41303</v>
      </c>
      <c r="F785" s="27">
        <v>0.75705208999999996</v>
      </c>
      <c r="G785" s="3"/>
    </row>
    <row r="786" spans="5:7" x14ac:dyDescent="0.2">
      <c r="E786" s="26">
        <v>41302</v>
      </c>
      <c r="F786" s="27">
        <v>0.76767467</v>
      </c>
      <c r="G786" s="3"/>
    </row>
    <row r="787" spans="5:7" x14ac:dyDescent="0.2">
      <c r="E787" s="26">
        <v>41299</v>
      </c>
      <c r="F787" s="27">
        <v>0.80504880000000001</v>
      </c>
      <c r="G787" s="3"/>
    </row>
    <row r="788" spans="5:7" x14ac:dyDescent="0.2">
      <c r="E788" s="26">
        <v>41298</v>
      </c>
      <c r="F788" s="27">
        <v>0.88296931999999995</v>
      </c>
      <c r="G788" s="3"/>
    </row>
    <row r="789" spans="5:7" x14ac:dyDescent="0.2">
      <c r="E789" s="26">
        <v>41297</v>
      </c>
      <c r="F789" s="27">
        <v>0.88439003000000005</v>
      </c>
      <c r="G789" s="3"/>
    </row>
    <row r="790" spans="5:7" x14ac:dyDescent="0.2">
      <c r="E790" s="26">
        <v>41296</v>
      </c>
      <c r="F790" s="27">
        <v>0.88215476000000004</v>
      </c>
      <c r="G790" s="3"/>
    </row>
    <row r="791" spans="5:7" x14ac:dyDescent="0.2">
      <c r="E791" s="26">
        <v>41292</v>
      </c>
      <c r="F791" s="27">
        <v>0.88249445999999998</v>
      </c>
      <c r="G791" s="3"/>
    </row>
    <row r="792" spans="5:7" x14ac:dyDescent="0.2">
      <c r="E792" s="26">
        <v>41291</v>
      </c>
      <c r="F792" s="27">
        <v>0.87804391999999998</v>
      </c>
      <c r="G792" s="3"/>
    </row>
    <row r="793" spans="5:7" x14ac:dyDescent="0.2">
      <c r="E793" s="26">
        <v>41290</v>
      </c>
      <c r="F793" s="27">
        <v>0.88589474999999995</v>
      </c>
      <c r="G793" s="3"/>
    </row>
    <row r="794" spans="5:7" x14ac:dyDescent="0.2">
      <c r="E794" s="26">
        <v>41289</v>
      </c>
      <c r="F794" s="27">
        <v>0.88589474999999995</v>
      </c>
      <c r="G794" s="3"/>
    </row>
    <row r="795" spans="5:7" x14ac:dyDescent="0.2">
      <c r="E795" s="26">
        <v>41288</v>
      </c>
      <c r="F795" s="27">
        <v>0.88696178000000003</v>
      </c>
      <c r="G795" s="3"/>
    </row>
    <row r="796" spans="5:7" x14ac:dyDescent="0.2">
      <c r="E796" s="26">
        <v>41285</v>
      </c>
      <c r="F796" s="27">
        <v>0.88689883999999997</v>
      </c>
      <c r="G796" s="3"/>
    </row>
    <row r="797" spans="5:7" x14ac:dyDescent="0.2">
      <c r="E797" s="26">
        <v>41284</v>
      </c>
      <c r="F797" s="27">
        <v>0.88539641000000002</v>
      </c>
      <c r="G797" s="3"/>
    </row>
    <row r="798" spans="5:7" x14ac:dyDescent="0.2">
      <c r="E798" s="26">
        <v>41283</v>
      </c>
      <c r="F798" s="27">
        <v>0.88797930000000003</v>
      </c>
      <c r="G798" s="3"/>
    </row>
    <row r="799" spans="5:7" x14ac:dyDescent="0.2">
      <c r="E799" s="26">
        <v>41282</v>
      </c>
      <c r="F799" s="27">
        <v>0.87519625000000001</v>
      </c>
      <c r="G799" s="3"/>
    </row>
    <row r="800" spans="5:7" x14ac:dyDescent="0.2">
      <c r="E800" s="26">
        <v>41281</v>
      </c>
      <c r="F800" s="27">
        <v>0.86736603000000001</v>
      </c>
      <c r="G800" s="3"/>
    </row>
    <row r="801" spans="5:7" x14ac:dyDescent="0.2">
      <c r="E801" s="26">
        <v>41278</v>
      </c>
      <c r="F801" s="27">
        <v>0.83571636000000005</v>
      </c>
      <c r="G801" s="3"/>
    </row>
    <row r="802" spans="5:7" x14ac:dyDescent="0.2">
      <c r="E802" s="26">
        <v>41277</v>
      </c>
      <c r="F802" s="27">
        <v>0.85458392999999999</v>
      </c>
      <c r="G802" s="3"/>
    </row>
    <row r="803" spans="5:7" x14ac:dyDescent="0.2">
      <c r="E803" s="26">
        <v>41276</v>
      </c>
      <c r="F803" s="27">
        <v>0.88507237000000005</v>
      </c>
      <c r="G803" s="3"/>
    </row>
    <row r="804" spans="5:7" x14ac:dyDescent="0.2">
      <c r="E804" s="26">
        <v>41274</v>
      </c>
      <c r="F804" s="27">
        <v>0.91103829999999997</v>
      </c>
      <c r="G804" s="3"/>
    </row>
    <row r="805" spans="5:7" x14ac:dyDescent="0.2">
      <c r="E805" s="26">
        <v>41271</v>
      </c>
      <c r="F805" s="27">
        <v>0.91245498999999997</v>
      </c>
      <c r="G805" s="3"/>
    </row>
    <row r="806" spans="5:7" x14ac:dyDescent="0.2">
      <c r="E806" s="26">
        <v>41270</v>
      </c>
      <c r="F806" s="27">
        <v>0.91356859000000001</v>
      </c>
      <c r="G806" s="3"/>
    </row>
    <row r="807" spans="5:7" x14ac:dyDescent="0.2">
      <c r="E807" s="26">
        <v>41269</v>
      </c>
      <c r="F807" s="27">
        <v>0.91054997000000004</v>
      </c>
      <c r="G807" s="3"/>
    </row>
    <row r="808" spans="5:7" x14ac:dyDescent="0.2">
      <c r="E808" s="26">
        <v>41267</v>
      </c>
      <c r="F808" s="27">
        <v>0.91023827000000002</v>
      </c>
      <c r="G808" s="3"/>
    </row>
    <row r="809" spans="5:7" x14ac:dyDescent="0.2">
      <c r="E809" s="26">
        <v>41264</v>
      </c>
      <c r="F809" s="27">
        <v>0.91263181000000004</v>
      </c>
      <c r="G809" s="3"/>
    </row>
    <row r="810" spans="5:7" x14ac:dyDescent="0.2">
      <c r="E810" s="26">
        <v>41263</v>
      </c>
      <c r="F810" s="27">
        <v>0.90996273999999999</v>
      </c>
      <c r="G810" s="3"/>
    </row>
    <row r="811" spans="5:7" x14ac:dyDescent="0.2">
      <c r="E811" s="26">
        <v>41262</v>
      </c>
      <c r="F811" s="27">
        <v>0.90929634999999998</v>
      </c>
      <c r="G811" s="3"/>
    </row>
    <row r="812" spans="5:7" x14ac:dyDescent="0.2">
      <c r="E812" s="26">
        <v>41261</v>
      </c>
      <c r="F812" s="27">
        <v>0.90632723999999998</v>
      </c>
      <c r="G812" s="3"/>
    </row>
    <row r="813" spans="5:7" x14ac:dyDescent="0.2">
      <c r="E813" s="26">
        <v>41260</v>
      </c>
      <c r="F813" s="27">
        <v>0.90980081999999995</v>
      </c>
      <c r="G813" s="3"/>
    </row>
    <row r="814" spans="5:7" x14ac:dyDescent="0.2">
      <c r="E814" s="26">
        <v>41257</v>
      </c>
      <c r="F814" s="27">
        <v>0.91004114000000003</v>
      </c>
      <c r="G814" s="3"/>
    </row>
    <row r="815" spans="5:7" x14ac:dyDescent="0.2">
      <c r="E815" s="26">
        <v>41256</v>
      </c>
      <c r="F815" s="27">
        <v>0.90995208000000005</v>
      </c>
      <c r="G815" s="3"/>
    </row>
    <row r="816" spans="5:7" x14ac:dyDescent="0.2">
      <c r="E816" s="26">
        <v>41255</v>
      </c>
      <c r="F816" s="27">
        <v>0.91013454000000005</v>
      </c>
      <c r="G816" s="3"/>
    </row>
    <row r="817" spans="5:7" x14ac:dyDescent="0.2">
      <c r="E817" s="26">
        <v>41254</v>
      </c>
      <c r="F817" s="27">
        <v>0.90824320000000003</v>
      </c>
      <c r="G817" s="3"/>
    </row>
    <row r="818" spans="5:7" x14ac:dyDescent="0.2">
      <c r="E818" s="26">
        <v>41253</v>
      </c>
      <c r="F818" s="27">
        <v>0.90822765000000005</v>
      </c>
      <c r="G818" s="3"/>
    </row>
    <row r="819" spans="5:7" x14ac:dyDescent="0.2">
      <c r="E819" s="26">
        <v>41250</v>
      </c>
      <c r="F819" s="27">
        <v>0.90648165999999997</v>
      </c>
      <c r="G819" s="3"/>
    </row>
    <row r="820" spans="5:7" x14ac:dyDescent="0.2">
      <c r="E820" s="26">
        <v>41249</v>
      </c>
      <c r="F820" s="27">
        <v>0.90949672000000004</v>
      </c>
      <c r="G820" s="3"/>
    </row>
    <row r="821" spans="5:7" x14ac:dyDescent="0.2">
      <c r="E821" s="26">
        <v>41248</v>
      </c>
      <c r="F821" s="27">
        <v>0.91038313999999998</v>
      </c>
      <c r="G821" s="3"/>
    </row>
    <row r="822" spans="5:7" x14ac:dyDescent="0.2">
      <c r="E822" s="26">
        <v>41247</v>
      </c>
      <c r="F822" s="27">
        <v>0.91340927999999999</v>
      </c>
      <c r="G822" s="3"/>
    </row>
    <row r="823" spans="5:7" x14ac:dyDescent="0.2">
      <c r="E823" s="26">
        <v>41246</v>
      </c>
      <c r="F823" s="27">
        <v>0.91182074000000002</v>
      </c>
      <c r="G823" s="3"/>
    </row>
    <row r="824" spans="5:7" x14ac:dyDescent="0.2">
      <c r="E824" s="26">
        <v>41243</v>
      </c>
      <c r="F824" s="27">
        <v>0.92988565999999995</v>
      </c>
      <c r="G824" s="3"/>
    </row>
    <row r="825" spans="5:7" x14ac:dyDescent="0.2">
      <c r="E825" s="26">
        <v>41242</v>
      </c>
      <c r="F825" s="27">
        <v>0.92988565999999995</v>
      </c>
      <c r="G825" s="3"/>
    </row>
    <row r="826" spans="5:7" x14ac:dyDescent="0.2">
      <c r="E826" s="26">
        <v>41241</v>
      </c>
      <c r="F826" s="27">
        <v>0.93272887999999998</v>
      </c>
      <c r="G826" s="3"/>
    </row>
    <row r="827" spans="5:7" x14ac:dyDescent="0.2">
      <c r="E827" s="26">
        <v>41240</v>
      </c>
      <c r="F827" s="27">
        <v>0.94132097000000003</v>
      </c>
      <c r="G827" s="3"/>
    </row>
    <row r="828" spans="5:7" x14ac:dyDescent="0.2">
      <c r="E828" s="26">
        <v>41239</v>
      </c>
      <c r="F828" s="27">
        <v>0.92791716999999996</v>
      </c>
      <c r="G828" s="3"/>
    </row>
    <row r="829" spans="5:7" x14ac:dyDescent="0.2">
      <c r="E829" s="26">
        <v>41236</v>
      </c>
      <c r="F829" s="27">
        <v>0.92490912999999997</v>
      </c>
      <c r="G829" s="3"/>
    </row>
    <row r="830" spans="5:7" x14ac:dyDescent="0.2">
      <c r="E830" s="26">
        <v>41234</v>
      </c>
      <c r="F830" s="27">
        <v>0.92549680000000001</v>
      </c>
      <c r="G830" s="3"/>
    </row>
    <row r="831" spans="5:7" x14ac:dyDescent="0.2">
      <c r="E831" s="26">
        <v>41233</v>
      </c>
      <c r="F831" s="27">
        <v>0.92526991000000003</v>
      </c>
      <c r="G831" s="3"/>
    </row>
    <row r="832" spans="5:7" x14ac:dyDescent="0.2">
      <c r="E832" s="26">
        <v>41232</v>
      </c>
      <c r="F832" s="27">
        <v>0.92854455999999996</v>
      </c>
      <c r="G832" s="3"/>
    </row>
    <row r="833" spans="5:7" x14ac:dyDescent="0.2">
      <c r="E833" s="26">
        <v>41229</v>
      </c>
      <c r="F833" s="27">
        <v>0.93163985000000005</v>
      </c>
      <c r="G833" s="3"/>
    </row>
    <row r="834" spans="5:7" x14ac:dyDescent="0.2">
      <c r="E834" s="26">
        <v>41228</v>
      </c>
      <c r="F834" s="27">
        <v>0.92732130000000002</v>
      </c>
      <c r="G834" s="3"/>
    </row>
    <row r="835" spans="5:7" x14ac:dyDescent="0.2">
      <c r="E835" s="26">
        <v>41227</v>
      </c>
      <c r="F835" s="27">
        <v>0.92562493000000001</v>
      </c>
      <c r="G835" s="3"/>
    </row>
    <row r="836" spans="5:7" x14ac:dyDescent="0.2">
      <c r="E836" s="26">
        <v>41226</v>
      </c>
      <c r="F836" s="27">
        <v>0.93089803000000004</v>
      </c>
      <c r="G836" s="3"/>
    </row>
    <row r="837" spans="5:7" x14ac:dyDescent="0.2">
      <c r="E837" s="26">
        <v>41222</v>
      </c>
      <c r="F837" s="27">
        <v>0.93539373000000003</v>
      </c>
      <c r="G837" s="3"/>
    </row>
    <row r="838" spans="5:7" x14ac:dyDescent="0.2">
      <c r="E838" s="26">
        <v>41221</v>
      </c>
      <c r="F838" s="27">
        <v>0.93733515999999995</v>
      </c>
      <c r="G838" s="3"/>
    </row>
    <row r="839" spans="5:7" x14ac:dyDescent="0.2">
      <c r="E839" s="26">
        <v>41220</v>
      </c>
      <c r="F839" s="27">
        <v>0.93010998</v>
      </c>
      <c r="G839" s="3"/>
    </row>
    <row r="840" spans="5:7" x14ac:dyDescent="0.2">
      <c r="E840" s="26">
        <v>41219</v>
      </c>
      <c r="F840" s="27">
        <v>0.92380282000000002</v>
      </c>
      <c r="G840" s="3"/>
    </row>
    <row r="841" spans="5:7" x14ac:dyDescent="0.2">
      <c r="E841" s="26">
        <v>41218</v>
      </c>
      <c r="F841" s="27">
        <v>0.92775901999999999</v>
      </c>
      <c r="G841" s="3"/>
    </row>
    <row r="842" spans="5:7" x14ac:dyDescent="0.2">
      <c r="E842" s="26">
        <v>41215</v>
      </c>
      <c r="F842" s="27">
        <v>0.92607404999999998</v>
      </c>
      <c r="G842" s="3"/>
    </row>
    <row r="843" spans="5:7" x14ac:dyDescent="0.2">
      <c r="E843" s="26">
        <v>41214</v>
      </c>
      <c r="F843" s="27">
        <v>0.92433999</v>
      </c>
      <c r="G843" s="3"/>
    </row>
    <row r="844" spans="5:7" x14ac:dyDescent="0.2">
      <c r="E844" s="26">
        <v>41213</v>
      </c>
      <c r="F844" s="27">
        <v>0.95372451000000003</v>
      </c>
      <c r="G844" s="3"/>
    </row>
    <row r="845" spans="5:7" x14ac:dyDescent="0.2">
      <c r="E845" s="26">
        <v>41211</v>
      </c>
      <c r="F845" s="27">
        <v>0.95225641000000005</v>
      </c>
      <c r="G845" s="3"/>
    </row>
    <row r="846" spans="5:7" x14ac:dyDescent="0.2">
      <c r="E846" s="26">
        <v>41208</v>
      </c>
      <c r="F846" s="27">
        <v>0.95078607000000004</v>
      </c>
      <c r="G846" s="3"/>
    </row>
    <row r="847" spans="5:7" x14ac:dyDescent="0.2">
      <c r="E847" s="26">
        <v>41207</v>
      </c>
      <c r="F847" s="27">
        <v>0.94293229999999995</v>
      </c>
      <c r="G847" s="3"/>
    </row>
    <row r="848" spans="5:7" x14ac:dyDescent="0.2">
      <c r="E848" s="26">
        <v>41206</v>
      </c>
      <c r="F848" s="27">
        <v>0.95035082999999998</v>
      </c>
      <c r="G848" s="3"/>
    </row>
    <row r="849" spans="5:7" x14ac:dyDescent="0.2">
      <c r="E849" s="26">
        <v>41205</v>
      </c>
      <c r="F849" s="27">
        <v>0.94267858999999998</v>
      </c>
      <c r="G849" s="3"/>
    </row>
    <row r="850" spans="5:7" x14ac:dyDescent="0.2">
      <c r="E850" s="26">
        <v>41204</v>
      </c>
      <c r="F850" s="27">
        <v>0.93645276</v>
      </c>
      <c r="G850" s="3"/>
    </row>
    <row r="851" spans="5:7" x14ac:dyDescent="0.2">
      <c r="E851" s="26">
        <v>41201</v>
      </c>
      <c r="F851" s="27">
        <v>0.94491190999999997</v>
      </c>
      <c r="G851" s="3"/>
    </row>
    <row r="852" spans="5:7" x14ac:dyDescent="0.2">
      <c r="E852" s="26">
        <v>41200</v>
      </c>
      <c r="F852" s="27">
        <v>0.91462215999999996</v>
      </c>
      <c r="G852" s="3"/>
    </row>
    <row r="853" spans="5:7" x14ac:dyDescent="0.2">
      <c r="E853" s="26">
        <v>41199</v>
      </c>
      <c r="F853" s="27">
        <v>0.93914913</v>
      </c>
      <c r="G853" s="3"/>
    </row>
    <row r="854" spans="5:7" x14ac:dyDescent="0.2">
      <c r="E854" s="26">
        <v>41198</v>
      </c>
      <c r="F854" s="27">
        <v>0.95139426999999999</v>
      </c>
      <c r="G854" s="3"/>
    </row>
    <row r="855" spans="5:7" x14ac:dyDescent="0.2">
      <c r="E855" s="26">
        <v>41197</v>
      </c>
      <c r="F855" s="27">
        <v>0.95308886000000004</v>
      </c>
      <c r="G855" s="3"/>
    </row>
    <row r="856" spans="5:7" x14ac:dyDescent="0.2">
      <c r="E856" s="26">
        <v>41194</v>
      </c>
      <c r="F856" s="27">
        <v>0.95492847000000003</v>
      </c>
      <c r="G856" s="3"/>
    </row>
    <row r="857" spans="5:7" x14ac:dyDescent="0.2">
      <c r="E857" s="26">
        <v>41193</v>
      </c>
      <c r="F857" s="27">
        <v>0.95398616999999997</v>
      </c>
      <c r="G857" s="3"/>
    </row>
    <row r="858" spans="5:7" x14ac:dyDescent="0.2">
      <c r="E858" s="26">
        <v>41192</v>
      </c>
      <c r="F858" s="27">
        <v>0.95291117000000003</v>
      </c>
      <c r="G858" s="3"/>
    </row>
    <row r="859" spans="5:7" x14ac:dyDescent="0.2">
      <c r="E859" s="26">
        <v>41191</v>
      </c>
      <c r="F859" s="27">
        <v>0.94675193999999996</v>
      </c>
      <c r="G859" s="3"/>
    </row>
    <row r="860" spans="5:7" x14ac:dyDescent="0.2">
      <c r="E860" s="26">
        <v>41187</v>
      </c>
      <c r="F860" s="27">
        <v>0.94919237000000001</v>
      </c>
      <c r="G860" s="3"/>
    </row>
    <row r="861" spans="5:7" x14ac:dyDescent="0.2">
      <c r="E861" s="26">
        <v>41186</v>
      </c>
      <c r="F861" s="27">
        <v>0.95072444</v>
      </c>
      <c r="G861" s="3"/>
    </row>
    <row r="862" spans="5:7" x14ac:dyDescent="0.2">
      <c r="E862" s="26">
        <v>41185</v>
      </c>
      <c r="F862" s="27">
        <v>0.95493826999999998</v>
      </c>
      <c r="G862" s="3"/>
    </row>
    <row r="863" spans="5:7" x14ac:dyDescent="0.2">
      <c r="E863" s="26">
        <v>41184</v>
      </c>
      <c r="F863" s="27">
        <v>0.97003647000000004</v>
      </c>
      <c r="G863" s="3"/>
    </row>
    <row r="864" spans="5:7" x14ac:dyDescent="0.2">
      <c r="E864" s="26">
        <v>41183</v>
      </c>
      <c r="F864" s="27">
        <v>0.95609193999999997</v>
      </c>
      <c r="G864" s="3"/>
    </row>
    <row r="865" spans="5:7" x14ac:dyDescent="0.2">
      <c r="E865" s="26">
        <v>41180</v>
      </c>
      <c r="F865" s="27">
        <v>0.96488792999999995</v>
      </c>
      <c r="G865" s="3"/>
    </row>
    <row r="866" spans="5:7" x14ac:dyDescent="0.2">
      <c r="E866" s="26">
        <v>41179</v>
      </c>
      <c r="F866" s="27">
        <v>0.96460067999999999</v>
      </c>
      <c r="G866" s="3"/>
    </row>
    <row r="867" spans="5:7" x14ac:dyDescent="0.2">
      <c r="E867" s="26">
        <v>41178</v>
      </c>
      <c r="F867" s="27">
        <v>0.96777427999999999</v>
      </c>
      <c r="G867" s="3"/>
    </row>
    <row r="868" spans="5:7" x14ac:dyDescent="0.2">
      <c r="E868" s="26">
        <v>41177</v>
      </c>
      <c r="F868" s="27">
        <v>0.98245824000000004</v>
      </c>
      <c r="G868" s="3"/>
    </row>
    <row r="869" spans="5:7" x14ac:dyDescent="0.2">
      <c r="E869" s="26">
        <v>41176</v>
      </c>
      <c r="F869" s="27">
        <v>0.97373162000000002</v>
      </c>
      <c r="G869" s="3"/>
    </row>
    <row r="870" spans="5:7" x14ac:dyDescent="0.2">
      <c r="E870" s="26">
        <v>41173</v>
      </c>
      <c r="F870" s="27">
        <v>0.96624732000000002</v>
      </c>
      <c r="G870" s="3"/>
    </row>
    <row r="871" spans="5:7" x14ac:dyDescent="0.2">
      <c r="E871" s="26">
        <v>41172</v>
      </c>
      <c r="F871" s="27">
        <v>0.96376908999999999</v>
      </c>
      <c r="G871" s="3"/>
    </row>
    <row r="872" spans="5:7" x14ac:dyDescent="0.2">
      <c r="E872" s="26">
        <v>41171</v>
      </c>
      <c r="F872" s="27">
        <v>0.96309924999999996</v>
      </c>
      <c r="G872" s="3"/>
    </row>
    <row r="873" spans="5:7" x14ac:dyDescent="0.2">
      <c r="E873" s="26">
        <v>41170</v>
      </c>
      <c r="F873" s="27">
        <v>0.96375869999999997</v>
      </c>
      <c r="G873" s="3"/>
    </row>
    <row r="874" spans="5:7" x14ac:dyDescent="0.2">
      <c r="E874" s="26">
        <v>41169</v>
      </c>
      <c r="F874" s="27">
        <v>0.96360314999999996</v>
      </c>
      <c r="G874" s="3"/>
    </row>
    <row r="875" spans="5:7" x14ac:dyDescent="0.2">
      <c r="E875" s="26">
        <v>41166</v>
      </c>
      <c r="F875" s="27">
        <v>0.96376908999999999</v>
      </c>
      <c r="G875" s="3"/>
    </row>
    <row r="876" spans="5:7" x14ac:dyDescent="0.2">
      <c r="E876" s="26">
        <v>41165</v>
      </c>
      <c r="F876" s="27">
        <v>0.96609250999999996</v>
      </c>
      <c r="G876" s="3"/>
    </row>
    <row r="877" spans="5:7" x14ac:dyDescent="0.2">
      <c r="E877" s="26">
        <v>41164</v>
      </c>
      <c r="F877" s="27">
        <v>0.91912300000000002</v>
      </c>
      <c r="G877" s="3"/>
    </row>
    <row r="878" spans="5:7" x14ac:dyDescent="0.2">
      <c r="E878" s="26">
        <v>41163</v>
      </c>
      <c r="F878" s="27">
        <v>0.91912300000000002</v>
      </c>
      <c r="G878" s="3"/>
    </row>
    <row r="879" spans="5:7" x14ac:dyDescent="0.2">
      <c r="E879" s="26">
        <v>41162</v>
      </c>
      <c r="F879" s="27">
        <v>0.93394480999999996</v>
      </c>
      <c r="G879" s="3"/>
    </row>
    <row r="880" spans="5:7" x14ac:dyDescent="0.2">
      <c r="E880" s="26">
        <v>41159</v>
      </c>
      <c r="F880" s="27">
        <v>0.93681486000000003</v>
      </c>
      <c r="G880" s="3"/>
    </row>
    <row r="881" spans="5:7" x14ac:dyDescent="0.2">
      <c r="E881" s="26">
        <v>41158</v>
      </c>
      <c r="F881" s="27">
        <v>0.85375016000000004</v>
      </c>
      <c r="G881" s="3"/>
    </row>
    <row r="882" spans="5:7" x14ac:dyDescent="0.2">
      <c r="E882" s="26">
        <v>41157</v>
      </c>
      <c r="F882" s="27">
        <v>0.91761037000000001</v>
      </c>
      <c r="G882" s="3"/>
    </row>
    <row r="883" spans="5:7" x14ac:dyDescent="0.2">
      <c r="E883" s="26">
        <v>41156</v>
      </c>
      <c r="F883" s="27">
        <v>0.95103079999999995</v>
      </c>
      <c r="G883" s="3"/>
    </row>
    <row r="884" spans="5:7" x14ac:dyDescent="0.2">
      <c r="E884" s="26">
        <v>41152</v>
      </c>
      <c r="F884" s="27">
        <v>0.97362866999999997</v>
      </c>
      <c r="G884" s="3"/>
    </row>
    <row r="885" spans="5:7" x14ac:dyDescent="0.2">
      <c r="E885" s="26">
        <v>41151</v>
      </c>
      <c r="F885" s="27">
        <v>0.93752537999999996</v>
      </c>
      <c r="G885" s="3"/>
    </row>
    <row r="886" spans="5:7" x14ac:dyDescent="0.2">
      <c r="E886" s="26">
        <v>41150</v>
      </c>
      <c r="F886" s="27">
        <v>0.89613767</v>
      </c>
      <c r="G886" s="3"/>
    </row>
    <row r="887" spans="5:7" x14ac:dyDescent="0.2">
      <c r="E887" s="26">
        <v>41149</v>
      </c>
      <c r="F887" s="27">
        <v>0.97623548000000004</v>
      </c>
      <c r="G887" s="3"/>
    </row>
    <row r="888" spans="5:7" x14ac:dyDescent="0.2">
      <c r="E888" s="26">
        <v>41148</v>
      </c>
      <c r="F888" s="27">
        <v>0.97332927999999996</v>
      </c>
      <c r="G888" s="3"/>
    </row>
    <row r="889" spans="5:7" x14ac:dyDescent="0.2">
      <c r="E889" s="26">
        <v>41145</v>
      </c>
      <c r="F889" s="27">
        <v>0.96075451000000001</v>
      </c>
      <c r="G889" s="3"/>
    </row>
    <row r="890" spans="5:7" x14ac:dyDescent="0.2">
      <c r="E890" s="26">
        <v>41144</v>
      </c>
      <c r="F890" s="27">
        <v>0.97284862999999999</v>
      </c>
      <c r="G890" s="3"/>
    </row>
    <row r="891" spans="5:7" x14ac:dyDescent="0.2">
      <c r="E891" s="26">
        <v>41143</v>
      </c>
      <c r="F891" s="27">
        <v>0.92849970000000004</v>
      </c>
      <c r="G891" s="3"/>
    </row>
    <row r="892" spans="5:7" x14ac:dyDescent="0.2">
      <c r="E892" s="26">
        <v>41142</v>
      </c>
      <c r="F892" s="27">
        <v>0.84653082999999996</v>
      </c>
      <c r="G892" s="3"/>
    </row>
    <row r="893" spans="5:7" x14ac:dyDescent="0.2">
      <c r="E893" s="26">
        <v>41141</v>
      </c>
      <c r="F893" s="27">
        <v>0.84702736999999995</v>
      </c>
      <c r="G893" s="3"/>
    </row>
    <row r="894" spans="5:7" x14ac:dyDescent="0.2">
      <c r="E894" s="26">
        <v>41138</v>
      </c>
      <c r="F894" s="27">
        <v>0.84552031000000005</v>
      </c>
      <c r="G894" s="3"/>
    </row>
    <row r="895" spans="5:7" x14ac:dyDescent="0.2">
      <c r="E895" s="26">
        <v>41137</v>
      </c>
      <c r="F895" s="27">
        <v>0.84291780999999999</v>
      </c>
      <c r="G895" s="3"/>
    </row>
    <row r="896" spans="5:7" x14ac:dyDescent="0.2">
      <c r="E896" s="26">
        <v>41136</v>
      </c>
      <c r="F896" s="27">
        <v>0.84554792000000001</v>
      </c>
      <c r="G896" s="3"/>
    </row>
    <row r="897" spans="5:7" x14ac:dyDescent="0.2">
      <c r="E897" s="26">
        <v>41135</v>
      </c>
      <c r="F897" s="27">
        <v>0.85987332000000005</v>
      </c>
      <c r="G897" s="3"/>
    </row>
    <row r="898" spans="5:7" x14ac:dyDescent="0.2">
      <c r="E898" s="26">
        <v>41134</v>
      </c>
      <c r="F898" s="27">
        <v>0.90519167</v>
      </c>
      <c r="G898" s="3"/>
    </row>
    <row r="899" spans="5:7" x14ac:dyDescent="0.2">
      <c r="E899" s="26">
        <v>41131</v>
      </c>
      <c r="F899" s="27">
        <v>0.90059957999999996</v>
      </c>
      <c r="G899" s="3"/>
    </row>
    <row r="900" spans="5:7" x14ac:dyDescent="0.2">
      <c r="E900" s="26">
        <v>41130</v>
      </c>
      <c r="F900" s="27">
        <v>0.87997017</v>
      </c>
      <c r="G900" s="3"/>
    </row>
    <row r="901" spans="5:7" x14ac:dyDescent="0.2">
      <c r="E901" s="26">
        <v>41129</v>
      </c>
      <c r="F901" s="27">
        <v>0.88188845000000005</v>
      </c>
      <c r="G901" s="3"/>
    </row>
    <row r="902" spans="5:7" x14ac:dyDescent="0.2">
      <c r="E902" s="26">
        <v>41128</v>
      </c>
      <c r="F902" s="27">
        <v>0.85676613000000001</v>
      </c>
      <c r="G902" s="3"/>
    </row>
    <row r="903" spans="5:7" x14ac:dyDescent="0.2">
      <c r="E903" s="26">
        <v>41127</v>
      </c>
      <c r="F903" s="27">
        <v>0.87914780000000003</v>
      </c>
      <c r="G903" s="3"/>
    </row>
    <row r="904" spans="5:7" x14ac:dyDescent="0.2">
      <c r="E904" s="26">
        <v>41124</v>
      </c>
      <c r="F904" s="27">
        <v>0.87064797000000005</v>
      </c>
      <c r="G904" s="3"/>
    </row>
    <row r="905" spans="5:7" x14ac:dyDescent="0.2">
      <c r="E905" s="26">
        <v>41123</v>
      </c>
      <c r="F905" s="27">
        <v>0.95403947</v>
      </c>
      <c r="G905" s="3"/>
    </row>
    <row r="906" spans="5:7" x14ac:dyDescent="0.2">
      <c r="E906" s="26">
        <v>41122</v>
      </c>
      <c r="F906" s="27">
        <v>0.92603561999999995</v>
      </c>
      <c r="G906" s="3"/>
    </row>
    <row r="907" spans="5:7" x14ac:dyDescent="0.2">
      <c r="E907" s="26">
        <v>41121</v>
      </c>
      <c r="F907" s="27">
        <v>0.98007849999999996</v>
      </c>
      <c r="G907" s="3"/>
    </row>
    <row r="908" spans="5:7" x14ac:dyDescent="0.2">
      <c r="E908" s="26">
        <v>41120</v>
      </c>
      <c r="F908" s="27">
        <v>0.97455305999999997</v>
      </c>
      <c r="G908" s="3"/>
    </row>
    <row r="909" spans="5:7" x14ac:dyDescent="0.2">
      <c r="E909" s="26">
        <v>41117</v>
      </c>
      <c r="F909" s="27">
        <v>0.87809594999999996</v>
      </c>
      <c r="G909" s="3"/>
    </row>
    <row r="910" spans="5:7" x14ac:dyDescent="0.2">
      <c r="E910" s="26">
        <v>41116</v>
      </c>
      <c r="F910" s="27">
        <v>0.98586468999999999</v>
      </c>
      <c r="G910" s="3"/>
    </row>
    <row r="911" spans="5:7" x14ac:dyDescent="0.2">
      <c r="E911" s="26">
        <v>41115</v>
      </c>
      <c r="F911" s="27">
        <v>0.98728897999999998</v>
      </c>
      <c r="G911" s="3"/>
    </row>
    <row r="912" spans="5:7" x14ac:dyDescent="0.2">
      <c r="E912" s="26">
        <v>41114</v>
      </c>
      <c r="F912" s="27">
        <v>0.98959233999999996</v>
      </c>
      <c r="G912" s="3"/>
    </row>
    <row r="913" spans="5:7" x14ac:dyDescent="0.2">
      <c r="E913" s="26">
        <v>41113</v>
      </c>
      <c r="F913" s="27">
        <v>0.98850773000000003</v>
      </c>
      <c r="G913" s="3"/>
    </row>
    <row r="914" spans="5:7" x14ac:dyDescent="0.2">
      <c r="E914" s="26">
        <v>41110</v>
      </c>
      <c r="F914" s="27">
        <v>0.98785926000000002</v>
      </c>
      <c r="G914" s="3"/>
    </row>
    <row r="915" spans="5:7" x14ac:dyDescent="0.2">
      <c r="E915" s="26">
        <v>41109</v>
      </c>
      <c r="F915" s="27">
        <v>0.97879925999999995</v>
      </c>
      <c r="G915" s="3"/>
    </row>
    <row r="916" spans="5:7" x14ac:dyDescent="0.2">
      <c r="E916" s="26">
        <v>41108</v>
      </c>
      <c r="F916" s="27">
        <v>0.98441588000000002</v>
      </c>
      <c r="G916" s="3"/>
    </row>
    <row r="917" spans="5:7" x14ac:dyDescent="0.2">
      <c r="E917" s="26">
        <v>41107</v>
      </c>
      <c r="F917" s="27">
        <v>0.97010662999999997</v>
      </c>
      <c r="G917" s="3"/>
    </row>
    <row r="918" spans="5:7" x14ac:dyDescent="0.2">
      <c r="E918" s="26">
        <v>41106</v>
      </c>
      <c r="F918" s="27">
        <v>0.98415346000000004</v>
      </c>
      <c r="G918" s="3"/>
    </row>
    <row r="919" spans="5:7" x14ac:dyDescent="0.2">
      <c r="E919" s="26">
        <v>41103</v>
      </c>
      <c r="F919" s="27">
        <v>0.95144748999999995</v>
      </c>
      <c r="G919" s="3"/>
    </row>
    <row r="920" spans="5:7" x14ac:dyDescent="0.2">
      <c r="E920" s="26">
        <v>41102</v>
      </c>
      <c r="F920" s="27">
        <v>0.98075705000000002</v>
      </c>
      <c r="G920" s="3"/>
    </row>
    <row r="921" spans="5:7" x14ac:dyDescent="0.2">
      <c r="E921" s="26">
        <v>41101</v>
      </c>
      <c r="F921" s="27">
        <v>0.97879925999999995</v>
      </c>
      <c r="G921" s="3"/>
    </row>
    <row r="922" spans="5:7" x14ac:dyDescent="0.2">
      <c r="E922" s="26">
        <v>41100</v>
      </c>
      <c r="F922" s="27">
        <v>0.98419075</v>
      </c>
      <c r="G922" s="3"/>
    </row>
    <row r="923" spans="5:7" x14ac:dyDescent="0.2">
      <c r="E923" s="26">
        <v>41099</v>
      </c>
      <c r="F923" s="27">
        <v>0.97662514</v>
      </c>
      <c r="G923" s="3"/>
    </row>
    <row r="924" spans="5:7" x14ac:dyDescent="0.2">
      <c r="E924" s="26">
        <v>41096</v>
      </c>
      <c r="F924" s="27">
        <v>0.95815527</v>
      </c>
      <c r="G924" s="3"/>
    </row>
    <row r="925" spans="5:7" x14ac:dyDescent="0.2">
      <c r="E925" s="26">
        <v>41095</v>
      </c>
      <c r="F925" s="27">
        <v>0.88929053000000002</v>
      </c>
      <c r="G925" s="3"/>
    </row>
    <row r="926" spans="5:7" x14ac:dyDescent="0.2">
      <c r="E926" s="26">
        <v>41093</v>
      </c>
      <c r="F926" s="27">
        <v>0.87981558999999998</v>
      </c>
      <c r="G926" s="3"/>
    </row>
    <row r="927" spans="5:7" x14ac:dyDescent="0.2">
      <c r="E927" s="26">
        <v>41092</v>
      </c>
      <c r="F927" s="27">
        <v>0.90455958999999997</v>
      </c>
      <c r="G927" s="3"/>
    </row>
    <row r="928" spans="5:7" x14ac:dyDescent="0.2">
      <c r="E928" s="26">
        <v>41089</v>
      </c>
      <c r="F928" s="27">
        <v>0.89196945999999999</v>
      </c>
      <c r="G928" s="3"/>
    </row>
    <row r="929" spans="5:7" x14ac:dyDescent="0.2">
      <c r="E929" s="26">
        <v>41088</v>
      </c>
      <c r="F929" s="27">
        <v>0.91764312000000003</v>
      </c>
      <c r="G929" s="3"/>
    </row>
    <row r="930" spans="5:7" x14ac:dyDescent="0.2">
      <c r="E930" s="26">
        <v>41087</v>
      </c>
      <c r="F930" s="27">
        <v>0.90152438999999995</v>
      </c>
      <c r="G930" s="3"/>
    </row>
    <row r="931" spans="5:7" x14ac:dyDescent="0.2">
      <c r="E931" s="26">
        <v>41086</v>
      </c>
      <c r="F931" s="27">
        <v>0.89395577999999998</v>
      </c>
      <c r="G931" s="3"/>
    </row>
    <row r="932" spans="5:7" x14ac:dyDescent="0.2">
      <c r="E932" s="26">
        <v>41085</v>
      </c>
      <c r="F932" s="27">
        <v>0.90621494000000002</v>
      </c>
      <c r="G932" s="3"/>
    </row>
    <row r="933" spans="5:7" x14ac:dyDescent="0.2">
      <c r="E933" s="26">
        <v>41082</v>
      </c>
      <c r="F933" s="27">
        <v>0.88643691000000002</v>
      </c>
      <c r="G933" s="3"/>
    </row>
    <row r="934" spans="5:7" x14ac:dyDescent="0.2">
      <c r="E934" s="26">
        <v>41081</v>
      </c>
      <c r="F934" s="27">
        <v>0.89465777999999996</v>
      </c>
      <c r="G934" s="3"/>
    </row>
    <row r="935" spans="5:7" x14ac:dyDescent="0.2">
      <c r="E935" s="26">
        <v>41080</v>
      </c>
      <c r="F935" s="27">
        <v>0.89007672000000004</v>
      </c>
      <c r="G935" s="3"/>
    </row>
    <row r="936" spans="5:7" x14ac:dyDescent="0.2">
      <c r="E936" s="26">
        <v>41079</v>
      </c>
      <c r="F936" s="27">
        <v>0.90024616000000002</v>
      </c>
      <c r="G936" s="3"/>
    </row>
    <row r="937" spans="5:7" x14ac:dyDescent="0.2">
      <c r="E937" s="26">
        <v>41078</v>
      </c>
      <c r="F937" s="27">
        <v>0.90129705000000004</v>
      </c>
      <c r="G937" s="3"/>
    </row>
    <row r="938" spans="5:7" x14ac:dyDescent="0.2">
      <c r="E938" s="26">
        <v>41075</v>
      </c>
      <c r="F938" s="27">
        <v>0.89594238999999998</v>
      </c>
      <c r="G938" s="3"/>
    </row>
    <row r="939" spans="5:7" x14ac:dyDescent="0.2">
      <c r="E939" s="26">
        <v>41074</v>
      </c>
      <c r="F939" s="27">
        <v>0.89171836999999998</v>
      </c>
      <c r="G939" s="3"/>
    </row>
    <row r="940" spans="5:7" x14ac:dyDescent="0.2">
      <c r="E940" s="26">
        <v>41073</v>
      </c>
      <c r="F940" s="27">
        <v>0.88955698999999999</v>
      </c>
      <c r="G940" s="3"/>
    </row>
    <row r="941" spans="5:7" x14ac:dyDescent="0.2">
      <c r="E941" s="26">
        <v>41072</v>
      </c>
      <c r="F941" s="27">
        <v>0.88507773000000001</v>
      </c>
      <c r="G941" s="3"/>
    </row>
    <row r="942" spans="5:7" x14ac:dyDescent="0.2">
      <c r="E942" s="26">
        <v>41071</v>
      </c>
      <c r="F942" s="27">
        <v>0.89143002999999998</v>
      </c>
      <c r="G942" s="3"/>
    </row>
    <row r="943" spans="5:7" x14ac:dyDescent="0.2">
      <c r="E943" s="26">
        <v>41068</v>
      </c>
      <c r="F943" s="27">
        <v>0.88642206999999995</v>
      </c>
      <c r="G943" s="3"/>
    </row>
    <row r="944" spans="5:7" x14ac:dyDescent="0.2">
      <c r="E944" s="26">
        <v>41067</v>
      </c>
      <c r="F944" s="27">
        <v>0.88658915999999999</v>
      </c>
      <c r="G944" s="3"/>
    </row>
    <row r="945" spans="5:7" x14ac:dyDescent="0.2">
      <c r="E945" s="26">
        <v>41066</v>
      </c>
      <c r="F945" s="27">
        <v>0.88432498999999998</v>
      </c>
      <c r="G945" s="3"/>
    </row>
    <row r="946" spans="5:7" x14ac:dyDescent="0.2">
      <c r="E946" s="26">
        <v>41065</v>
      </c>
      <c r="F946" s="27">
        <v>0.88786379000000004</v>
      </c>
      <c r="G946" s="3"/>
    </row>
    <row r="947" spans="5:7" x14ac:dyDescent="0.2">
      <c r="E947" s="26">
        <v>41064</v>
      </c>
      <c r="F947" s="27">
        <v>0.89625674</v>
      </c>
      <c r="G947" s="3"/>
    </row>
    <row r="948" spans="5:7" x14ac:dyDescent="0.2">
      <c r="E948" s="26">
        <v>41061</v>
      </c>
      <c r="F948" s="27">
        <v>0.95412836999999995</v>
      </c>
      <c r="G948" s="3"/>
    </row>
    <row r="949" spans="5:7" x14ac:dyDescent="0.2">
      <c r="E949" s="26">
        <v>41060</v>
      </c>
      <c r="F949" s="27">
        <v>0.90149771000000001</v>
      </c>
      <c r="G949" s="3"/>
    </row>
    <row r="950" spans="5:7" x14ac:dyDescent="0.2">
      <c r="E950" s="26">
        <v>41059</v>
      </c>
      <c r="F950" s="27">
        <v>0.89845090000000005</v>
      </c>
      <c r="G950" s="3"/>
    </row>
    <row r="951" spans="5:7" x14ac:dyDescent="0.2">
      <c r="E951" s="26">
        <v>41058</v>
      </c>
      <c r="F951" s="27">
        <v>0.89258269999999995</v>
      </c>
      <c r="G951" s="3"/>
    </row>
    <row r="952" spans="5:7" x14ac:dyDescent="0.2">
      <c r="E952" s="26">
        <v>41054</v>
      </c>
      <c r="F952" s="27">
        <v>0.89290855000000002</v>
      </c>
      <c r="G952" s="3"/>
    </row>
    <row r="953" spans="5:7" x14ac:dyDescent="0.2">
      <c r="E953" s="26">
        <v>41053</v>
      </c>
      <c r="F953" s="27">
        <v>0.89292742000000003</v>
      </c>
      <c r="G953" s="3"/>
    </row>
    <row r="954" spans="5:7" x14ac:dyDescent="0.2">
      <c r="E954" s="26">
        <v>41052</v>
      </c>
      <c r="F954" s="27">
        <v>0.89398533999999996</v>
      </c>
      <c r="G954" s="3"/>
    </row>
    <row r="955" spans="5:7" x14ac:dyDescent="0.2">
      <c r="E955" s="26">
        <v>41051</v>
      </c>
      <c r="F955" s="27">
        <v>0.89508783999999997</v>
      </c>
      <c r="G955" s="3"/>
    </row>
    <row r="956" spans="5:7" x14ac:dyDescent="0.2">
      <c r="E956" s="26">
        <v>41050</v>
      </c>
      <c r="F956" s="27">
        <v>0.89692227999999996</v>
      </c>
      <c r="G956" s="3"/>
    </row>
    <row r="957" spans="5:7" x14ac:dyDescent="0.2">
      <c r="E957" s="26">
        <v>41047</v>
      </c>
      <c r="F957" s="27">
        <v>0.90049995000000005</v>
      </c>
      <c r="G957" s="3"/>
    </row>
    <row r="958" spans="5:7" x14ac:dyDescent="0.2">
      <c r="E958" s="26">
        <v>41046</v>
      </c>
      <c r="F958" s="27">
        <v>0.90122015</v>
      </c>
      <c r="G958" s="3"/>
    </row>
    <row r="959" spans="5:7" x14ac:dyDescent="0.2">
      <c r="E959" s="26">
        <v>41045</v>
      </c>
      <c r="F959" s="27">
        <v>0.89645978000000004</v>
      </c>
      <c r="G959" s="3"/>
    </row>
    <row r="960" spans="5:7" x14ac:dyDescent="0.2">
      <c r="E960" s="26">
        <v>41044</v>
      </c>
      <c r="F960" s="27">
        <v>0.89656175000000005</v>
      </c>
      <c r="G960" s="3"/>
    </row>
    <row r="961" spans="5:7" x14ac:dyDescent="0.2">
      <c r="E961" s="26">
        <v>41043</v>
      </c>
      <c r="F961" s="27">
        <v>0.89630202000000003</v>
      </c>
      <c r="G961" s="3"/>
    </row>
    <row r="962" spans="5:7" x14ac:dyDescent="0.2">
      <c r="E962" s="26">
        <v>41040</v>
      </c>
      <c r="F962" s="27">
        <v>0.89503811</v>
      </c>
      <c r="G962" s="3"/>
    </row>
    <row r="963" spans="5:7" x14ac:dyDescent="0.2">
      <c r="E963" s="26">
        <v>41039</v>
      </c>
      <c r="F963" s="27">
        <v>0.89447244000000004</v>
      </c>
      <c r="G963" s="3"/>
    </row>
    <row r="964" spans="5:7" x14ac:dyDescent="0.2">
      <c r="E964" s="26">
        <v>41038</v>
      </c>
      <c r="F964" s="27">
        <v>0.89434619999999998</v>
      </c>
      <c r="G964" s="3"/>
    </row>
    <row r="965" spans="5:7" x14ac:dyDescent="0.2">
      <c r="E965" s="26">
        <v>41037</v>
      </c>
      <c r="F965" s="27">
        <v>0.89332922000000003</v>
      </c>
      <c r="G965" s="3"/>
    </row>
    <row r="966" spans="5:7" x14ac:dyDescent="0.2">
      <c r="E966" s="26">
        <v>41036</v>
      </c>
      <c r="F966" s="27">
        <v>0.89293347999999995</v>
      </c>
      <c r="G966" s="3"/>
    </row>
    <row r="967" spans="5:7" x14ac:dyDescent="0.2">
      <c r="E967" s="26">
        <v>41033</v>
      </c>
      <c r="F967" s="27">
        <v>0.89320864</v>
      </c>
      <c r="G967" s="3"/>
    </row>
    <row r="968" spans="5:7" x14ac:dyDescent="0.2">
      <c r="E968" s="26">
        <v>41032</v>
      </c>
      <c r="F968" s="27">
        <v>0.89178466999999995</v>
      </c>
      <c r="G968" s="3"/>
    </row>
    <row r="969" spans="5:7" x14ac:dyDescent="0.2">
      <c r="E969" s="26">
        <v>41031</v>
      </c>
      <c r="F969" s="27">
        <v>0.89242913999999995</v>
      </c>
      <c r="G969" s="3"/>
    </row>
    <row r="970" spans="5:7" x14ac:dyDescent="0.2">
      <c r="E970" s="26">
        <v>41030</v>
      </c>
      <c r="F970" s="27">
        <v>0.89172037999999998</v>
      </c>
      <c r="G970" s="3"/>
    </row>
    <row r="971" spans="5:7" x14ac:dyDescent="0.2">
      <c r="E971" s="26">
        <v>41029</v>
      </c>
      <c r="F971" s="27">
        <v>0.91020621000000002</v>
      </c>
      <c r="G971" s="3"/>
    </row>
    <row r="972" spans="5:7" x14ac:dyDescent="0.2">
      <c r="E972" s="26">
        <v>41026</v>
      </c>
      <c r="F972" s="27">
        <v>0.90994850999999999</v>
      </c>
      <c r="G972" s="3"/>
    </row>
    <row r="973" spans="5:7" x14ac:dyDescent="0.2">
      <c r="E973" s="26">
        <v>41025</v>
      </c>
      <c r="F973" s="27">
        <v>0.90862149000000003</v>
      </c>
      <c r="G973" s="3"/>
    </row>
    <row r="974" spans="5:7" x14ac:dyDescent="0.2">
      <c r="E974" s="26">
        <v>41024</v>
      </c>
      <c r="F974" s="27">
        <v>0.90652851000000001</v>
      </c>
      <c r="G974" s="3"/>
    </row>
    <row r="975" spans="5:7" x14ac:dyDescent="0.2">
      <c r="E975" s="26">
        <v>41023</v>
      </c>
      <c r="F975" s="27">
        <v>0.90828774000000001</v>
      </c>
      <c r="G975" s="3"/>
    </row>
    <row r="976" spans="5:7" x14ac:dyDescent="0.2">
      <c r="E976" s="26">
        <v>41022</v>
      </c>
      <c r="F976" s="27">
        <v>0.90994850999999999</v>
      </c>
      <c r="G976" s="3"/>
    </row>
    <row r="977" spans="5:7" x14ac:dyDescent="0.2">
      <c r="E977" s="26">
        <v>41019</v>
      </c>
      <c r="F977" s="27">
        <v>0.90806520999999996</v>
      </c>
      <c r="G977" s="3"/>
    </row>
    <row r="978" spans="5:7" x14ac:dyDescent="0.2">
      <c r="E978" s="26">
        <v>41018</v>
      </c>
      <c r="F978" s="27">
        <v>0.90885141000000003</v>
      </c>
      <c r="G978" s="3"/>
    </row>
    <row r="979" spans="5:7" x14ac:dyDescent="0.2">
      <c r="E979" s="26">
        <v>41017</v>
      </c>
      <c r="F979" s="27">
        <v>0.90536366999999995</v>
      </c>
      <c r="G979" s="3"/>
    </row>
    <row r="980" spans="5:7" x14ac:dyDescent="0.2">
      <c r="E980" s="26">
        <v>41016</v>
      </c>
      <c r="F980" s="27">
        <v>0.90800420000000004</v>
      </c>
      <c r="G980" s="3"/>
    </row>
    <row r="981" spans="5:7" x14ac:dyDescent="0.2">
      <c r="E981" s="26">
        <v>41015</v>
      </c>
      <c r="F981" s="27">
        <v>0.90998736000000002</v>
      </c>
      <c r="G981" s="3"/>
    </row>
    <row r="982" spans="5:7" x14ac:dyDescent="0.2">
      <c r="E982" s="26">
        <v>41012</v>
      </c>
      <c r="F982" s="27">
        <v>0.90933154999999999</v>
      </c>
      <c r="G982" s="3"/>
    </row>
    <row r="983" spans="5:7" x14ac:dyDescent="0.2">
      <c r="E983" s="26">
        <v>41011</v>
      </c>
      <c r="F983" s="27">
        <v>0.90710064000000001</v>
      </c>
      <c r="G983" s="3"/>
    </row>
    <row r="984" spans="5:7" x14ac:dyDescent="0.2">
      <c r="E984" s="26">
        <v>41010</v>
      </c>
      <c r="F984" s="27">
        <v>0.90933637</v>
      </c>
      <c r="G984" s="3"/>
    </row>
    <row r="985" spans="5:7" x14ac:dyDescent="0.2">
      <c r="E985" s="26">
        <v>41009</v>
      </c>
      <c r="F985" s="27">
        <v>0.91121001999999995</v>
      </c>
      <c r="G985" s="3"/>
    </row>
    <row r="986" spans="5:7" x14ac:dyDescent="0.2">
      <c r="E986" s="26">
        <v>41008</v>
      </c>
      <c r="F986" s="27">
        <v>0.91119961999999999</v>
      </c>
      <c r="G986" s="3"/>
    </row>
    <row r="987" spans="5:7" x14ac:dyDescent="0.2">
      <c r="E987" s="26">
        <v>41005</v>
      </c>
      <c r="F987" s="27">
        <v>0.9104373</v>
      </c>
      <c r="G987" s="3"/>
    </row>
    <row r="988" spans="5:7" x14ac:dyDescent="0.2">
      <c r="E988" s="26">
        <v>41004</v>
      </c>
      <c r="F988" s="27">
        <v>0.88736484000000004</v>
      </c>
      <c r="G988" s="3"/>
    </row>
    <row r="989" spans="5:7" x14ac:dyDescent="0.2">
      <c r="E989" s="26">
        <v>41003</v>
      </c>
      <c r="F989" s="27">
        <v>0.84304774000000005</v>
      </c>
      <c r="G989" s="3"/>
    </row>
    <row r="990" spans="5:7" x14ac:dyDescent="0.2">
      <c r="E990" s="26">
        <v>41002</v>
      </c>
      <c r="F990" s="27">
        <v>0.80623690999999997</v>
      </c>
      <c r="G990" s="3"/>
    </row>
    <row r="991" spans="5:7" x14ac:dyDescent="0.2">
      <c r="E991" s="26">
        <v>41001</v>
      </c>
      <c r="F991" s="27">
        <v>0.89829537000000004</v>
      </c>
      <c r="G991" s="3"/>
    </row>
    <row r="992" spans="5:7" x14ac:dyDescent="0.2">
      <c r="E992" s="26">
        <v>40998</v>
      </c>
      <c r="F992" s="27">
        <v>0.89832186999999997</v>
      </c>
      <c r="G992" s="3"/>
    </row>
    <row r="993" spans="5:7" x14ac:dyDescent="0.2">
      <c r="E993" s="26">
        <v>40997</v>
      </c>
      <c r="F993" s="27">
        <v>0.91831567999999997</v>
      </c>
      <c r="G993" s="3"/>
    </row>
    <row r="994" spans="5:7" x14ac:dyDescent="0.2">
      <c r="E994" s="26">
        <v>40996</v>
      </c>
      <c r="F994" s="27">
        <v>0.90486840999999996</v>
      </c>
      <c r="G994" s="3"/>
    </row>
    <row r="995" spans="5:7" x14ac:dyDescent="0.2">
      <c r="E995" s="26">
        <v>40995</v>
      </c>
      <c r="F995" s="27">
        <v>0.89567198000000003</v>
      </c>
      <c r="G995" s="3"/>
    </row>
    <row r="996" spans="5:7" x14ac:dyDescent="0.2">
      <c r="E996" s="26">
        <v>40994</v>
      </c>
      <c r="F996" s="27">
        <v>0.83154335000000001</v>
      </c>
      <c r="G996" s="3"/>
    </row>
    <row r="997" spans="5:7" x14ac:dyDescent="0.2">
      <c r="E997" s="26">
        <v>40991</v>
      </c>
      <c r="F997" s="27">
        <v>0.8216253</v>
      </c>
      <c r="G997" s="3"/>
    </row>
    <row r="998" spans="5:7" x14ac:dyDescent="0.2">
      <c r="E998" s="26">
        <v>40990</v>
      </c>
      <c r="F998" s="27">
        <v>0.80795808999999996</v>
      </c>
      <c r="G998" s="3"/>
    </row>
    <row r="999" spans="5:7" x14ac:dyDescent="0.2">
      <c r="E999" s="26">
        <v>40989</v>
      </c>
      <c r="F999" s="27">
        <v>0.80795808999999996</v>
      </c>
      <c r="G999" s="3"/>
    </row>
    <row r="1000" spans="5:7" x14ac:dyDescent="0.2">
      <c r="E1000" s="26">
        <v>40988</v>
      </c>
      <c r="F1000" s="27">
        <v>0.74634694000000001</v>
      </c>
      <c r="G1000" s="3"/>
    </row>
    <row r="1001" spans="5:7" x14ac:dyDescent="0.2">
      <c r="E1001" s="26">
        <v>40987</v>
      </c>
      <c r="F1001" s="27">
        <v>0.74698810999999998</v>
      </c>
      <c r="G1001" s="3"/>
    </row>
    <row r="1002" spans="5:7" x14ac:dyDescent="0.2">
      <c r="E1002" s="26">
        <v>40984</v>
      </c>
      <c r="F1002" s="27">
        <v>0.80057159</v>
      </c>
      <c r="G1002" s="3"/>
    </row>
    <row r="1003" spans="5:7" x14ac:dyDescent="0.2">
      <c r="E1003" s="26">
        <v>40983</v>
      </c>
      <c r="F1003" s="27">
        <v>0.77902583999999997</v>
      </c>
      <c r="G1003" s="3"/>
    </row>
    <row r="1004" spans="5:7" x14ac:dyDescent="0.2">
      <c r="E1004" s="26">
        <v>40982</v>
      </c>
      <c r="F1004" s="27">
        <v>0.77113012000000003</v>
      </c>
      <c r="G1004" s="3"/>
    </row>
    <row r="1005" spans="5:7" x14ac:dyDescent="0.2">
      <c r="E1005" s="26">
        <v>40981</v>
      </c>
      <c r="F1005" s="27">
        <v>0.86420087999999995</v>
      </c>
      <c r="G1005" s="3"/>
    </row>
    <row r="1006" spans="5:7" x14ac:dyDescent="0.2">
      <c r="E1006" s="26">
        <v>40980</v>
      </c>
      <c r="F1006" s="27">
        <v>0.91615384</v>
      </c>
      <c r="G1006" s="3"/>
    </row>
    <row r="1007" spans="5:7" x14ac:dyDescent="0.2">
      <c r="E1007" s="26">
        <v>40977</v>
      </c>
      <c r="F1007" s="27">
        <v>0.91488800000000003</v>
      </c>
      <c r="G1007" s="3"/>
    </row>
    <row r="1008" spans="5:7" x14ac:dyDescent="0.2">
      <c r="E1008" s="26">
        <v>40976</v>
      </c>
      <c r="F1008" s="27">
        <v>0.90661466999999996</v>
      </c>
      <c r="G1008" s="3"/>
    </row>
    <row r="1009" spans="5:7" x14ac:dyDescent="0.2">
      <c r="E1009" s="26">
        <v>40975</v>
      </c>
      <c r="F1009" s="27">
        <v>0.91867080999999995</v>
      </c>
      <c r="G1009" s="3"/>
    </row>
    <row r="1010" spans="5:7" x14ac:dyDescent="0.2">
      <c r="E1010" s="26">
        <v>40974</v>
      </c>
      <c r="F1010" s="27">
        <v>0.90010062000000002</v>
      </c>
      <c r="G1010" s="3"/>
    </row>
    <row r="1011" spans="5:7" x14ac:dyDescent="0.2">
      <c r="E1011" s="26">
        <v>40973</v>
      </c>
      <c r="F1011" s="27">
        <v>0.87754933999999996</v>
      </c>
      <c r="G1011" s="3"/>
    </row>
    <row r="1012" spans="5:7" x14ac:dyDescent="0.2">
      <c r="E1012" s="26">
        <v>40970</v>
      </c>
      <c r="F1012" s="27">
        <v>0.88433985999999998</v>
      </c>
      <c r="G1012" s="3"/>
    </row>
    <row r="1013" spans="5:7" x14ac:dyDescent="0.2">
      <c r="E1013" s="26">
        <v>40969</v>
      </c>
      <c r="F1013" s="27">
        <v>0.85102255000000004</v>
      </c>
      <c r="G1013" s="3"/>
    </row>
    <row r="1014" spans="5:7" x14ac:dyDescent="0.2">
      <c r="E1014" s="26">
        <v>40968</v>
      </c>
      <c r="F1014" s="27">
        <v>0.91287035999999999</v>
      </c>
      <c r="G1014" s="3"/>
    </row>
    <row r="1015" spans="5:7" x14ac:dyDescent="0.2">
      <c r="E1015" s="26">
        <v>40967</v>
      </c>
      <c r="F1015" s="27">
        <v>0.93960624999999998</v>
      </c>
      <c r="G1015" s="3"/>
    </row>
    <row r="1016" spans="5:7" x14ac:dyDescent="0.2">
      <c r="E1016" s="26">
        <v>40966</v>
      </c>
      <c r="F1016" s="27">
        <v>0.93817786999999997</v>
      </c>
      <c r="G1016" s="3"/>
    </row>
    <row r="1017" spans="5:7" x14ac:dyDescent="0.2">
      <c r="E1017" s="26">
        <v>40963</v>
      </c>
      <c r="F1017" s="27">
        <v>0.92626867999999996</v>
      </c>
      <c r="G1017" s="3"/>
    </row>
    <row r="1018" spans="5:7" x14ac:dyDescent="0.2">
      <c r="E1018" s="26">
        <v>40962</v>
      </c>
      <c r="F1018" s="27">
        <v>0.93221748000000004</v>
      </c>
      <c r="G1018" s="3"/>
    </row>
    <row r="1019" spans="5:7" x14ac:dyDescent="0.2">
      <c r="E1019" s="26">
        <v>40961</v>
      </c>
      <c r="F1019" s="27">
        <v>0.90921328999999995</v>
      </c>
      <c r="G1019" s="3"/>
    </row>
    <row r="1020" spans="5:7" x14ac:dyDescent="0.2">
      <c r="E1020" s="26">
        <v>40960</v>
      </c>
      <c r="F1020" s="27">
        <v>0.87658771000000002</v>
      </c>
      <c r="G1020" s="3"/>
    </row>
    <row r="1021" spans="5:7" x14ac:dyDescent="0.2">
      <c r="E1021" s="26">
        <v>40956</v>
      </c>
      <c r="F1021" s="27">
        <v>0.91906602999999998</v>
      </c>
      <c r="G1021" s="3"/>
    </row>
    <row r="1022" spans="5:7" x14ac:dyDescent="0.2">
      <c r="E1022" s="26">
        <v>40955</v>
      </c>
      <c r="F1022" s="27">
        <v>0.93815767000000005</v>
      </c>
      <c r="G1022" s="3"/>
    </row>
    <row r="1023" spans="5:7" x14ac:dyDescent="0.2">
      <c r="E1023" s="26">
        <v>40954</v>
      </c>
      <c r="F1023" s="27">
        <v>0.94226847000000002</v>
      </c>
      <c r="G1023" s="3"/>
    </row>
    <row r="1024" spans="5:7" x14ac:dyDescent="0.2">
      <c r="E1024" s="26">
        <v>40953</v>
      </c>
      <c r="F1024" s="27">
        <v>0.94156269999999997</v>
      </c>
      <c r="G1024" s="3"/>
    </row>
    <row r="1025" spans="5:7" x14ac:dyDescent="0.2">
      <c r="E1025" s="26">
        <v>40952</v>
      </c>
      <c r="F1025" s="27">
        <v>0.92851982</v>
      </c>
      <c r="G1025" s="3"/>
    </row>
    <row r="1026" spans="5:7" x14ac:dyDescent="0.2">
      <c r="E1026" s="26">
        <v>40949</v>
      </c>
      <c r="F1026" s="27">
        <v>0.93276685999999998</v>
      </c>
      <c r="G1026" s="3"/>
    </row>
    <row r="1027" spans="5:7" x14ac:dyDescent="0.2">
      <c r="E1027" s="26">
        <v>40948</v>
      </c>
      <c r="F1027" s="27">
        <v>0.91185605000000003</v>
      </c>
      <c r="G1027" s="3"/>
    </row>
    <row r="1028" spans="5:7" x14ac:dyDescent="0.2">
      <c r="E1028" s="26">
        <v>40947</v>
      </c>
      <c r="F1028" s="27">
        <v>0.94154565999999995</v>
      </c>
      <c r="G1028" s="3"/>
    </row>
    <row r="1029" spans="5:7" x14ac:dyDescent="0.2">
      <c r="E1029" s="26">
        <v>40946</v>
      </c>
      <c r="F1029" s="27">
        <v>0.94164957999999999</v>
      </c>
      <c r="G1029" s="3"/>
    </row>
    <row r="1030" spans="5:7" x14ac:dyDescent="0.2">
      <c r="E1030" s="26">
        <v>40945</v>
      </c>
      <c r="F1030" s="27">
        <v>0.94331547000000004</v>
      </c>
      <c r="G1030" s="3"/>
    </row>
    <row r="1031" spans="5:7" x14ac:dyDescent="0.2">
      <c r="E1031" s="26">
        <v>40942</v>
      </c>
      <c r="F1031" s="27">
        <v>0.94026103000000005</v>
      </c>
      <c r="G1031" s="3"/>
    </row>
    <row r="1032" spans="5:7" x14ac:dyDescent="0.2">
      <c r="E1032" s="26">
        <v>40941</v>
      </c>
      <c r="F1032" s="27">
        <v>0.94442683999999999</v>
      </c>
      <c r="G1032" s="3"/>
    </row>
    <row r="1033" spans="5:7" x14ac:dyDescent="0.2">
      <c r="E1033" s="26">
        <v>40940</v>
      </c>
      <c r="F1033" s="27">
        <v>0.94277608000000002</v>
      </c>
      <c r="G1033" s="3"/>
    </row>
    <row r="1034" spans="5:7" x14ac:dyDescent="0.2">
      <c r="E1034" s="26">
        <v>40939</v>
      </c>
      <c r="F1034" s="27">
        <v>0.95587728000000005</v>
      </c>
      <c r="G1034" s="3"/>
    </row>
    <row r="1035" spans="5:7" x14ac:dyDescent="0.2">
      <c r="E1035" s="26">
        <v>40938</v>
      </c>
      <c r="F1035" s="27">
        <v>0.95519228</v>
      </c>
      <c r="G1035" s="3"/>
    </row>
    <row r="1036" spans="5:7" x14ac:dyDescent="0.2">
      <c r="E1036" s="26">
        <v>40935</v>
      </c>
      <c r="F1036" s="27">
        <v>0.95520771000000004</v>
      </c>
      <c r="G1036" s="3"/>
    </row>
    <row r="1037" spans="5:7" x14ac:dyDescent="0.2">
      <c r="E1037" s="26">
        <v>40934</v>
      </c>
      <c r="F1037" s="27">
        <v>0.95396824999999996</v>
      </c>
      <c r="G1037" s="3"/>
    </row>
    <row r="1038" spans="5:7" x14ac:dyDescent="0.2">
      <c r="E1038" s="26">
        <v>40933</v>
      </c>
      <c r="F1038" s="27">
        <v>0.94870708999999998</v>
      </c>
      <c r="G1038" s="3"/>
    </row>
    <row r="1039" spans="5:7" x14ac:dyDescent="0.2">
      <c r="E1039" s="26">
        <v>40932</v>
      </c>
      <c r="F1039" s="27">
        <v>0.89611079000000005</v>
      </c>
      <c r="G1039" s="3"/>
    </row>
    <row r="1040" spans="5:7" x14ac:dyDescent="0.2">
      <c r="E1040" s="26">
        <v>40931</v>
      </c>
      <c r="F1040" s="27">
        <v>0.88732091000000002</v>
      </c>
      <c r="G1040" s="3"/>
    </row>
    <row r="1041" spans="5:7" x14ac:dyDescent="0.2">
      <c r="E1041" s="26">
        <v>40928</v>
      </c>
      <c r="F1041" s="27">
        <v>0.88538640000000002</v>
      </c>
      <c r="G1041" s="3"/>
    </row>
    <row r="1042" spans="5:7" x14ac:dyDescent="0.2">
      <c r="E1042" s="26">
        <v>40927</v>
      </c>
      <c r="F1042" s="27">
        <v>0.89227334999999997</v>
      </c>
      <c r="G1042" s="3"/>
    </row>
    <row r="1043" spans="5:7" x14ac:dyDescent="0.2">
      <c r="E1043" s="26">
        <v>40926</v>
      </c>
      <c r="F1043" s="27">
        <v>0.93659367999999998</v>
      </c>
      <c r="G1043" s="3"/>
    </row>
    <row r="1044" spans="5:7" x14ac:dyDescent="0.2">
      <c r="E1044" s="26">
        <v>40925</v>
      </c>
      <c r="F1044" s="27">
        <v>0.95436023999999997</v>
      </c>
      <c r="G1044" s="3"/>
    </row>
    <row r="1045" spans="5:7" x14ac:dyDescent="0.2">
      <c r="E1045" s="26">
        <v>40921</v>
      </c>
      <c r="F1045" s="27">
        <v>0.95582394000000004</v>
      </c>
      <c r="G1045" s="3"/>
    </row>
    <row r="1046" spans="5:7" x14ac:dyDescent="0.2">
      <c r="E1046" s="26">
        <v>40920</v>
      </c>
      <c r="F1046" s="27">
        <v>0.95488927999999995</v>
      </c>
      <c r="G1046" s="3"/>
    </row>
    <row r="1047" spans="5:7" x14ac:dyDescent="0.2">
      <c r="E1047" s="26">
        <v>40919</v>
      </c>
      <c r="F1047" s="27">
        <v>0.95327545000000002</v>
      </c>
      <c r="G1047" s="3"/>
    </row>
    <row r="1048" spans="5:7" x14ac:dyDescent="0.2">
      <c r="E1048" s="26">
        <v>40918</v>
      </c>
      <c r="F1048" s="27">
        <v>0.95494785000000004</v>
      </c>
      <c r="G1048" s="3"/>
    </row>
    <row r="1049" spans="5:7" x14ac:dyDescent="0.2">
      <c r="E1049" s="26">
        <v>40917</v>
      </c>
      <c r="F1049" s="27">
        <v>0.95587529999999998</v>
      </c>
      <c r="G1049" s="3"/>
    </row>
    <row r="1050" spans="5:7" x14ac:dyDescent="0.2">
      <c r="E1050" s="26">
        <v>40914</v>
      </c>
      <c r="F1050" s="27">
        <v>0.95598488999999998</v>
      </c>
      <c r="G1050" s="3"/>
    </row>
    <row r="1051" spans="5:7" x14ac:dyDescent="0.2">
      <c r="E1051" s="26">
        <v>40913</v>
      </c>
      <c r="F1051" s="27">
        <v>0.95518174</v>
      </c>
      <c r="G1051" s="3"/>
    </row>
    <row r="1052" spans="5:7" x14ac:dyDescent="0.2">
      <c r="E1052" s="26">
        <v>40912</v>
      </c>
      <c r="F1052" s="27">
        <v>0.94976475000000005</v>
      </c>
      <c r="G1052" s="3"/>
    </row>
    <row r="1053" spans="5:7" x14ac:dyDescent="0.2">
      <c r="E1053" s="26">
        <v>40911</v>
      </c>
      <c r="F1053" s="27">
        <v>0.95525888999999997</v>
      </c>
      <c r="G1053" s="3"/>
    </row>
    <row r="1054" spans="5:7" x14ac:dyDescent="0.2">
      <c r="E1054" s="26">
        <v>40907</v>
      </c>
      <c r="F1054" s="27">
        <v>0.96357256000000002</v>
      </c>
      <c r="G1054" s="3"/>
    </row>
    <row r="1055" spans="5:7" x14ac:dyDescent="0.2">
      <c r="E1055" s="26">
        <v>40906</v>
      </c>
      <c r="F1055" s="27">
        <v>0.96316809000000003</v>
      </c>
      <c r="G1055" s="3"/>
    </row>
    <row r="1056" spans="5:7" x14ac:dyDescent="0.2">
      <c r="E1056" s="26">
        <v>40905</v>
      </c>
      <c r="F1056" s="27">
        <v>0.96203097000000004</v>
      </c>
      <c r="G1056" s="3"/>
    </row>
    <row r="1057" spans="5:7" x14ac:dyDescent="0.2">
      <c r="E1057" s="26">
        <v>40904</v>
      </c>
      <c r="F1057" s="27">
        <v>0.90153247000000003</v>
      </c>
      <c r="G1057" s="3"/>
    </row>
    <row r="1058" spans="5:7" x14ac:dyDescent="0.2">
      <c r="E1058" s="26">
        <v>40900</v>
      </c>
      <c r="F1058" s="27">
        <v>0.88768075999999996</v>
      </c>
      <c r="G1058" s="3"/>
    </row>
    <row r="1059" spans="5:7" x14ac:dyDescent="0.2">
      <c r="E1059" s="26">
        <v>40899</v>
      </c>
      <c r="F1059" s="27">
        <v>0.94145855000000001</v>
      </c>
      <c r="G1059" s="3"/>
    </row>
    <row r="1060" spans="5:7" x14ac:dyDescent="0.2">
      <c r="E1060" s="26">
        <v>40898</v>
      </c>
      <c r="F1060" s="27">
        <v>0.93509511000000001</v>
      </c>
      <c r="G1060" s="3"/>
    </row>
    <row r="1061" spans="5:7" x14ac:dyDescent="0.2">
      <c r="E1061" s="26">
        <v>40897</v>
      </c>
      <c r="F1061" s="27">
        <v>0.94762259999999998</v>
      </c>
      <c r="G1061" s="3"/>
    </row>
    <row r="1062" spans="5:7" x14ac:dyDescent="0.2">
      <c r="E1062" s="26">
        <v>40896</v>
      </c>
      <c r="F1062" s="27">
        <v>0.96248904999999996</v>
      </c>
      <c r="G1062" s="3"/>
    </row>
    <row r="1063" spans="5:7" x14ac:dyDescent="0.2">
      <c r="E1063" s="26">
        <v>40893</v>
      </c>
      <c r="F1063" s="27">
        <v>0.96201596</v>
      </c>
      <c r="G1063" s="3"/>
    </row>
    <row r="1064" spans="5:7" x14ac:dyDescent="0.2">
      <c r="E1064" s="26">
        <v>40892</v>
      </c>
      <c r="F1064" s="27">
        <v>0.95734724999999998</v>
      </c>
      <c r="G1064" s="3"/>
    </row>
    <row r="1065" spans="5:7" x14ac:dyDescent="0.2">
      <c r="E1065" s="26">
        <v>40891</v>
      </c>
      <c r="F1065" s="27">
        <v>0.96184685999999997</v>
      </c>
      <c r="G1065" s="3"/>
    </row>
    <row r="1066" spans="5:7" x14ac:dyDescent="0.2">
      <c r="E1066" s="26">
        <v>40890</v>
      </c>
      <c r="F1066" s="27">
        <v>0.95934121999999999</v>
      </c>
      <c r="G1066" s="3"/>
    </row>
    <row r="1067" spans="5:7" x14ac:dyDescent="0.2">
      <c r="E1067" s="26">
        <v>40889</v>
      </c>
      <c r="F1067" s="27">
        <v>0.94007459000000004</v>
      </c>
      <c r="G1067" s="3"/>
    </row>
    <row r="1068" spans="5:7" x14ac:dyDescent="0.2">
      <c r="E1068" s="26">
        <v>40886</v>
      </c>
      <c r="F1068" s="27">
        <v>0.93509511000000001</v>
      </c>
      <c r="G1068" s="3"/>
    </row>
    <row r="1069" spans="5:7" x14ac:dyDescent="0.2">
      <c r="E1069" s="26">
        <v>40885</v>
      </c>
      <c r="F1069" s="27">
        <v>0.96150404</v>
      </c>
      <c r="G1069" s="3"/>
    </row>
    <row r="1070" spans="5:7" x14ac:dyDescent="0.2">
      <c r="E1070" s="26">
        <v>40884</v>
      </c>
      <c r="F1070" s="27">
        <v>0.95843502000000003</v>
      </c>
      <c r="G1070" s="3"/>
    </row>
    <row r="1071" spans="5:7" x14ac:dyDescent="0.2">
      <c r="E1071" s="26">
        <v>40883</v>
      </c>
      <c r="F1071" s="27">
        <v>0.93255030000000005</v>
      </c>
      <c r="G1071" s="3"/>
    </row>
    <row r="1072" spans="5:7" x14ac:dyDescent="0.2">
      <c r="E1072" s="26">
        <v>40882</v>
      </c>
      <c r="F1072" s="27">
        <v>0.94007459000000004</v>
      </c>
      <c r="G1072" s="3"/>
    </row>
    <row r="1073" spans="5:7" x14ac:dyDescent="0.2">
      <c r="E1073" s="26">
        <v>40879</v>
      </c>
      <c r="F1073" s="27">
        <v>0.94642669999999995</v>
      </c>
      <c r="G1073" s="3"/>
    </row>
    <row r="1074" spans="5:7" x14ac:dyDescent="0.2">
      <c r="E1074" s="26">
        <v>40878</v>
      </c>
      <c r="F1074" s="27">
        <v>0.90299746999999997</v>
      </c>
      <c r="G1074" s="3"/>
    </row>
    <row r="1075" spans="5:7" x14ac:dyDescent="0.2">
      <c r="E1075" s="26">
        <v>40877</v>
      </c>
      <c r="F1075" s="27">
        <v>0.94713698999999996</v>
      </c>
      <c r="G1075" s="3"/>
    </row>
    <row r="1076" spans="5:7" x14ac:dyDescent="0.2">
      <c r="E1076" s="26">
        <v>40876</v>
      </c>
      <c r="F1076" s="27">
        <v>0.94248140999999996</v>
      </c>
      <c r="G1076" s="3"/>
    </row>
    <row r="1077" spans="5:7" x14ac:dyDescent="0.2">
      <c r="E1077" s="26">
        <v>40875</v>
      </c>
      <c r="F1077" s="27">
        <v>0.93485322999999998</v>
      </c>
      <c r="G1077" s="3"/>
    </row>
    <row r="1078" spans="5:7" x14ac:dyDescent="0.2">
      <c r="E1078" s="26">
        <v>40872</v>
      </c>
      <c r="F1078" s="27">
        <v>0.91044426999999994</v>
      </c>
      <c r="G1078" s="3"/>
    </row>
    <row r="1079" spans="5:7" x14ac:dyDescent="0.2">
      <c r="E1079" s="26">
        <v>40870</v>
      </c>
      <c r="F1079" s="27">
        <v>0.96192434999999998</v>
      </c>
      <c r="G1079" s="3"/>
    </row>
    <row r="1080" spans="5:7" x14ac:dyDescent="0.2">
      <c r="E1080" s="26">
        <v>40869</v>
      </c>
      <c r="F1080" s="27">
        <v>0.96795673000000004</v>
      </c>
      <c r="G1080" s="3"/>
    </row>
    <row r="1081" spans="5:7" x14ac:dyDescent="0.2">
      <c r="E1081" s="26">
        <v>40868</v>
      </c>
      <c r="F1081" s="27">
        <v>0.95301842999999997</v>
      </c>
      <c r="G1081" s="3"/>
    </row>
    <row r="1082" spans="5:7" x14ac:dyDescent="0.2">
      <c r="E1082" s="26">
        <v>40865</v>
      </c>
      <c r="F1082" s="27">
        <v>0.92694175999999995</v>
      </c>
      <c r="G1082" s="3"/>
    </row>
    <row r="1083" spans="5:7" x14ac:dyDescent="0.2">
      <c r="E1083" s="26">
        <v>40864</v>
      </c>
      <c r="F1083" s="27">
        <v>0.95968770000000003</v>
      </c>
      <c r="G1083" s="3"/>
    </row>
    <row r="1084" spans="5:7" x14ac:dyDescent="0.2">
      <c r="E1084" s="26">
        <v>40863</v>
      </c>
      <c r="F1084" s="27">
        <v>0.93630206999999999</v>
      </c>
      <c r="G1084" s="3"/>
    </row>
    <row r="1085" spans="5:7" x14ac:dyDescent="0.2">
      <c r="E1085" s="26">
        <v>40862</v>
      </c>
      <c r="F1085" s="27">
        <v>0.89809116</v>
      </c>
      <c r="G1085" s="3"/>
    </row>
    <row r="1086" spans="5:7" x14ac:dyDescent="0.2">
      <c r="E1086" s="26">
        <v>40861</v>
      </c>
      <c r="F1086" s="27">
        <v>0.91741673999999995</v>
      </c>
      <c r="G1086" s="3"/>
    </row>
    <row r="1087" spans="5:7" x14ac:dyDescent="0.2">
      <c r="E1087" s="26">
        <v>40857</v>
      </c>
      <c r="F1087" s="27">
        <v>0.91368415000000003</v>
      </c>
      <c r="G1087" s="3"/>
    </row>
    <row r="1088" spans="5:7" x14ac:dyDescent="0.2">
      <c r="E1088" s="26">
        <v>40856</v>
      </c>
      <c r="F1088" s="27">
        <v>0.95279994000000001</v>
      </c>
      <c r="G1088" s="3"/>
    </row>
    <row r="1089" spans="5:7" x14ac:dyDescent="0.2">
      <c r="E1089" s="26">
        <v>40855</v>
      </c>
      <c r="F1089" s="27">
        <v>0.97103322000000003</v>
      </c>
      <c r="G1089" s="3"/>
    </row>
    <row r="1090" spans="5:7" x14ac:dyDescent="0.2">
      <c r="E1090" s="26">
        <v>40854</v>
      </c>
      <c r="F1090" s="27">
        <v>0.97592325999999996</v>
      </c>
      <c r="G1090" s="3"/>
    </row>
    <row r="1091" spans="5:7" x14ac:dyDescent="0.2">
      <c r="E1091" s="26">
        <v>40851</v>
      </c>
      <c r="F1091" s="27">
        <v>0.97438150000000001</v>
      </c>
      <c r="G1091" s="3"/>
    </row>
    <row r="1092" spans="5:7" x14ac:dyDescent="0.2">
      <c r="E1092" s="26">
        <v>40850</v>
      </c>
      <c r="F1092" s="27">
        <v>0.97161434999999996</v>
      </c>
      <c r="G1092" s="3"/>
    </row>
    <row r="1093" spans="5:7" x14ac:dyDescent="0.2">
      <c r="E1093" s="26">
        <v>40849</v>
      </c>
      <c r="F1093" s="27">
        <v>0.97461584000000001</v>
      </c>
      <c r="G1093" s="3"/>
    </row>
    <row r="1094" spans="5:7" x14ac:dyDescent="0.2">
      <c r="E1094" s="26">
        <v>40848</v>
      </c>
      <c r="F1094" s="27">
        <v>0.97060621000000002</v>
      </c>
      <c r="G1094" s="3"/>
    </row>
    <row r="1095" spans="5:7" x14ac:dyDescent="0.2">
      <c r="E1095" s="26">
        <v>40847</v>
      </c>
      <c r="F1095" s="27">
        <v>0.91081164000000003</v>
      </c>
      <c r="G1095" s="3"/>
    </row>
    <row r="1096" spans="5:7" x14ac:dyDescent="0.2">
      <c r="E1096" s="26">
        <v>40844</v>
      </c>
      <c r="F1096" s="27">
        <v>0.84286576999999996</v>
      </c>
      <c r="G1096" s="3"/>
    </row>
    <row r="1097" spans="5:7" x14ac:dyDescent="0.2">
      <c r="E1097" s="26">
        <v>40843</v>
      </c>
      <c r="F1097" s="27">
        <v>0.82771581000000005</v>
      </c>
      <c r="G1097" s="3"/>
    </row>
    <row r="1098" spans="5:7" x14ac:dyDescent="0.2">
      <c r="E1098" s="26">
        <v>40842</v>
      </c>
      <c r="F1098" s="27">
        <v>0.86459914999999998</v>
      </c>
      <c r="G1098" s="3"/>
    </row>
    <row r="1099" spans="5:7" x14ac:dyDescent="0.2">
      <c r="E1099" s="26">
        <v>40841</v>
      </c>
      <c r="F1099" s="27">
        <v>0.89465903000000002</v>
      </c>
      <c r="G1099" s="3"/>
    </row>
    <row r="1100" spans="5:7" x14ac:dyDescent="0.2">
      <c r="E1100" s="26">
        <v>40840</v>
      </c>
      <c r="F1100" s="27">
        <v>0.83822136000000003</v>
      </c>
      <c r="G1100" s="3"/>
    </row>
    <row r="1101" spans="5:7" x14ac:dyDescent="0.2">
      <c r="E1101" s="26">
        <v>40837</v>
      </c>
      <c r="F1101" s="27">
        <v>0.8463716</v>
      </c>
      <c r="G1101" s="3"/>
    </row>
    <row r="1102" spans="5:7" x14ac:dyDescent="0.2">
      <c r="E1102" s="26">
        <v>40836</v>
      </c>
      <c r="F1102" s="27">
        <v>0.84735875999999999</v>
      </c>
      <c r="G1102" s="3"/>
    </row>
    <row r="1103" spans="5:7" x14ac:dyDescent="0.2">
      <c r="E1103" s="26">
        <v>40835</v>
      </c>
      <c r="F1103" s="27">
        <v>0.86681474000000003</v>
      </c>
      <c r="G1103" s="3"/>
    </row>
    <row r="1104" spans="5:7" x14ac:dyDescent="0.2">
      <c r="E1104" s="26">
        <v>40834</v>
      </c>
      <c r="F1104" s="27">
        <v>0.84441679000000003</v>
      </c>
      <c r="G1104" s="3"/>
    </row>
    <row r="1105" spans="5:7" x14ac:dyDescent="0.2">
      <c r="E1105" s="26">
        <v>40833</v>
      </c>
      <c r="F1105" s="27">
        <v>0.84306073000000004</v>
      </c>
      <c r="G1105" s="3"/>
    </row>
    <row r="1106" spans="5:7" x14ac:dyDescent="0.2">
      <c r="E1106" s="26">
        <v>40830</v>
      </c>
      <c r="F1106" s="27">
        <v>0.83013197000000005</v>
      </c>
      <c r="G1106" s="3"/>
    </row>
    <row r="1107" spans="5:7" x14ac:dyDescent="0.2">
      <c r="E1107" s="26">
        <v>40829</v>
      </c>
      <c r="F1107" s="27">
        <v>0.84078129000000001</v>
      </c>
      <c r="G1107" s="3"/>
    </row>
    <row r="1108" spans="5:7" x14ac:dyDescent="0.2">
      <c r="E1108" s="26">
        <v>40828</v>
      </c>
      <c r="F1108" s="27">
        <v>0.83542744999999996</v>
      </c>
      <c r="G1108" s="3"/>
    </row>
    <row r="1109" spans="5:7" x14ac:dyDescent="0.2">
      <c r="E1109" s="26">
        <v>40827</v>
      </c>
      <c r="F1109" s="27">
        <v>0.82950210999999996</v>
      </c>
      <c r="G1109" s="3"/>
    </row>
    <row r="1110" spans="5:7" x14ac:dyDescent="0.2">
      <c r="E1110" s="26">
        <v>40823</v>
      </c>
      <c r="F1110" s="27">
        <v>0.83613196000000001</v>
      </c>
      <c r="G1110" s="3"/>
    </row>
    <row r="1111" spans="5:7" x14ac:dyDescent="0.2">
      <c r="E1111" s="26">
        <v>40822</v>
      </c>
      <c r="F1111" s="27">
        <v>0.88478330999999999</v>
      </c>
      <c r="G1111" s="3"/>
    </row>
    <row r="1112" spans="5:7" x14ac:dyDescent="0.2">
      <c r="E1112" s="26">
        <v>40821</v>
      </c>
      <c r="F1112" s="27">
        <v>0.92342051999999997</v>
      </c>
      <c r="G1112" s="3"/>
    </row>
    <row r="1113" spans="5:7" x14ac:dyDescent="0.2">
      <c r="E1113" s="26">
        <v>40820</v>
      </c>
      <c r="F1113" s="27">
        <v>0.94663377999999998</v>
      </c>
      <c r="G1113" s="3"/>
    </row>
    <row r="1114" spans="5:7" x14ac:dyDescent="0.2">
      <c r="E1114" s="26">
        <v>40819</v>
      </c>
      <c r="F1114" s="27">
        <v>0.97810912000000005</v>
      </c>
      <c r="G1114" s="3"/>
    </row>
    <row r="1115" spans="5:7" x14ac:dyDescent="0.2">
      <c r="E1115" s="26">
        <v>40816</v>
      </c>
      <c r="F1115" s="27">
        <v>0.95732165999999996</v>
      </c>
      <c r="G1115" s="3"/>
    </row>
    <row r="1116" spans="5:7" x14ac:dyDescent="0.2">
      <c r="E1116" s="26">
        <v>40815</v>
      </c>
      <c r="F1116" s="27">
        <v>0.92916330000000003</v>
      </c>
      <c r="G1116" s="3"/>
    </row>
    <row r="1117" spans="5:7" x14ac:dyDescent="0.2">
      <c r="E1117" s="26">
        <v>40814</v>
      </c>
      <c r="F1117" s="27">
        <v>0.87701468999999999</v>
      </c>
      <c r="G1117" s="3"/>
    </row>
    <row r="1118" spans="5:7" x14ac:dyDescent="0.2">
      <c r="E1118" s="26">
        <v>40813</v>
      </c>
      <c r="F1118" s="27">
        <v>0.92916330000000003</v>
      </c>
      <c r="G1118" s="3"/>
    </row>
    <row r="1119" spans="5:7" x14ac:dyDescent="0.2">
      <c r="E1119" s="26">
        <v>40812</v>
      </c>
      <c r="F1119" s="27">
        <v>0.98181251999999997</v>
      </c>
      <c r="G1119" s="3"/>
    </row>
    <row r="1120" spans="5:7" x14ac:dyDescent="0.2">
      <c r="E1120" s="26">
        <v>40809</v>
      </c>
      <c r="F1120" s="27">
        <v>0.98557090000000003</v>
      </c>
      <c r="G1120" s="3"/>
    </row>
    <row r="1121" spans="5:7" x14ac:dyDescent="0.2">
      <c r="E1121" s="26">
        <v>40808</v>
      </c>
      <c r="F1121" s="27">
        <v>0.98718243000000006</v>
      </c>
      <c r="G1121" s="3"/>
    </row>
    <row r="1122" spans="5:7" x14ac:dyDescent="0.2">
      <c r="E1122" s="26">
        <v>40807</v>
      </c>
      <c r="F1122" s="27">
        <v>0.98438846000000002</v>
      </c>
      <c r="G1122" s="3"/>
    </row>
    <row r="1123" spans="5:7" x14ac:dyDescent="0.2">
      <c r="E1123" s="26">
        <v>40806</v>
      </c>
      <c r="F1123" s="27">
        <v>0.90939444999999997</v>
      </c>
      <c r="G1123" s="3"/>
    </row>
    <row r="1124" spans="5:7" x14ac:dyDescent="0.2">
      <c r="E1124" s="26">
        <v>40805</v>
      </c>
      <c r="F1124" s="27">
        <v>0.91915827999999999</v>
      </c>
      <c r="G1124" s="3"/>
    </row>
    <row r="1125" spans="5:7" x14ac:dyDescent="0.2">
      <c r="E1125" s="26">
        <v>40802</v>
      </c>
      <c r="F1125" s="27">
        <v>0.85253478000000005</v>
      </c>
      <c r="G1125" s="3"/>
    </row>
    <row r="1126" spans="5:7" x14ac:dyDescent="0.2">
      <c r="E1126" s="26">
        <v>40801</v>
      </c>
      <c r="F1126" s="27">
        <v>0.85233175999999999</v>
      </c>
      <c r="G1126" s="3"/>
    </row>
    <row r="1127" spans="5:7" x14ac:dyDescent="0.2">
      <c r="E1127" s="26">
        <v>40800</v>
      </c>
      <c r="F1127" s="27">
        <v>0.88148886000000004</v>
      </c>
      <c r="G1127" s="3"/>
    </row>
    <row r="1128" spans="5:7" x14ac:dyDescent="0.2">
      <c r="E1128" s="26">
        <v>40799</v>
      </c>
      <c r="F1128" s="27">
        <v>0.87859103000000005</v>
      </c>
      <c r="G1128" s="3"/>
    </row>
    <row r="1129" spans="5:7" x14ac:dyDescent="0.2">
      <c r="E1129" s="26">
        <v>40798</v>
      </c>
      <c r="F1129" s="27">
        <v>0.90497623000000005</v>
      </c>
      <c r="G1129" s="3"/>
    </row>
    <row r="1130" spans="5:7" x14ac:dyDescent="0.2">
      <c r="E1130" s="26">
        <v>40795</v>
      </c>
      <c r="F1130" s="27">
        <v>0.93021054999999997</v>
      </c>
      <c r="G1130" s="3"/>
    </row>
    <row r="1131" spans="5:7" x14ac:dyDescent="0.2">
      <c r="E1131" s="26">
        <v>40794</v>
      </c>
      <c r="F1131" s="27">
        <v>0.89313180000000003</v>
      </c>
      <c r="G1131" s="3"/>
    </row>
    <row r="1132" spans="5:7" x14ac:dyDescent="0.2">
      <c r="E1132" s="26">
        <v>40793</v>
      </c>
      <c r="F1132" s="27">
        <v>0.86973243</v>
      </c>
      <c r="G1132" s="3"/>
    </row>
    <row r="1133" spans="5:7" x14ac:dyDescent="0.2">
      <c r="E1133" s="26">
        <v>40792</v>
      </c>
      <c r="F1133" s="27">
        <v>0.90259902999999997</v>
      </c>
      <c r="G1133" s="3"/>
    </row>
    <row r="1134" spans="5:7" x14ac:dyDescent="0.2">
      <c r="E1134" s="26">
        <v>40788</v>
      </c>
      <c r="F1134" s="27">
        <v>0.90242288999999998</v>
      </c>
      <c r="G1134" s="3"/>
    </row>
    <row r="1135" spans="5:7" x14ac:dyDescent="0.2">
      <c r="E1135" s="26">
        <v>40787</v>
      </c>
      <c r="F1135" s="27">
        <v>0.84721122000000004</v>
      </c>
      <c r="G1135" s="3"/>
    </row>
    <row r="1136" spans="5:7" x14ac:dyDescent="0.2">
      <c r="E1136" s="26">
        <v>40786</v>
      </c>
      <c r="F1136" s="27">
        <v>0.84239131</v>
      </c>
      <c r="G1136" s="3"/>
    </row>
    <row r="1137" spans="5:7" x14ac:dyDescent="0.2">
      <c r="E1137" s="26">
        <v>40785</v>
      </c>
      <c r="F1137" s="27">
        <v>0.83828232000000003</v>
      </c>
      <c r="G1137" s="3"/>
    </row>
    <row r="1138" spans="5:7" x14ac:dyDescent="0.2">
      <c r="E1138" s="26">
        <v>40784</v>
      </c>
      <c r="F1138" s="27">
        <v>0.82673280999999998</v>
      </c>
      <c r="G1138" s="3"/>
    </row>
    <row r="1139" spans="5:7" x14ac:dyDescent="0.2">
      <c r="E1139" s="26">
        <v>40781</v>
      </c>
      <c r="F1139" s="27">
        <v>0.83931259999999996</v>
      </c>
      <c r="G1139" s="3"/>
    </row>
    <row r="1140" spans="5:7" x14ac:dyDescent="0.2">
      <c r="E1140" s="26">
        <v>40780</v>
      </c>
      <c r="F1140" s="27">
        <v>0.83470208999999995</v>
      </c>
      <c r="G1140" s="3"/>
    </row>
    <row r="1141" spans="5:7" x14ac:dyDescent="0.2">
      <c r="E1141" s="26">
        <v>40779</v>
      </c>
      <c r="F1141" s="27">
        <v>0.84607922999999996</v>
      </c>
      <c r="G1141" s="3"/>
    </row>
    <row r="1142" spans="5:7" x14ac:dyDescent="0.2">
      <c r="E1142" s="26">
        <v>40778</v>
      </c>
      <c r="F1142" s="27">
        <v>0.85332171000000001</v>
      </c>
      <c r="G1142" s="3"/>
    </row>
    <row r="1143" spans="5:7" x14ac:dyDescent="0.2">
      <c r="E1143" s="26">
        <v>40777</v>
      </c>
      <c r="F1143" s="27">
        <v>0.88061953999999998</v>
      </c>
      <c r="G1143" s="3"/>
    </row>
    <row r="1144" spans="5:7" x14ac:dyDescent="0.2">
      <c r="E1144" s="26">
        <v>40774</v>
      </c>
      <c r="F1144" s="27">
        <v>0.89684797999999999</v>
      </c>
      <c r="G1144" s="3"/>
    </row>
    <row r="1145" spans="5:7" x14ac:dyDescent="0.2">
      <c r="E1145" s="26">
        <v>40773</v>
      </c>
      <c r="F1145" s="27">
        <v>0.91565848999999999</v>
      </c>
      <c r="G1145" s="3"/>
    </row>
    <row r="1146" spans="5:7" x14ac:dyDescent="0.2">
      <c r="E1146" s="26">
        <v>40772</v>
      </c>
      <c r="F1146" s="27">
        <v>0.90548150000000005</v>
      </c>
      <c r="G1146" s="3"/>
    </row>
    <row r="1147" spans="5:7" x14ac:dyDescent="0.2">
      <c r="E1147" s="26">
        <v>40771</v>
      </c>
      <c r="F1147" s="27">
        <v>0.85342719</v>
      </c>
      <c r="G1147" s="3"/>
    </row>
    <row r="1148" spans="5:7" x14ac:dyDescent="0.2">
      <c r="E1148" s="26">
        <v>40770</v>
      </c>
      <c r="F1148" s="27">
        <v>0.84267753999999995</v>
      </c>
      <c r="G1148" s="3"/>
    </row>
    <row r="1149" spans="5:7" x14ac:dyDescent="0.2">
      <c r="E1149" s="26">
        <v>40767</v>
      </c>
      <c r="F1149" s="27">
        <v>0.85297997000000003</v>
      </c>
      <c r="G1149" s="3"/>
    </row>
    <row r="1150" spans="5:7" x14ac:dyDescent="0.2">
      <c r="E1150" s="26">
        <v>40766</v>
      </c>
      <c r="F1150" s="27">
        <v>0.84420832000000001</v>
      </c>
      <c r="G1150" s="3"/>
    </row>
    <row r="1151" spans="5:7" x14ac:dyDescent="0.2">
      <c r="E1151" s="26">
        <v>40765</v>
      </c>
      <c r="F1151" s="27">
        <v>0.89709355000000002</v>
      </c>
      <c r="G1151" s="3"/>
    </row>
    <row r="1152" spans="5:7" x14ac:dyDescent="0.2">
      <c r="E1152" s="26">
        <v>40764</v>
      </c>
      <c r="F1152" s="27">
        <v>0.94222729999999999</v>
      </c>
      <c r="G1152" s="3"/>
    </row>
    <row r="1153" spans="5:7" x14ac:dyDescent="0.2">
      <c r="E1153" s="26">
        <v>40763</v>
      </c>
      <c r="F1153" s="27">
        <v>0.85290482000000001</v>
      </c>
      <c r="G1153" s="3"/>
    </row>
    <row r="1154" spans="5:7" x14ac:dyDescent="0.2">
      <c r="E1154" s="26">
        <v>40760</v>
      </c>
      <c r="F1154" s="27">
        <v>0.83473637999999994</v>
      </c>
      <c r="G1154" s="3"/>
    </row>
    <row r="1155" spans="5:7" x14ac:dyDescent="0.2">
      <c r="E1155" s="26">
        <v>40759</v>
      </c>
      <c r="F1155" s="27">
        <v>0.86172420000000005</v>
      </c>
      <c r="G1155" s="3"/>
    </row>
    <row r="1156" spans="5:7" x14ac:dyDescent="0.2">
      <c r="E1156" s="26">
        <v>40758</v>
      </c>
      <c r="F1156" s="27">
        <v>0.83842037000000003</v>
      </c>
      <c r="G1156" s="3"/>
    </row>
    <row r="1157" spans="5:7" x14ac:dyDescent="0.2">
      <c r="E1157" s="26">
        <v>40757</v>
      </c>
      <c r="F1157" s="27">
        <v>0.83759457000000004</v>
      </c>
      <c r="G1157" s="3"/>
    </row>
    <row r="1158" spans="5:7" x14ac:dyDescent="0.2">
      <c r="E1158" s="26">
        <v>40756</v>
      </c>
      <c r="F1158" s="27">
        <v>0.82326312000000001</v>
      </c>
      <c r="G1158" s="3"/>
    </row>
    <row r="1159" spans="5:7" x14ac:dyDescent="0.2">
      <c r="E1159" s="26">
        <v>40753</v>
      </c>
      <c r="F1159" s="27">
        <v>0.81158019000000003</v>
      </c>
      <c r="G1159" s="3"/>
    </row>
    <row r="1160" spans="5:7" x14ac:dyDescent="0.2">
      <c r="E1160" s="26">
        <v>40752</v>
      </c>
      <c r="F1160" s="27">
        <v>0.62533603999999998</v>
      </c>
      <c r="G1160" s="3"/>
    </row>
    <row r="1161" spans="5:7" x14ac:dyDescent="0.2">
      <c r="E1161" s="26">
        <v>40751</v>
      </c>
      <c r="F1161" s="27">
        <v>0.60373120999999996</v>
      </c>
      <c r="G1161" s="3"/>
    </row>
    <row r="1162" spans="5:7" x14ac:dyDescent="0.2">
      <c r="E1162" s="26">
        <v>40750</v>
      </c>
      <c r="F1162" s="27">
        <v>0.63153959999999998</v>
      </c>
      <c r="G1162" s="3"/>
    </row>
    <row r="1163" spans="5:7" x14ac:dyDescent="0.2">
      <c r="E1163" s="26">
        <v>40749</v>
      </c>
      <c r="F1163" s="27">
        <v>0.61502153000000004</v>
      </c>
      <c r="G1163" s="3"/>
    </row>
    <row r="1164" spans="5:7" x14ac:dyDescent="0.2">
      <c r="E1164" s="26">
        <v>40746</v>
      </c>
      <c r="F1164" s="27">
        <v>0.63756215999999999</v>
      </c>
      <c r="G1164" s="3"/>
    </row>
    <row r="1165" spans="5:7" x14ac:dyDescent="0.2">
      <c r="E1165" s="26">
        <v>40745</v>
      </c>
      <c r="F1165" s="27">
        <v>0.62002716000000002</v>
      </c>
      <c r="G1165" s="3"/>
    </row>
    <row r="1166" spans="5:7" x14ac:dyDescent="0.2">
      <c r="E1166" s="26">
        <v>40744</v>
      </c>
      <c r="F1166" s="27">
        <v>0.64717546999999997</v>
      </c>
      <c r="G1166" s="3"/>
    </row>
    <row r="1167" spans="5:7" x14ac:dyDescent="0.2">
      <c r="E1167" s="26">
        <v>40743</v>
      </c>
      <c r="F1167" s="27">
        <v>0.76129506000000002</v>
      </c>
      <c r="G1167" s="3"/>
    </row>
    <row r="1168" spans="5:7" x14ac:dyDescent="0.2">
      <c r="E1168" s="26">
        <v>40742</v>
      </c>
      <c r="F1168" s="27">
        <v>0.74490188999999996</v>
      </c>
      <c r="G1168" s="3"/>
    </row>
    <row r="1169" spans="5:7" x14ac:dyDescent="0.2">
      <c r="E1169" s="26">
        <v>40739</v>
      </c>
      <c r="F1169" s="27">
        <v>0.79244053999999997</v>
      </c>
      <c r="G1169" s="3"/>
    </row>
    <row r="1170" spans="5:7" x14ac:dyDescent="0.2">
      <c r="E1170" s="26">
        <v>40738</v>
      </c>
      <c r="F1170" s="27">
        <v>0.76763572000000002</v>
      </c>
      <c r="G1170" s="3"/>
    </row>
    <row r="1171" spans="5:7" x14ac:dyDescent="0.2">
      <c r="E1171" s="26">
        <v>40737</v>
      </c>
      <c r="F1171" s="27">
        <v>0.81113716999999996</v>
      </c>
      <c r="G1171" s="3"/>
    </row>
    <row r="1172" spans="5:7" x14ac:dyDescent="0.2">
      <c r="E1172" s="26">
        <v>40736</v>
      </c>
      <c r="F1172" s="27">
        <v>0.75550598999999996</v>
      </c>
      <c r="G1172" s="3"/>
    </row>
    <row r="1173" spans="5:7" x14ac:dyDescent="0.2">
      <c r="E1173" s="26">
        <v>40735</v>
      </c>
      <c r="F1173" s="27">
        <v>0.73745605000000003</v>
      </c>
      <c r="G1173" s="3"/>
    </row>
    <row r="1174" spans="5:7" x14ac:dyDescent="0.2">
      <c r="E1174" s="26">
        <v>40732</v>
      </c>
      <c r="F1174" s="27">
        <v>0.64318423000000002</v>
      </c>
      <c r="G1174" s="3"/>
    </row>
    <row r="1175" spans="5:7" x14ac:dyDescent="0.2">
      <c r="E1175" s="26">
        <v>40731</v>
      </c>
      <c r="F1175" s="27">
        <v>0.59328561000000002</v>
      </c>
      <c r="G1175" s="3"/>
    </row>
    <row r="1176" spans="5:7" x14ac:dyDescent="0.2">
      <c r="E1176" s="26">
        <v>40730</v>
      </c>
      <c r="F1176" s="27">
        <v>0.61325107999999995</v>
      </c>
      <c r="G1176" s="3"/>
    </row>
    <row r="1177" spans="5:7" x14ac:dyDescent="0.2">
      <c r="E1177" s="26">
        <v>40729</v>
      </c>
      <c r="F1177" s="27">
        <v>0.59769616999999997</v>
      </c>
      <c r="G1177" s="3"/>
    </row>
    <row r="1178" spans="5:7" x14ac:dyDescent="0.2">
      <c r="E1178" s="26">
        <v>40725</v>
      </c>
      <c r="F1178" s="27">
        <v>0.58820852000000001</v>
      </c>
      <c r="G1178" s="3"/>
    </row>
    <row r="1179" spans="5:7" x14ac:dyDescent="0.2">
      <c r="E1179" s="26">
        <v>40724</v>
      </c>
      <c r="F1179" s="27">
        <v>0.60136347999999995</v>
      </c>
      <c r="G1179" s="3"/>
    </row>
    <row r="1180" spans="5:7" x14ac:dyDescent="0.2">
      <c r="E1180" s="26">
        <v>40723</v>
      </c>
      <c r="F1180" s="27">
        <v>0.61234429999999995</v>
      </c>
      <c r="G1180" s="3"/>
    </row>
    <row r="1181" spans="5:7" x14ac:dyDescent="0.2">
      <c r="E1181" s="26">
        <v>40722</v>
      </c>
      <c r="F1181" s="27">
        <v>0.62099919000000003</v>
      </c>
      <c r="G1181" s="3"/>
    </row>
    <row r="1182" spans="5:7" x14ac:dyDescent="0.2">
      <c r="E1182" s="26">
        <v>40721</v>
      </c>
      <c r="F1182" s="27">
        <v>0.72719493999999996</v>
      </c>
      <c r="G1182" s="3"/>
    </row>
    <row r="1183" spans="5:7" x14ac:dyDescent="0.2">
      <c r="E1183" s="26">
        <v>40718</v>
      </c>
      <c r="F1183" s="27">
        <v>0.79623065000000004</v>
      </c>
      <c r="G1183" s="3"/>
    </row>
    <row r="1184" spans="5:7" x14ac:dyDescent="0.2">
      <c r="E1184" s="26">
        <v>40717</v>
      </c>
      <c r="F1184" s="27">
        <v>0.79592470000000004</v>
      </c>
      <c r="G1184" s="3"/>
    </row>
    <row r="1185" spans="5:7" x14ac:dyDescent="0.2">
      <c r="E1185" s="26">
        <v>40716</v>
      </c>
      <c r="F1185" s="27">
        <v>0.66686383999999999</v>
      </c>
      <c r="G1185" s="3"/>
    </row>
    <row r="1186" spans="5:7" x14ac:dyDescent="0.2">
      <c r="E1186" s="26">
        <v>40715</v>
      </c>
      <c r="F1186" s="27">
        <v>0.67585764999999998</v>
      </c>
      <c r="G1186" s="3"/>
    </row>
    <row r="1187" spans="5:7" x14ac:dyDescent="0.2">
      <c r="E1187" s="26">
        <v>40714</v>
      </c>
      <c r="F1187" s="27">
        <v>0.69050447000000004</v>
      </c>
      <c r="G1187" s="3"/>
    </row>
    <row r="1188" spans="5:7" x14ac:dyDescent="0.2">
      <c r="E1188" s="26">
        <v>40711</v>
      </c>
      <c r="F1188" s="27">
        <v>0.74517188999999995</v>
      </c>
      <c r="G1188" s="3"/>
    </row>
    <row r="1189" spans="5:7" x14ac:dyDescent="0.2">
      <c r="E1189" s="26">
        <v>40710</v>
      </c>
      <c r="F1189" s="27">
        <v>0.77727851000000003</v>
      </c>
      <c r="G1189" s="3"/>
    </row>
    <row r="1190" spans="5:7" x14ac:dyDescent="0.2">
      <c r="E1190" s="26">
        <v>40709</v>
      </c>
      <c r="F1190" s="27">
        <v>0.74517188999999995</v>
      </c>
      <c r="G1190" s="3"/>
    </row>
    <row r="1191" spans="5:7" x14ac:dyDescent="0.2">
      <c r="E1191" s="26">
        <v>40708</v>
      </c>
      <c r="F1191" s="27">
        <v>0.62299667999999997</v>
      </c>
      <c r="G1191" s="3"/>
    </row>
    <row r="1192" spans="5:7" x14ac:dyDescent="0.2">
      <c r="E1192" s="26">
        <v>40707</v>
      </c>
      <c r="F1192" s="27">
        <v>0.70826939</v>
      </c>
      <c r="G1192" s="3"/>
    </row>
    <row r="1193" spans="5:7" x14ac:dyDescent="0.2">
      <c r="E1193" s="26">
        <v>40704</v>
      </c>
      <c r="F1193" s="27">
        <v>0.73871514999999999</v>
      </c>
      <c r="G1193" s="3"/>
    </row>
    <row r="1194" spans="5:7" x14ac:dyDescent="0.2">
      <c r="E1194" s="26">
        <v>40703</v>
      </c>
      <c r="F1194" s="27">
        <v>0.74020900999999995</v>
      </c>
      <c r="G1194" s="3"/>
    </row>
    <row r="1195" spans="5:7" x14ac:dyDescent="0.2">
      <c r="E1195" s="26">
        <v>40702</v>
      </c>
      <c r="F1195" s="27">
        <v>0.79623065000000004</v>
      </c>
      <c r="G1195" s="3"/>
    </row>
    <row r="1196" spans="5:7" x14ac:dyDescent="0.2">
      <c r="E1196" s="26">
        <v>40701</v>
      </c>
      <c r="F1196" s="27">
        <v>0.68885443999999996</v>
      </c>
      <c r="G1196" s="3"/>
    </row>
    <row r="1197" spans="5:7" x14ac:dyDescent="0.2">
      <c r="E1197" s="26">
        <v>40700</v>
      </c>
      <c r="F1197" s="27">
        <v>0.68036317000000002</v>
      </c>
      <c r="G1197" s="3"/>
    </row>
    <row r="1198" spans="5:7" x14ac:dyDescent="0.2">
      <c r="E1198" s="26">
        <v>40697</v>
      </c>
      <c r="F1198" s="27">
        <v>0.69546646999999995</v>
      </c>
      <c r="G1198" s="3"/>
    </row>
    <row r="1199" spans="5:7" x14ac:dyDescent="0.2">
      <c r="E1199" s="26">
        <v>40696</v>
      </c>
      <c r="F1199" s="27">
        <v>0.65772775999999999</v>
      </c>
      <c r="G1199" s="3"/>
    </row>
    <row r="1200" spans="5:7" x14ac:dyDescent="0.2">
      <c r="E1200" s="26">
        <v>40695</v>
      </c>
      <c r="F1200" s="27">
        <v>0.75998626000000002</v>
      </c>
      <c r="G1200" s="3"/>
    </row>
    <row r="1201" spans="5:7" x14ac:dyDescent="0.2">
      <c r="E1201" s="26">
        <v>40694</v>
      </c>
      <c r="F1201" s="27">
        <v>0.64966367000000003</v>
      </c>
      <c r="G1201" s="3"/>
    </row>
    <row r="1202" spans="5:7" x14ac:dyDescent="0.2">
      <c r="E1202" s="26">
        <v>40690</v>
      </c>
      <c r="F1202" s="27">
        <v>0.64911578000000003</v>
      </c>
      <c r="G1202" s="3"/>
    </row>
    <row r="1203" spans="5:7" x14ac:dyDescent="0.2">
      <c r="E1203" s="26">
        <v>40689</v>
      </c>
      <c r="F1203" s="27">
        <v>0.67825385000000005</v>
      </c>
      <c r="G1203" s="3"/>
    </row>
    <row r="1204" spans="5:7" x14ac:dyDescent="0.2">
      <c r="E1204" s="26">
        <v>40688</v>
      </c>
      <c r="F1204" s="27">
        <v>0.61919310000000005</v>
      </c>
      <c r="G1204" s="3"/>
    </row>
    <row r="1205" spans="5:7" x14ac:dyDescent="0.2">
      <c r="E1205" s="26">
        <v>40687</v>
      </c>
      <c r="F1205" s="27">
        <v>0.61190235000000004</v>
      </c>
      <c r="G1205" s="3"/>
    </row>
    <row r="1206" spans="5:7" x14ac:dyDescent="0.2">
      <c r="E1206" s="26">
        <v>40686</v>
      </c>
      <c r="F1206" s="27">
        <v>0.60791371999999999</v>
      </c>
      <c r="G1206" s="3"/>
    </row>
    <row r="1207" spans="5:7" x14ac:dyDescent="0.2">
      <c r="E1207" s="26">
        <v>40683</v>
      </c>
      <c r="F1207" s="27">
        <v>0.60913379999999995</v>
      </c>
      <c r="G1207" s="3"/>
    </row>
    <row r="1208" spans="5:7" x14ac:dyDescent="0.2">
      <c r="E1208" s="26">
        <v>40682</v>
      </c>
      <c r="F1208" s="27">
        <v>0.60650216000000001</v>
      </c>
      <c r="G1208" s="3"/>
    </row>
    <row r="1209" spans="5:7" x14ac:dyDescent="0.2">
      <c r="E1209" s="26">
        <v>40681</v>
      </c>
      <c r="F1209" s="27">
        <v>0.60756730999999997</v>
      </c>
      <c r="G1209" s="3"/>
    </row>
    <row r="1210" spans="5:7" x14ac:dyDescent="0.2">
      <c r="E1210" s="26">
        <v>40680</v>
      </c>
      <c r="F1210" s="27">
        <v>0.61572481999999995</v>
      </c>
      <c r="G1210" s="3"/>
    </row>
    <row r="1211" spans="5:7" x14ac:dyDescent="0.2">
      <c r="E1211" s="26">
        <v>40679</v>
      </c>
      <c r="F1211" s="27">
        <v>0.61009265000000001</v>
      </c>
      <c r="G1211" s="3"/>
    </row>
    <row r="1212" spans="5:7" x14ac:dyDescent="0.2">
      <c r="E1212" s="26">
        <v>40676</v>
      </c>
      <c r="F1212" s="27">
        <v>0.60620629999999998</v>
      </c>
      <c r="G1212" s="3"/>
    </row>
    <row r="1213" spans="5:7" x14ac:dyDescent="0.2">
      <c r="E1213" s="26">
        <v>40675</v>
      </c>
      <c r="F1213" s="27">
        <v>0.60131517999999995</v>
      </c>
      <c r="G1213" s="3"/>
    </row>
    <row r="1214" spans="5:7" x14ac:dyDescent="0.2">
      <c r="E1214" s="26">
        <v>40674</v>
      </c>
      <c r="F1214" s="27">
        <v>0.60725342000000004</v>
      </c>
      <c r="G1214" s="3"/>
    </row>
    <row r="1215" spans="5:7" x14ac:dyDescent="0.2">
      <c r="E1215" s="26">
        <v>40673</v>
      </c>
      <c r="F1215" s="27">
        <v>0.60476870999999999</v>
      </c>
      <c r="G1215" s="3"/>
    </row>
    <row r="1216" spans="5:7" x14ac:dyDescent="0.2">
      <c r="E1216" s="26">
        <v>40672</v>
      </c>
      <c r="F1216" s="27">
        <v>0.61802575999999998</v>
      </c>
      <c r="G1216" s="3"/>
    </row>
    <row r="1217" spans="5:7" x14ac:dyDescent="0.2">
      <c r="E1217" s="26">
        <v>40669</v>
      </c>
      <c r="F1217" s="27">
        <v>0.61279925000000002</v>
      </c>
      <c r="G1217" s="3"/>
    </row>
    <row r="1218" spans="5:7" x14ac:dyDescent="0.2">
      <c r="E1218" s="26">
        <v>40668</v>
      </c>
      <c r="F1218" s="27">
        <v>0.60970157999999997</v>
      </c>
      <c r="G1218" s="3"/>
    </row>
    <row r="1219" spans="5:7" x14ac:dyDescent="0.2">
      <c r="E1219" s="26">
        <v>40667</v>
      </c>
      <c r="F1219" s="27">
        <v>0.59849596999999999</v>
      </c>
      <c r="G1219" s="3"/>
    </row>
    <row r="1220" spans="5:7" x14ac:dyDescent="0.2">
      <c r="E1220" s="26">
        <v>40666</v>
      </c>
      <c r="F1220" s="27">
        <v>0.59809005999999998</v>
      </c>
      <c r="G1220" s="3"/>
    </row>
    <row r="1221" spans="5:7" x14ac:dyDescent="0.2">
      <c r="E1221" s="26">
        <v>40665</v>
      </c>
      <c r="F1221" s="27">
        <v>0.59420903000000003</v>
      </c>
      <c r="G1221" s="3"/>
    </row>
    <row r="1222" spans="5:7" x14ac:dyDescent="0.2">
      <c r="E1222" s="26">
        <v>40662</v>
      </c>
      <c r="F1222" s="27">
        <v>0.60214741999999999</v>
      </c>
      <c r="G1222" s="3"/>
    </row>
    <row r="1223" spans="5:7" x14ac:dyDescent="0.2">
      <c r="E1223" s="26">
        <v>40661</v>
      </c>
      <c r="F1223" s="27">
        <v>0.59958840999999996</v>
      </c>
      <c r="G1223" s="3"/>
    </row>
    <row r="1224" spans="5:7" x14ac:dyDescent="0.2">
      <c r="E1224" s="26">
        <v>40660</v>
      </c>
      <c r="F1224" s="27">
        <v>0.59476454999999995</v>
      </c>
      <c r="G1224" s="3"/>
    </row>
    <row r="1225" spans="5:7" x14ac:dyDescent="0.2">
      <c r="E1225" s="26">
        <v>40659</v>
      </c>
      <c r="F1225" s="27">
        <v>0.59816915999999998</v>
      </c>
      <c r="G1225" s="3"/>
    </row>
    <row r="1226" spans="5:7" x14ac:dyDescent="0.2">
      <c r="E1226" s="26">
        <v>40658</v>
      </c>
      <c r="F1226" s="27">
        <v>0.59596400999999999</v>
      </c>
      <c r="G1226" s="3"/>
    </row>
    <row r="1227" spans="5:7" x14ac:dyDescent="0.2">
      <c r="E1227" s="26">
        <v>40654</v>
      </c>
      <c r="F1227" s="27">
        <v>0.59386766000000002</v>
      </c>
      <c r="G1227" s="3"/>
    </row>
    <row r="1228" spans="5:7" x14ac:dyDescent="0.2">
      <c r="E1228" s="26">
        <v>40653</v>
      </c>
      <c r="F1228" s="27">
        <v>0.59394553000000005</v>
      </c>
      <c r="G1228" s="3"/>
    </row>
    <row r="1229" spans="5:7" x14ac:dyDescent="0.2">
      <c r="E1229" s="26">
        <v>40652</v>
      </c>
      <c r="F1229" s="27">
        <v>0.59807111999999996</v>
      </c>
      <c r="G1229" s="3"/>
    </row>
    <row r="1230" spans="5:7" x14ac:dyDescent="0.2">
      <c r="E1230" s="26">
        <v>40651</v>
      </c>
      <c r="F1230" s="27">
        <v>0.59752002000000004</v>
      </c>
      <c r="G1230" s="3"/>
    </row>
    <row r="1231" spans="5:7" x14ac:dyDescent="0.2">
      <c r="E1231" s="26">
        <v>40648</v>
      </c>
      <c r="F1231" s="27">
        <v>0.59459154000000003</v>
      </c>
      <c r="G1231" s="3"/>
    </row>
    <row r="1232" spans="5:7" x14ac:dyDescent="0.2">
      <c r="E1232" s="26">
        <v>40647</v>
      </c>
      <c r="F1232" s="27">
        <v>0.58773812999999997</v>
      </c>
      <c r="G1232" s="3"/>
    </row>
    <row r="1233" spans="5:7" x14ac:dyDescent="0.2">
      <c r="E1233" s="26">
        <v>40646</v>
      </c>
      <c r="F1233" s="27">
        <v>0.58820517000000005</v>
      </c>
      <c r="G1233" s="3"/>
    </row>
    <row r="1234" spans="5:7" x14ac:dyDescent="0.2">
      <c r="E1234" s="26">
        <v>40645</v>
      </c>
      <c r="F1234" s="27">
        <v>0.58436579</v>
      </c>
      <c r="G1234" s="3"/>
    </row>
    <row r="1235" spans="5:7" x14ac:dyDescent="0.2">
      <c r="E1235" s="26">
        <v>40644</v>
      </c>
      <c r="F1235" s="27">
        <v>0.55462959000000001</v>
      </c>
      <c r="G1235" s="3"/>
    </row>
    <row r="1236" spans="5:7" x14ac:dyDescent="0.2">
      <c r="E1236" s="26">
        <v>40641</v>
      </c>
      <c r="F1236" s="27">
        <v>0.55076780000000003</v>
      </c>
      <c r="G1236" s="3"/>
    </row>
    <row r="1237" spans="5:7" x14ac:dyDescent="0.2">
      <c r="E1237" s="26">
        <v>40640</v>
      </c>
      <c r="F1237" s="27">
        <v>0.55713210000000002</v>
      </c>
      <c r="G1237" s="3"/>
    </row>
    <row r="1238" spans="5:7" x14ac:dyDescent="0.2">
      <c r="E1238" s="26">
        <v>40639</v>
      </c>
      <c r="F1238" s="27">
        <v>0.55462959000000001</v>
      </c>
      <c r="G1238" s="3"/>
    </row>
    <row r="1239" spans="5:7" x14ac:dyDescent="0.2">
      <c r="E1239" s="26">
        <v>40638</v>
      </c>
      <c r="F1239" s="27">
        <v>0.56064663999999997</v>
      </c>
      <c r="G1239" s="3"/>
    </row>
    <row r="1240" spans="5:7" x14ac:dyDescent="0.2">
      <c r="E1240" s="26">
        <v>40637</v>
      </c>
      <c r="F1240" s="27">
        <v>0.58600547000000003</v>
      </c>
      <c r="G1240" s="3"/>
    </row>
    <row r="1241" spans="5:7" x14ac:dyDescent="0.2">
      <c r="E1241" s="26">
        <v>40634</v>
      </c>
      <c r="F1241" s="27">
        <v>0.58564293999999995</v>
      </c>
      <c r="G1241" s="3"/>
    </row>
    <row r="1242" spans="5:7" x14ac:dyDescent="0.2">
      <c r="E1242" s="26">
        <v>40633</v>
      </c>
      <c r="F1242" s="27">
        <v>0.59330693000000001</v>
      </c>
      <c r="G1242" s="3"/>
    </row>
    <row r="1243" spans="5:7" x14ac:dyDescent="0.2">
      <c r="E1243" s="26">
        <v>40632</v>
      </c>
      <c r="F1243" s="27">
        <v>0.59292115999999995</v>
      </c>
      <c r="G1243" s="3"/>
    </row>
    <row r="1244" spans="5:7" x14ac:dyDescent="0.2">
      <c r="E1244" s="26">
        <v>40631</v>
      </c>
      <c r="F1244" s="27">
        <v>0.54296453</v>
      </c>
      <c r="G1244" s="3"/>
    </row>
    <row r="1245" spans="5:7" x14ac:dyDescent="0.2">
      <c r="E1245" s="26">
        <v>40630</v>
      </c>
      <c r="F1245" s="27">
        <v>0.57025108000000002</v>
      </c>
      <c r="G1245" s="3"/>
    </row>
    <row r="1246" spans="5:7" x14ac:dyDescent="0.2">
      <c r="E1246" s="26">
        <v>40627</v>
      </c>
      <c r="F1246" s="27">
        <v>0.57229280000000005</v>
      </c>
      <c r="G1246" s="3"/>
    </row>
    <row r="1247" spans="5:7" x14ac:dyDescent="0.2">
      <c r="E1247" s="26">
        <v>40626</v>
      </c>
      <c r="F1247" s="27">
        <v>0.59047442999999999</v>
      </c>
      <c r="G1247" s="3"/>
    </row>
    <row r="1248" spans="5:7" x14ac:dyDescent="0.2">
      <c r="E1248" s="26">
        <v>40625</v>
      </c>
      <c r="F1248" s="27">
        <v>0.59292115999999995</v>
      </c>
      <c r="G1248" s="3"/>
    </row>
    <row r="1249" spans="5:7" x14ac:dyDescent="0.2">
      <c r="E1249" s="26">
        <v>40624</v>
      </c>
      <c r="F1249" s="27">
        <v>0.60101419</v>
      </c>
      <c r="G1249" s="3"/>
    </row>
    <row r="1250" spans="5:7" x14ac:dyDescent="0.2">
      <c r="E1250" s="26">
        <v>40623</v>
      </c>
      <c r="F1250" s="27">
        <v>0.60312644999999998</v>
      </c>
      <c r="G1250" s="3"/>
    </row>
    <row r="1251" spans="5:7" x14ac:dyDescent="0.2">
      <c r="E1251" s="26">
        <v>40620</v>
      </c>
      <c r="F1251" s="27">
        <v>0.60703149000000001</v>
      </c>
      <c r="G1251" s="3"/>
    </row>
    <row r="1252" spans="5:7" x14ac:dyDescent="0.2">
      <c r="E1252" s="26">
        <v>40619</v>
      </c>
      <c r="F1252" s="27">
        <v>0.60804641999999998</v>
      </c>
      <c r="G1252" s="3"/>
    </row>
    <row r="1253" spans="5:7" x14ac:dyDescent="0.2">
      <c r="E1253" s="26">
        <v>40618</v>
      </c>
      <c r="F1253" s="27">
        <v>0.61038948999999998</v>
      </c>
      <c r="G1253" s="3"/>
    </row>
    <row r="1254" spans="5:7" x14ac:dyDescent="0.2">
      <c r="E1254" s="26">
        <v>40617</v>
      </c>
      <c r="F1254" s="27">
        <v>0.60247856</v>
      </c>
      <c r="G1254" s="3"/>
    </row>
    <row r="1255" spans="5:7" x14ac:dyDescent="0.2">
      <c r="E1255" s="26">
        <v>40616</v>
      </c>
      <c r="F1255" s="27">
        <v>0.60217085000000004</v>
      </c>
      <c r="G1255" s="3"/>
    </row>
    <row r="1256" spans="5:7" x14ac:dyDescent="0.2">
      <c r="E1256" s="26">
        <v>40613</v>
      </c>
      <c r="F1256" s="27">
        <v>0.60004701999999999</v>
      </c>
      <c r="G1256" s="3"/>
    </row>
    <row r="1257" spans="5:7" x14ac:dyDescent="0.2">
      <c r="E1257" s="26">
        <v>40612</v>
      </c>
      <c r="F1257" s="27">
        <v>0.60077108000000001</v>
      </c>
      <c r="G1257" s="3"/>
    </row>
    <row r="1258" spans="5:7" x14ac:dyDescent="0.2">
      <c r="E1258" s="26">
        <v>40611</v>
      </c>
      <c r="F1258" s="27">
        <v>0.59508150000000004</v>
      </c>
      <c r="G1258" s="3"/>
    </row>
    <row r="1259" spans="5:7" x14ac:dyDescent="0.2">
      <c r="E1259" s="26">
        <v>40610</v>
      </c>
      <c r="F1259" s="27">
        <v>0.56167012999999999</v>
      </c>
      <c r="G1259" s="3"/>
    </row>
    <row r="1260" spans="5:7" x14ac:dyDescent="0.2">
      <c r="E1260" s="26">
        <v>40609</v>
      </c>
      <c r="F1260" s="27">
        <v>0.58586853000000005</v>
      </c>
      <c r="G1260" s="3"/>
    </row>
    <row r="1261" spans="5:7" x14ac:dyDescent="0.2">
      <c r="E1261" s="26">
        <v>40606</v>
      </c>
      <c r="F1261" s="27">
        <v>0.59023831000000004</v>
      </c>
      <c r="G1261" s="3"/>
    </row>
    <row r="1262" spans="5:7" x14ac:dyDescent="0.2">
      <c r="E1262" s="26">
        <v>40605</v>
      </c>
      <c r="F1262" s="27">
        <v>0.53234148000000003</v>
      </c>
      <c r="G1262" s="3"/>
    </row>
    <row r="1263" spans="5:7" x14ac:dyDescent="0.2">
      <c r="E1263" s="26">
        <v>40604</v>
      </c>
      <c r="F1263" s="27">
        <v>0.58351578000000004</v>
      </c>
    </row>
    <row r="1264" spans="5:7" x14ac:dyDescent="0.2">
      <c r="E1264" s="26">
        <v>40603</v>
      </c>
      <c r="F1264" s="27">
        <v>0.59558513000000002</v>
      </c>
    </row>
    <row r="1265" spans="5:6" x14ac:dyDescent="0.2">
      <c r="E1265" s="26">
        <v>40602</v>
      </c>
      <c r="F1265" s="27">
        <v>0.61003046000000005</v>
      </c>
    </row>
    <row r="1266" spans="5:6" x14ac:dyDescent="0.2">
      <c r="E1266" s="26">
        <v>40599</v>
      </c>
      <c r="F1266" s="27">
        <v>0.60606985000000002</v>
      </c>
    </row>
    <row r="1267" spans="5:6" x14ac:dyDescent="0.2">
      <c r="E1267" s="26">
        <v>40598</v>
      </c>
      <c r="F1267" s="27">
        <v>0.60476841999999997</v>
      </c>
    </row>
    <row r="1268" spans="5:6" x14ac:dyDescent="0.2">
      <c r="E1268" s="26">
        <v>40597</v>
      </c>
      <c r="F1268" s="27">
        <v>0.59292308999999999</v>
      </c>
    </row>
    <row r="1269" spans="5:6" x14ac:dyDescent="0.2">
      <c r="E1269" s="26">
        <v>40596</v>
      </c>
      <c r="F1269" s="27">
        <v>0.60264123999999997</v>
      </c>
    </row>
    <row r="1270" spans="5:6" x14ac:dyDescent="0.2">
      <c r="E1270" s="26">
        <v>40592</v>
      </c>
      <c r="F1270" s="27">
        <v>0.56400059000000002</v>
      </c>
    </row>
    <row r="1271" spans="5:6" x14ac:dyDescent="0.2">
      <c r="E1271" s="26">
        <v>40591</v>
      </c>
      <c r="F1271" s="27">
        <v>0.57526359999999999</v>
      </c>
    </row>
    <row r="1272" spans="5:6" x14ac:dyDescent="0.2">
      <c r="E1272" s="26">
        <v>40590</v>
      </c>
      <c r="F1272" s="27">
        <v>0.54280907</v>
      </c>
    </row>
    <row r="1273" spans="5:6" x14ac:dyDescent="0.2">
      <c r="E1273" s="26">
        <v>40589</v>
      </c>
      <c r="F1273" s="27">
        <v>0.52073837999999995</v>
      </c>
    </row>
    <row r="1274" spans="5:6" x14ac:dyDescent="0.2">
      <c r="E1274" s="26">
        <v>40588</v>
      </c>
      <c r="F1274" s="27">
        <v>0.51758932000000002</v>
      </c>
    </row>
    <row r="1275" spans="5:6" x14ac:dyDescent="0.2">
      <c r="E1275" s="26">
        <v>40585</v>
      </c>
      <c r="F1275" s="27">
        <v>0.50149840000000001</v>
      </c>
    </row>
    <row r="1276" spans="5:6" x14ac:dyDescent="0.2">
      <c r="E1276" s="26">
        <v>40584</v>
      </c>
      <c r="F1276" s="27">
        <v>0.47335128999999998</v>
      </c>
    </row>
    <row r="1277" spans="5:6" x14ac:dyDescent="0.2">
      <c r="E1277" s="26">
        <v>40583</v>
      </c>
      <c r="F1277" s="27">
        <v>0.49256091000000002</v>
      </c>
    </row>
    <row r="1278" spans="5:6" x14ac:dyDescent="0.2">
      <c r="E1278" s="26">
        <v>40582</v>
      </c>
      <c r="F1278" s="27">
        <v>0.47964870999999998</v>
      </c>
    </row>
    <row r="1279" spans="5:6" x14ac:dyDescent="0.2">
      <c r="E1279" s="26">
        <v>40581</v>
      </c>
      <c r="F1279" s="27">
        <v>0.51165344999999995</v>
      </c>
    </row>
    <row r="1280" spans="5:6" x14ac:dyDescent="0.2">
      <c r="E1280" s="37">
        <v>40578</v>
      </c>
      <c r="F1280" s="38">
        <v>0.51847262000000005</v>
      </c>
    </row>
    <row r="1281" spans="5:6" x14ac:dyDescent="0.2">
      <c r="E1281" s="37">
        <v>40577</v>
      </c>
      <c r="F1281" s="38">
        <v>0.55486214</v>
      </c>
    </row>
    <row r="1282" spans="5:6" x14ac:dyDescent="0.2">
      <c r="E1282" s="37">
        <v>40576</v>
      </c>
      <c r="F1282" s="38">
        <v>0.58304511999999997</v>
      </c>
    </row>
    <row r="1283" spans="5:6" x14ac:dyDescent="0.2">
      <c r="E1283" s="37">
        <v>40575</v>
      </c>
      <c r="F1283" s="38">
        <v>0.60627326999999998</v>
      </c>
    </row>
    <row r="1284" spans="5:6" x14ac:dyDescent="0.2">
      <c r="E1284" s="37">
        <v>40574</v>
      </c>
      <c r="F1284" s="38">
        <v>0.62499473999999999</v>
      </c>
    </row>
    <row r="1285" spans="5:6" x14ac:dyDescent="0.2">
      <c r="E1285" s="26">
        <v>40571</v>
      </c>
      <c r="F1285" s="27">
        <v>0.62672625999999998</v>
      </c>
    </row>
    <row r="1286" spans="5:6" x14ac:dyDescent="0.2">
      <c r="E1286" s="26">
        <v>40570</v>
      </c>
      <c r="F1286" s="27">
        <v>0.62455685000000005</v>
      </c>
    </row>
    <row r="1287" spans="5:6" x14ac:dyDescent="0.2">
      <c r="E1287" s="26">
        <v>40569</v>
      </c>
      <c r="F1287" s="27">
        <v>0.61885564999999998</v>
      </c>
    </row>
    <row r="1288" spans="5:6" x14ac:dyDescent="0.2">
      <c r="E1288" s="26">
        <v>40568</v>
      </c>
      <c r="F1288" s="27">
        <v>0.62309117999999997</v>
      </c>
    </row>
    <row r="1289" spans="5:6" x14ac:dyDescent="0.2">
      <c r="E1289" s="26">
        <v>40567</v>
      </c>
      <c r="F1289" s="27">
        <v>0.61714575000000005</v>
      </c>
    </row>
    <row r="1290" spans="5:6" x14ac:dyDescent="0.2">
      <c r="E1290" s="26">
        <v>40564</v>
      </c>
      <c r="F1290" s="27">
        <v>0.61842282000000004</v>
      </c>
    </row>
    <row r="1291" spans="5:6" x14ac:dyDescent="0.2">
      <c r="E1291" s="26">
        <v>40563</v>
      </c>
      <c r="F1291" s="27">
        <v>0.61496306000000001</v>
      </c>
    </row>
    <row r="1292" spans="5:6" x14ac:dyDescent="0.2">
      <c r="E1292" s="26">
        <v>40562</v>
      </c>
      <c r="F1292" s="27">
        <v>0.62516853999999999</v>
      </c>
    </row>
    <row r="1293" spans="5:6" x14ac:dyDescent="0.2">
      <c r="E1293" s="26">
        <v>40561</v>
      </c>
      <c r="F1293" s="27">
        <v>0.62729840000000003</v>
      </c>
    </row>
    <row r="1294" spans="5:6" x14ac:dyDescent="0.2">
      <c r="E1294" s="26">
        <v>40557</v>
      </c>
      <c r="F1294" s="27">
        <v>0.63236365000000005</v>
      </c>
    </row>
    <row r="1295" spans="5:6" x14ac:dyDescent="0.2">
      <c r="E1295" s="26">
        <v>40556</v>
      </c>
      <c r="F1295" s="27">
        <v>0.63372353999999997</v>
      </c>
    </row>
    <row r="1296" spans="5:6" x14ac:dyDescent="0.2">
      <c r="E1296" s="26">
        <v>40555</v>
      </c>
      <c r="F1296" s="27">
        <v>0.62811490000000003</v>
      </c>
    </row>
    <row r="1297" spans="5:6" x14ac:dyDescent="0.2">
      <c r="E1297" s="26">
        <v>40554</v>
      </c>
      <c r="F1297" s="27">
        <v>0.62592524999999999</v>
      </c>
    </row>
    <row r="1298" spans="5:6" x14ac:dyDescent="0.2">
      <c r="E1298" s="26">
        <v>40553</v>
      </c>
      <c r="F1298" s="27">
        <v>0.62991810000000004</v>
      </c>
    </row>
    <row r="1299" spans="5:6" x14ac:dyDescent="0.2">
      <c r="E1299" s="26">
        <v>40550</v>
      </c>
      <c r="F1299" s="27">
        <v>0.62793781999999998</v>
      </c>
    </row>
    <row r="1300" spans="5:6" x14ac:dyDescent="0.2">
      <c r="E1300" s="26">
        <v>40549</v>
      </c>
      <c r="F1300" s="27">
        <v>0.61885564999999998</v>
      </c>
    </row>
    <row r="1301" spans="5:6" x14ac:dyDescent="0.2">
      <c r="E1301" s="26">
        <v>40548</v>
      </c>
      <c r="F1301" s="27">
        <v>0.61432783999999996</v>
      </c>
    </row>
    <row r="1302" spans="5:6" x14ac:dyDescent="0.2">
      <c r="E1302" s="26">
        <v>40207</v>
      </c>
      <c r="F1302" s="27">
        <v>0.70311758999999996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81"/>
  <sheetViews>
    <sheetView topLeftCell="A1239" workbookViewId="0">
      <selection activeCell="J1278" sqref="J1278"/>
    </sheetView>
  </sheetViews>
  <sheetFormatPr defaultRowHeight="12.75" x14ac:dyDescent="0.2"/>
  <cols>
    <col min="1" max="1" width="14.28515625" bestFit="1" customWidth="1"/>
    <col min="2" max="2" width="16.7109375" style="6" customWidth="1"/>
    <col min="3" max="3" width="16.7109375" style="31" hidden="1" customWidth="1"/>
    <col min="4" max="4" width="0" hidden="1" customWidth="1"/>
    <col min="5" max="5" width="9.140625" style="32"/>
  </cols>
  <sheetData>
    <row r="1" spans="1:6" ht="15" x14ac:dyDescent="0.25">
      <c r="B1" s="9" t="s">
        <v>0</v>
      </c>
      <c r="C1" s="29" t="s">
        <v>699</v>
      </c>
      <c r="D1" s="10" t="s">
        <v>702</v>
      </c>
      <c r="E1" s="32" t="s">
        <v>703</v>
      </c>
      <c r="F1" t="s">
        <v>705</v>
      </c>
    </row>
    <row r="2" spans="1:6" ht="15" x14ac:dyDescent="0.25">
      <c r="A2" s="10" t="s">
        <v>698</v>
      </c>
      <c r="B2" s="14">
        <v>40576</v>
      </c>
      <c r="C2" s="30" t="str">
        <f>[2]!YBHIST($A$2,$B2,"Price","sec","")</f>
        <v>E</v>
      </c>
      <c r="D2" t="str">
        <f>[2]!YBPRICE($A$2,C2&amp;"d",$B3,"OAS","Swap",B2,"LMMSkew","","Model",100,"OAS")</f>
        <v>E</v>
      </c>
      <c r="E2" s="32" t="str">
        <f>[2]!YBHIST($A$2,B2,"LMMOAS","sec","")</f>
        <v>E</v>
      </c>
      <c r="F2" t="s">
        <v>704</v>
      </c>
    </row>
    <row r="3" spans="1:6" ht="15" x14ac:dyDescent="0.25">
      <c r="B3" s="14">
        <v>40577</v>
      </c>
      <c r="C3" s="30" t="str">
        <f>[2]!YBHIST($A$2,$B3,"Price","sec","")</f>
        <v>E</v>
      </c>
      <c r="D3" t="str">
        <f>[2]!YBPRICE($A$2,C3&amp;"d",$B4,"OAS","Swap",B3,"LMMSkew","","Model",100,"OAS")</f>
        <v>E</v>
      </c>
      <c r="E3" s="32" t="str">
        <f>[2]!YBHIST($A$2,B3,"LMMOAS","sec","")</f>
        <v>E</v>
      </c>
      <c r="F3" t="s">
        <v>704</v>
      </c>
    </row>
    <row r="4" spans="1:6" ht="15" x14ac:dyDescent="0.25">
      <c r="B4" s="14">
        <v>40578</v>
      </c>
      <c r="C4" s="30" t="str">
        <f>[2]!YBHIST($A$2,$B4,"Price","sec","")</f>
        <v>E</v>
      </c>
      <c r="D4" t="str">
        <f>[2]!YBPRICE($A$2,C4&amp;"d",$B5,"OAS","Swap",B4,"LMMSkew","","Model",100,"OAS")</f>
        <v>E</v>
      </c>
      <c r="E4" s="32" t="str">
        <f>[2]!YBHIST($A$2,B4,"LMMOAS","sec","")</f>
        <v>E</v>
      </c>
      <c r="F4" t="s">
        <v>704</v>
      </c>
    </row>
    <row r="5" spans="1:6" ht="15" x14ac:dyDescent="0.25">
      <c r="B5" s="14">
        <v>40581</v>
      </c>
      <c r="C5" s="30" t="str">
        <f>[2]!YBHIST($A$2,$B5,"Price","sec","")</f>
        <v>E</v>
      </c>
      <c r="D5" t="str">
        <f>[2]!YBPRICE($A$2,C5&amp;"d",$B6,"OAS","Swap",B5,"LMMSkew","","Model",100,"OAS")</f>
        <v>E</v>
      </c>
      <c r="E5" s="32" t="str">
        <f>[2]!YBHIST($A$2,B5,"LMMOAS","sec","")</f>
        <v>E</v>
      </c>
      <c r="F5" t="s">
        <v>704</v>
      </c>
    </row>
    <row r="6" spans="1:6" ht="15" x14ac:dyDescent="0.25">
      <c r="B6" s="14">
        <v>40582</v>
      </c>
      <c r="C6" s="30" t="str">
        <f>[2]!YBHIST($A$2,$B6,"Price","sec","")</f>
        <v>E</v>
      </c>
      <c r="D6" t="str">
        <f>[2]!YBPRICE($A$2,C6&amp;"d",$B7,"OAS","Swap",B6,"LMMSkew","","Model",100,"OAS")</f>
        <v>E</v>
      </c>
      <c r="E6" s="32" t="str">
        <f>[2]!YBHIST($A$2,B6,"LMMOAS","sec","")</f>
        <v>E</v>
      </c>
      <c r="F6" t="s">
        <v>704</v>
      </c>
    </row>
    <row r="7" spans="1:6" ht="15" x14ac:dyDescent="0.25">
      <c r="B7" s="14">
        <v>40583</v>
      </c>
      <c r="C7" s="30" t="str">
        <f>[2]!YBHIST($A$2,$B7,"Price","sec","")</f>
        <v>E</v>
      </c>
      <c r="D7" t="str">
        <f>[2]!YBPRICE($A$2,C7&amp;"d",$B8,"OAS","Swap",B7,"LMMSkew","","Model",100,"OAS")</f>
        <v>E</v>
      </c>
      <c r="E7" s="32" t="str">
        <f>[2]!YBHIST($A$2,B7,"LMMOAS","sec","")</f>
        <v>E</v>
      </c>
      <c r="F7" t="s">
        <v>704</v>
      </c>
    </row>
    <row r="8" spans="1:6" ht="15" x14ac:dyDescent="0.25">
      <c r="B8" s="14">
        <v>40584</v>
      </c>
      <c r="C8" s="30" t="str">
        <f>[2]!YBHIST($A$2,$B8,"Price","sec","")</f>
        <v>E</v>
      </c>
      <c r="D8" t="str">
        <f>[2]!YBPRICE($A$2,C8&amp;"d",$B9,"OAS","Swap",B8,"LMMSkew","","Model",100,"OAS")</f>
        <v>E</v>
      </c>
      <c r="E8" s="32" t="str">
        <f>[2]!YBHIST($A$2,B8,"LMMOAS","sec","")</f>
        <v>E</v>
      </c>
      <c r="F8" t="s">
        <v>704</v>
      </c>
    </row>
    <row r="9" spans="1:6" ht="15" x14ac:dyDescent="0.25">
      <c r="B9" s="14">
        <v>40585</v>
      </c>
      <c r="C9" s="30" t="str">
        <f>[2]!YBHIST($A$2,$B9,"Price","sec","")</f>
        <v>E</v>
      </c>
      <c r="D9" t="str">
        <f>[2]!YBPRICE($A$2,C9&amp;"d",$B10,"OAS","Swap",B9,"LMMSkew","","Model",100,"OAS")</f>
        <v>E</v>
      </c>
      <c r="E9" s="32" t="str">
        <f>[2]!YBHIST($A$2,B9,"LMMOAS","sec","")</f>
        <v>E</v>
      </c>
      <c r="F9" t="s">
        <v>704</v>
      </c>
    </row>
    <row r="10" spans="1:6" ht="15" x14ac:dyDescent="0.25">
      <c r="B10" s="14">
        <v>40588</v>
      </c>
      <c r="C10" s="30" t="str">
        <f>[2]!YBHIST($A$2,$B10,"Price","sec","")</f>
        <v>E</v>
      </c>
      <c r="D10" t="str">
        <f>[2]!YBPRICE($A$2,C10&amp;"d",$B11,"OAS","Swap",B10,"LMMSkew","","Model",100,"OAS")</f>
        <v>E</v>
      </c>
      <c r="E10" s="32" t="str">
        <f>[2]!YBHIST($A$2,B10,"LMMOAS","sec","")</f>
        <v>E</v>
      </c>
      <c r="F10">
        <v>-46.355499000000002</v>
      </c>
    </row>
    <row r="11" spans="1:6" ht="15" x14ac:dyDescent="0.25">
      <c r="B11" s="14">
        <v>40589</v>
      </c>
      <c r="C11" s="30" t="str">
        <f>[2]!YBHIST($A$2,$B11,"Price","sec","")</f>
        <v>E</v>
      </c>
      <c r="D11" t="str">
        <f>[2]!YBPRICE($A$2,C11&amp;"d",$B12,"OAS","Swap",B11,"LMMSkew","","Model",100,"OAS")</f>
        <v>E</v>
      </c>
      <c r="E11" s="32" t="str">
        <f>[2]!YBHIST($A$2,B11,"LMMOAS","sec","")</f>
        <v>E</v>
      </c>
      <c r="F11">
        <v>-59.443801999999998</v>
      </c>
    </row>
    <row r="12" spans="1:6" ht="15" x14ac:dyDescent="0.25">
      <c r="B12" s="14">
        <v>40590</v>
      </c>
      <c r="C12" s="30" t="str">
        <f>[2]!YBHIST($A$2,$B12,"Price","sec","")</f>
        <v>E</v>
      </c>
      <c r="D12" t="str">
        <f>[2]!YBPRICE($A$2,C12&amp;"d",$B13,"OAS","Swap",B12,"LMMSkew","","Model",100,"OAS")</f>
        <v>E</v>
      </c>
      <c r="E12" s="32" t="str">
        <f>[2]!YBHIST($A$2,B12,"LMMOAS","sec","")</f>
        <v>E</v>
      </c>
      <c r="F12">
        <v>-65.651900999999995</v>
      </c>
    </row>
    <row r="13" spans="1:6" ht="15" x14ac:dyDescent="0.25">
      <c r="B13" s="14">
        <v>40591</v>
      </c>
      <c r="C13" s="30" t="str">
        <f>[2]!YBHIST($A$2,$B13,"Price","sec","")</f>
        <v>E</v>
      </c>
      <c r="D13" t="str">
        <f>[2]!YBPRICE($A$2,C13&amp;"d",$B14,"OAS","Swap",B13,"LMMSkew","","Model",100,"OAS")</f>
        <v>E</v>
      </c>
      <c r="E13" s="32" t="str">
        <f>[2]!YBHIST($A$2,B13,"LMMOAS","sec","")</f>
        <v>E</v>
      </c>
      <c r="F13">
        <v>-47.389000000000003</v>
      </c>
    </row>
    <row r="14" spans="1:6" ht="15" x14ac:dyDescent="0.25">
      <c r="B14" s="14">
        <v>40592</v>
      </c>
      <c r="C14" s="30" t="str">
        <f>[2]!YBHIST($A$2,$B14,"Price","sec","")</f>
        <v>E</v>
      </c>
      <c r="D14" t="str">
        <f>[2]!YBPRICE($A$2,C14&amp;"d",$B15,"OAS","Swap",B14,"LMMSkew","","Model",100,"OAS")</f>
        <v>E</v>
      </c>
      <c r="E14" s="32" t="str">
        <f>[2]!YBHIST($A$2,B14,"LMMOAS","sec","")</f>
        <v>E</v>
      </c>
      <c r="F14">
        <v>-51.927298999999998</v>
      </c>
    </row>
    <row r="15" spans="1:6" ht="15" x14ac:dyDescent="0.25">
      <c r="B15" s="14">
        <v>40596</v>
      </c>
      <c r="C15" s="30" t="str">
        <f>[2]!YBHIST($A$2,$B15,"Price","sec","")</f>
        <v>E</v>
      </c>
      <c r="D15" t="str">
        <f>[2]!YBPRICE($A$2,C15&amp;"d",$B16,"OAS","Swap",B15,"LMMSkew","","Model",100,"OAS")</f>
        <v>E</v>
      </c>
      <c r="E15" s="32" t="str">
        <f>[2]!YBHIST($A$2,B15,"LMMOAS","sec","")</f>
        <v>E</v>
      </c>
      <c r="F15">
        <v>-36.043598000000003</v>
      </c>
    </row>
    <row r="16" spans="1:6" ht="15" x14ac:dyDescent="0.25">
      <c r="B16" s="14">
        <v>40597</v>
      </c>
      <c r="C16" s="30" t="str">
        <f>[2]!YBHIST($A$2,$B16,"Price","sec","")</f>
        <v>E</v>
      </c>
      <c r="D16" t="str">
        <f>[2]!YBPRICE($A$2,C16&amp;"d",$B17,"OAS","Swap",B16,"LMMSkew","","Model",100,"OAS")</f>
        <v>E</v>
      </c>
      <c r="E16" s="32" t="str">
        <f>[2]!YBHIST($A$2,B16,"LMMOAS","sec","")</f>
        <v>E</v>
      </c>
      <c r="F16">
        <v>-40.838698999999998</v>
      </c>
    </row>
    <row r="17" spans="2:6" ht="15" x14ac:dyDescent="0.25">
      <c r="B17" s="14">
        <v>40598</v>
      </c>
      <c r="C17" s="30" t="str">
        <f>[2]!YBHIST($A$2,$B17,"Price","sec","")</f>
        <v>E</v>
      </c>
      <c r="D17" t="str">
        <f>[2]!YBPRICE($A$2,C17&amp;"d",$B18,"OAS","Swap",B17,"LMMSkew","","Model",100,"OAS")</f>
        <v>E</v>
      </c>
      <c r="E17" s="32" t="str">
        <f>[2]!YBHIST($A$2,B17,"LMMOAS","sec","")</f>
        <v>E</v>
      </c>
      <c r="F17">
        <v>-36.337600999999999</v>
      </c>
    </row>
    <row r="18" spans="2:6" ht="15" x14ac:dyDescent="0.25">
      <c r="B18" s="14">
        <v>40599</v>
      </c>
      <c r="C18" s="30" t="str">
        <f>[2]!YBHIST($A$2,$B18,"Price","sec","")</f>
        <v>E</v>
      </c>
      <c r="D18" t="str">
        <f>[2]!YBPRICE($A$2,C18&amp;"d",$B19,"OAS","Swap",B18,"LMMSkew","","Model",100,"OAS")</f>
        <v>E</v>
      </c>
      <c r="E18" s="32" t="str">
        <f>[2]!YBHIST($A$2,B18,"LMMOAS","sec","")</f>
        <v>E</v>
      </c>
      <c r="F18">
        <v>-30.010598999999999</v>
      </c>
    </row>
    <row r="19" spans="2:6" ht="15" x14ac:dyDescent="0.25">
      <c r="B19" s="14">
        <v>40602</v>
      </c>
      <c r="C19" s="30" t="str">
        <f>[2]!YBHIST($A$2,$B19,"Price","sec","")</f>
        <v>E</v>
      </c>
      <c r="D19" t="str">
        <f>[2]!YBPRICE($A$2,C19&amp;"d",$B20,"OAS","Swap",B19,"LMMSkew","","Model",100,"OAS")</f>
        <v>E</v>
      </c>
      <c r="E19" s="32" t="str">
        <f>[2]!YBHIST($A$2,B19,"LMMOAS","sec","")</f>
        <v>E</v>
      </c>
      <c r="F19">
        <v>-27.406798999999999</v>
      </c>
    </row>
    <row r="20" spans="2:6" ht="15" x14ac:dyDescent="0.25">
      <c r="B20" s="14">
        <v>40603</v>
      </c>
      <c r="C20" s="30" t="str">
        <f>[2]!YBHIST($A$2,$B20,"Price","sec","")</f>
        <v>E</v>
      </c>
      <c r="D20" t="str">
        <f>[2]!YBPRICE($A$2,C20&amp;"d",$B21,"OAS","Swap",B20,"LMMSkew","","Model",100,"OAS")</f>
        <v>E</v>
      </c>
      <c r="E20" s="32" t="str">
        <f>[2]!YBHIST($A$2,B20,"LMMOAS","sec","")</f>
        <v>E</v>
      </c>
      <c r="F20">
        <v>-22.981199</v>
      </c>
    </row>
    <row r="21" spans="2:6" ht="15" x14ac:dyDescent="0.25">
      <c r="B21" s="14">
        <v>40604</v>
      </c>
      <c r="C21" s="30" t="str">
        <f>[2]!YBHIST($A$2,$B21,"Price","sec","")</f>
        <v>E</v>
      </c>
      <c r="D21" t="str">
        <f>[2]!YBPRICE($A$2,C21&amp;"d",$B22,"OAS","Swap",B21,"LMMSkew","","Model",100,"OAS")</f>
        <v>E</v>
      </c>
      <c r="E21" s="32" t="str">
        <f>[2]!YBHIST($A$2,B21,"LMMOAS","sec","")</f>
        <v>E</v>
      </c>
      <c r="F21">
        <v>-28.412299999999998</v>
      </c>
    </row>
    <row r="22" spans="2:6" ht="15" x14ac:dyDescent="0.25">
      <c r="B22" s="14">
        <v>40605</v>
      </c>
      <c r="C22" s="30" t="str">
        <f>[2]!YBHIST($A$2,$B22,"Price","sec","")</f>
        <v>E</v>
      </c>
      <c r="D22" t="str">
        <f>[2]!YBPRICE($A$2,C22&amp;"d",$B23,"OAS","Swap",B22,"LMMSkew","","Model",100,"OAS")</f>
        <v>E</v>
      </c>
      <c r="E22" s="32" t="str">
        <f>[2]!YBHIST($A$2,B22,"LMMOAS","sec","")</f>
        <v>E</v>
      </c>
      <c r="F22">
        <v>-50.316001999999997</v>
      </c>
    </row>
    <row r="23" spans="2:6" ht="15" x14ac:dyDescent="0.25">
      <c r="B23" s="14">
        <v>40606</v>
      </c>
      <c r="C23" s="30" t="str">
        <f>[2]!YBHIST($A$2,$B23,"Price","sec","")</f>
        <v>E</v>
      </c>
      <c r="D23" t="str">
        <f>[2]!YBPRICE($A$2,C23&amp;"d",$B24,"OAS","Swap",B23,"LMMSkew","","Model",100,"OAS")</f>
        <v>E</v>
      </c>
      <c r="E23" s="32" t="str">
        <f>[2]!YBHIST($A$2,B23,"LMMOAS","sec","")</f>
        <v>E</v>
      </c>
      <c r="F23">
        <v>-40.587898000000003</v>
      </c>
    </row>
    <row r="24" spans="2:6" ht="15" x14ac:dyDescent="0.25">
      <c r="B24" s="14">
        <v>40609</v>
      </c>
      <c r="C24" s="30" t="str">
        <f>[2]!YBHIST($A$2,$B24,"Price","sec","")</f>
        <v>E</v>
      </c>
      <c r="D24" t="str">
        <f>[2]!YBPRICE($A$2,C24&amp;"d",$B25,"OAS","Swap",B24,"LMMSkew","","Model",100,"OAS")</f>
        <v>E</v>
      </c>
      <c r="E24" s="32" t="str">
        <f>[2]!YBHIST($A$2,B24,"LMMOAS","sec","")</f>
        <v>E</v>
      </c>
      <c r="F24">
        <v>-51.506900999999999</v>
      </c>
    </row>
    <row r="25" spans="2:6" ht="15" x14ac:dyDescent="0.25">
      <c r="B25" s="14">
        <v>40610</v>
      </c>
      <c r="C25" s="30" t="str">
        <f>[2]!YBHIST($A$2,$B25,"Price","sec","")</f>
        <v>E</v>
      </c>
      <c r="D25" t="str">
        <f>[2]!YBPRICE($A$2,C25&amp;"d",$B26,"OAS","Swap",B25,"LMMSkew","","Model",100,"OAS")</f>
        <v>E</v>
      </c>
      <c r="E25" s="32" t="str">
        <f>[2]!YBHIST($A$2,B25,"LMMOAS","sec","")</f>
        <v>E</v>
      </c>
      <c r="F25">
        <v>-59.562099000000003</v>
      </c>
    </row>
    <row r="26" spans="2:6" ht="15" x14ac:dyDescent="0.25">
      <c r="B26" s="14">
        <v>40611</v>
      </c>
      <c r="C26" s="30" t="str">
        <f>[2]!YBHIST($A$2,$B26,"Price","sec","")</f>
        <v>E</v>
      </c>
      <c r="D26" t="str">
        <f>[2]!YBPRICE($A$2,C26&amp;"d",$B27,"OAS","Swap",B26,"LMMSkew","","Model",100,"OAS")</f>
        <v>E</v>
      </c>
      <c r="E26" s="32" t="str">
        <f>[2]!YBHIST($A$2,B26,"LMMOAS","sec","")</f>
        <v>E</v>
      </c>
      <c r="F26">
        <v>-46.314200999999997</v>
      </c>
    </row>
    <row r="27" spans="2:6" ht="15" x14ac:dyDescent="0.25">
      <c r="B27" s="14">
        <v>40612</v>
      </c>
      <c r="C27" s="30" t="str">
        <f>[2]!YBHIST($A$2,$B27,"Price","sec","")</f>
        <v>E</v>
      </c>
      <c r="D27" t="str">
        <f>[2]!YBPRICE($A$2,C27&amp;"d",$B28,"OAS","Swap",B27,"LMMSkew","","Model",100,"OAS")</f>
        <v>E</v>
      </c>
      <c r="E27" s="32" t="str">
        <f>[2]!YBHIST($A$2,B27,"LMMOAS","sec","")</f>
        <v>E</v>
      </c>
      <c r="F27">
        <v>-24.422799999999999</v>
      </c>
    </row>
    <row r="28" spans="2:6" ht="15" x14ac:dyDescent="0.25">
      <c r="B28" s="14">
        <v>40613</v>
      </c>
      <c r="C28" s="30" t="str">
        <f>[2]!YBHIST($A$2,$B28,"Price","sec","")</f>
        <v>E</v>
      </c>
      <c r="D28" t="str">
        <f>[2]!YBPRICE($A$2,C28&amp;"d",$B29,"OAS","Swap",B28,"LMMSkew","","Model",100,"OAS")</f>
        <v>E</v>
      </c>
      <c r="E28" s="32" t="str">
        <f>[2]!YBHIST($A$2,B28,"LMMOAS","sec","")</f>
        <v>E</v>
      </c>
      <c r="F28">
        <v>-21.935101</v>
      </c>
    </row>
    <row r="29" spans="2:6" ht="15" x14ac:dyDescent="0.25">
      <c r="B29" s="14">
        <v>40616</v>
      </c>
      <c r="C29" s="30" t="str">
        <f>[2]!YBHIST($A$2,$B29,"Price","sec","")</f>
        <v>E</v>
      </c>
      <c r="D29" t="str">
        <f>[2]!YBPRICE($A$2,C29&amp;"d",$B30,"OAS","Swap",B29,"LMMSkew","","Model",100,"OAS")</f>
        <v>E</v>
      </c>
      <c r="E29" s="32" t="str">
        <f>[2]!YBHIST($A$2,B29,"LMMOAS","sec","")</f>
        <v>E</v>
      </c>
      <c r="F29">
        <v>-36.973300999999999</v>
      </c>
    </row>
    <row r="30" spans="2:6" ht="15" x14ac:dyDescent="0.25">
      <c r="B30" s="14">
        <v>40617</v>
      </c>
      <c r="C30" s="30" t="str">
        <f>[2]!YBHIST($A$2,$B30,"Price","sec","")</f>
        <v>E</v>
      </c>
      <c r="D30" t="str">
        <f>[2]!YBPRICE($A$2,C30&amp;"d",$B31,"OAS","Swap",B30,"LMMSkew","","Model",100,"OAS")</f>
        <v>E</v>
      </c>
      <c r="E30" s="32" t="str">
        <f>[2]!YBHIST($A$2,B30,"LMMOAS","sec","")</f>
        <v>E</v>
      </c>
      <c r="F30">
        <v>-44.364699999999999</v>
      </c>
    </row>
    <row r="31" spans="2:6" ht="15" x14ac:dyDescent="0.25">
      <c r="B31" s="14">
        <v>40618</v>
      </c>
      <c r="C31" s="30" t="str">
        <f>[2]!YBHIST($A$2,$B31,"Price","sec","")</f>
        <v>E</v>
      </c>
      <c r="D31" t="str">
        <f>[2]!YBPRICE($A$2,C31&amp;"d",$B32,"OAS","Swap",B31,"LMMSkew","","Model",100,"OAS")</f>
        <v>E</v>
      </c>
      <c r="E31" s="32" t="str">
        <f>[2]!YBHIST($A$2,B31,"LMMOAS","sec","")</f>
        <v>E</v>
      </c>
      <c r="F31">
        <v>-28.299199999999999</v>
      </c>
    </row>
    <row r="32" spans="2:6" ht="15" x14ac:dyDescent="0.25">
      <c r="B32" s="14">
        <v>40619</v>
      </c>
      <c r="C32" s="30" t="str">
        <f>[2]!YBHIST($A$2,$B32,"Price","sec","")</f>
        <v>E</v>
      </c>
      <c r="D32" t="str">
        <f>[2]!YBPRICE($A$2,C32&amp;"d",$B33,"OAS","Swap",B32,"LMMSkew","","Model",100,"OAS")</f>
        <v>E</v>
      </c>
      <c r="E32" s="32" t="str">
        <f>[2]!YBHIST($A$2,B32,"LMMOAS","sec","")</f>
        <v>E</v>
      </c>
      <c r="F32">
        <v>-28.6996</v>
      </c>
    </row>
    <row r="33" spans="2:6" ht="15" x14ac:dyDescent="0.25">
      <c r="B33" s="14">
        <v>40620</v>
      </c>
      <c r="C33" s="30" t="str">
        <f>[2]!YBHIST($A$2,$B33,"Price","sec","")</f>
        <v>E</v>
      </c>
      <c r="D33" t="str">
        <f>[2]!YBPRICE($A$2,C33&amp;"d",$B34,"OAS","Swap",B33,"LMMSkew","","Model",100,"OAS")</f>
        <v>E</v>
      </c>
      <c r="E33" s="32" t="str">
        <f>[2]!YBHIST($A$2,B33,"LMMOAS","sec","")</f>
        <v>E</v>
      </c>
      <c r="F33">
        <v>-31.032301</v>
      </c>
    </row>
    <row r="34" spans="2:6" ht="15" x14ac:dyDescent="0.25">
      <c r="B34" s="14">
        <v>40623</v>
      </c>
      <c r="C34" s="30" t="str">
        <f>[2]!YBHIST($A$2,$B34,"Price","sec","")</f>
        <v>E</v>
      </c>
      <c r="D34" t="str">
        <f>[2]!YBPRICE($A$2,C34&amp;"d",$B35,"OAS","Swap",B34,"LMMSkew","","Model",100,"OAS")</f>
        <v>E</v>
      </c>
      <c r="E34" s="32" t="str">
        <f>[2]!YBHIST($A$2,B34,"LMMOAS","sec","")</f>
        <v>E</v>
      </c>
      <c r="F34">
        <v>-39.778098999999997</v>
      </c>
    </row>
    <row r="35" spans="2:6" ht="15" x14ac:dyDescent="0.25">
      <c r="B35" s="14">
        <v>40624</v>
      </c>
      <c r="C35" s="30" t="str">
        <f>[2]!YBHIST($A$2,$B35,"Price","sec","")</f>
        <v>E</v>
      </c>
      <c r="D35" t="str">
        <f>[2]!YBPRICE($A$2,C35&amp;"d",$B36,"OAS","Swap",B35,"LMMSkew","","Model",100,"OAS")</f>
        <v>E</v>
      </c>
      <c r="E35" s="32" t="str">
        <f>[2]!YBHIST($A$2,B35,"LMMOAS","sec","")</f>
        <v>E</v>
      </c>
      <c r="F35">
        <v>-39.322800000000001</v>
      </c>
    </row>
    <row r="36" spans="2:6" ht="15" x14ac:dyDescent="0.25">
      <c r="B36" s="14">
        <v>40625</v>
      </c>
      <c r="C36" s="30" t="str">
        <f>[2]!YBHIST($A$2,$B36,"Price","sec","")</f>
        <v>E</v>
      </c>
      <c r="D36" t="str">
        <f>[2]!YBPRICE($A$2,C36&amp;"d",$B37,"OAS","Swap",B36,"LMMSkew","","Model",100,"OAS")</f>
        <v>E</v>
      </c>
      <c r="E36" s="32" t="str">
        <f>[2]!YBHIST($A$2,B36,"LMMOAS","sec","")</f>
        <v>E</v>
      </c>
      <c r="F36">
        <v>-41.5625</v>
      </c>
    </row>
    <row r="37" spans="2:6" ht="15" x14ac:dyDescent="0.25">
      <c r="B37" s="14">
        <v>40626</v>
      </c>
      <c r="C37" s="30" t="str">
        <f>[2]!YBHIST($A$2,$B37,"Price","sec","")</f>
        <v>E</v>
      </c>
      <c r="D37" t="str">
        <f>[2]!YBPRICE($A$2,C37&amp;"d",$B38,"OAS","Swap",B37,"LMMSkew","","Model",100,"OAS")</f>
        <v>E</v>
      </c>
      <c r="E37" s="32" t="str">
        <f>[2]!YBHIST($A$2,B37,"LMMOAS","sec","")</f>
        <v>E</v>
      </c>
      <c r="F37">
        <v>-49.425499000000002</v>
      </c>
    </row>
    <row r="38" spans="2:6" ht="15" x14ac:dyDescent="0.25">
      <c r="B38" s="14">
        <v>40627</v>
      </c>
      <c r="C38" s="30" t="str">
        <f>[2]!YBHIST($A$2,$B38,"Price","sec","")</f>
        <v>E</v>
      </c>
      <c r="D38" t="str">
        <f>[2]!YBPRICE($A$2,C38&amp;"d",$B39,"OAS","Swap",B38,"LMMSkew","","Model",100,"OAS")</f>
        <v>E</v>
      </c>
      <c r="E38" s="32" t="str">
        <f>[2]!YBHIST($A$2,B38,"LMMOAS","sec","")</f>
        <v>E</v>
      </c>
      <c r="F38">
        <v>-64.829696999999996</v>
      </c>
    </row>
    <row r="39" spans="2:6" ht="15" x14ac:dyDescent="0.25">
      <c r="B39" s="14">
        <v>40630</v>
      </c>
      <c r="C39" s="30" t="str">
        <f>[2]!YBHIST($A$2,$B39,"Price","sec","")</f>
        <v>E</v>
      </c>
      <c r="D39" t="str">
        <f>[2]!YBPRICE($A$2,C39&amp;"d",$B40,"OAS","Swap",B39,"LMMSkew","","Model",100,"OAS")</f>
        <v>E</v>
      </c>
      <c r="E39" s="32" t="str">
        <f>[2]!YBHIST($A$2,B39,"LMMOAS","sec","")</f>
        <v>E</v>
      </c>
      <c r="F39">
        <v>-77.691399000000004</v>
      </c>
    </row>
    <row r="40" spans="2:6" ht="15" x14ac:dyDescent="0.25">
      <c r="B40" s="14">
        <v>40631</v>
      </c>
      <c r="C40" s="30" t="str">
        <f>[2]!YBHIST($A$2,$B40,"Price","sec","")</f>
        <v>E</v>
      </c>
      <c r="D40" t="str">
        <f>[2]!YBPRICE($A$2,C40&amp;"d",$B41,"OAS","Swap",B40,"LMMSkew","","Model",100,"OAS")</f>
        <v>E</v>
      </c>
      <c r="E40" s="32" t="str">
        <f>[2]!YBHIST($A$2,B40,"LMMOAS","sec","")</f>
        <v>E</v>
      </c>
      <c r="F40">
        <v>-85.883797000000001</v>
      </c>
    </row>
    <row r="41" spans="2:6" ht="15" x14ac:dyDescent="0.25">
      <c r="B41" s="14">
        <v>40632</v>
      </c>
      <c r="C41" s="30" t="str">
        <f>[2]!YBHIST($A$2,$B41,"Price","sec","")</f>
        <v>E</v>
      </c>
      <c r="D41" t="str">
        <f>[2]!YBPRICE($A$2,C41&amp;"d",$B42,"OAS","Swap",B41,"LMMSkew","","Model",100,"OAS")</f>
        <v>E</v>
      </c>
      <c r="E41" s="32" t="str">
        <f>[2]!YBHIST($A$2,B41,"LMMOAS","sec","")</f>
        <v>E</v>
      </c>
      <c r="F41">
        <v>-84.886803</v>
      </c>
    </row>
    <row r="42" spans="2:6" ht="15" x14ac:dyDescent="0.25">
      <c r="B42" s="14">
        <v>40633</v>
      </c>
      <c r="C42" s="30" t="str">
        <f>[2]!YBHIST($A$2,$B42,"Price","sec","")</f>
        <v>E</v>
      </c>
      <c r="D42" t="str">
        <f>[2]!YBPRICE($A$2,C42&amp;"d",$B43,"OAS","Swap",B42,"LMMSkew","","Model",100,"OAS")</f>
        <v>E</v>
      </c>
      <c r="E42" s="32" t="str">
        <f>[2]!YBHIST($A$2,B42,"LMMOAS","sec","")</f>
        <v>E</v>
      </c>
      <c r="F42">
        <v>-86.372497999999993</v>
      </c>
    </row>
    <row r="43" spans="2:6" ht="15" x14ac:dyDescent="0.25">
      <c r="B43" s="14">
        <v>40634</v>
      </c>
      <c r="C43" s="30" t="str">
        <f>[2]!YBHIST($A$2,$B43,"Price","sec","")</f>
        <v>E</v>
      </c>
      <c r="D43" t="str">
        <f>[2]!YBPRICE($A$2,C43&amp;"d",$B44,"OAS","Swap",B43,"LMMSkew","","Model",100,"OAS")</f>
        <v>E</v>
      </c>
      <c r="E43" s="32" t="str">
        <f>[2]!YBHIST($A$2,B43,"LMMOAS","sec","")</f>
        <v>E</v>
      </c>
      <c r="F43">
        <v>-92.224402999999995</v>
      </c>
    </row>
    <row r="44" spans="2:6" ht="15" x14ac:dyDescent="0.25">
      <c r="B44" s="14">
        <v>40637</v>
      </c>
      <c r="C44" s="30" t="str">
        <f>[2]!YBHIST($A$2,$B44,"Price","sec","")</f>
        <v>E</v>
      </c>
      <c r="D44" t="str">
        <f>[2]!YBPRICE($A$2,C44&amp;"d",$B45,"OAS","Swap",B44,"LMMSkew","","Model",100,"OAS")</f>
        <v>E</v>
      </c>
      <c r="E44" s="32" t="str">
        <f>[2]!YBHIST($A$2,B44,"LMMOAS","sec","")</f>
        <v>E</v>
      </c>
      <c r="F44">
        <v>-88.982001999999994</v>
      </c>
    </row>
    <row r="45" spans="2:6" ht="15" x14ac:dyDescent="0.25">
      <c r="B45" s="14">
        <v>40638</v>
      </c>
      <c r="C45" s="30" t="str">
        <f>[2]!YBHIST($A$2,$B45,"Price","sec","")</f>
        <v>E</v>
      </c>
      <c r="D45" t="str">
        <f>[2]!YBPRICE($A$2,C45&amp;"d",$B46,"OAS","Swap",B45,"LMMSkew","","Model",100,"OAS")</f>
        <v>E</v>
      </c>
      <c r="E45" s="32" t="str">
        <f>[2]!YBHIST($A$2,B45,"LMMOAS","sec","")</f>
        <v>E</v>
      </c>
      <c r="F45">
        <v>-105.489304</v>
      </c>
    </row>
    <row r="46" spans="2:6" ht="15" x14ac:dyDescent="0.25">
      <c r="B46" s="14">
        <v>40639</v>
      </c>
      <c r="C46" s="30" t="str">
        <f>[2]!YBHIST($A$2,$B46,"Price","sec","")</f>
        <v>E</v>
      </c>
      <c r="D46" t="str">
        <f>[2]!YBPRICE($A$2,C46&amp;"d",$B47,"OAS","Swap",B46,"LMMSkew","","Model",100,"OAS")</f>
        <v>E</v>
      </c>
      <c r="E46" s="32" t="str">
        <f>[2]!YBHIST($A$2,B46,"LMMOAS","sec","")</f>
        <v>E</v>
      </c>
      <c r="F46">
        <v>-121.661102</v>
      </c>
    </row>
    <row r="47" spans="2:6" ht="15" x14ac:dyDescent="0.25">
      <c r="B47" s="14">
        <v>40640</v>
      </c>
      <c r="C47" s="30" t="str">
        <f>[2]!YBHIST($A$2,$B47,"Price","sec","")</f>
        <v>E</v>
      </c>
      <c r="D47" t="str">
        <f>[2]!YBPRICE($A$2,C47&amp;"d",$B48,"OAS","Swap",B47,"LMMSkew","","Model",100,"OAS")</f>
        <v>E</v>
      </c>
      <c r="E47" s="32" t="str">
        <f>[2]!YBHIST($A$2,B47,"LMMOAS","sec","")</f>
        <v>E</v>
      </c>
      <c r="F47">
        <v>-130.50590500000001</v>
      </c>
    </row>
    <row r="48" spans="2:6" ht="15" x14ac:dyDescent="0.25">
      <c r="B48" s="14">
        <v>40641</v>
      </c>
      <c r="C48" s="30" t="str">
        <f>[2]!YBHIST($A$2,$B48,"Price","sec","")</f>
        <v>E</v>
      </c>
      <c r="D48" t="str">
        <f>[2]!YBPRICE($A$2,C48&amp;"d",$B49,"OAS","Swap",B48,"LMMSkew","","Model",100,"OAS")</f>
        <v>E</v>
      </c>
      <c r="E48" s="32" t="str">
        <f>[2]!YBHIST($A$2,B48,"LMMOAS","sec","")</f>
        <v>E</v>
      </c>
      <c r="F48">
        <v>-135.06170700000001</v>
      </c>
    </row>
    <row r="49" spans="2:6" ht="15" x14ac:dyDescent="0.25">
      <c r="B49" s="14">
        <v>40644</v>
      </c>
      <c r="C49" s="30" t="str">
        <f>[2]!YBHIST($A$2,$B49,"Price","sec","")</f>
        <v>E</v>
      </c>
      <c r="D49" t="str">
        <f>[2]!YBPRICE($A$2,C49&amp;"d",$B50,"OAS","Swap",B49,"LMMSkew","","Model",100,"OAS")</f>
        <v>E</v>
      </c>
      <c r="E49" s="32" t="str">
        <f>[2]!YBHIST($A$2,B49,"LMMOAS","sec","")</f>
        <v>E</v>
      </c>
      <c r="F49">
        <v>-141.42529300000001</v>
      </c>
    </row>
    <row r="50" spans="2:6" ht="15" x14ac:dyDescent="0.25">
      <c r="B50" s="14">
        <v>40645</v>
      </c>
      <c r="C50" s="30" t="str">
        <f>[2]!YBHIST($A$2,$B50,"Price","sec","")</f>
        <v>E</v>
      </c>
      <c r="D50" t="str">
        <f>[2]!YBPRICE($A$2,C50&amp;"d",$B51,"OAS","Swap",B50,"LMMSkew","","Model",100,"OAS")</f>
        <v>E</v>
      </c>
      <c r="E50" s="32" t="str">
        <f>[2]!YBHIST($A$2,B50,"LMMOAS","sec","")</f>
        <v>E</v>
      </c>
      <c r="F50">
        <v>-137.64359999999999</v>
      </c>
    </row>
    <row r="51" spans="2:6" ht="15" x14ac:dyDescent="0.25">
      <c r="B51" s="14">
        <v>40646</v>
      </c>
      <c r="C51" s="30" t="str">
        <f>[2]!YBHIST($A$2,$B51,"Price","sec","")</f>
        <v>E</v>
      </c>
      <c r="D51" t="str">
        <f>[2]!YBPRICE($A$2,C51&amp;"d",$B52,"OAS","Swap",B51,"LMMSkew","","Model",100,"OAS")</f>
        <v>E</v>
      </c>
      <c r="E51" s="32" t="str">
        <f>[2]!YBHIST($A$2,B51,"LMMOAS","sec","")</f>
        <v>E</v>
      </c>
      <c r="F51">
        <v>-137.808899</v>
      </c>
    </row>
    <row r="52" spans="2:6" ht="15" x14ac:dyDescent="0.25">
      <c r="B52" s="14">
        <v>40647</v>
      </c>
      <c r="C52" s="30" t="str">
        <f>[2]!YBHIST($A$2,$B52,"Price","sec","")</f>
        <v>E</v>
      </c>
      <c r="D52" t="str">
        <f>[2]!YBPRICE($A$2,C52&amp;"d",$B53,"OAS","Swap",B52,"LMMSkew","","Model",100,"OAS")</f>
        <v>E</v>
      </c>
      <c r="E52" s="32" t="str">
        <f>[2]!YBHIST($A$2,B52,"LMMOAS","sec","")</f>
        <v>E</v>
      </c>
      <c r="F52">
        <v>-137.074997</v>
      </c>
    </row>
    <row r="53" spans="2:6" ht="15" x14ac:dyDescent="0.25">
      <c r="B53" s="14">
        <v>40648</v>
      </c>
      <c r="C53" s="30" t="str">
        <f>[2]!YBHIST($A$2,$B53,"Price","sec","")</f>
        <v>E</v>
      </c>
      <c r="D53" t="str">
        <f>[2]!YBPRICE($A$2,C53&amp;"d",$B54,"OAS","Swap",B53,"LMMSkew","","Model",100,"OAS")</f>
        <v>E</v>
      </c>
      <c r="E53" s="32" t="str">
        <f>[2]!YBHIST($A$2,B53,"LMMOAS","sec","")</f>
        <v>E</v>
      </c>
      <c r="F53">
        <v>-124.151802</v>
      </c>
    </row>
    <row r="54" spans="2:6" ht="15" x14ac:dyDescent="0.25">
      <c r="B54" s="14">
        <v>40651</v>
      </c>
      <c r="C54" s="30" t="str">
        <f>[2]!YBHIST($A$2,$B54,"Price","sec","")</f>
        <v>E</v>
      </c>
      <c r="D54" t="str">
        <f>[2]!YBPRICE($A$2,C54&amp;"d",$B55,"OAS","Swap",B54,"LMMSkew","","Model",100,"OAS")</f>
        <v>E</v>
      </c>
      <c r="E54" s="32" t="str">
        <f>[2]!YBHIST($A$2,B54,"LMMOAS","sec","")</f>
        <v>E</v>
      </c>
      <c r="F54">
        <v>115.686897</v>
      </c>
    </row>
    <row r="55" spans="2:6" ht="15" x14ac:dyDescent="0.25">
      <c r="B55" s="14">
        <v>40652</v>
      </c>
      <c r="C55" s="30" t="str">
        <f>[2]!YBHIST($A$2,$B55,"Price","sec","")</f>
        <v>E</v>
      </c>
      <c r="D55" t="str">
        <f>[2]!YBPRICE($A$2,C55&amp;"d",$B56,"OAS","Swap",B55,"LMMSkew","","Model",100,"OAS")</f>
        <v>E</v>
      </c>
      <c r="E55" s="32" t="str">
        <f>[2]!YBHIST($A$2,B55,"LMMOAS","sec","")</f>
        <v>E</v>
      </c>
      <c r="F55">
        <v>-111.029999</v>
      </c>
    </row>
    <row r="56" spans="2:6" ht="15" x14ac:dyDescent="0.25">
      <c r="B56" s="14">
        <v>40653</v>
      </c>
      <c r="C56" s="30" t="str">
        <f>[2]!YBHIST($A$2,$B56,"Price","sec","")</f>
        <v>E</v>
      </c>
      <c r="D56" t="str">
        <f>[2]!YBPRICE($A$2,C56&amp;"d",$B57,"OAS","Swap",B56,"LMMSkew","","Model",100,"OAS")</f>
        <v>E</v>
      </c>
      <c r="E56" s="32" t="str">
        <f>[2]!YBHIST($A$2,B56,"LMMOAS","sec","")</f>
        <v>E</v>
      </c>
      <c r="F56">
        <v>-120.20839700000001</v>
      </c>
    </row>
    <row r="57" spans="2:6" ht="15" x14ac:dyDescent="0.25">
      <c r="B57" s="14">
        <v>40654</v>
      </c>
      <c r="C57" s="30" t="str">
        <f>[2]!YBHIST($A$2,$B57,"Price","sec","")</f>
        <v>E</v>
      </c>
      <c r="D57" t="str">
        <f>[2]!YBPRICE($A$2,C57&amp;"d",$B58,"OAS","Swap",B57,"LMMSkew","","Model",100,"OAS")</f>
        <v>E</v>
      </c>
      <c r="E57" s="32" t="str">
        <f>[2]!YBHIST($A$2,B57,"LMMOAS","sec","")</f>
        <v>E</v>
      </c>
      <c r="F57">
        <v>-119.152901</v>
      </c>
    </row>
    <row r="58" spans="2:6" ht="15" x14ac:dyDescent="0.25">
      <c r="B58" s="14">
        <v>40658</v>
      </c>
      <c r="C58" s="30" t="str">
        <f>[2]!YBHIST($A$2,$B58,"Price","sec","")</f>
        <v>E</v>
      </c>
      <c r="D58" t="str">
        <f>[2]!YBPRICE($A$2,C58&amp;"d",$B59,"OAS","Swap",B58,"LMMSkew","","Model",100,"OAS")</f>
        <v>E</v>
      </c>
      <c r="E58" s="32" t="str">
        <f>[2]!YBHIST($A$2,B58,"LMMOAS","sec","")</f>
        <v>E</v>
      </c>
      <c r="F58">
        <v>-117.247803</v>
      </c>
    </row>
    <row r="59" spans="2:6" ht="15" x14ac:dyDescent="0.25">
      <c r="B59" s="14">
        <v>40659</v>
      </c>
      <c r="C59" s="30" t="str">
        <f>[2]!YBHIST($A$2,$B59,"Price","sec","")</f>
        <v>E</v>
      </c>
      <c r="D59" t="str">
        <f>[2]!YBPRICE($A$2,C59&amp;"d",$B60,"OAS","Swap",B59,"LMMSkew","","Model",100,"OAS")</f>
        <v>E</v>
      </c>
      <c r="E59" s="32" t="str">
        <f>[2]!YBHIST($A$2,B59,"LMMOAS","sec","")</f>
        <v>E</v>
      </c>
      <c r="F59">
        <v>-116.952499</v>
      </c>
    </row>
    <row r="60" spans="2:6" ht="15" x14ac:dyDescent="0.25">
      <c r="B60" s="14">
        <v>40660</v>
      </c>
      <c r="C60" s="30" t="str">
        <f>[2]!YBHIST($A$2,$B60,"Price","sec","")</f>
        <v>E</v>
      </c>
      <c r="D60" t="str">
        <f>[2]!YBPRICE($A$2,C60&amp;"d",$B61,"OAS","Swap",B60,"LMMSkew","","Model",100,"OAS")</f>
        <v>E</v>
      </c>
      <c r="E60" s="32" t="str">
        <f>[2]!YBHIST($A$2,B60,"LMMOAS","sec","")</f>
        <v>E</v>
      </c>
      <c r="F60">
        <v>-117.538498</v>
      </c>
    </row>
    <row r="61" spans="2:6" ht="15" x14ac:dyDescent="0.25">
      <c r="B61" s="14">
        <v>40661</v>
      </c>
      <c r="C61" s="30" t="str">
        <f>[2]!YBHIST($A$2,$B61,"Price","sec","")</f>
        <v>E</v>
      </c>
      <c r="D61" t="str">
        <f>[2]!YBPRICE($A$2,C61&amp;"d",$B62,"OAS","Swap",B61,"LMMSkew","","Model",100,"OAS")</f>
        <v>E</v>
      </c>
      <c r="E61" s="32" t="str">
        <f>[2]!YBHIST($A$2,B61,"LMMOAS","sec","")</f>
        <v>E</v>
      </c>
      <c r="F61">
        <v>-103.995903</v>
      </c>
    </row>
    <row r="62" spans="2:6" ht="15" x14ac:dyDescent="0.25">
      <c r="B62" s="14">
        <v>40662</v>
      </c>
      <c r="C62" s="30" t="str">
        <f>[2]!YBHIST($A$2,$B62,"Price","sec","")</f>
        <v>E</v>
      </c>
      <c r="D62" t="str">
        <f>[2]!YBPRICE($A$2,C62&amp;"d",$B63,"OAS","Swap",B62,"LMMSkew","","Model",100,"OAS")</f>
        <v>E</v>
      </c>
      <c r="E62" s="32" t="str">
        <f>[2]!YBHIST($A$2,B62,"LMMOAS","sec","")</f>
        <v>E</v>
      </c>
      <c r="F62">
        <v>-106.533096</v>
      </c>
    </row>
    <row r="63" spans="2:6" ht="15" x14ac:dyDescent="0.25">
      <c r="B63" s="14">
        <v>40665</v>
      </c>
      <c r="C63" s="30" t="str">
        <f>[2]!YBHIST($A$2,$B63,"Price","sec","")</f>
        <v>E</v>
      </c>
      <c r="D63" t="str">
        <f>[2]!YBPRICE($A$2,C63&amp;"d",$B64,"OAS","Swap",B63,"LMMSkew","","Model",100,"OAS")</f>
        <v>E</v>
      </c>
      <c r="E63" s="32" t="str">
        <f>[2]!YBHIST($A$2,B63,"LMMOAS","sec","")</f>
        <v>E</v>
      </c>
      <c r="F63">
        <v>-108.476501</v>
      </c>
    </row>
    <row r="64" spans="2:6" ht="15" x14ac:dyDescent="0.25">
      <c r="B64" s="14">
        <v>40666</v>
      </c>
      <c r="C64" s="30" t="str">
        <f>[2]!YBHIST($A$2,$B64,"Price","sec","")</f>
        <v>E</v>
      </c>
      <c r="D64" t="str">
        <f>[2]!YBPRICE($A$2,C64&amp;"d",$B65,"OAS","Swap",B64,"LMMSkew","","Model",100,"OAS")</f>
        <v>E</v>
      </c>
      <c r="E64" s="32" t="str">
        <f>[2]!YBHIST($A$2,B64,"LMMOAS","sec","")</f>
        <v>E</v>
      </c>
      <c r="F64">
        <v>-108.627403</v>
      </c>
    </row>
    <row r="65" spans="2:6" ht="15" x14ac:dyDescent="0.25">
      <c r="B65" s="14">
        <v>40667</v>
      </c>
      <c r="C65" s="30" t="str">
        <f>[2]!YBHIST($A$2,$B65,"Price","sec","")</f>
        <v>E</v>
      </c>
      <c r="D65" t="str">
        <f>[2]!YBPRICE($A$2,C65&amp;"d",$B66,"OAS","Swap",B65,"LMMSkew","","Model",100,"OAS")</f>
        <v>E</v>
      </c>
      <c r="E65" s="32" t="str">
        <f>[2]!YBHIST($A$2,B65,"LMMOAS","sec","")</f>
        <v>E</v>
      </c>
      <c r="F65">
        <v>-100.710098</v>
      </c>
    </row>
    <row r="66" spans="2:6" ht="15" x14ac:dyDescent="0.25">
      <c r="B66" s="14">
        <v>40668</v>
      </c>
      <c r="C66" s="30" t="str">
        <f>[2]!YBHIST($A$2,$B66,"Price","sec","")</f>
        <v>E</v>
      </c>
      <c r="D66" t="str">
        <f>[2]!YBPRICE($A$2,C66&amp;"d",$B67,"OAS","Swap",B66,"LMMSkew","","Model",100,"OAS")</f>
        <v>E</v>
      </c>
      <c r="E66" s="32" t="str">
        <f>[2]!YBHIST($A$2,B66,"LMMOAS","sec","")</f>
        <v>E</v>
      </c>
      <c r="F66">
        <v>-93.175597999999994</v>
      </c>
    </row>
    <row r="67" spans="2:6" ht="15" x14ac:dyDescent="0.25">
      <c r="B67" s="14">
        <v>40669</v>
      </c>
      <c r="C67" s="30" t="str">
        <f>[2]!YBHIST($A$2,$B67,"Price","sec","")</f>
        <v>E</v>
      </c>
      <c r="D67" t="str">
        <f>[2]!YBPRICE($A$2,C67&amp;"d",$B68,"OAS","Swap",B67,"LMMSkew","","Model",100,"OAS")</f>
        <v>E</v>
      </c>
      <c r="E67" s="32" t="str">
        <f>[2]!YBHIST($A$2,B67,"LMMOAS","sec","")</f>
        <v>E</v>
      </c>
      <c r="F67">
        <v>-103.90570099999999</v>
      </c>
    </row>
    <row r="68" spans="2:6" ht="15" x14ac:dyDescent="0.25">
      <c r="B68" s="14">
        <v>40672</v>
      </c>
      <c r="C68" s="30" t="str">
        <f>[2]!YBHIST($A$2,$B68,"Price","sec","")</f>
        <v>E</v>
      </c>
      <c r="D68" t="str">
        <f>[2]!YBPRICE($A$2,C68&amp;"d",$B69,"OAS","Swap",B68,"LMMSkew","","Model",100,"OAS")</f>
        <v>E</v>
      </c>
      <c r="E68" s="32" t="str">
        <f>[2]!YBHIST($A$2,B68,"LMMOAS","sec","")</f>
        <v>E</v>
      </c>
      <c r="F68">
        <v>-101.403999</v>
      </c>
    </row>
    <row r="69" spans="2:6" ht="15" x14ac:dyDescent="0.25">
      <c r="B69" s="14">
        <v>40673</v>
      </c>
      <c r="C69" s="30" t="str">
        <f>[2]!YBHIST($A$2,$B69,"Price","sec","")</f>
        <v>E</v>
      </c>
      <c r="D69" t="str">
        <f>[2]!YBPRICE($A$2,C69&amp;"d",$B70,"OAS","Swap",B69,"LMMSkew","","Model",100,"OAS")</f>
        <v>E</v>
      </c>
      <c r="E69" s="32" t="str">
        <f>[2]!YBHIST($A$2,B69,"LMMOAS","sec","")</f>
        <v>E</v>
      </c>
      <c r="F69">
        <v>-114.08669999999999</v>
      </c>
    </row>
    <row r="70" spans="2:6" ht="15" x14ac:dyDescent="0.25">
      <c r="B70" s="14">
        <v>40674</v>
      </c>
      <c r="C70" s="30" t="str">
        <f>[2]!YBHIST($A$2,$B70,"Price","sec","")</f>
        <v>E</v>
      </c>
      <c r="D70" t="str">
        <f>[2]!YBPRICE($A$2,C70&amp;"d",$B71,"OAS","Swap",B70,"LMMSkew","","Model",100,"OAS")</f>
        <v>E</v>
      </c>
      <c r="E70" s="32" t="str">
        <f>[2]!YBHIST($A$2,B70,"LMMOAS","sec","")</f>
        <v>E</v>
      </c>
      <c r="F70">
        <v>-111.4729</v>
      </c>
    </row>
    <row r="71" spans="2:6" ht="15" x14ac:dyDescent="0.25">
      <c r="B71" s="14">
        <v>40675</v>
      </c>
      <c r="C71" s="30" t="str">
        <f>[2]!YBHIST($A$2,$B71,"Price","sec","")</f>
        <v>E</v>
      </c>
      <c r="D71" t="str">
        <f>[2]!YBPRICE($A$2,C71&amp;"d",$B72,"OAS","Swap",B71,"LMMSkew","","Model",100,"OAS")</f>
        <v>E</v>
      </c>
      <c r="E71" s="32" t="str">
        <f>[2]!YBHIST($A$2,B71,"LMMOAS","sec","")</f>
        <v>E</v>
      </c>
      <c r="F71">
        <v>-129.59599299999999</v>
      </c>
    </row>
    <row r="72" spans="2:6" ht="15" x14ac:dyDescent="0.25">
      <c r="B72" s="14">
        <v>40676</v>
      </c>
      <c r="C72" s="30" t="str">
        <f>[2]!YBHIST($A$2,$B72,"Price","sec","")</f>
        <v>E</v>
      </c>
      <c r="D72" t="str">
        <f>[2]!YBPRICE($A$2,C72&amp;"d",$B73,"OAS","Swap",B72,"LMMSkew","","Model",100,"OAS")</f>
        <v>E</v>
      </c>
      <c r="E72" s="32" t="str">
        <f>[2]!YBHIST($A$2,B72,"LMMOAS","sec","")</f>
        <v>E</v>
      </c>
      <c r="F72">
        <v>-121.444801</v>
      </c>
    </row>
    <row r="73" spans="2:6" ht="15" x14ac:dyDescent="0.25">
      <c r="B73" s="14">
        <v>40679</v>
      </c>
      <c r="C73" s="30" t="str">
        <f>[2]!YBHIST($A$2,$B73,"Price","sec","")</f>
        <v>E</v>
      </c>
      <c r="D73" t="str">
        <f>[2]!YBPRICE($A$2,C73&amp;"d",$B74,"OAS","Swap",B73,"LMMSkew","","Model",100,"OAS")</f>
        <v>E</v>
      </c>
      <c r="E73" s="32" t="str">
        <f>[2]!YBHIST($A$2,B73,"LMMOAS","sec","")</f>
        <v>E</v>
      </c>
      <c r="F73">
        <v>-113.47380099999999</v>
      </c>
    </row>
    <row r="74" spans="2:6" ht="15" x14ac:dyDescent="0.25">
      <c r="B74" s="14">
        <v>40680</v>
      </c>
      <c r="C74" s="30" t="str">
        <f>[2]!YBHIST($A$2,$B74,"Price","sec","")</f>
        <v>E</v>
      </c>
      <c r="D74" t="str">
        <f>[2]!YBPRICE($A$2,C74&amp;"d",$B75,"OAS","Swap",B74,"LMMSkew","","Model",100,"OAS")</f>
        <v>E</v>
      </c>
      <c r="E74" s="32" t="str">
        <f>[2]!YBHIST($A$2,B74,"LMMOAS","sec","")</f>
        <v>E</v>
      </c>
      <c r="F74">
        <v>-108.28649900000001</v>
      </c>
    </row>
    <row r="75" spans="2:6" ht="15" x14ac:dyDescent="0.25">
      <c r="B75" s="14">
        <v>40681</v>
      </c>
      <c r="C75" s="30" t="str">
        <f>[2]!YBHIST($A$2,$B75,"Price","sec","")</f>
        <v>E</v>
      </c>
      <c r="D75" t="str">
        <f>[2]!YBPRICE($A$2,C75&amp;"d",$B76,"OAS","Swap",B75,"LMMSkew","","Model",100,"OAS")</f>
        <v>E</v>
      </c>
      <c r="E75" s="32" t="str">
        <f>[2]!YBHIST($A$2,B75,"LMMOAS","sec","")</f>
        <v>E</v>
      </c>
      <c r="F75">
        <v>-122.6054</v>
      </c>
    </row>
    <row r="76" spans="2:6" ht="15" x14ac:dyDescent="0.25">
      <c r="B76" s="14">
        <v>40682</v>
      </c>
      <c r="C76" s="30" t="str">
        <f>[2]!YBHIST($A$2,$B76,"Price","sec","")</f>
        <v>E</v>
      </c>
      <c r="D76" t="str">
        <f>[2]!YBPRICE($A$2,C76&amp;"d",$B77,"OAS","Swap",B76,"LMMSkew","","Model",100,"OAS")</f>
        <v>E</v>
      </c>
      <c r="E76" s="32" t="str">
        <f>[2]!YBHIST($A$2,B76,"LMMOAS","sec","")</f>
        <v>E</v>
      </c>
      <c r="F76">
        <v>-130.94000199999999</v>
      </c>
    </row>
    <row r="77" spans="2:6" ht="15" x14ac:dyDescent="0.25">
      <c r="B77" s="14">
        <v>40683</v>
      </c>
      <c r="C77" s="30" t="str">
        <f>[2]!YBHIST($A$2,$B77,"Price","sec","")</f>
        <v>E</v>
      </c>
      <c r="D77" t="str">
        <f>[2]!YBPRICE($A$2,C77&amp;"d",$B78,"OAS","Swap",B77,"LMMSkew","","Model",100,"OAS")</f>
        <v>E</v>
      </c>
      <c r="E77" s="32" t="str">
        <f>[2]!YBHIST($A$2,B77,"LMMOAS","sec","")</f>
        <v>E</v>
      </c>
      <c r="F77">
        <v>-142.17790199999999</v>
      </c>
    </row>
    <row r="78" spans="2:6" ht="15" x14ac:dyDescent="0.25">
      <c r="B78" s="14">
        <v>40686</v>
      </c>
      <c r="C78" s="30" t="str">
        <f>[2]!YBHIST($A$2,$B78,"Price","sec","")</f>
        <v>E</v>
      </c>
      <c r="D78" t="str">
        <f>[2]!YBPRICE($A$2,C78&amp;"d",$B79,"OAS","Swap",B78,"LMMSkew","","Model",100,"OAS")</f>
        <v>E</v>
      </c>
      <c r="E78" s="32" t="str">
        <f>[2]!YBHIST($A$2,B78,"LMMOAS","sec","")</f>
        <v>E</v>
      </c>
      <c r="F78">
        <v>-151.290604</v>
      </c>
    </row>
    <row r="79" spans="2:6" ht="15" x14ac:dyDescent="0.25">
      <c r="B79" s="14">
        <v>40687</v>
      </c>
      <c r="C79" s="30" t="str">
        <f>[2]!YBHIST($A$2,$B79,"Price","sec","")</f>
        <v>E</v>
      </c>
      <c r="D79" t="str">
        <f>[2]!YBPRICE($A$2,C79&amp;"d",$B80,"OAS","Swap",B79,"LMMSkew","","Model",100,"OAS")</f>
        <v>E</v>
      </c>
      <c r="E79" s="32" t="str">
        <f>[2]!YBHIST($A$2,B79,"LMMOAS","sec","")</f>
        <v>E</v>
      </c>
      <c r="F79">
        <v>-167.628601</v>
      </c>
    </row>
    <row r="80" spans="2:6" ht="15" x14ac:dyDescent="0.25">
      <c r="B80" s="14">
        <v>40688</v>
      </c>
      <c r="C80" s="30" t="str">
        <f>[2]!YBHIST($A$2,$B80,"Price","sec","")</f>
        <v>E</v>
      </c>
      <c r="D80" t="str">
        <f>[2]!YBPRICE($A$2,C80&amp;"d",$B81,"OAS","Swap",B80,"LMMSkew","","Model",100,"OAS")</f>
        <v>E</v>
      </c>
      <c r="E80" s="32" t="str">
        <f>[2]!YBHIST($A$2,B80,"LMMOAS","sec","")</f>
        <v>E</v>
      </c>
      <c r="F80">
        <v>-164.972702</v>
      </c>
    </row>
    <row r="81" spans="2:6" ht="15" x14ac:dyDescent="0.25">
      <c r="B81" s="14">
        <v>40689</v>
      </c>
      <c r="C81" s="30" t="str">
        <f>[2]!YBHIST($A$2,$B81,"Price","sec","")</f>
        <v>E</v>
      </c>
      <c r="D81" t="str">
        <f>[2]!YBPRICE($A$2,C81&amp;"d",$B82,"OAS","Swap",B81,"LMMSkew","","Model",100,"OAS")</f>
        <v>E</v>
      </c>
      <c r="E81" s="32" t="str">
        <f>[2]!YBHIST($A$2,B81,"LMMOAS","sec","")</f>
        <v>E</v>
      </c>
      <c r="F81">
        <v>-144.80439799999999</v>
      </c>
    </row>
    <row r="82" spans="2:6" ht="15" x14ac:dyDescent="0.25">
      <c r="B82" s="14">
        <v>40690</v>
      </c>
      <c r="C82" s="30" t="str">
        <f>[2]!YBHIST($A$2,$B82,"Price","sec","")</f>
        <v>E</v>
      </c>
      <c r="D82" t="str">
        <f>[2]!YBPRICE($A$2,C82&amp;"d",$B83,"OAS","Swap",B82,"LMMSkew","","Model",100,"OAS")</f>
        <v>E</v>
      </c>
      <c r="E82" s="32" t="str">
        <f>[2]!YBHIST($A$2,B82,"LMMOAS","sec","")</f>
        <v>E</v>
      </c>
      <c r="F82">
        <v>-146.529404</v>
      </c>
    </row>
    <row r="83" spans="2:6" ht="15" x14ac:dyDescent="0.25">
      <c r="B83" s="14">
        <v>40694</v>
      </c>
      <c r="C83" s="30" t="str">
        <f>[2]!YBHIST($A$2,$B83,"Price","sec","")</f>
        <v>E</v>
      </c>
      <c r="D83" t="str">
        <f>[2]!YBPRICE($A$2,C83&amp;"d",$B84,"OAS","Swap",B83,"LMMSkew","","Model",100,"OAS")</f>
        <v>E</v>
      </c>
      <c r="E83" s="32" t="str">
        <f>[2]!YBHIST($A$2,B83,"LMMOAS","sec","")</f>
        <v>E</v>
      </c>
      <c r="F83">
        <v>-144.807907</v>
      </c>
    </row>
    <row r="84" spans="2:6" ht="15" x14ac:dyDescent="0.25">
      <c r="B84" s="14">
        <v>40695</v>
      </c>
      <c r="C84" s="30" t="str">
        <f>[2]!YBHIST($A$2,$B84,"Price","sec","")</f>
        <v>E</v>
      </c>
      <c r="D84" t="str">
        <f>[2]!YBPRICE($A$2,C84&amp;"d",$B85,"OAS","Swap",B84,"LMMSkew","","Model",100,"OAS")</f>
        <v>E</v>
      </c>
      <c r="E84" s="32" t="str">
        <f>[2]!YBHIST($A$2,B84,"LMMOAS","sec","")</f>
        <v>E</v>
      </c>
      <c r="F84">
        <v>-129.80059800000001</v>
      </c>
    </row>
    <row r="85" spans="2:6" ht="15" x14ac:dyDescent="0.25">
      <c r="B85" s="14">
        <v>40696</v>
      </c>
      <c r="C85" s="30" t="str">
        <f>[2]!YBHIST($A$2,$B85,"Price","sec","")</f>
        <v>E</v>
      </c>
      <c r="D85" t="str">
        <f>[2]!YBPRICE($A$2,C85&amp;"d",$B86,"OAS","Swap",B85,"LMMSkew","","Model",100,"OAS")</f>
        <v>E</v>
      </c>
      <c r="E85" s="32" t="str">
        <f>[2]!YBHIST($A$2,B85,"LMMOAS","sec","")</f>
        <v>E</v>
      </c>
      <c r="F85">
        <v>-146.11729399999999</v>
      </c>
    </row>
    <row r="86" spans="2:6" ht="15" x14ac:dyDescent="0.25">
      <c r="B86" s="14">
        <v>40697</v>
      </c>
      <c r="C86" s="30" t="str">
        <f>[2]!YBHIST($A$2,$B86,"Price","sec","")</f>
        <v>E</v>
      </c>
      <c r="D86" t="str">
        <f>[2]!YBPRICE($A$2,C86&amp;"d",$B87,"OAS","Swap",B86,"LMMSkew","","Model",100,"OAS")</f>
        <v>E</v>
      </c>
      <c r="E86" s="32" t="str">
        <f>[2]!YBHIST($A$2,B86,"LMMOAS","sec","")</f>
        <v>E</v>
      </c>
      <c r="F86">
        <v>-154.878693</v>
      </c>
    </row>
    <row r="87" spans="2:6" ht="15" x14ac:dyDescent="0.25">
      <c r="B87" s="14">
        <v>40700</v>
      </c>
      <c r="C87" s="30" t="str">
        <f>[2]!YBHIST($A$2,$B87,"Price","sec","")</f>
        <v>E</v>
      </c>
      <c r="D87" t="str">
        <f>[2]!YBPRICE($A$2,C87&amp;"d",$B88,"OAS","Swap",B87,"LMMSkew","","Model",100,"OAS")</f>
        <v>E</v>
      </c>
      <c r="E87" s="32" t="str">
        <f>[2]!YBHIST($A$2,B87,"LMMOAS","sec","")</f>
        <v>E</v>
      </c>
      <c r="F87">
        <v>-167.74659700000001</v>
      </c>
    </row>
    <row r="88" spans="2:6" ht="15" x14ac:dyDescent="0.25">
      <c r="B88" s="14">
        <v>40701</v>
      </c>
      <c r="C88" s="30" t="str">
        <f>[2]!YBHIST($A$2,$B88,"Price","sec","")</f>
        <v>E</v>
      </c>
      <c r="D88" t="str">
        <f>[2]!YBPRICE($A$2,C88&amp;"d",$B89,"OAS","Swap",B88,"LMMSkew","","Model",100,"OAS")</f>
        <v>E</v>
      </c>
      <c r="E88" s="32" t="str">
        <f>[2]!YBHIST($A$2,B88,"LMMOAS","sec","")</f>
        <v>E</v>
      </c>
      <c r="F88">
        <v>-180.83670000000001</v>
      </c>
    </row>
    <row r="89" spans="2:6" ht="15" x14ac:dyDescent="0.25">
      <c r="B89" s="14">
        <v>40702</v>
      </c>
      <c r="C89" s="30" t="str">
        <f>[2]!YBHIST($A$2,$B89,"Price","sec","")</f>
        <v>E</v>
      </c>
      <c r="D89" t="str">
        <f>[2]!YBPRICE($A$2,C89&amp;"d",$B90,"OAS","Swap",B89,"LMMSkew","","Model",100,"OAS")</f>
        <v>E</v>
      </c>
      <c r="E89" s="32" t="str">
        <f>[2]!YBHIST($A$2,B89,"LMMOAS","sec","")</f>
        <v>E</v>
      </c>
      <c r="F89">
        <v>-159.42250100000001</v>
      </c>
    </row>
    <row r="90" spans="2:6" ht="15" x14ac:dyDescent="0.25">
      <c r="B90" s="14">
        <v>40703</v>
      </c>
      <c r="C90" s="30" t="str">
        <f>[2]!YBHIST($A$2,$B90,"Price","sec","")</f>
        <v>E</v>
      </c>
      <c r="D90" t="str">
        <f>[2]!YBPRICE($A$2,C90&amp;"d",$B91,"OAS","Swap",B90,"LMMSkew","","Model",100,"OAS")</f>
        <v>E</v>
      </c>
      <c r="E90" s="32" t="str">
        <f>[2]!YBHIST($A$2,B90,"LMMOAS","sec","")</f>
        <v>E</v>
      </c>
      <c r="F90">
        <v>-165.55149800000001</v>
      </c>
    </row>
    <row r="91" spans="2:6" ht="15" x14ac:dyDescent="0.25">
      <c r="B91" s="14">
        <v>40704</v>
      </c>
      <c r="C91" s="30" t="str">
        <f>[2]!YBHIST($A$2,$B91,"Price","sec","")</f>
        <v>E</v>
      </c>
      <c r="D91" t="str">
        <f>[2]!YBPRICE($A$2,C91&amp;"d",$B92,"OAS","Swap",B91,"LMMSkew","","Model",100,"OAS")</f>
        <v>E</v>
      </c>
      <c r="E91" s="32" t="str">
        <f>[2]!YBHIST($A$2,B91,"LMMOAS","sec","")</f>
        <v>E</v>
      </c>
      <c r="F91">
        <v>-153.711502</v>
      </c>
    </row>
    <row r="92" spans="2:6" ht="15" x14ac:dyDescent="0.25">
      <c r="B92" s="14">
        <v>40707</v>
      </c>
      <c r="C92" s="30" t="str">
        <f>[2]!YBHIST($A$2,$B92,"Price","sec","")</f>
        <v>E</v>
      </c>
      <c r="D92" t="str">
        <f>[2]!YBPRICE($A$2,C92&amp;"d",$B93,"OAS","Swap",B92,"LMMSkew","","Model",100,"OAS")</f>
        <v>E</v>
      </c>
      <c r="E92" s="32" t="str">
        <f>[2]!YBHIST($A$2,B92,"LMMOAS","sec","")</f>
        <v>E</v>
      </c>
      <c r="F92">
        <v>-153.46620200000001</v>
      </c>
    </row>
    <row r="93" spans="2:6" ht="15" x14ac:dyDescent="0.25">
      <c r="B93" s="14">
        <v>40708</v>
      </c>
      <c r="C93" s="30" t="str">
        <f>[2]!YBHIST($A$2,$B93,"Price","sec","")</f>
        <v>E</v>
      </c>
      <c r="D93" t="str">
        <f>[2]!YBPRICE($A$2,C93&amp;"d",$B94,"OAS","Swap",B93,"LMMSkew","","Model",100,"OAS")</f>
        <v>E</v>
      </c>
      <c r="E93" s="32" t="str">
        <f>[2]!YBHIST($A$2,B93,"LMMOAS","sec","")</f>
        <v>E</v>
      </c>
      <c r="F93">
        <v>-184.65269499999999</v>
      </c>
    </row>
    <row r="94" spans="2:6" ht="15" x14ac:dyDescent="0.25">
      <c r="B94" s="14">
        <v>40709</v>
      </c>
      <c r="C94" s="30" t="str">
        <f>[2]!YBHIST($A$2,$B94,"Price","sec","")</f>
        <v>E</v>
      </c>
      <c r="D94" t="str">
        <f>[2]!YBPRICE($A$2,C94&amp;"d",$B95,"OAS","Swap",B94,"LMMSkew","","Model",100,"OAS")</f>
        <v>E</v>
      </c>
      <c r="E94" s="32" t="str">
        <f>[2]!YBHIST($A$2,B94,"LMMOAS","sec","")</f>
        <v>E</v>
      </c>
      <c r="F94">
        <v>-165.41760300000001</v>
      </c>
    </row>
    <row r="95" spans="2:6" ht="15" x14ac:dyDescent="0.25">
      <c r="B95" s="14">
        <v>40710</v>
      </c>
      <c r="C95" s="30" t="str">
        <f>[2]!YBHIST($A$2,$B95,"Price","sec","")</f>
        <v>E</v>
      </c>
      <c r="D95" t="str">
        <f>[2]!YBPRICE($A$2,C95&amp;"d",$B96,"OAS","Swap",B95,"LMMSkew","","Model",100,"OAS")</f>
        <v>E</v>
      </c>
      <c r="E95" s="32" t="str">
        <f>[2]!YBHIST($A$2,B95,"LMMOAS","sec","")</f>
        <v>E</v>
      </c>
      <c r="F95">
        <v>-143.43150299999999</v>
      </c>
    </row>
    <row r="96" spans="2:6" ht="15" x14ac:dyDescent="0.25">
      <c r="B96" s="14">
        <v>40711</v>
      </c>
      <c r="C96" s="30" t="str">
        <f>[2]!YBHIST($A$2,$B96,"Price","sec","")</f>
        <v>E</v>
      </c>
      <c r="D96" t="str">
        <f>[2]!YBPRICE($A$2,C96&amp;"d",$B97,"OAS","Swap",B96,"LMMSkew","","Model",100,"OAS")</f>
        <v>E</v>
      </c>
      <c r="E96" s="32" t="str">
        <f>[2]!YBHIST($A$2,B96,"LMMOAS","sec","")</f>
        <v>E</v>
      </c>
      <c r="F96">
        <v>-152.50889599999999</v>
      </c>
    </row>
    <row r="97" spans="2:6" ht="15" x14ac:dyDescent="0.25">
      <c r="B97" s="14">
        <v>40714</v>
      </c>
      <c r="C97" s="30" t="str">
        <f>[2]!YBHIST($A$2,$B97,"Price","sec","")</f>
        <v>E</v>
      </c>
      <c r="D97" t="str">
        <f>[2]!YBPRICE($A$2,C97&amp;"d",$B98,"OAS","Swap",B97,"LMMSkew","","Model",100,"OAS")</f>
        <v>E</v>
      </c>
      <c r="E97" s="32" t="str">
        <f>[2]!YBHIST($A$2,B97,"LMMOAS","sec","")</f>
        <v>E</v>
      </c>
      <c r="F97">
        <v>-150.42700199999999</v>
      </c>
    </row>
    <row r="98" spans="2:6" ht="15" x14ac:dyDescent="0.25">
      <c r="B98" s="14">
        <v>40715</v>
      </c>
      <c r="C98" s="30" t="str">
        <f>[2]!YBHIST($A$2,$B98,"Price","sec","")</f>
        <v>E</v>
      </c>
      <c r="D98" t="str">
        <f>[2]!YBPRICE($A$2,C98&amp;"d",$B99,"OAS","Swap",B98,"LMMSkew","","Model",100,"OAS")</f>
        <v>E</v>
      </c>
      <c r="E98" s="32" t="str">
        <f>[2]!YBHIST($A$2,B98,"LMMOAS","sec","")</f>
        <v>E</v>
      </c>
      <c r="F98">
        <v>-142.10060100000001</v>
      </c>
    </row>
    <row r="99" spans="2:6" ht="15" x14ac:dyDescent="0.25">
      <c r="B99" s="14">
        <v>40716</v>
      </c>
      <c r="C99" s="30" t="str">
        <f>[2]!YBHIST($A$2,$B99,"Price","sec","")</f>
        <v>E</v>
      </c>
      <c r="D99" t="str">
        <f>[2]!YBPRICE($A$2,C99&amp;"d",$B100,"OAS","Swap",B99,"LMMSkew","","Model",100,"OAS")</f>
        <v>E</v>
      </c>
      <c r="E99" s="32" t="str">
        <f>[2]!YBHIST($A$2,B99,"LMMOAS","sec","")</f>
        <v>E</v>
      </c>
      <c r="F99">
        <v>-147.61360199999999</v>
      </c>
    </row>
    <row r="100" spans="2:6" ht="15" x14ac:dyDescent="0.25">
      <c r="B100" s="14">
        <v>40717</v>
      </c>
      <c r="C100" s="30" t="str">
        <f>[2]!YBHIST($A$2,$B100,"Price","sec","")</f>
        <v>E</v>
      </c>
      <c r="D100" t="str">
        <f>[2]!YBPRICE($A$2,C100&amp;"d",$B101,"OAS","Swap",B100,"LMMSkew","","Model",100,"OAS")</f>
        <v>E</v>
      </c>
      <c r="E100" s="32" t="str">
        <f>[2]!YBHIST($A$2,B100,"LMMOAS","sec","")</f>
        <v>E</v>
      </c>
      <c r="F100">
        <v>-126.6576</v>
      </c>
    </row>
    <row r="101" spans="2:6" ht="15" x14ac:dyDescent="0.25">
      <c r="B101" s="14">
        <v>40718</v>
      </c>
      <c r="C101" s="30" t="str">
        <f>[2]!YBHIST($A$2,$B101,"Price","sec","")</f>
        <v>E</v>
      </c>
      <c r="D101" t="str">
        <f>[2]!YBPRICE($A$2,C101&amp;"d",$B102,"OAS","Swap",B101,"LMMSkew","","Model",100,"OAS")</f>
        <v>E</v>
      </c>
      <c r="E101" s="32" t="str">
        <f>[2]!YBHIST($A$2,B101,"LMMOAS","sec","")</f>
        <v>E</v>
      </c>
      <c r="F101">
        <v>-114.576103</v>
      </c>
    </row>
    <row r="102" spans="2:6" ht="15" x14ac:dyDescent="0.25">
      <c r="B102" s="14">
        <v>40721</v>
      </c>
      <c r="C102" s="30" t="str">
        <f>[2]!YBHIST($A$2,$B102,"Price","sec","")</f>
        <v>E</v>
      </c>
      <c r="D102" t="str">
        <f>[2]!YBPRICE($A$2,C102&amp;"d",$B103,"OAS","Swap",B102,"LMMSkew","","Model",100,"OAS")</f>
        <v>E</v>
      </c>
      <c r="E102" s="32" t="str">
        <f>[2]!YBHIST($A$2,B102,"LMMOAS","sec","")</f>
        <v>E</v>
      </c>
      <c r="F102">
        <v>-126.025299</v>
      </c>
    </row>
    <row r="103" spans="2:6" ht="15" x14ac:dyDescent="0.25">
      <c r="B103" s="14">
        <v>40722</v>
      </c>
      <c r="C103" s="30" t="str">
        <f>[2]!YBHIST($A$2,$B103,"Price","sec","")</f>
        <v>E</v>
      </c>
      <c r="D103" t="str">
        <f>[2]!YBPRICE($A$2,C103&amp;"d",$B104,"OAS","Swap",B103,"LMMSkew","","Model",100,"OAS")</f>
        <v>E</v>
      </c>
      <c r="E103" s="32" t="str">
        <f>[2]!YBHIST($A$2,B103,"LMMOAS","sec","")</f>
        <v>E</v>
      </c>
      <c r="F103">
        <v>-149.566406</v>
      </c>
    </row>
    <row r="104" spans="2:6" ht="15" x14ac:dyDescent="0.25">
      <c r="B104" s="14">
        <v>40723</v>
      </c>
      <c r="C104" s="30" t="str">
        <f>[2]!YBHIST($A$2,$B104,"Price","sec","")</f>
        <v>E</v>
      </c>
      <c r="D104" t="str">
        <f>[2]!YBPRICE($A$2,C104&amp;"d",$B105,"OAS","Swap",B104,"LMMSkew","","Model",100,"OAS")</f>
        <v>E</v>
      </c>
      <c r="E104" s="32" t="str">
        <f>[2]!YBHIST($A$2,B104,"LMMOAS","sec","")</f>
        <v>E</v>
      </c>
      <c r="F104">
        <v>-167.92739900000001</v>
      </c>
    </row>
    <row r="105" spans="2:6" ht="15" x14ac:dyDescent="0.25">
      <c r="B105" s="14">
        <v>40724</v>
      </c>
      <c r="C105" s="30" t="str">
        <f>[2]!YBHIST($A$2,$B105,"Price","sec","")</f>
        <v>E</v>
      </c>
      <c r="D105" t="str">
        <f>[2]!YBPRICE($A$2,C105&amp;"d",$B106,"OAS","Swap",B105,"LMMSkew","","Model",100,"OAS")</f>
        <v>E</v>
      </c>
      <c r="E105" s="32" t="str">
        <f>[2]!YBHIST($A$2,B105,"LMMOAS","sec","")</f>
        <v>E</v>
      </c>
      <c r="F105">
        <v>-184.590103</v>
      </c>
    </row>
    <row r="106" spans="2:6" ht="15" x14ac:dyDescent="0.25">
      <c r="B106" s="14">
        <v>40725</v>
      </c>
      <c r="C106" s="30" t="str">
        <f>[2]!YBHIST($A$2,$B106,"Price","sec","")</f>
        <v>E</v>
      </c>
      <c r="D106" t="str">
        <f>[2]!YBPRICE($A$2,C106&amp;"d",$B107,"OAS","Swap",B106,"LMMSkew","","Model",100,"OAS")</f>
        <v>E</v>
      </c>
      <c r="E106" s="32" t="str">
        <f>[2]!YBHIST($A$2,B106,"LMMOAS","sec","")</f>
        <v>E</v>
      </c>
      <c r="F106">
        <v>-208.734207</v>
      </c>
    </row>
    <row r="107" spans="2:6" ht="15" x14ac:dyDescent="0.25">
      <c r="B107" s="14">
        <v>40729</v>
      </c>
      <c r="C107" s="30" t="str">
        <f>[2]!YBHIST($A$2,$B107,"Price","sec","")</f>
        <v>E</v>
      </c>
      <c r="D107" t="str">
        <f>[2]!YBPRICE($A$2,C107&amp;"d",$B108,"OAS","Swap",B107,"LMMSkew","","Model",100,"OAS")</f>
        <v>E</v>
      </c>
      <c r="E107" s="32" t="str">
        <f>[2]!YBHIST($A$2,B107,"LMMOAS","sec","")</f>
        <v>E</v>
      </c>
      <c r="F107">
        <v>-196.01719700000001</v>
      </c>
    </row>
    <row r="108" spans="2:6" ht="15" x14ac:dyDescent="0.25">
      <c r="B108" s="14">
        <v>40730</v>
      </c>
      <c r="C108" s="30" t="str">
        <f>[2]!YBHIST($A$2,$B108,"Price","sec","")</f>
        <v>E</v>
      </c>
      <c r="D108" t="str">
        <f>[2]!YBPRICE($A$2,C108&amp;"d",$B109,"OAS","Swap",B108,"LMMSkew","","Model",100,"OAS")</f>
        <v>E</v>
      </c>
      <c r="E108" s="32" t="str">
        <f>[2]!YBHIST($A$2,B108,"LMMOAS","sec","")</f>
        <v>E</v>
      </c>
      <c r="F108">
        <v>-190.83180200000001</v>
      </c>
    </row>
    <row r="109" spans="2:6" ht="15" x14ac:dyDescent="0.25">
      <c r="B109" s="14">
        <v>40731</v>
      </c>
      <c r="C109" s="30" t="str">
        <f>[2]!YBHIST($A$2,$B109,"Price","sec","")</f>
        <v>E</v>
      </c>
      <c r="D109" t="str">
        <f>[2]!YBPRICE($A$2,C109&amp;"d",$B110,"OAS","Swap",B109,"LMMSkew","","Model",100,"OAS")</f>
        <v>E</v>
      </c>
      <c r="E109" s="32" t="str">
        <f>[2]!YBHIST($A$2,B109,"LMMOAS","sec","")</f>
        <v>E</v>
      </c>
      <c r="F109">
        <v>-211.08009300000001</v>
      </c>
    </row>
    <row r="110" spans="2:6" ht="15" x14ac:dyDescent="0.25">
      <c r="B110" s="14">
        <v>40732</v>
      </c>
      <c r="C110" s="30" t="str">
        <f>[2]!YBHIST($A$2,$B110,"Price","sec","")</f>
        <v>E</v>
      </c>
      <c r="D110" t="str">
        <f>[2]!YBPRICE($A$2,C110&amp;"d",$B111,"OAS","Swap",B110,"LMMSkew","","Model",100,"OAS")</f>
        <v>E</v>
      </c>
      <c r="E110" s="32" t="str">
        <f>[2]!YBHIST($A$2,B110,"LMMOAS","sec","")</f>
        <v>E</v>
      </c>
      <c r="F110">
        <v>-176.598907</v>
      </c>
    </row>
    <row r="111" spans="2:6" ht="15" x14ac:dyDescent="0.25">
      <c r="B111" s="14">
        <v>40735</v>
      </c>
      <c r="C111" s="30" t="str">
        <f>[2]!YBHIST($A$2,$B111,"Price","sec","")</f>
        <v>E</v>
      </c>
      <c r="D111" t="str">
        <f>[2]!YBPRICE($A$2,C111&amp;"d",$B112,"OAS","Swap",B111,"LMMSkew","","Model",100,"OAS")</f>
        <v>E</v>
      </c>
      <c r="E111" s="32" t="str">
        <f>[2]!YBHIST($A$2,B111,"LMMOAS","sec","")</f>
        <v>E</v>
      </c>
      <c r="F111">
        <v>-161.908997</v>
      </c>
    </row>
    <row r="112" spans="2:6" ht="15" x14ac:dyDescent="0.25">
      <c r="B112" s="14">
        <v>40736</v>
      </c>
      <c r="C112" s="30" t="str">
        <f>[2]!YBHIST($A$2,$B112,"Price","sec","")</f>
        <v>E</v>
      </c>
      <c r="D112" t="str">
        <f>[2]!YBPRICE($A$2,C112&amp;"d",$B113,"OAS","Swap",B112,"LMMSkew","","Model",100,"OAS")</f>
        <v>E</v>
      </c>
      <c r="E112" s="32" t="str">
        <f>[2]!YBHIST($A$2,B112,"LMMOAS","sec","")</f>
        <v>E</v>
      </c>
      <c r="F112">
        <v>-160.67030299999999</v>
      </c>
    </row>
    <row r="113" spans="2:6" ht="15" x14ac:dyDescent="0.25">
      <c r="B113" s="14">
        <v>40737</v>
      </c>
      <c r="C113" s="30" t="str">
        <f>[2]!YBHIST($A$2,$B113,"Price","sec","")</f>
        <v>E</v>
      </c>
      <c r="D113" t="str">
        <f>[2]!YBPRICE($A$2,C113&amp;"d",$B114,"OAS","Swap",B113,"LMMSkew","","Model",100,"OAS")</f>
        <v>E</v>
      </c>
      <c r="E113" s="32" t="str">
        <f>[2]!YBHIST($A$2,B113,"LMMOAS","sec","")</f>
        <v>E</v>
      </c>
      <c r="F113">
        <v>-151.01319899999999</v>
      </c>
    </row>
    <row r="114" spans="2:6" ht="15" x14ac:dyDescent="0.25">
      <c r="B114" s="14">
        <v>40738</v>
      </c>
      <c r="C114" s="30" t="str">
        <f>[2]!YBHIST($A$2,$B114,"Price","sec","")</f>
        <v>E</v>
      </c>
      <c r="D114" t="str">
        <f>[2]!YBPRICE($A$2,C114&amp;"d",$B115,"OAS","Swap",B114,"LMMSkew","","Model",100,"OAS")</f>
        <v>E</v>
      </c>
      <c r="E114" s="32" t="str">
        <f>[2]!YBHIST($A$2,B114,"LMMOAS","sec","")</f>
        <v>E</v>
      </c>
      <c r="F114">
        <v>-155.20249899999999</v>
      </c>
    </row>
    <row r="115" spans="2:6" ht="15" x14ac:dyDescent="0.25">
      <c r="B115" s="14">
        <v>40739</v>
      </c>
      <c r="C115" s="30" t="str">
        <f>[2]!YBHIST($A$2,$B115,"Price","sec","")</f>
        <v>E</v>
      </c>
      <c r="D115" t="str">
        <f>[2]!YBPRICE($A$2,C115&amp;"d",$B116,"OAS","Swap",B115,"LMMSkew","","Model",100,"OAS")</f>
        <v>E</v>
      </c>
      <c r="E115" s="32" t="str">
        <f>[2]!YBHIST($A$2,B115,"LMMOAS","sec","")</f>
        <v>E</v>
      </c>
      <c r="F115">
        <v>-155.61300700000001</v>
      </c>
    </row>
    <row r="116" spans="2:6" ht="15" x14ac:dyDescent="0.25">
      <c r="B116" s="14">
        <v>40742</v>
      </c>
      <c r="C116" s="30" t="str">
        <f>[2]!YBHIST($A$2,$B116,"Price","sec","")</f>
        <v>E</v>
      </c>
      <c r="D116" t="str">
        <f>[2]!YBPRICE($A$2,C116&amp;"d",$B117,"OAS","Swap",B116,"LMMSkew","","Model",100,"OAS")</f>
        <v>E</v>
      </c>
      <c r="E116" s="32" t="str">
        <f>[2]!YBHIST($A$2,B116,"LMMOAS","sec","")</f>
        <v>E</v>
      </c>
      <c r="F116">
        <v>-159.14909399999999</v>
      </c>
    </row>
    <row r="117" spans="2:6" ht="15" x14ac:dyDescent="0.25">
      <c r="B117" s="14">
        <v>40743</v>
      </c>
      <c r="C117" s="30" t="str">
        <f>[2]!YBHIST($A$2,$B117,"Price","sec","")</f>
        <v>E</v>
      </c>
      <c r="D117" t="str">
        <f>[2]!YBPRICE($A$2,C117&amp;"d",$B118,"OAS","Swap",B117,"LMMSkew","","Model",100,"OAS")</f>
        <v>E</v>
      </c>
      <c r="E117" s="32" t="str">
        <f>[2]!YBHIST($A$2,B117,"LMMOAS","sec","")</f>
        <v>E</v>
      </c>
      <c r="F117">
        <v>-157.30169699999999</v>
      </c>
    </row>
    <row r="118" spans="2:6" ht="15" x14ac:dyDescent="0.25">
      <c r="B118" s="14">
        <v>40744</v>
      </c>
      <c r="C118" s="30" t="str">
        <f>[2]!YBHIST($A$2,$B118,"Price","sec","")</f>
        <v>E</v>
      </c>
      <c r="D118" t="str">
        <f>[2]!YBPRICE($A$2,C118&amp;"d",$B119,"OAS","Swap",B118,"LMMSkew","","Model",100,"OAS")</f>
        <v>E</v>
      </c>
      <c r="E118" s="32" t="str">
        <f>[2]!YBHIST($A$2,B118,"LMMOAS","sec","")</f>
        <v>E</v>
      </c>
      <c r="F118">
        <v>-151.40130600000001</v>
      </c>
    </row>
    <row r="119" spans="2:6" ht="15" x14ac:dyDescent="0.25">
      <c r="B119" s="14">
        <v>40745</v>
      </c>
      <c r="C119" s="30" t="str">
        <f>[2]!YBHIST($A$2,$B119,"Price","sec","")</f>
        <v>E</v>
      </c>
      <c r="D119" t="str">
        <f>[2]!YBPRICE($A$2,C119&amp;"d",$B120,"OAS","Swap",B119,"LMMSkew","","Model",100,"OAS")</f>
        <v>E</v>
      </c>
      <c r="E119" s="32" t="str">
        <f>[2]!YBHIST($A$2,B119,"LMMOAS","sec","")</f>
        <v>E</v>
      </c>
      <c r="F119">
        <v>-158.899597</v>
      </c>
    </row>
    <row r="120" spans="2:6" ht="15" x14ac:dyDescent="0.25">
      <c r="B120" s="14">
        <v>40746</v>
      </c>
      <c r="C120" s="30" t="str">
        <f>[2]!YBHIST($A$2,$B120,"Price","sec","")</f>
        <v>E</v>
      </c>
      <c r="D120" t="str">
        <f>[2]!YBPRICE($A$2,C120&amp;"d",$B121,"OAS","Swap",B120,"LMMSkew","","Model",100,"OAS")</f>
        <v>E</v>
      </c>
      <c r="E120" s="32" t="str">
        <f>[2]!YBHIST($A$2,B120,"LMMOAS","sec","")</f>
        <v>E</v>
      </c>
      <c r="F120">
        <v>-150.48599200000001</v>
      </c>
    </row>
    <row r="121" spans="2:6" ht="15" x14ac:dyDescent="0.25">
      <c r="B121" s="14">
        <v>40749</v>
      </c>
      <c r="C121" s="30" t="str">
        <f>[2]!YBHIST($A$2,$B121,"Price","sec","")</f>
        <v>E</v>
      </c>
      <c r="D121" t="str">
        <f>[2]!YBPRICE($A$2,C121&amp;"d",$B122,"OAS","Swap",B121,"LMMSkew","","Model",100,"OAS")</f>
        <v>E</v>
      </c>
      <c r="E121" s="32" t="str">
        <f>[2]!YBHIST($A$2,B121,"LMMOAS","sec","")</f>
        <v>E</v>
      </c>
      <c r="F121">
        <v>-157.503693</v>
      </c>
    </row>
    <row r="122" spans="2:6" ht="15" x14ac:dyDescent="0.25">
      <c r="B122" s="14">
        <v>40750</v>
      </c>
      <c r="C122" s="30" t="str">
        <f>[2]!YBHIST($A$2,$B122,"Price","sec","")</f>
        <v>E</v>
      </c>
      <c r="D122" t="str">
        <f>[2]!YBPRICE($A$2,C122&amp;"d",$B123,"OAS","Swap",B122,"LMMSkew","","Model",100,"OAS")</f>
        <v>E</v>
      </c>
      <c r="E122" s="32" t="str">
        <f>[2]!YBHIST($A$2,B122,"LMMOAS","sec","")</f>
        <v>E</v>
      </c>
      <c r="F122">
        <v>-152.16789199999999</v>
      </c>
    </row>
    <row r="123" spans="2:6" ht="15" x14ac:dyDescent="0.25">
      <c r="B123" s="14">
        <v>40751</v>
      </c>
      <c r="C123" s="30" t="str">
        <f>[2]!YBHIST($A$2,$B123,"Price","sec","")</f>
        <v>E</v>
      </c>
      <c r="D123" t="str">
        <f>[2]!YBPRICE($A$2,C123&amp;"d",$B124,"OAS","Swap",B123,"LMMSkew","","Model",100,"OAS")</f>
        <v>E</v>
      </c>
      <c r="E123" s="32" t="str">
        <f>[2]!YBHIST($A$2,B123,"LMMOAS","sec","")</f>
        <v>E</v>
      </c>
      <c r="F123">
        <v>-169.447205</v>
      </c>
    </row>
    <row r="124" spans="2:6" ht="15" x14ac:dyDescent="0.25">
      <c r="B124" s="14">
        <v>40752</v>
      </c>
      <c r="C124" s="30" t="str">
        <f>[2]!YBHIST($A$2,$B124,"Price","sec","")</f>
        <v>E</v>
      </c>
      <c r="D124" t="str">
        <f>[2]!YBPRICE($A$2,C124&amp;"d",$B125,"OAS","Swap",B124,"LMMSkew","","Model",100,"OAS")</f>
        <v>E</v>
      </c>
      <c r="E124" s="32" t="str">
        <f>[2]!YBHIST($A$2,B124,"LMMOAS","sec","")</f>
        <v>E</v>
      </c>
      <c r="F124">
        <v>-160.44650300000001</v>
      </c>
    </row>
    <row r="125" spans="2:6" ht="15" x14ac:dyDescent="0.25">
      <c r="B125" s="14">
        <v>40753</v>
      </c>
      <c r="C125" s="30" t="str">
        <f>[2]!YBHIST($A$2,$B125,"Price","sec","")</f>
        <v>E</v>
      </c>
      <c r="D125" t="str">
        <f>[2]!YBPRICE($A$2,C125&amp;"d",$B126,"OAS","Swap",B125,"LMMSkew","","Model",100,"OAS")</f>
        <v>E</v>
      </c>
      <c r="E125" s="32" t="str">
        <f>[2]!YBHIST($A$2,B125,"LMMOAS","sec","")</f>
        <v>E</v>
      </c>
      <c r="F125">
        <v>-131.04409799999999</v>
      </c>
    </row>
    <row r="126" spans="2:6" ht="15" x14ac:dyDescent="0.25">
      <c r="B126" s="14">
        <v>40756</v>
      </c>
      <c r="C126" s="30" t="str">
        <f>[2]!YBHIST($A$2,$B126,"Price","sec","")</f>
        <v>E</v>
      </c>
      <c r="D126" t="str">
        <f>[2]!YBPRICE($A$2,C126&amp;"d",$B127,"OAS","Swap",B126,"LMMSkew","","Model",100,"OAS")</f>
        <v>E</v>
      </c>
      <c r="E126" s="32" t="str">
        <f>[2]!YBHIST($A$2,B126,"LMMOAS","sec","")</f>
        <v>E</v>
      </c>
      <c r="F126">
        <v>-117.55500000000001</v>
      </c>
    </row>
    <row r="127" spans="2:6" ht="15" x14ac:dyDescent="0.25">
      <c r="B127" s="14">
        <v>40757</v>
      </c>
      <c r="C127" s="30" t="str">
        <f>[2]!YBHIST($A$2,$B127,"Price","sec","")</f>
        <v>E</v>
      </c>
      <c r="D127" t="str">
        <f>[2]!YBPRICE($A$2,C127&amp;"d",$B128,"OAS","Swap",B127,"LMMSkew","","Model",100,"OAS")</f>
        <v>E</v>
      </c>
      <c r="E127" s="32" t="str">
        <f>[2]!YBHIST($A$2,B127,"LMMOAS","sec","")</f>
        <v>E</v>
      </c>
      <c r="F127">
        <v>-95.877701000000002</v>
      </c>
    </row>
    <row r="128" spans="2:6" ht="15" x14ac:dyDescent="0.25">
      <c r="B128" s="14">
        <v>40758</v>
      </c>
      <c r="C128" s="30" t="str">
        <f>[2]!YBHIST($A$2,$B128,"Price","sec","")</f>
        <v>E</v>
      </c>
      <c r="D128" t="str">
        <f>[2]!YBPRICE($A$2,C128&amp;"d",$B129,"OAS","Swap",B128,"LMMSkew","","Model",100,"OAS")</f>
        <v>E</v>
      </c>
      <c r="E128" s="32" t="str">
        <f>[2]!YBHIST($A$2,B128,"LMMOAS","sec","")</f>
        <v>E</v>
      </c>
      <c r="F128">
        <v>-81.612801000000005</v>
      </c>
    </row>
    <row r="129" spans="2:6" ht="15" x14ac:dyDescent="0.25">
      <c r="B129" s="14">
        <v>40759</v>
      </c>
      <c r="C129" s="30" t="str">
        <f>[2]!YBHIST($A$2,$B129,"Price","sec","")</f>
        <v>E</v>
      </c>
      <c r="D129" t="str">
        <f>[2]!YBPRICE($A$2,C129&amp;"d",$B130,"OAS","Swap",B129,"LMMSkew","","Model",100,"OAS")</f>
        <v>E</v>
      </c>
      <c r="E129" s="32" t="str">
        <f>[2]!YBHIST($A$2,B129,"LMMOAS","sec","")</f>
        <v>E</v>
      </c>
      <c r="F129">
        <v>-30.2742</v>
      </c>
    </row>
    <row r="130" spans="2:6" ht="15" x14ac:dyDescent="0.25">
      <c r="B130" s="14">
        <v>40760</v>
      </c>
      <c r="C130" s="30" t="str">
        <f>[2]!YBHIST($A$2,$B130,"Price","sec","")</f>
        <v>E</v>
      </c>
      <c r="D130" t="str">
        <f>[2]!YBPRICE($A$2,C130&amp;"d",$B131,"OAS","Swap",B130,"LMMSkew","","Model",100,"OAS")</f>
        <v>E</v>
      </c>
      <c r="E130" s="32" t="str">
        <f>[2]!YBHIST($A$2,B130,"LMMOAS","sec","")</f>
        <v>E</v>
      </c>
      <c r="F130">
        <v>-60.526198999999998</v>
      </c>
    </row>
    <row r="131" spans="2:6" ht="15" x14ac:dyDescent="0.25">
      <c r="B131" s="14">
        <v>40763</v>
      </c>
      <c r="C131" s="30" t="str">
        <f>[2]!YBHIST($A$2,$B131,"Price","sec","")</f>
        <v>E</v>
      </c>
      <c r="D131" t="str">
        <f>[2]!YBPRICE($A$2,C131&amp;"d",$B132,"OAS","Swap",B131,"LMMSkew","","Model",100,"OAS")</f>
        <v>E</v>
      </c>
      <c r="E131" s="32" t="str">
        <f>[2]!YBHIST($A$2,B131,"LMMOAS","sec","")</f>
        <v>E</v>
      </c>
      <c r="F131">
        <v>-32.468497999999997</v>
      </c>
    </row>
    <row r="132" spans="2:6" ht="15" x14ac:dyDescent="0.25">
      <c r="B132" s="14">
        <v>40764</v>
      </c>
      <c r="C132" s="30" t="str">
        <f>[2]!YBHIST($A$2,$B132,"Price","sec","")</f>
        <v>E</v>
      </c>
      <c r="D132" t="str">
        <f>[2]!YBPRICE($A$2,C132&amp;"d",$B133,"OAS","Swap",B132,"LMMSkew","","Model",100,"OAS")</f>
        <v>E</v>
      </c>
      <c r="E132" s="32" t="str">
        <f>[2]!YBHIST($A$2,B132,"LMMOAS","sec","")</f>
        <v>E</v>
      </c>
      <c r="F132">
        <v>67.997703999999999</v>
      </c>
    </row>
    <row r="133" spans="2:6" ht="15" x14ac:dyDescent="0.25">
      <c r="B133" s="14">
        <v>40765</v>
      </c>
      <c r="C133" s="30" t="str">
        <f>[2]!YBHIST($A$2,$B133,"Price","sec","")</f>
        <v>E</v>
      </c>
      <c r="D133" t="str">
        <f>[2]!YBPRICE($A$2,C133&amp;"d",$B134,"OAS","Swap",B133,"LMMSkew","","Model",100,"OAS")</f>
        <v>E</v>
      </c>
      <c r="E133" s="32" t="str">
        <f>[2]!YBHIST($A$2,B133,"LMMOAS","sec","")</f>
        <v>E</v>
      </c>
      <c r="F133">
        <v>212.84480300000001</v>
      </c>
    </row>
    <row r="134" spans="2:6" ht="15" x14ac:dyDescent="0.25">
      <c r="B134" s="14">
        <v>40766</v>
      </c>
      <c r="C134" s="30" t="str">
        <f>[2]!YBHIST($A$2,$B134,"Price","sec","")</f>
        <v>E</v>
      </c>
      <c r="D134" t="str">
        <f>[2]!YBPRICE($A$2,C134&amp;"d",$B135,"OAS","Swap",B134,"LMMSkew","","Model",100,"OAS")</f>
        <v>E</v>
      </c>
      <c r="E134" s="32" t="str">
        <f>[2]!YBHIST($A$2,B134,"LMMOAS","sec","")</f>
        <v>E</v>
      </c>
      <c r="F134">
        <v>150.24899300000001</v>
      </c>
    </row>
    <row r="135" spans="2:6" ht="15" x14ac:dyDescent="0.25">
      <c r="B135" s="14">
        <v>40767</v>
      </c>
      <c r="C135" s="30" t="str">
        <f>[2]!YBHIST($A$2,$B135,"Price","sec","")</f>
        <v>E</v>
      </c>
      <c r="D135" t="str">
        <f>[2]!YBPRICE($A$2,C135&amp;"d",$B136,"OAS","Swap",B135,"LMMSkew","","Model",100,"OAS")</f>
        <v>E</v>
      </c>
      <c r="E135" s="32" t="str">
        <f>[2]!YBHIST($A$2,B135,"LMMOAS","sec","")</f>
        <v>E</v>
      </c>
      <c r="F135">
        <v>185.57150300000001</v>
      </c>
    </row>
    <row r="136" spans="2:6" ht="15" x14ac:dyDescent="0.25">
      <c r="B136" s="14">
        <v>40770</v>
      </c>
      <c r="C136" s="30" t="str">
        <f>[2]!YBHIST($A$2,$B136,"Price","sec","")</f>
        <v>E</v>
      </c>
      <c r="D136" t="str">
        <f>[2]!YBPRICE($A$2,C136&amp;"d",$B137,"OAS","Swap",B136,"LMMSkew","","Model",100,"OAS")</f>
        <v>E</v>
      </c>
      <c r="E136" s="32" t="str">
        <f>[2]!YBHIST($A$2,B136,"LMMOAS","sec","")</f>
        <v>E</v>
      </c>
      <c r="F136">
        <v>165.89149499999999</v>
      </c>
    </row>
    <row r="137" spans="2:6" ht="15" x14ac:dyDescent="0.25">
      <c r="B137" s="14">
        <v>40771</v>
      </c>
      <c r="C137" s="30" t="str">
        <f>[2]!YBHIST($A$2,$B137,"Price","sec","")</f>
        <v>E</v>
      </c>
      <c r="D137" t="str">
        <f>[2]!YBPRICE($A$2,C137&amp;"d",$B138,"OAS","Swap",B137,"LMMSkew","","Model",100,"OAS")</f>
        <v>E</v>
      </c>
      <c r="E137" s="32" t="str">
        <f>[2]!YBHIST($A$2,B137,"LMMOAS","sec","")</f>
        <v>E</v>
      </c>
      <c r="F137">
        <v>170.404999</v>
      </c>
    </row>
    <row r="138" spans="2:6" ht="15" x14ac:dyDescent="0.25">
      <c r="B138" s="14">
        <v>40772</v>
      </c>
      <c r="C138" s="30" t="str">
        <f>[2]!YBHIST($A$2,$B138,"Price","sec","")</f>
        <v>E</v>
      </c>
      <c r="D138" t="str">
        <f>[2]!YBPRICE($A$2,C138&amp;"d",$B139,"OAS","Swap",B138,"LMMSkew","","Model",100,"OAS")</f>
        <v>E</v>
      </c>
      <c r="E138" s="32" t="str">
        <f>[2]!YBHIST($A$2,B138,"LMMOAS","sec","")</f>
        <v>E</v>
      </c>
      <c r="F138">
        <v>181.5625</v>
      </c>
    </row>
    <row r="139" spans="2:6" ht="15" x14ac:dyDescent="0.25">
      <c r="B139" s="14">
        <v>40773</v>
      </c>
      <c r="C139" s="30" t="str">
        <f>[2]!YBHIST($A$2,$B139,"Price","sec","")</f>
        <v>E</v>
      </c>
      <c r="D139" t="str">
        <f>[2]!YBPRICE($A$2,C139&amp;"d",$B140,"OAS","Swap",B139,"LMMSkew","","Model",100,"OAS")</f>
        <v>E</v>
      </c>
      <c r="E139" s="32" t="str">
        <f>[2]!YBHIST($A$2,B139,"LMMOAS","sec","")</f>
        <v>E</v>
      </c>
      <c r="F139">
        <v>201.32539399999999</v>
      </c>
    </row>
    <row r="140" spans="2:6" ht="15" x14ac:dyDescent="0.25">
      <c r="B140" s="14">
        <v>40774</v>
      </c>
      <c r="C140" s="30" t="str">
        <f>[2]!YBHIST($A$2,$B140,"Price","sec","")</f>
        <v>E</v>
      </c>
      <c r="D140" t="str">
        <f>[2]!YBPRICE($A$2,C140&amp;"d",$B141,"OAS","Swap",B140,"LMMSkew","","Model",100,"OAS")</f>
        <v>E</v>
      </c>
      <c r="E140" s="32" t="str">
        <f>[2]!YBHIST($A$2,B140,"LMMOAS","sec","")</f>
        <v>E</v>
      </c>
      <c r="F140">
        <v>204.99620100000001</v>
      </c>
    </row>
    <row r="141" spans="2:6" ht="15" x14ac:dyDescent="0.25">
      <c r="B141" s="14">
        <v>40777</v>
      </c>
      <c r="C141" s="30" t="str">
        <f>[2]!YBHIST($A$2,$B141,"Price","sec","")</f>
        <v>E</v>
      </c>
      <c r="D141" t="str">
        <f>[2]!YBPRICE($A$2,C141&amp;"d",$B142,"OAS","Swap",B141,"LMMSkew","","Model",100,"OAS")</f>
        <v>E</v>
      </c>
      <c r="E141" s="32" t="str">
        <f>[2]!YBHIST($A$2,B141,"LMMOAS","sec","")</f>
        <v>E</v>
      </c>
      <c r="F141">
        <v>218.77720600000001</v>
      </c>
    </row>
    <row r="142" spans="2:6" ht="15" x14ac:dyDescent="0.25">
      <c r="B142" s="14">
        <v>40778</v>
      </c>
      <c r="C142" s="30" t="str">
        <f>[2]!YBHIST($A$2,$B142,"Price","sec","")</f>
        <v>E</v>
      </c>
      <c r="D142" t="str">
        <f>[2]!YBPRICE($A$2,C142&amp;"d",$B143,"OAS","Swap",B142,"LMMSkew","","Model",100,"OAS")</f>
        <v>E</v>
      </c>
      <c r="E142" s="32" t="str">
        <f>[2]!YBHIST($A$2,B142,"LMMOAS","sec","")</f>
        <v>E</v>
      </c>
      <c r="F142">
        <v>207.47309899999999</v>
      </c>
    </row>
    <row r="143" spans="2:6" ht="15" x14ac:dyDescent="0.25">
      <c r="B143" s="14">
        <v>40779</v>
      </c>
      <c r="C143" s="30" t="str">
        <f>[2]!YBHIST($A$2,$B143,"Price","sec","")</f>
        <v>E</v>
      </c>
      <c r="D143" t="str">
        <f>[2]!YBPRICE($A$2,C143&amp;"d",$B144,"OAS","Swap",B143,"LMMSkew","","Model",100,"OAS")</f>
        <v>E</v>
      </c>
      <c r="E143" s="32" t="str">
        <f>[2]!YBHIST($A$2,B143,"LMMOAS","sec","")</f>
        <v>E</v>
      </c>
      <c r="F143">
        <v>165.69160500000001</v>
      </c>
    </row>
    <row r="144" spans="2:6" ht="15" x14ac:dyDescent="0.25">
      <c r="B144" s="14">
        <v>40780</v>
      </c>
      <c r="C144" s="30" t="str">
        <f>[2]!YBHIST($A$2,$B144,"Price","sec","")</f>
        <v>E</v>
      </c>
      <c r="D144" t="str">
        <f>[2]!YBPRICE($A$2,C144&amp;"d",$B145,"OAS","Swap",B144,"LMMSkew","","Model",100,"OAS")</f>
        <v>E</v>
      </c>
      <c r="E144" s="32" t="str">
        <f>[2]!YBHIST($A$2,B144,"LMMOAS","sec","")</f>
        <v>E</v>
      </c>
      <c r="F144">
        <v>226.270004</v>
      </c>
    </row>
    <row r="145" spans="2:6" ht="15" x14ac:dyDescent="0.25">
      <c r="B145" s="14">
        <v>40781</v>
      </c>
      <c r="C145" s="30" t="str">
        <f>[2]!YBHIST($A$2,$B145,"Price","sec","")</f>
        <v>E</v>
      </c>
      <c r="D145" t="str">
        <f>[2]!YBPRICE($A$2,C145&amp;"d",$B146,"OAS","Swap",B145,"LMMSkew","","Model",100,"OAS")</f>
        <v>E</v>
      </c>
      <c r="E145" s="32" t="str">
        <f>[2]!YBHIST($A$2,B145,"LMMOAS","sec","")</f>
        <v>E</v>
      </c>
      <c r="F145">
        <v>208.36329699999999</v>
      </c>
    </row>
    <row r="146" spans="2:6" ht="15" x14ac:dyDescent="0.25">
      <c r="B146" s="14">
        <v>40784</v>
      </c>
      <c r="C146" s="30" t="str">
        <f>[2]!YBHIST($A$2,$B146,"Price","sec","")</f>
        <v>E</v>
      </c>
      <c r="D146" t="str">
        <f>[2]!YBPRICE($A$2,C146&amp;"d",$B147,"OAS","Swap",B146,"LMMSkew","","Model",100,"OAS")</f>
        <v>E</v>
      </c>
      <c r="E146" s="32" t="str">
        <f>[2]!YBHIST($A$2,B146,"LMMOAS","sec","")</f>
        <v>E</v>
      </c>
      <c r="F146">
        <v>160.53990200000001</v>
      </c>
    </row>
    <row r="147" spans="2:6" ht="15" x14ac:dyDescent="0.25">
      <c r="B147" s="14">
        <v>40785</v>
      </c>
      <c r="C147" s="30" t="str">
        <f>[2]!YBHIST($A$2,$B147,"Price","sec","")</f>
        <v>E</v>
      </c>
      <c r="D147" t="str">
        <f>[2]!YBPRICE($A$2,C147&amp;"d",$B148,"OAS","Swap",B147,"LMMSkew","","Model",100,"OAS")</f>
        <v>E</v>
      </c>
      <c r="E147" s="32" t="str">
        <f>[2]!YBHIST($A$2,B147,"LMMOAS","sec","")</f>
        <v>E</v>
      </c>
      <c r="F147">
        <v>179.919006</v>
      </c>
    </row>
    <row r="148" spans="2:6" ht="15" x14ac:dyDescent="0.25">
      <c r="B148" s="14">
        <v>40786</v>
      </c>
      <c r="C148" s="30" t="str">
        <f>[2]!YBHIST($A$2,$B148,"Price","sec","")</f>
        <v>E</v>
      </c>
      <c r="D148" t="str">
        <f>[2]!YBPRICE($A$2,C148&amp;"d",$B149,"OAS","Swap",B148,"LMMSkew","","Model",100,"OAS")</f>
        <v>E</v>
      </c>
      <c r="E148" s="32" t="str">
        <f>[2]!YBHIST($A$2,B148,"LMMOAS","sec","")</f>
        <v>E</v>
      </c>
      <c r="F148">
        <v>141.329803</v>
      </c>
    </row>
    <row r="149" spans="2:6" ht="15" x14ac:dyDescent="0.25">
      <c r="B149" s="14">
        <v>40787</v>
      </c>
      <c r="C149" s="30" t="str">
        <f>[2]!YBHIST($A$2,$B149,"Price","sec","")</f>
        <v>E</v>
      </c>
      <c r="D149" t="str">
        <f>[2]!YBPRICE($A$2,C149&amp;"d",$B150,"OAS","Swap",B149,"LMMSkew","","Model",100,"OAS")</f>
        <v>E</v>
      </c>
      <c r="E149" s="32" t="str">
        <f>[2]!YBHIST($A$2,B149,"LMMOAS","sec","")</f>
        <v>E</v>
      </c>
      <c r="F149">
        <v>166.545502</v>
      </c>
    </row>
    <row r="150" spans="2:6" ht="15" x14ac:dyDescent="0.25">
      <c r="B150" s="14">
        <v>40788</v>
      </c>
      <c r="C150" s="30" t="str">
        <f>[2]!YBHIST($A$2,$B150,"Price","sec","")</f>
        <v>E</v>
      </c>
      <c r="D150" t="str">
        <f>[2]!YBPRICE($A$2,C150&amp;"d",$B151,"OAS","Swap",B150,"LMMSkew","","Model",100,"OAS")</f>
        <v>E</v>
      </c>
      <c r="E150" s="32" t="str">
        <f>[2]!YBHIST($A$2,B150,"LMMOAS","sec","")</f>
        <v>E</v>
      </c>
      <c r="F150">
        <v>196.21000699999999</v>
      </c>
    </row>
    <row r="151" spans="2:6" ht="15" x14ac:dyDescent="0.25">
      <c r="B151" s="14">
        <v>40792</v>
      </c>
      <c r="C151" s="30" t="str">
        <f>[2]!YBHIST($A$2,$B151,"Price","sec","")</f>
        <v>E</v>
      </c>
      <c r="D151" t="str">
        <f>[2]!YBPRICE($A$2,C151&amp;"d",$B152,"OAS","Swap",B151,"LMMSkew","","Model",100,"OAS")</f>
        <v>E</v>
      </c>
      <c r="E151" s="32" t="str">
        <f>[2]!YBHIST($A$2,B151,"LMMOAS","sec","")</f>
        <v>E</v>
      </c>
      <c r="F151">
        <v>219.12429800000001</v>
      </c>
    </row>
    <row r="152" spans="2:6" ht="15" x14ac:dyDescent="0.25">
      <c r="B152" s="14">
        <v>40793</v>
      </c>
      <c r="C152" s="30" t="str">
        <f>[2]!YBHIST($A$2,$B152,"Price","sec","")</f>
        <v>E</v>
      </c>
      <c r="D152" t="str">
        <f>[2]!YBPRICE($A$2,C152&amp;"d",$B153,"OAS","Swap",B152,"LMMSkew","","Model",100,"OAS")</f>
        <v>E</v>
      </c>
      <c r="E152" s="32" t="str">
        <f>[2]!YBHIST($A$2,B152,"LMMOAS","sec","")</f>
        <v>E</v>
      </c>
      <c r="F152">
        <v>187.603195</v>
      </c>
    </row>
    <row r="153" spans="2:6" ht="15" x14ac:dyDescent="0.25">
      <c r="B153" s="14">
        <v>40794</v>
      </c>
      <c r="C153" s="30" t="str">
        <f>[2]!YBHIST($A$2,$B153,"Price","sec","")</f>
        <v>E</v>
      </c>
      <c r="D153" t="str">
        <f>[2]!YBPRICE($A$2,C153&amp;"d",$B154,"OAS","Swap",B153,"LMMSkew","","Model",100,"OAS")</f>
        <v>E</v>
      </c>
      <c r="E153" s="32" t="str">
        <f>[2]!YBHIST($A$2,B153,"LMMOAS","sec","")</f>
        <v>E</v>
      </c>
      <c r="F153">
        <v>222.77979999999999</v>
      </c>
    </row>
    <row r="154" spans="2:6" ht="15" x14ac:dyDescent="0.25">
      <c r="B154" s="14">
        <v>40795</v>
      </c>
      <c r="C154" s="30" t="str">
        <f>[2]!YBHIST($A$2,$B154,"Price","sec","")</f>
        <v>E</v>
      </c>
      <c r="D154" t="str">
        <f>[2]!YBPRICE($A$2,C154&amp;"d",$B155,"OAS","Swap",B154,"LMMSkew","","Model",100,"OAS")</f>
        <v>E</v>
      </c>
      <c r="E154" s="32" t="str">
        <f>[2]!YBHIST($A$2,B154,"LMMOAS","sec","")</f>
        <v>E</v>
      </c>
      <c r="F154">
        <v>198.651398</v>
      </c>
    </row>
    <row r="155" spans="2:6" ht="15" x14ac:dyDescent="0.25">
      <c r="B155" s="14">
        <v>40798</v>
      </c>
      <c r="C155" s="30" t="str">
        <f>[2]!YBHIST($A$2,$B155,"Price","sec","")</f>
        <v>E</v>
      </c>
      <c r="D155" t="str">
        <f>[2]!YBPRICE($A$2,C155&amp;"d",$B156,"OAS","Swap",B155,"LMMSkew","","Model",100,"OAS")</f>
        <v>E</v>
      </c>
      <c r="E155" s="32" t="str">
        <f>[2]!YBHIST($A$2,B155,"LMMOAS","sec","")</f>
        <v>E</v>
      </c>
      <c r="F155">
        <v>163.085297</v>
      </c>
    </row>
    <row r="156" spans="2:6" ht="15" x14ac:dyDescent="0.25">
      <c r="B156" s="14">
        <v>40799</v>
      </c>
      <c r="C156" s="30" t="str">
        <f>[2]!YBHIST($A$2,$B156,"Price","sec","")</f>
        <v>E</v>
      </c>
      <c r="D156" t="str">
        <f>[2]!YBPRICE($A$2,C156&amp;"d",$B157,"OAS","Swap",B156,"LMMSkew","","Model",100,"OAS")</f>
        <v>E</v>
      </c>
      <c r="E156" s="32" t="str">
        <f>[2]!YBHIST($A$2,B156,"LMMOAS","sec","")</f>
        <v>E</v>
      </c>
      <c r="F156">
        <v>171.527603</v>
      </c>
    </row>
    <row r="157" spans="2:6" ht="15" x14ac:dyDescent="0.25">
      <c r="B157" s="14">
        <v>40800</v>
      </c>
      <c r="C157" s="30" t="str">
        <f>[2]!YBHIST($A$2,$B157,"Price","sec","")</f>
        <v>E</v>
      </c>
      <c r="D157" t="str">
        <f>[2]!YBPRICE($A$2,C157&amp;"d",$B158,"OAS","Swap",B157,"LMMSkew","","Model",100,"OAS")</f>
        <v>E</v>
      </c>
      <c r="E157" s="32" t="str">
        <f>[2]!YBHIST($A$2,B157,"LMMOAS","sec","")</f>
        <v>E</v>
      </c>
      <c r="F157">
        <v>182.26840200000001</v>
      </c>
    </row>
    <row r="158" spans="2:6" ht="15" x14ac:dyDescent="0.25">
      <c r="B158" s="14">
        <v>40801</v>
      </c>
      <c r="C158" s="30" t="str">
        <f>[2]!YBHIST($A$2,$B158,"Price","sec","")</f>
        <v>E</v>
      </c>
      <c r="D158" t="str">
        <f>[2]!YBPRICE($A$2,C158&amp;"d",$B159,"OAS","Swap",B158,"LMMSkew","","Model",100,"OAS")</f>
        <v>E</v>
      </c>
      <c r="E158" s="32" t="str">
        <f>[2]!YBHIST($A$2,B158,"LMMOAS","sec","")</f>
        <v>E</v>
      </c>
      <c r="F158">
        <v>162.280304</v>
      </c>
    </row>
    <row r="159" spans="2:6" ht="15" x14ac:dyDescent="0.25">
      <c r="B159" s="14">
        <v>40802</v>
      </c>
      <c r="C159" s="30" t="str">
        <f>[2]!YBHIST($A$2,$B159,"Price","sec","")</f>
        <v>E</v>
      </c>
      <c r="D159" t="str">
        <f>[2]!YBPRICE($A$2,C159&amp;"d",$B160,"OAS","Swap",B159,"LMMSkew","","Model",100,"OAS")</f>
        <v>E</v>
      </c>
      <c r="E159" s="32" t="str">
        <f>[2]!YBHIST($A$2,B159,"LMMOAS","sec","")</f>
        <v>E</v>
      </c>
      <c r="F159">
        <v>146.23460399999999</v>
      </c>
    </row>
    <row r="160" spans="2:6" ht="15" x14ac:dyDescent="0.25">
      <c r="B160" s="14">
        <v>40805</v>
      </c>
      <c r="C160" s="30" t="str">
        <f>[2]!YBHIST($A$2,$B160,"Price","sec","")</f>
        <v>E</v>
      </c>
      <c r="D160" t="str">
        <f>[2]!YBPRICE($A$2,C160&amp;"d",$B161,"OAS","Swap",B160,"LMMSkew","","Model",100,"OAS")</f>
        <v>E</v>
      </c>
      <c r="E160" s="32" t="str">
        <f>[2]!YBHIST($A$2,B160,"LMMOAS","sec","")</f>
        <v>E</v>
      </c>
      <c r="F160">
        <v>209.977203</v>
      </c>
    </row>
    <row r="161" spans="2:6" ht="15" x14ac:dyDescent="0.25">
      <c r="B161" s="14">
        <v>40806</v>
      </c>
      <c r="C161" s="30" t="str">
        <f>[2]!YBHIST($A$2,$B161,"Price","sec","")</f>
        <v>E</v>
      </c>
      <c r="D161" t="str">
        <f>[2]!YBPRICE($A$2,C161&amp;"d",$B162,"OAS","Swap",B161,"LMMSkew","","Model",100,"OAS")</f>
        <v>E</v>
      </c>
      <c r="E161" s="32" t="str">
        <f>[2]!YBHIST($A$2,B161,"LMMOAS","sec","")</f>
        <v>E</v>
      </c>
      <c r="F161">
        <v>217.34440599999999</v>
      </c>
    </row>
    <row r="162" spans="2:6" ht="15" x14ac:dyDescent="0.25">
      <c r="B162" s="14">
        <v>40807</v>
      </c>
      <c r="C162" s="30" t="str">
        <f>[2]!YBHIST($A$2,$B162,"Price","sec","")</f>
        <v>E</v>
      </c>
      <c r="D162" t="str">
        <f>[2]!YBPRICE($A$2,C162&amp;"d",$B163,"OAS","Swap",B162,"LMMSkew","","Model",100,"OAS")</f>
        <v>E</v>
      </c>
      <c r="E162" s="32" t="str">
        <f>[2]!YBHIST($A$2,B162,"LMMOAS","sec","")</f>
        <v>E</v>
      </c>
      <c r="F162">
        <v>318.66861</v>
      </c>
    </row>
    <row r="163" spans="2:6" ht="15" x14ac:dyDescent="0.25">
      <c r="B163" s="14">
        <v>40808</v>
      </c>
      <c r="C163" s="30" t="str">
        <f>[2]!YBHIST($A$2,$B163,"Price","sec","")</f>
        <v>E</v>
      </c>
      <c r="D163" t="str">
        <f>[2]!YBPRICE($A$2,C163&amp;"d",$B164,"OAS","Swap",B163,"LMMSkew","","Model",100,"OAS")</f>
        <v>E</v>
      </c>
      <c r="E163" s="32" t="str">
        <f>[2]!YBHIST($A$2,B163,"LMMOAS","sec","")</f>
        <v>E</v>
      </c>
      <c r="F163">
        <v>506.69229100000001</v>
      </c>
    </row>
    <row r="164" spans="2:6" ht="15" x14ac:dyDescent="0.25">
      <c r="B164" s="14">
        <v>40809</v>
      </c>
      <c r="C164" s="30" t="str">
        <f>[2]!YBHIST($A$2,$B164,"Price","sec","")</f>
        <v>E</v>
      </c>
      <c r="D164" t="str">
        <f>[2]!YBPRICE($A$2,C164&amp;"d",$B165,"OAS","Swap",B164,"LMMSkew","","Model",100,"OAS")</f>
        <v>E</v>
      </c>
      <c r="E164" s="32" t="str">
        <f>[2]!YBHIST($A$2,B164,"LMMOAS","sec","")</f>
        <v>E</v>
      </c>
      <c r="F164">
        <v>402.06860399999999</v>
      </c>
    </row>
    <row r="165" spans="2:6" ht="15" x14ac:dyDescent="0.25">
      <c r="B165" s="14">
        <v>40812</v>
      </c>
      <c r="C165" s="30" t="str">
        <f>[2]!YBHIST($A$2,$B165,"Price","sec","")</f>
        <v>E</v>
      </c>
      <c r="D165" t="str">
        <f>[2]!YBPRICE($A$2,C165&amp;"d",$B166,"OAS","Swap",B165,"LMMSkew","","Model",100,"OAS")</f>
        <v>E</v>
      </c>
      <c r="E165" s="32" t="str">
        <f>[2]!YBHIST($A$2,B165,"LMMOAS","sec","")</f>
        <v>E</v>
      </c>
      <c r="F165">
        <v>411.81408699999997</v>
      </c>
    </row>
    <row r="166" spans="2:6" ht="15" x14ac:dyDescent="0.25">
      <c r="B166" s="14">
        <v>40813</v>
      </c>
      <c r="C166" s="30" t="str">
        <f>[2]!YBHIST($A$2,$B166,"Price","sec","")</f>
        <v>E</v>
      </c>
      <c r="D166" t="str">
        <f>[2]!YBPRICE($A$2,C166&amp;"d",$B167,"OAS","Swap",B166,"LMMSkew","","Model",100,"OAS")</f>
        <v>E</v>
      </c>
      <c r="E166" s="32" t="str">
        <f>[2]!YBHIST($A$2,B166,"LMMOAS","sec","")</f>
        <v>E</v>
      </c>
      <c r="F166">
        <v>362.45700099999999</v>
      </c>
    </row>
    <row r="167" spans="2:6" ht="15" x14ac:dyDescent="0.25">
      <c r="B167" s="14">
        <v>40814</v>
      </c>
      <c r="C167" s="30" t="str">
        <f>[2]!YBHIST($A$2,$B167,"Price","sec","")</f>
        <v>E</v>
      </c>
      <c r="D167" t="str">
        <f>[2]!YBPRICE($A$2,C167&amp;"d",$B168,"OAS","Swap",B167,"LMMSkew","","Model",100,"OAS")</f>
        <v>E</v>
      </c>
      <c r="E167" s="32" t="str">
        <f>[2]!YBHIST($A$2,B167,"LMMOAS","sec","")</f>
        <v>E</v>
      </c>
      <c r="F167">
        <v>337.88320900000002</v>
      </c>
    </row>
    <row r="168" spans="2:6" ht="15" x14ac:dyDescent="0.25">
      <c r="B168" s="14">
        <v>40815</v>
      </c>
      <c r="C168" s="30" t="str">
        <f>[2]!YBHIST($A$2,$B168,"Price","sec","")</f>
        <v>E</v>
      </c>
      <c r="D168" t="str">
        <f>[2]!YBPRICE($A$2,C168&amp;"d",$B169,"OAS","Swap",B168,"LMMSkew","","Model",100,"OAS")</f>
        <v>E</v>
      </c>
      <c r="E168" s="32" t="str">
        <f>[2]!YBHIST($A$2,B168,"LMMOAS","sec","")</f>
        <v>E</v>
      </c>
      <c r="F168">
        <v>387.40838600000001</v>
      </c>
    </row>
    <row r="169" spans="2:6" ht="15" x14ac:dyDescent="0.25">
      <c r="B169" s="14">
        <v>40816</v>
      </c>
      <c r="C169" s="30" t="str">
        <f>[2]!YBHIST($A$2,$B169,"Price","sec","")</f>
        <v>E</v>
      </c>
      <c r="D169" t="str">
        <f>[2]!YBPRICE($A$2,C169&amp;"d",$B170,"OAS","Swap",B169,"LMMSkew","","Model",100,"OAS")</f>
        <v>E</v>
      </c>
      <c r="E169" s="32" t="str">
        <f>[2]!YBHIST($A$2,B169,"LMMOAS","sec","")</f>
        <v>E</v>
      </c>
      <c r="F169">
        <v>402.68069500000001</v>
      </c>
    </row>
    <row r="170" spans="2:6" ht="15" x14ac:dyDescent="0.25">
      <c r="B170" s="14">
        <v>40819</v>
      </c>
      <c r="C170" s="30" t="str">
        <f>[2]!YBHIST($A$2,$B170,"Price","sec","")</f>
        <v>E</v>
      </c>
      <c r="D170" t="str">
        <f>[2]!YBPRICE($A$2,C170&amp;"d",$B171,"OAS","Swap",B170,"LMMSkew","","Model",100,"OAS")</f>
        <v>E</v>
      </c>
      <c r="E170" s="32" t="str">
        <f>[2]!YBHIST($A$2,B170,"LMMOAS","sec","")</f>
        <v>E</v>
      </c>
      <c r="F170">
        <v>452.123108</v>
      </c>
    </row>
    <row r="171" spans="2:6" ht="15" x14ac:dyDescent="0.25">
      <c r="B171" s="14">
        <v>40820</v>
      </c>
      <c r="C171" s="30" t="str">
        <f>[2]!YBHIST($A$2,$B171,"Price","sec","")</f>
        <v>E</v>
      </c>
      <c r="D171" t="str">
        <f>[2]!YBPRICE($A$2,C171&amp;"d",$B172,"OAS","Swap",B171,"LMMSkew","","Model",100,"OAS")</f>
        <v>E</v>
      </c>
      <c r="E171" s="32" t="str">
        <f>[2]!YBHIST($A$2,B171,"LMMOAS","sec","")</f>
        <v>E</v>
      </c>
      <c r="F171">
        <v>390.32308999999998</v>
      </c>
    </row>
    <row r="172" spans="2:6" ht="15" x14ac:dyDescent="0.25">
      <c r="B172" s="14">
        <v>40821</v>
      </c>
      <c r="C172" s="30" t="str">
        <f>[2]!YBHIST($A$2,$B172,"Price","sec","")</f>
        <v>E</v>
      </c>
      <c r="D172" t="str">
        <f>[2]!YBPRICE($A$2,C172&amp;"d",$B173,"OAS","Swap",B172,"LMMSkew","","Model",100,"OAS")</f>
        <v>E</v>
      </c>
      <c r="E172" s="32" t="str">
        <f>[2]!YBHIST($A$2,B172,"LMMOAS","sec","")</f>
        <v>E</v>
      </c>
      <c r="F172">
        <v>346.89920000000001</v>
      </c>
    </row>
    <row r="173" spans="2:6" ht="15" x14ac:dyDescent="0.25">
      <c r="B173" s="14">
        <v>40822</v>
      </c>
      <c r="C173" s="30" t="str">
        <f>[2]!YBHIST($A$2,$B173,"Price","sec","")</f>
        <v>E</v>
      </c>
      <c r="D173" t="str">
        <f>[2]!YBPRICE($A$2,C173&amp;"d",$B174,"OAS","Swap",B173,"LMMSkew","","Model",100,"OAS")</f>
        <v>E</v>
      </c>
      <c r="E173" s="32" t="str">
        <f>[2]!YBHIST($A$2,B173,"LMMOAS","sec","")</f>
        <v>E</v>
      </c>
      <c r="F173">
        <v>341.91738900000001</v>
      </c>
    </row>
    <row r="174" spans="2:6" ht="15" x14ac:dyDescent="0.25">
      <c r="B174" s="14">
        <v>40823</v>
      </c>
      <c r="C174" s="30" t="str">
        <f>[2]!YBHIST($A$2,$B174,"Price","sec","")</f>
        <v>E</v>
      </c>
      <c r="D174" t="str">
        <f>[2]!YBPRICE($A$2,C174&amp;"d",$B175,"OAS","Swap",B174,"LMMSkew","","Model",100,"OAS")</f>
        <v>E</v>
      </c>
      <c r="E174" s="32" t="str">
        <f>[2]!YBHIST($A$2,B174,"LMMOAS","sec","")</f>
        <v>E</v>
      </c>
      <c r="F174">
        <v>571.11279300000001</v>
      </c>
    </row>
    <row r="175" spans="2:6" ht="15" x14ac:dyDescent="0.25">
      <c r="B175" s="14">
        <v>40827</v>
      </c>
      <c r="C175" s="30" t="str">
        <f>[2]!YBHIST($A$2,$B175,"Price","sec","")</f>
        <v>E</v>
      </c>
      <c r="D175" t="str">
        <f>[2]!YBPRICE($A$2,C175&amp;"d",$B176,"OAS","Swap",B175,"LMMSkew","","Model",100,"OAS")</f>
        <v>E</v>
      </c>
      <c r="E175" s="32" t="str">
        <f>[2]!YBHIST($A$2,B175,"LMMOAS","sec","")</f>
        <v>E</v>
      </c>
      <c r="F175">
        <v>558.91272000000004</v>
      </c>
    </row>
    <row r="176" spans="2:6" ht="15" x14ac:dyDescent="0.25">
      <c r="B176" s="14">
        <v>40828</v>
      </c>
      <c r="C176" s="30" t="str">
        <f>[2]!YBHIST($A$2,$B176,"Price","sec","")</f>
        <v>E</v>
      </c>
      <c r="D176" t="str">
        <f>[2]!YBPRICE($A$2,C176&amp;"d",$B177,"OAS","Swap",B176,"LMMSkew","","Model",100,"OAS")</f>
        <v>E</v>
      </c>
      <c r="E176" s="32" t="str">
        <f>[2]!YBHIST($A$2,B176,"LMMOAS","sec","")</f>
        <v>E</v>
      </c>
      <c r="F176">
        <v>498.21618699999999</v>
      </c>
    </row>
    <row r="177" spans="2:6" ht="15" x14ac:dyDescent="0.25">
      <c r="B177" s="14">
        <v>40829</v>
      </c>
      <c r="C177" s="30" t="str">
        <f>[2]!YBHIST($A$2,$B177,"Price","sec","")</f>
        <v>E</v>
      </c>
      <c r="D177" t="str">
        <f>[2]!YBPRICE($A$2,C177&amp;"d",$B178,"OAS","Swap",B177,"LMMSkew","","Model",100,"OAS")</f>
        <v>E</v>
      </c>
      <c r="E177" s="32" t="str">
        <f>[2]!YBHIST($A$2,B177,"LMMOAS","sec","")</f>
        <v>E</v>
      </c>
      <c r="F177">
        <v>595.66577099999995</v>
      </c>
    </row>
    <row r="178" spans="2:6" ht="15" x14ac:dyDescent="0.25">
      <c r="B178" s="14">
        <v>40830</v>
      </c>
      <c r="C178" s="30" t="str">
        <f>[2]!YBHIST($A$2,$B178,"Price","sec","")</f>
        <v>E</v>
      </c>
      <c r="D178" t="str">
        <f>[2]!YBPRICE($A$2,C178&amp;"d",$B179,"OAS","Swap",B178,"LMMSkew","","Model",100,"OAS")</f>
        <v>E</v>
      </c>
      <c r="E178" s="32" t="str">
        <f>[2]!YBHIST($A$2,B178,"LMMOAS","sec","")</f>
        <v>E</v>
      </c>
      <c r="F178">
        <v>554.31030299999998</v>
      </c>
    </row>
    <row r="179" spans="2:6" ht="15" x14ac:dyDescent="0.25">
      <c r="B179" s="14">
        <v>40833</v>
      </c>
      <c r="C179" s="30" t="str">
        <f>[2]!YBHIST($A$2,$B179,"Price","sec","")</f>
        <v>E</v>
      </c>
      <c r="D179" t="str">
        <f>[2]!YBPRICE($A$2,C179&amp;"d",$B180,"OAS","Swap",B179,"LMMSkew","","Model",100,"OAS")</f>
        <v>E</v>
      </c>
      <c r="E179" s="32" t="str">
        <f>[2]!YBHIST($A$2,B179,"LMMOAS","sec","")</f>
        <v>E</v>
      </c>
      <c r="F179">
        <v>583.54742399999998</v>
      </c>
    </row>
    <row r="180" spans="2:6" ht="15" x14ac:dyDescent="0.25">
      <c r="B180" s="14">
        <v>40834</v>
      </c>
      <c r="C180" s="30" t="str">
        <f>[2]!YBHIST($A$2,$B180,"Price","sec","")</f>
        <v>E</v>
      </c>
      <c r="D180" t="str">
        <f>[2]!YBPRICE($A$2,C180&amp;"d",$B181,"OAS","Swap",B180,"LMMSkew","","Model",100,"OAS")</f>
        <v>E</v>
      </c>
      <c r="E180" s="32" t="str">
        <f>[2]!YBHIST($A$2,B180,"LMMOAS","sec","")</f>
        <v>E</v>
      </c>
      <c r="F180">
        <v>592.65258800000004</v>
      </c>
    </row>
    <row r="181" spans="2:6" ht="15" x14ac:dyDescent="0.25">
      <c r="B181" s="14">
        <v>40835</v>
      </c>
      <c r="C181" s="30" t="str">
        <f>[2]!YBHIST($A$2,$B181,"Price","sec","")</f>
        <v>E</v>
      </c>
      <c r="D181" t="str">
        <f>[2]!YBPRICE($A$2,C181&amp;"d",$B182,"OAS","Swap",B181,"LMMSkew","","Model",100,"OAS")</f>
        <v>E</v>
      </c>
      <c r="E181" s="32" t="str">
        <f>[2]!YBHIST($A$2,B181,"LMMOAS","sec","")</f>
        <v>E</v>
      </c>
      <c r="F181">
        <v>571.28790300000003</v>
      </c>
    </row>
    <row r="182" spans="2:6" ht="15" x14ac:dyDescent="0.25">
      <c r="B182" s="14">
        <v>40836</v>
      </c>
      <c r="C182" s="30" t="str">
        <f>[2]!YBHIST($A$2,$B182,"Price","sec","")</f>
        <v>E</v>
      </c>
      <c r="D182" t="str">
        <f>[2]!YBPRICE($A$2,C182&amp;"d",$B183,"OAS","Swap",B182,"LMMSkew","","Model",100,"OAS")</f>
        <v>E</v>
      </c>
      <c r="E182" s="32" t="str">
        <f>[2]!YBHIST($A$2,B182,"LMMOAS","sec","")</f>
        <v>E</v>
      </c>
      <c r="F182">
        <v>553.003601</v>
      </c>
    </row>
    <row r="183" spans="2:6" ht="15" x14ac:dyDescent="0.25">
      <c r="B183" s="14">
        <v>40837</v>
      </c>
      <c r="C183" s="30" t="str">
        <f>[2]!YBHIST($A$2,$B183,"Price","sec","")</f>
        <v>E</v>
      </c>
      <c r="D183" t="str">
        <f>[2]!YBPRICE($A$2,C183&amp;"d",$B184,"OAS","Swap",B183,"LMMSkew","","Model",100,"OAS")</f>
        <v>E</v>
      </c>
      <c r="E183" s="32" t="str">
        <f>[2]!YBHIST($A$2,B183,"LMMOAS","sec","")</f>
        <v>E</v>
      </c>
      <c r="F183">
        <v>543.54217500000004</v>
      </c>
    </row>
    <row r="184" spans="2:6" ht="15" x14ac:dyDescent="0.25">
      <c r="B184" s="14">
        <v>40840</v>
      </c>
      <c r="C184" s="30" t="str">
        <f>[2]!YBHIST($A$2,$B184,"Price","sec","")</f>
        <v>E</v>
      </c>
      <c r="D184" t="str">
        <f>[2]!YBPRICE($A$2,C184&amp;"d",$B185,"OAS","Swap",B184,"LMMSkew","","Model",100,"OAS")</f>
        <v>E</v>
      </c>
      <c r="E184" s="32" t="str">
        <f>[2]!YBHIST($A$2,B184,"LMMOAS","sec","")</f>
        <v>E</v>
      </c>
      <c r="F184">
        <v>504.98129299999999</v>
      </c>
    </row>
    <row r="185" spans="2:6" ht="15" x14ac:dyDescent="0.25">
      <c r="B185" s="14">
        <v>40841</v>
      </c>
      <c r="C185" s="30" t="str">
        <f>[2]!YBHIST($A$2,$B185,"Price","sec","")</f>
        <v>E</v>
      </c>
      <c r="D185" t="str">
        <f>[2]!YBPRICE($A$2,C185&amp;"d",$B186,"OAS","Swap",B185,"LMMSkew","","Model",100,"OAS")</f>
        <v>E</v>
      </c>
      <c r="E185" s="32" t="str">
        <f>[2]!YBHIST($A$2,B185,"LMMOAS","sec","")</f>
        <v>E</v>
      </c>
      <c r="F185">
        <v>558.97827099999995</v>
      </c>
    </row>
    <row r="186" spans="2:6" ht="15" x14ac:dyDescent="0.25">
      <c r="B186" s="14">
        <v>40842</v>
      </c>
      <c r="C186" s="30" t="str">
        <f>[2]!YBHIST($A$2,$B186,"Price","sec","")</f>
        <v>E</v>
      </c>
      <c r="D186" t="str">
        <f>[2]!YBPRICE($A$2,C186&amp;"d",$B187,"OAS","Swap",B186,"LMMSkew","","Model",100,"OAS")</f>
        <v>E</v>
      </c>
      <c r="E186" s="32" t="str">
        <f>[2]!YBHIST($A$2,B186,"LMMOAS","sec","")</f>
        <v>E</v>
      </c>
      <c r="F186">
        <v>515.569885</v>
      </c>
    </row>
    <row r="187" spans="2:6" ht="15" x14ac:dyDescent="0.25">
      <c r="B187" s="14">
        <v>40843</v>
      </c>
      <c r="C187" s="30" t="str">
        <f>[2]!YBHIST($A$2,$B187,"Price","sec","")</f>
        <v>E</v>
      </c>
      <c r="D187" t="str">
        <f>[2]!YBPRICE($A$2,C187&amp;"d",$B188,"OAS","Swap",B187,"LMMSkew","","Model",100,"OAS")</f>
        <v>E</v>
      </c>
      <c r="E187" s="32" t="str">
        <f>[2]!YBHIST($A$2,B187,"LMMOAS","sec","")</f>
        <v>E</v>
      </c>
      <c r="F187">
        <v>386.40411399999999</v>
      </c>
    </row>
    <row r="188" spans="2:6" ht="15" x14ac:dyDescent="0.25">
      <c r="B188" s="14">
        <v>40844</v>
      </c>
      <c r="C188" s="30" t="str">
        <f>[2]!YBHIST($A$2,$B188,"Price","sec","")</f>
        <v>E</v>
      </c>
      <c r="D188" t="str">
        <f>[2]!YBPRICE($A$2,C188&amp;"d",$B189,"OAS","Swap",B188,"LMMSkew","","Model",100,"OAS")</f>
        <v>E</v>
      </c>
      <c r="E188" s="32" t="str">
        <f>[2]!YBHIST($A$2,B188,"LMMOAS","sec","")</f>
        <v>E</v>
      </c>
      <c r="F188">
        <v>431.65380900000002</v>
      </c>
    </row>
    <row r="189" spans="2:6" ht="15" x14ac:dyDescent="0.25">
      <c r="B189" s="14">
        <v>40847</v>
      </c>
      <c r="C189" s="30" t="str">
        <f>[2]!YBHIST($A$2,$B189,"Price","sec","")</f>
        <v>E</v>
      </c>
      <c r="D189" t="str">
        <f>[2]!YBPRICE($A$2,C189&amp;"d",$B190,"OAS","Swap",B189,"LMMSkew","","Model",100,"OAS")</f>
        <v>E</v>
      </c>
      <c r="E189" s="32" t="str">
        <f>[2]!YBHIST($A$2,B189,"LMMOAS","sec","")</f>
        <v>E</v>
      </c>
      <c r="F189">
        <v>529.158997</v>
      </c>
    </row>
    <row r="190" spans="2:6" ht="15" x14ac:dyDescent="0.25">
      <c r="B190" s="14">
        <v>40848</v>
      </c>
      <c r="C190" s="30" t="str">
        <f>[2]!YBHIST($A$2,$B190,"Price","sec","")</f>
        <v>E</v>
      </c>
      <c r="D190" t="str">
        <f>[2]!YBPRICE($A$2,C190&amp;"d",$B191,"OAS","Swap",B190,"LMMSkew","","Model",100,"OAS")</f>
        <v>E</v>
      </c>
      <c r="E190" s="32" t="str">
        <f>[2]!YBHIST($A$2,B190,"LMMOAS","sec","")</f>
        <v>E</v>
      </c>
      <c r="F190">
        <v>616.67901600000005</v>
      </c>
    </row>
    <row r="191" spans="2:6" ht="15" x14ac:dyDescent="0.25">
      <c r="B191" s="14">
        <v>40849</v>
      </c>
      <c r="C191" s="30" t="str">
        <f>[2]!YBHIST($A$2,$B191,"Price","sec","")</f>
        <v>E</v>
      </c>
      <c r="D191" t="str">
        <f>[2]!YBPRICE($A$2,C191&amp;"d",$B192,"OAS","Swap",B191,"LMMSkew","","Model",100,"OAS")</f>
        <v>E</v>
      </c>
      <c r="E191" s="32" t="str">
        <f>[2]!YBHIST($A$2,B191,"LMMOAS","sec","")</f>
        <v>E</v>
      </c>
      <c r="F191">
        <v>618.67730700000004</v>
      </c>
    </row>
    <row r="192" spans="2:6" ht="15" x14ac:dyDescent="0.25">
      <c r="B192" s="14">
        <v>40850</v>
      </c>
      <c r="C192" s="30" t="str">
        <f>[2]!YBHIST($A$2,$B192,"Price","sec","")</f>
        <v>E</v>
      </c>
      <c r="D192" t="str">
        <f>[2]!YBPRICE($A$2,C192&amp;"d",$B193,"OAS","Swap",B192,"LMMSkew","","Model",100,"OAS")</f>
        <v>E</v>
      </c>
      <c r="E192" s="32" t="str">
        <f>[2]!YBHIST($A$2,B192,"LMMOAS","sec","")</f>
        <v>E</v>
      </c>
      <c r="F192">
        <v>549.28417999999999</v>
      </c>
    </row>
    <row r="193" spans="2:6" ht="15" x14ac:dyDescent="0.25">
      <c r="B193" s="14">
        <v>40851</v>
      </c>
      <c r="C193" s="30" t="str">
        <f>[2]!YBHIST($A$2,$B193,"Price","sec","")</f>
        <v>E</v>
      </c>
      <c r="D193" t="str">
        <f>[2]!YBPRICE($A$2,C193&amp;"d",$B194,"OAS","Swap",B193,"LMMSkew","","Model",100,"OAS")</f>
        <v>E</v>
      </c>
      <c r="E193" s="32" t="str">
        <f>[2]!YBHIST($A$2,B193,"LMMOAS","sec","")</f>
        <v>E</v>
      </c>
      <c r="F193">
        <v>572.97912599999995</v>
      </c>
    </row>
    <row r="194" spans="2:6" ht="15" x14ac:dyDescent="0.25">
      <c r="B194" s="14">
        <v>40854</v>
      </c>
      <c r="C194" s="30" t="str">
        <f>[2]!YBHIST($A$2,$B194,"Price","sec","")</f>
        <v>E</v>
      </c>
      <c r="D194" t="str">
        <f>[2]!YBPRICE($A$2,C194&amp;"d",$B195,"OAS","Swap",B194,"LMMSkew","","Model",100,"OAS")</f>
        <v>E</v>
      </c>
      <c r="E194" s="32" t="str">
        <f>[2]!YBHIST($A$2,B194,"LMMOAS","sec","")</f>
        <v>E</v>
      </c>
      <c r="F194">
        <v>630.30102499999998</v>
      </c>
    </row>
    <row r="195" spans="2:6" ht="15" x14ac:dyDescent="0.25">
      <c r="B195" s="14">
        <v>40855</v>
      </c>
      <c r="C195" s="30" t="str">
        <f>[2]!YBHIST($A$2,$B195,"Price","sec","")</f>
        <v>E</v>
      </c>
      <c r="D195" t="str">
        <f>[2]!YBPRICE($A$2,C195&amp;"d",$B196,"OAS","Swap",B195,"LMMSkew","","Model",100,"OAS")</f>
        <v>E</v>
      </c>
      <c r="E195" s="32" t="str">
        <f>[2]!YBHIST($A$2,B195,"LMMOAS","sec","")</f>
        <v>E</v>
      </c>
      <c r="F195">
        <v>615.78887899999995</v>
      </c>
    </row>
    <row r="196" spans="2:6" ht="15" x14ac:dyDescent="0.25">
      <c r="B196" s="14">
        <v>40856</v>
      </c>
      <c r="C196" s="30" t="str">
        <f>[2]!YBHIST($A$2,$B196,"Price","sec","")</f>
        <v>E</v>
      </c>
      <c r="D196" t="str">
        <f>[2]!YBPRICE($A$2,C196&amp;"d",$B197,"OAS","Swap",B196,"LMMSkew","","Model",100,"OAS")</f>
        <v>E</v>
      </c>
      <c r="E196" s="32" t="str">
        <f>[2]!YBHIST($A$2,B196,"LMMOAS","sec","")</f>
        <v>E</v>
      </c>
      <c r="F196">
        <v>641.28967299999999</v>
      </c>
    </row>
    <row r="197" spans="2:6" ht="15" x14ac:dyDescent="0.25">
      <c r="B197" s="14">
        <v>40857</v>
      </c>
      <c r="C197" s="30" t="str">
        <f>[2]!YBHIST($A$2,$B197,"Price","sec","")</f>
        <v>E</v>
      </c>
      <c r="D197" t="str">
        <f>[2]!YBPRICE($A$2,C197&amp;"d",$B198,"OAS","Swap",B197,"LMMSkew","","Model",100,"OAS")</f>
        <v>E</v>
      </c>
      <c r="E197" s="32" t="str">
        <f>[2]!YBHIST($A$2,B197,"LMMOAS","sec","")</f>
        <v>E</v>
      </c>
      <c r="F197">
        <v>649.35717799999998</v>
      </c>
    </row>
    <row r="198" spans="2:6" ht="15" x14ac:dyDescent="0.25">
      <c r="B198" s="14">
        <v>40861</v>
      </c>
      <c r="C198" s="30" t="str">
        <f>[2]!YBHIST($A$2,$B198,"Price","sec","")</f>
        <v>E</v>
      </c>
      <c r="D198" t="str">
        <f>[2]!YBPRICE($A$2,C198&amp;"d",$B199,"OAS","Swap",B198,"LMMSkew","","Model",100,"OAS")</f>
        <v>E</v>
      </c>
      <c r="E198" s="32" t="str">
        <f>[2]!YBHIST($A$2,B198,"LMMOAS","sec","")</f>
        <v>E</v>
      </c>
      <c r="F198">
        <v>632.01147500000002</v>
      </c>
    </row>
    <row r="199" spans="2:6" ht="15" x14ac:dyDescent="0.25">
      <c r="B199" s="14">
        <v>40862</v>
      </c>
      <c r="C199" s="30" t="str">
        <f>[2]!YBHIST($A$2,$B199,"Price","sec","")</f>
        <v>E</v>
      </c>
      <c r="D199" t="str">
        <f>[2]!YBPRICE($A$2,C199&amp;"d",$B200,"OAS","Swap",B199,"LMMSkew","","Model",100,"OAS")</f>
        <v>E</v>
      </c>
      <c r="E199" s="32" t="str">
        <f>[2]!YBHIST($A$2,B199,"LMMOAS","sec","")</f>
        <v>E</v>
      </c>
      <c r="F199">
        <v>634.83471699999996</v>
      </c>
    </row>
    <row r="200" spans="2:6" ht="15" x14ac:dyDescent="0.25">
      <c r="B200" s="14">
        <v>40863</v>
      </c>
      <c r="C200" s="30" t="str">
        <f>[2]!YBHIST($A$2,$B200,"Price","sec","")</f>
        <v>E</v>
      </c>
      <c r="D200" t="str">
        <f>[2]!YBPRICE($A$2,C200&amp;"d",$B201,"OAS","Swap",B200,"LMMSkew","","Model",100,"OAS")</f>
        <v>E</v>
      </c>
      <c r="E200" s="32" t="str">
        <f>[2]!YBHIST($A$2,B200,"LMMOAS","sec","")</f>
        <v>E</v>
      </c>
      <c r="F200">
        <v>619.89160200000003</v>
      </c>
    </row>
    <row r="201" spans="2:6" ht="15" x14ac:dyDescent="0.25">
      <c r="B201" s="14">
        <v>40864</v>
      </c>
      <c r="C201" s="30" t="str">
        <f>[2]!YBHIST($A$2,$B201,"Price","sec","")</f>
        <v>E</v>
      </c>
      <c r="D201" t="str">
        <f>[2]!YBPRICE($A$2,C201&amp;"d",$B202,"OAS","Swap",B201,"LMMSkew","","Model",100,"OAS")</f>
        <v>E</v>
      </c>
      <c r="E201" s="32" t="str">
        <f>[2]!YBHIST($A$2,B201,"LMMOAS","sec","")</f>
        <v>E</v>
      </c>
      <c r="F201">
        <v>629.605774</v>
      </c>
    </row>
    <row r="202" spans="2:6" ht="15" x14ac:dyDescent="0.25">
      <c r="B202" s="14">
        <v>40865</v>
      </c>
      <c r="C202" s="30" t="str">
        <f>[2]!YBHIST($A$2,$B202,"Price","sec","")</f>
        <v>E</v>
      </c>
      <c r="D202" t="str">
        <f>[2]!YBPRICE($A$2,C202&amp;"d",$B203,"OAS","Swap",B202,"LMMSkew","","Model",100,"OAS")</f>
        <v>E</v>
      </c>
      <c r="E202" s="32" t="str">
        <f>[2]!YBHIST($A$2,B202,"LMMOAS","sec","")</f>
        <v>E</v>
      </c>
      <c r="F202">
        <v>575.94122300000004</v>
      </c>
    </row>
    <row r="203" spans="2:6" ht="15" x14ac:dyDescent="0.25">
      <c r="B203" s="14">
        <v>40868</v>
      </c>
      <c r="C203" s="30" t="str">
        <f>[2]!YBHIST($A$2,$B203,"Price","sec","")</f>
        <v>E</v>
      </c>
      <c r="D203" t="str">
        <f>[2]!YBPRICE($A$2,C203&amp;"d",$B204,"OAS","Swap",B203,"LMMSkew","","Model",100,"OAS")</f>
        <v>E</v>
      </c>
      <c r="E203" s="32" t="str">
        <f>[2]!YBHIST($A$2,B203,"LMMOAS","sec","")</f>
        <v>E</v>
      </c>
      <c r="F203">
        <v>588.51208499999996</v>
      </c>
    </row>
    <row r="204" spans="2:6" ht="15" x14ac:dyDescent="0.25">
      <c r="B204" s="14">
        <v>40869</v>
      </c>
      <c r="C204" s="30" t="str">
        <f>[2]!YBHIST($A$2,$B204,"Price","sec","")</f>
        <v>E</v>
      </c>
      <c r="D204" t="str">
        <f>[2]!YBPRICE($A$2,C204&amp;"d",$B205,"OAS","Swap",B204,"LMMSkew","","Model",100,"OAS")</f>
        <v>E</v>
      </c>
      <c r="E204" s="32" t="str">
        <f>[2]!YBHIST($A$2,B204,"LMMOAS","sec","")</f>
        <v>E</v>
      </c>
      <c r="F204">
        <v>597.26178000000004</v>
      </c>
    </row>
    <row r="205" spans="2:6" ht="15" x14ac:dyDescent="0.25">
      <c r="B205" s="14">
        <v>40870</v>
      </c>
      <c r="C205" s="30" t="str">
        <f>[2]!YBHIST($A$2,$B205,"Price","sec","")</f>
        <v>E</v>
      </c>
      <c r="D205" t="str">
        <f>[2]!YBPRICE($A$2,C205&amp;"d",$B206,"OAS","Swap",B205,"LMMSkew","","Model",100,"OAS")</f>
        <v>E</v>
      </c>
      <c r="E205" s="32" t="str">
        <f>[2]!YBHIST($A$2,B205,"LMMOAS","sec","")</f>
        <v>E</v>
      </c>
      <c r="F205">
        <v>562.76147500000002</v>
      </c>
    </row>
    <row r="206" spans="2:6" ht="15" x14ac:dyDescent="0.25">
      <c r="B206" s="14">
        <v>40872</v>
      </c>
      <c r="C206" s="30" t="str">
        <f>[2]!YBHIST($A$2,$B206,"Price","sec","")</f>
        <v>E</v>
      </c>
      <c r="D206" t="str">
        <f>[2]!YBPRICE($A$2,C206&amp;"d",$B207,"OAS","Swap",B206,"LMMSkew","","Model",100,"OAS")</f>
        <v>E</v>
      </c>
      <c r="E206" s="32" t="str">
        <f>[2]!YBHIST($A$2,B206,"LMMOAS","sec","")</f>
        <v>E</v>
      </c>
      <c r="F206">
        <v>516.54400599999997</v>
      </c>
    </row>
    <row r="207" spans="2:6" ht="15" x14ac:dyDescent="0.25">
      <c r="B207" s="14">
        <v>40875</v>
      </c>
      <c r="C207" s="30" t="str">
        <f>[2]!YBHIST($A$2,$B207,"Price","sec","")</f>
        <v>E</v>
      </c>
      <c r="D207" t="str">
        <f>[2]!YBPRICE($A$2,C207&amp;"d",$B208,"OAS","Swap",B207,"LMMSkew","","Model",100,"OAS")</f>
        <v>E</v>
      </c>
      <c r="E207" s="32" t="str">
        <f>[2]!YBHIST($A$2,B207,"LMMOAS","sec","")</f>
        <v>E</v>
      </c>
      <c r="F207">
        <v>514.64190699999995</v>
      </c>
    </row>
    <row r="208" spans="2:6" ht="15" x14ac:dyDescent="0.25">
      <c r="B208" s="14">
        <v>40876</v>
      </c>
      <c r="C208" s="30" t="str">
        <f>[2]!YBHIST($A$2,$B208,"Price","sec","")</f>
        <v>E</v>
      </c>
      <c r="D208" t="str">
        <f>[2]!YBPRICE($A$2,C208&amp;"d",$B209,"OAS","Swap",B208,"LMMSkew","","Model",100,"OAS")</f>
        <v>E</v>
      </c>
      <c r="E208" s="32" t="str">
        <f>[2]!YBHIST($A$2,B208,"LMMOAS","sec","")</f>
        <v>E</v>
      </c>
      <c r="F208">
        <v>520.67559800000004</v>
      </c>
    </row>
    <row r="209" spans="2:6" ht="15" x14ac:dyDescent="0.25">
      <c r="B209" s="14">
        <v>40877</v>
      </c>
      <c r="C209" s="30" t="str">
        <f>[2]!YBHIST($A$2,$B209,"Price","sec","")</f>
        <v>E</v>
      </c>
      <c r="D209" t="str">
        <f>[2]!YBPRICE($A$2,C209&amp;"d",$B210,"OAS","Swap",B209,"LMMSkew","","Model",100,"OAS")</f>
        <v>E</v>
      </c>
      <c r="E209" s="32" t="str">
        <f>[2]!YBHIST($A$2,B209,"LMMOAS","sec","")</f>
        <v>E</v>
      </c>
      <c r="F209">
        <v>536.75042699999995</v>
      </c>
    </row>
    <row r="210" spans="2:6" ht="15" x14ac:dyDescent="0.25">
      <c r="B210" s="14">
        <v>40878</v>
      </c>
      <c r="C210" s="30" t="str">
        <f>[2]!YBHIST($A$2,$B210,"Price","sec","")</f>
        <v>E</v>
      </c>
      <c r="D210" t="str">
        <f>[2]!YBPRICE($A$2,C210&amp;"d",$B211,"OAS","Swap",B210,"LMMSkew","","Model",100,"OAS")</f>
        <v>E</v>
      </c>
      <c r="E210" s="32" t="str">
        <f>[2]!YBHIST($A$2,B210,"LMMOAS","sec","")</f>
        <v>E</v>
      </c>
      <c r="F210">
        <v>524.893372</v>
      </c>
    </row>
    <row r="211" spans="2:6" ht="15" x14ac:dyDescent="0.25">
      <c r="B211" s="14">
        <v>40879</v>
      </c>
      <c r="C211" s="30" t="str">
        <f>[2]!YBHIST($A$2,$B211,"Price","sec","")</f>
        <v>E</v>
      </c>
      <c r="D211" t="str">
        <f>[2]!YBPRICE($A$2,C211&amp;"d",$B212,"OAS","Swap",B211,"LMMSkew","","Model",100,"OAS")</f>
        <v>E</v>
      </c>
      <c r="E211" s="32" t="str">
        <f>[2]!YBHIST($A$2,B211,"LMMOAS","sec","")</f>
        <v>E</v>
      </c>
      <c r="F211">
        <v>536.76800500000002</v>
      </c>
    </row>
    <row r="212" spans="2:6" ht="15" x14ac:dyDescent="0.25">
      <c r="B212" s="14">
        <v>40882</v>
      </c>
      <c r="C212" s="30" t="str">
        <f>[2]!YBHIST($A$2,$B212,"Price","sec","")</f>
        <v>E</v>
      </c>
      <c r="D212" t="str">
        <f>[2]!YBPRICE($A$2,C212&amp;"d",$B213,"OAS","Swap",B212,"LMMSkew","","Model",100,"OAS")</f>
        <v>E</v>
      </c>
      <c r="E212" s="32" t="str">
        <f>[2]!YBHIST($A$2,B212,"LMMOAS","sec","")</f>
        <v>E</v>
      </c>
      <c r="F212">
        <v>547.01458700000001</v>
      </c>
    </row>
    <row r="213" spans="2:6" ht="15" x14ac:dyDescent="0.25">
      <c r="B213" s="14">
        <v>40883</v>
      </c>
      <c r="C213" s="30" t="str">
        <f>[2]!YBHIST($A$2,$B213,"Price","sec","")</f>
        <v>E</v>
      </c>
      <c r="D213" t="str">
        <f>[2]!YBPRICE($A$2,C213&amp;"d",$B214,"OAS","Swap",B213,"LMMSkew","","Model",100,"OAS")</f>
        <v>E</v>
      </c>
      <c r="E213" s="32" t="str">
        <f>[2]!YBHIST($A$2,B213,"LMMOAS","sec","")</f>
        <v>E</v>
      </c>
      <c r="F213">
        <v>549.46972700000003</v>
      </c>
    </row>
    <row r="214" spans="2:6" ht="15" x14ac:dyDescent="0.25">
      <c r="B214" s="14">
        <v>40884</v>
      </c>
      <c r="C214" s="30" t="str">
        <f>[2]!YBHIST($A$2,$B214,"Price","sec","")</f>
        <v>E</v>
      </c>
      <c r="D214" t="str">
        <f>[2]!YBPRICE($A$2,C214&amp;"d",$B215,"OAS","Swap",B214,"LMMSkew","","Model",100,"OAS")</f>
        <v>E</v>
      </c>
      <c r="E214" s="32" t="str">
        <f>[2]!YBHIST($A$2,B214,"LMMOAS","sec","")</f>
        <v>E</v>
      </c>
      <c r="F214">
        <v>571.09692399999994</v>
      </c>
    </row>
    <row r="215" spans="2:6" ht="15" x14ac:dyDescent="0.25">
      <c r="B215" s="14">
        <v>40885</v>
      </c>
      <c r="C215" s="30" t="str">
        <f>[2]!YBHIST($A$2,$B215,"Price","sec","")</f>
        <v>E</v>
      </c>
      <c r="D215" t="str">
        <f>[2]!YBPRICE($A$2,C215&amp;"d",$B216,"OAS","Swap",B215,"LMMSkew","","Model",100,"OAS")</f>
        <v>E</v>
      </c>
      <c r="E215" s="32" t="str">
        <f>[2]!YBHIST($A$2,B215,"LMMOAS","sec","")</f>
        <v>E</v>
      </c>
      <c r="F215">
        <v>551.06317100000001</v>
      </c>
    </row>
    <row r="216" spans="2:6" ht="15" x14ac:dyDescent="0.25">
      <c r="B216" s="14">
        <v>40886</v>
      </c>
      <c r="C216" s="30" t="str">
        <f>[2]!YBHIST($A$2,$B216,"Price","sec","")</f>
        <v>E</v>
      </c>
      <c r="D216" t="str">
        <f>[2]!YBPRICE($A$2,C216&amp;"d",$B217,"OAS","Swap",B216,"LMMSkew","","Model",100,"OAS")</f>
        <v>E</v>
      </c>
      <c r="E216" s="32" t="str">
        <f>[2]!YBHIST($A$2,B216,"LMMOAS","sec","")</f>
        <v>E</v>
      </c>
      <c r="F216">
        <v>500.40579200000002</v>
      </c>
    </row>
    <row r="217" spans="2:6" ht="15" x14ac:dyDescent="0.25">
      <c r="B217" s="14">
        <v>40889</v>
      </c>
      <c r="C217" s="30" t="str">
        <f>[2]!YBHIST($A$2,$B217,"Price","sec","")</f>
        <v>E</v>
      </c>
      <c r="D217" t="str">
        <f>[2]!YBPRICE($A$2,C217&amp;"d",$B218,"OAS","Swap",B217,"LMMSkew","","Model",100,"OAS")</f>
        <v>E</v>
      </c>
      <c r="E217" s="32" t="str">
        <f>[2]!YBHIST($A$2,B217,"LMMOAS","sec","")</f>
        <v>E</v>
      </c>
      <c r="F217">
        <v>510.26629600000001</v>
      </c>
    </row>
    <row r="218" spans="2:6" ht="15" x14ac:dyDescent="0.25">
      <c r="B218" s="14">
        <v>40890</v>
      </c>
      <c r="C218" s="30" t="str">
        <f>[2]!YBHIST($A$2,$B218,"Price","sec","")</f>
        <v>E</v>
      </c>
      <c r="D218" t="str">
        <f>[2]!YBPRICE($A$2,C218&amp;"d",$B219,"OAS","Swap",B218,"LMMSkew","","Model",100,"OAS")</f>
        <v>E</v>
      </c>
      <c r="E218" s="32" t="str">
        <f>[2]!YBHIST($A$2,B218,"LMMOAS","sec","")</f>
        <v>E</v>
      </c>
      <c r="F218">
        <v>522.46698000000004</v>
      </c>
    </row>
    <row r="219" spans="2:6" ht="15" x14ac:dyDescent="0.25">
      <c r="B219" s="14">
        <v>40891</v>
      </c>
      <c r="C219" s="30" t="str">
        <f>[2]!YBHIST($A$2,$B219,"Price","sec","")</f>
        <v>E</v>
      </c>
      <c r="D219" t="str">
        <f>[2]!YBPRICE($A$2,C219&amp;"d",$B220,"OAS","Swap",B219,"LMMSkew","","Model",100,"OAS")</f>
        <v>E</v>
      </c>
      <c r="E219" s="32" t="str">
        <f>[2]!YBHIST($A$2,B219,"LMMOAS","sec","")</f>
        <v>E</v>
      </c>
      <c r="F219">
        <v>544.02117899999996</v>
      </c>
    </row>
    <row r="220" spans="2:6" ht="15" x14ac:dyDescent="0.25">
      <c r="B220" s="14">
        <v>40892</v>
      </c>
      <c r="C220" s="30" t="str">
        <f>[2]!YBHIST($A$2,$B220,"Price","sec","")</f>
        <v>E</v>
      </c>
      <c r="D220" t="str">
        <f>[2]!YBPRICE($A$2,C220&amp;"d",$B221,"OAS","Swap",B220,"LMMSkew","","Model",100,"OAS")</f>
        <v>E</v>
      </c>
      <c r="E220" s="32" t="str">
        <f>[2]!YBHIST($A$2,B220,"LMMOAS","sec","")</f>
        <v>E</v>
      </c>
      <c r="F220">
        <v>536.22497599999997</v>
      </c>
    </row>
    <row r="221" spans="2:6" ht="15" x14ac:dyDescent="0.25">
      <c r="B221" s="14">
        <v>40893</v>
      </c>
      <c r="C221" s="30" t="str">
        <f>[2]!YBHIST($A$2,$B221,"Price","sec","")</f>
        <v>E</v>
      </c>
      <c r="D221" t="str">
        <f>[2]!YBPRICE($A$2,C221&amp;"d",$B222,"OAS","Swap",B221,"LMMSkew","","Model",100,"OAS")</f>
        <v>E</v>
      </c>
      <c r="E221" s="32" t="str">
        <f>[2]!YBHIST($A$2,B221,"LMMOAS","sec","")</f>
        <v>E</v>
      </c>
      <c r="F221">
        <v>549.69769299999996</v>
      </c>
    </row>
    <row r="222" spans="2:6" ht="15" x14ac:dyDescent="0.25">
      <c r="B222" s="14">
        <v>40896</v>
      </c>
      <c r="C222" s="30" t="str">
        <f>[2]!YBHIST($A$2,$B222,"Price","sec","")</f>
        <v>E</v>
      </c>
      <c r="D222" t="str">
        <f>[2]!YBPRICE($A$2,C222&amp;"d",$B223,"OAS","Swap",B222,"LMMSkew","","Model",100,"OAS")</f>
        <v>E</v>
      </c>
      <c r="E222" s="32" t="str">
        <f>[2]!YBHIST($A$2,B222,"LMMOAS","sec","")</f>
        <v>E</v>
      </c>
      <c r="F222">
        <v>591.45141599999999</v>
      </c>
    </row>
    <row r="223" spans="2:6" ht="15" x14ac:dyDescent="0.25">
      <c r="B223" s="14">
        <v>40897</v>
      </c>
      <c r="C223" s="30" t="str">
        <f>[2]!YBHIST($A$2,$B223,"Price","sec","")</f>
        <v>E</v>
      </c>
      <c r="D223" t="str">
        <f>[2]!YBPRICE($A$2,C223&amp;"d",$B224,"OAS","Swap",B223,"LMMSkew","","Model",100,"OAS")</f>
        <v>E</v>
      </c>
      <c r="E223" s="32" t="str">
        <f>[2]!YBHIST($A$2,B223,"LMMOAS","sec","")</f>
        <v>E</v>
      </c>
      <c r="F223">
        <v>542.69537400000002</v>
      </c>
    </row>
    <row r="224" spans="2:6" ht="15" x14ac:dyDescent="0.25">
      <c r="B224" s="14">
        <v>40898</v>
      </c>
      <c r="C224" s="30" t="str">
        <f>[2]!YBHIST($A$2,$B224,"Price","sec","")</f>
        <v>E</v>
      </c>
      <c r="D224" t="str">
        <f>[2]!YBPRICE($A$2,C224&amp;"d",$B225,"OAS","Swap",B224,"LMMSkew","","Model",100,"OAS")</f>
        <v>E</v>
      </c>
      <c r="E224" s="32" t="str">
        <f>[2]!YBHIST($A$2,B224,"LMMOAS","sec","")</f>
        <v>E</v>
      </c>
      <c r="F224">
        <v>532.91687000000002</v>
      </c>
    </row>
    <row r="225" spans="2:6" ht="15" x14ac:dyDescent="0.25">
      <c r="B225" s="14">
        <v>40899</v>
      </c>
      <c r="C225" s="30" t="str">
        <f>[2]!YBHIST($A$2,$B225,"Price","sec","")</f>
        <v>E</v>
      </c>
      <c r="D225" t="str">
        <f>[2]!YBPRICE($A$2,C225&amp;"d",$B226,"OAS","Swap",B225,"LMMSkew","","Model",100,"OAS")</f>
        <v>E</v>
      </c>
      <c r="E225" s="32" t="str">
        <f>[2]!YBHIST($A$2,B225,"LMMOAS","sec","")</f>
        <v>E</v>
      </c>
      <c r="F225">
        <v>498.67550699999998</v>
      </c>
    </row>
    <row r="226" spans="2:6" ht="15" x14ac:dyDescent="0.25">
      <c r="B226" s="14">
        <v>40900</v>
      </c>
      <c r="C226" s="30" t="str">
        <f>[2]!YBHIST($A$2,$B226,"Price","sec","")</f>
        <v>E</v>
      </c>
      <c r="D226" t="str">
        <f>[2]!YBPRICE($A$2,C226&amp;"d",$B227,"OAS","Swap",B226,"LMMSkew","","Model",100,"OAS")</f>
        <v>E</v>
      </c>
      <c r="E226" s="32" t="str">
        <f>[2]!YBHIST($A$2,B226,"LMMOAS","sec","")</f>
        <v>E</v>
      </c>
      <c r="F226">
        <v>456.501801</v>
      </c>
    </row>
    <row r="227" spans="2:6" ht="15" x14ac:dyDescent="0.25">
      <c r="B227" s="14">
        <v>40904</v>
      </c>
      <c r="C227" s="30" t="str">
        <f>[2]!YBHIST($A$2,$B227,"Price","sec","")</f>
        <v>E</v>
      </c>
      <c r="D227" t="str">
        <f>[2]!YBPRICE($A$2,C227&amp;"d",$B228,"OAS","Swap",B227,"LMMSkew","","Model",100,"OAS")</f>
        <v>E</v>
      </c>
      <c r="E227" s="32" t="str">
        <f>[2]!YBHIST($A$2,B227,"LMMOAS","sec","")</f>
        <v>E</v>
      </c>
      <c r="F227">
        <v>461.38189699999998</v>
      </c>
    </row>
    <row r="228" spans="2:6" ht="15" x14ac:dyDescent="0.25">
      <c r="B228" s="14">
        <v>40905</v>
      </c>
      <c r="C228" s="30" t="str">
        <f>[2]!YBHIST($A$2,$B228,"Price","sec","")</f>
        <v>E</v>
      </c>
      <c r="D228" t="str">
        <f>[2]!YBPRICE($A$2,C228&amp;"d",$B229,"OAS","Swap",B228,"LMMSkew","","Model",100,"OAS")</f>
        <v>E</v>
      </c>
      <c r="E228" s="32" t="str">
        <f>[2]!YBHIST($A$2,B228,"LMMOAS","sec","")</f>
        <v>E</v>
      </c>
      <c r="F228">
        <v>497.535889</v>
      </c>
    </row>
    <row r="229" spans="2:6" ht="15" x14ac:dyDescent="0.25">
      <c r="B229" s="14">
        <v>40906</v>
      </c>
      <c r="C229" s="30" t="str">
        <f>[2]!YBHIST($A$2,$B229,"Price","sec","")</f>
        <v>E</v>
      </c>
      <c r="D229" t="str">
        <f>[2]!YBPRICE($A$2,C229&amp;"d",$B230,"OAS","Swap",B229,"LMMSkew","","Model",100,"OAS")</f>
        <v>E</v>
      </c>
      <c r="E229" s="32" t="str">
        <f>[2]!YBHIST($A$2,B229,"LMMOAS","sec","")</f>
        <v>E</v>
      </c>
      <c r="F229">
        <v>511.15978999999999</v>
      </c>
    </row>
    <row r="230" spans="2:6" ht="15" x14ac:dyDescent="0.25">
      <c r="B230" s="14">
        <v>40907</v>
      </c>
      <c r="C230" s="30" t="str">
        <f>[2]!YBHIST($A$2,$B230,"Price","sec","")</f>
        <v>E</v>
      </c>
      <c r="D230" t="str">
        <f>[2]!YBPRICE($A$2,C230&amp;"d",$B231,"OAS","Swap",B230,"LMMSkew","","Model",100,"OAS")</f>
        <v>E</v>
      </c>
      <c r="E230" s="32" t="str">
        <f>[2]!YBHIST($A$2,B230,"LMMOAS","sec","")</f>
        <v>E</v>
      </c>
      <c r="F230">
        <v>531.68841599999996</v>
      </c>
    </row>
    <row r="231" spans="2:6" ht="15" x14ac:dyDescent="0.25">
      <c r="B231" s="14">
        <v>40911</v>
      </c>
      <c r="C231" s="30" t="str">
        <f>[2]!YBHIST($A$2,$B231,"Price","sec","")</f>
        <v>E</v>
      </c>
      <c r="D231" t="str">
        <f>[2]!YBPRICE($A$2,C231&amp;"d",$B232,"OAS","Swap",B231,"LMMSkew","","Model",100,"OAS")</f>
        <v>E</v>
      </c>
      <c r="E231" s="32" t="str">
        <f>[2]!YBHIST($A$2,B231,"LMMOAS","sec","")</f>
        <v>E</v>
      </c>
      <c r="F231">
        <v>234.40919500000001</v>
      </c>
    </row>
    <row r="232" spans="2:6" ht="15" x14ac:dyDescent="0.25">
      <c r="B232" s="14">
        <v>40912</v>
      </c>
      <c r="C232" s="30" t="str">
        <f>[2]!YBHIST($A$2,$B232,"Price","sec","")</f>
        <v>E</v>
      </c>
      <c r="D232" t="str">
        <f>[2]!YBPRICE($A$2,C232&amp;"d",$B233,"OAS","Swap",B232,"LMMSkew","","Model",100,"OAS")</f>
        <v>E</v>
      </c>
      <c r="E232" s="32" t="str">
        <f>[2]!YBHIST($A$2,B232,"LMMOAS","sec","")</f>
        <v>E</v>
      </c>
      <c r="F232">
        <v>220.58659399999999</v>
      </c>
    </row>
    <row r="233" spans="2:6" ht="15" x14ac:dyDescent="0.25">
      <c r="B233" s="14">
        <v>40913</v>
      </c>
      <c r="C233" s="30" t="str">
        <f>[2]!YBHIST($A$2,$B233,"Price","sec","")</f>
        <v>E</v>
      </c>
      <c r="D233" t="str">
        <f>[2]!YBPRICE($A$2,C233&amp;"d",$B234,"OAS","Swap",B233,"LMMSkew","","Model",100,"OAS")</f>
        <v>E</v>
      </c>
      <c r="E233" s="32" t="str">
        <f>[2]!YBHIST($A$2,B233,"LMMOAS","sec","")</f>
        <v>E</v>
      </c>
      <c r="F233">
        <v>240.911697</v>
      </c>
    </row>
    <row r="234" spans="2:6" ht="15" x14ac:dyDescent="0.25">
      <c r="B234" s="14">
        <v>40914</v>
      </c>
      <c r="C234" s="30" t="str">
        <f>[2]!YBHIST($A$2,$B234,"Price","sec","")</f>
        <v>E</v>
      </c>
      <c r="D234" t="str">
        <f>[2]!YBPRICE($A$2,C234&amp;"d",$B235,"OAS","Swap",B234,"LMMSkew","","Model",100,"OAS")</f>
        <v>E</v>
      </c>
      <c r="E234" s="32" t="str">
        <f>[2]!YBHIST($A$2,B234,"LMMOAS","sec","")</f>
        <v>E</v>
      </c>
      <c r="F234">
        <v>266.53460699999999</v>
      </c>
    </row>
    <row r="235" spans="2:6" ht="15" x14ac:dyDescent="0.25">
      <c r="B235" s="14">
        <v>40917</v>
      </c>
      <c r="C235" s="30" t="str">
        <f>[2]!YBHIST($A$2,$B235,"Price","sec","")</f>
        <v>E</v>
      </c>
      <c r="D235" t="str">
        <f>[2]!YBPRICE($A$2,C235&amp;"d",$B236,"OAS","Swap",B235,"LMMSkew","","Model",100,"OAS")</f>
        <v>E</v>
      </c>
      <c r="E235" s="32" t="str">
        <f>[2]!YBHIST($A$2,B235,"LMMOAS","sec","")</f>
        <v>E</v>
      </c>
      <c r="F235">
        <v>270.11138899999997</v>
      </c>
    </row>
    <row r="236" spans="2:6" ht="15" x14ac:dyDescent="0.25">
      <c r="B236" s="14">
        <v>40918</v>
      </c>
      <c r="C236" s="30" t="str">
        <f>[2]!YBHIST($A$2,$B236,"Price","sec","")</f>
        <v>E</v>
      </c>
      <c r="D236" t="str">
        <f>[2]!YBPRICE($A$2,C236&amp;"d",$B237,"OAS","Swap",B236,"LMMSkew","","Model",100,"OAS")</f>
        <v>E</v>
      </c>
      <c r="E236" s="32" t="str">
        <f>[2]!YBHIST($A$2,B236,"LMMOAS","sec","")</f>
        <v>E</v>
      </c>
      <c r="F236">
        <v>222.23039199999999</v>
      </c>
    </row>
    <row r="237" spans="2:6" ht="15" x14ac:dyDescent="0.25">
      <c r="B237" s="14">
        <v>40919</v>
      </c>
      <c r="C237" s="30" t="str">
        <f>[2]!YBHIST($A$2,$B237,"Price","sec","")</f>
        <v>E</v>
      </c>
      <c r="D237" t="str">
        <f>[2]!YBPRICE($A$2,C237&amp;"d",$B238,"OAS","Swap",B237,"LMMSkew","","Model",100,"OAS")</f>
        <v>E</v>
      </c>
      <c r="E237" s="32" t="str">
        <f>[2]!YBHIST($A$2,B237,"LMMOAS","sec","")</f>
        <v>E</v>
      </c>
      <c r="F237">
        <v>254.002396</v>
      </c>
    </row>
    <row r="238" spans="2:6" ht="15" x14ac:dyDescent="0.25">
      <c r="B238" s="14">
        <v>40920</v>
      </c>
      <c r="C238" s="30" t="str">
        <f>[2]!YBHIST($A$2,$B238,"Price","sec","")</f>
        <v>E</v>
      </c>
      <c r="D238" t="str">
        <f>[2]!YBPRICE($A$2,C238&amp;"d",$B239,"OAS","Swap",B238,"LMMSkew","","Model",100,"OAS")</f>
        <v>E</v>
      </c>
      <c r="E238" s="32" t="str">
        <f>[2]!YBHIST($A$2,B238,"LMMOAS","sec","")</f>
        <v>E</v>
      </c>
      <c r="F238">
        <v>252.30360400000001</v>
      </c>
    </row>
    <row r="239" spans="2:6" ht="15" x14ac:dyDescent="0.25">
      <c r="B239" s="14">
        <v>40921</v>
      </c>
      <c r="C239" s="30" t="str">
        <f>[2]!YBHIST($A$2,$B239,"Price","sec","")</f>
        <v>E</v>
      </c>
      <c r="D239" t="str">
        <f>[2]!YBPRICE($A$2,C239&amp;"d",$B240,"OAS","Swap",B239,"LMMSkew","","Model",100,"OAS")</f>
        <v>E</v>
      </c>
      <c r="E239" s="32" t="str">
        <f>[2]!YBHIST($A$2,B239,"LMMOAS","sec","")</f>
        <v>E</v>
      </c>
      <c r="F239">
        <v>318.09210200000001</v>
      </c>
    </row>
    <row r="240" spans="2:6" ht="15" x14ac:dyDescent="0.25">
      <c r="B240" s="14">
        <v>40925</v>
      </c>
      <c r="C240" s="30" t="str">
        <f>[2]!YBHIST($A$2,$B240,"Price","sec","")</f>
        <v>E</v>
      </c>
      <c r="D240" t="str">
        <f>[2]!YBPRICE($A$2,C240&amp;"d",$B241,"OAS","Swap",B240,"LMMSkew","","Model",100,"OAS")</f>
        <v>E</v>
      </c>
      <c r="E240" s="32" t="str">
        <f>[2]!YBHIST($A$2,B240,"LMMOAS","sec","")</f>
        <v>E</v>
      </c>
      <c r="F240">
        <v>309.236603</v>
      </c>
    </row>
    <row r="241" spans="2:6" ht="15" x14ac:dyDescent="0.25">
      <c r="B241" s="14">
        <v>40926</v>
      </c>
      <c r="C241" s="30" t="str">
        <f>[2]!YBHIST($A$2,$B241,"Price","sec","")</f>
        <v>E</v>
      </c>
      <c r="D241" t="str">
        <f>[2]!YBPRICE($A$2,C241&amp;"d",$B242,"OAS","Swap",B241,"LMMSkew","","Model",100,"OAS")</f>
        <v>E</v>
      </c>
      <c r="E241" s="32" t="str">
        <f>[2]!YBHIST($A$2,B241,"LMMOAS","sec","")</f>
        <v>E</v>
      </c>
      <c r="F241">
        <v>279.54901100000001</v>
      </c>
    </row>
    <row r="242" spans="2:6" ht="15" x14ac:dyDescent="0.25">
      <c r="B242" s="14">
        <v>40927</v>
      </c>
      <c r="C242" s="30" t="str">
        <f>[2]!YBHIST($A$2,$B242,"Price","sec","")</f>
        <v>E</v>
      </c>
      <c r="D242" t="str">
        <f>[2]!YBPRICE($A$2,C242&amp;"d",$B243,"OAS","Swap",B242,"LMMSkew","","Model",100,"OAS")</f>
        <v>E</v>
      </c>
      <c r="E242" s="32" t="str">
        <f>[2]!YBHIST($A$2,B242,"LMMOAS","sec","")</f>
        <v>E</v>
      </c>
      <c r="F242">
        <v>219.23280299999999</v>
      </c>
    </row>
    <row r="243" spans="2:6" ht="15" x14ac:dyDescent="0.25">
      <c r="B243" s="14">
        <v>40928</v>
      </c>
      <c r="C243" s="30" t="str">
        <f>[2]!YBHIST($A$2,$B243,"Price","sec","")</f>
        <v>E</v>
      </c>
      <c r="D243" t="str">
        <f>[2]!YBPRICE($A$2,C243&amp;"d",$B244,"OAS","Swap",B243,"LMMSkew","","Model",100,"OAS")</f>
        <v>E</v>
      </c>
      <c r="E243" s="32" t="str">
        <f>[2]!YBHIST($A$2,B243,"LMMOAS","sec","")</f>
        <v>E</v>
      </c>
      <c r="F243">
        <v>190.48629800000001</v>
      </c>
    </row>
    <row r="244" spans="2:6" ht="15" x14ac:dyDescent="0.25">
      <c r="B244" s="14">
        <v>40931</v>
      </c>
      <c r="C244" s="30" t="str">
        <f>[2]!YBHIST($A$2,$B244,"Price","sec","")</f>
        <v>E</v>
      </c>
      <c r="D244" t="str">
        <f>[2]!YBPRICE($A$2,C244&amp;"d",$B245,"OAS","Swap",B244,"LMMSkew","","Model",100,"OAS")</f>
        <v>E</v>
      </c>
      <c r="E244" s="32" t="str">
        <f>[2]!YBHIST($A$2,B244,"LMMOAS","sec","")</f>
        <v>E</v>
      </c>
      <c r="F244">
        <v>178.72200000000001</v>
      </c>
    </row>
    <row r="245" spans="2:6" ht="15" x14ac:dyDescent="0.25">
      <c r="B245" s="14">
        <v>40932</v>
      </c>
      <c r="C245" s="30" t="str">
        <f>[2]!YBHIST($A$2,$B245,"Price","sec","")</f>
        <v>E</v>
      </c>
      <c r="D245" t="str">
        <f>[2]!YBPRICE($A$2,C245&amp;"d",$B246,"OAS","Swap",B245,"LMMSkew","","Model",100,"OAS")</f>
        <v>E</v>
      </c>
      <c r="E245" s="32" t="str">
        <f>[2]!YBHIST($A$2,B245,"LMMOAS","sec","")</f>
        <v>E</v>
      </c>
      <c r="F245">
        <v>207.017303</v>
      </c>
    </row>
    <row r="246" spans="2:6" ht="15" x14ac:dyDescent="0.25">
      <c r="B246" s="14">
        <v>40933</v>
      </c>
      <c r="C246" s="30" t="str">
        <f>[2]!YBHIST($A$2,$B246,"Price","sec","")</f>
        <v>E</v>
      </c>
      <c r="D246" t="str">
        <f>[2]!YBPRICE($A$2,C246&amp;"d",$B247,"OAS","Swap",B246,"LMMSkew","","Model",100,"OAS")</f>
        <v>E</v>
      </c>
      <c r="E246" s="32" t="str">
        <f>[2]!YBHIST($A$2,B246,"LMMOAS","sec","")</f>
        <v>E</v>
      </c>
      <c r="F246">
        <v>286.08599900000002</v>
      </c>
    </row>
    <row r="247" spans="2:6" ht="15" x14ac:dyDescent="0.25">
      <c r="B247" s="14">
        <v>40934</v>
      </c>
      <c r="C247" s="30" t="str">
        <f>[2]!YBHIST($A$2,$B247,"Price","sec","")</f>
        <v>E</v>
      </c>
      <c r="D247" t="str">
        <f>[2]!YBPRICE($A$2,C247&amp;"d",$B248,"OAS","Swap",B247,"LMMSkew","","Model",100,"OAS")</f>
        <v>E</v>
      </c>
      <c r="E247" s="32" t="str">
        <f>[2]!YBHIST($A$2,B247,"LMMOAS","sec","")</f>
        <v>E</v>
      </c>
      <c r="F247">
        <v>377.079498</v>
      </c>
    </row>
    <row r="248" spans="2:6" ht="15" x14ac:dyDescent="0.25">
      <c r="B248" s="14">
        <v>40935</v>
      </c>
      <c r="C248" s="30" t="str">
        <f>[2]!YBHIST($A$2,$B248,"Price","sec","")</f>
        <v>E</v>
      </c>
      <c r="D248" t="str">
        <f>[2]!YBPRICE($A$2,C248&amp;"d",$B249,"OAS","Swap",B248,"LMMSkew","","Model",100,"OAS")</f>
        <v>E</v>
      </c>
      <c r="E248" s="32" t="str">
        <f>[2]!YBHIST($A$2,B248,"LMMOAS","sec","")</f>
        <v>E</v>
      </c>
      <c r="F248">
        <v>404.96490499999999</v>
      </c>
    </row>
    <row r="249" spans="2:6" ht="15" x14ac:dyDescent="0.25">
      <c r="B249" s="14">
        <v>40938</v>
      </c>
      <c r="C249" s="30" t="str">
        <f>[2]!YBHIST($A$2,$B249,"Price","sec","")</f>
        <v>E</v>
      </c>
      <c r="D249" t="str">
        <f>[2]!YBPRICE($A$2,C249&amp;"d",$B250,"OAS","Swap",B249,"LMMSkew","","Model",100,"OAS")</f>
        <v>E</v>
      </c>
      <c r="E249" s="32" t="str">
        <f>[2]!YBHIST($A$2,B249,"LMMOAS","sec","")</f>
        <v>E</v>
      </c>
      <c r="F249">
        <v>438.29830900000002</v>
      </c>
    </row>
    <row r="250" spans="2:6" ht="15" x14ac:dyDescent="0.25">
      <c r="B250" s="14">
        <v>40939</v>
      </c>
      <c r="C250" s="30" t="str">
        <f>[2]!YBHIST($A$2,$B250,"Price","sec","")</f>
        <v>E</v>
      </c>
      <c r="D250" t="str">
        <f>[2]!YBPRICE($A$2,C250&amp;"d",$B251,"OAS","Swap",B250,"LMMSkew","","Model",100,"OAS")</f>
        <v>E</v>
      </c>
      <c r="E250" s="32" t="str">
        <f>[2]!YBHIST($A$2,B250,"LMMOAS","sec","")</f>
        <v>E</v>
      </c>
      <c r="F250">
        <v>457.81469700000002</v>
      </c>
    </row>
    <row r="251" spans="2:6" ht="15" x14ac:dyDescent="0.25">
      <c r="B251" s="14">
        <v>40940</v>
      </c>
      <c r="C251" s="30" t="str">
        <f>[2]!YBHIST($A$2,$B251,"Price","sec","")</f>
        <v>E</v>
      </c>
      <c r="D251" t="str">
        <f>[2]!YBPRICE($A$2,C251&amp;"d",$B252,"OAS","Swap",B251,"LMMSkew","","Model",100,"OAS")</f>
        <v>E</v>
      </c>
      <c r="E251" s="32" t="str">
        <f>[2]!YBHIST($A$2,B251,"LMMOAS","sec","")</f>
        <v>E</v>
      </c>
      <c r="F251">
        <v>466.91738900000001</v>
      </c>
    </row>
    <row r="252" spans="2:6" ht="15" x14ac:dyDescent="0.25">
      <c r="B252" s="14">
        <v>40941</v>
      </c>
      <c r="C252" s="30" t="str">
        <f>[2]!YBHIST($A$2,$B252,"Price","sec","")</f>
        <v>E</v>
      </c>
      <c r="D252" t="str">
        <f>[2]!YBPRICE($A$2,C252&amp;"d",$B253,"OAS","Swap",B252,"LMMSkew","","Model",100,"OAS")</f>
        <v>E</v>
      </c>
      <c r="E252" s="32" t="str">
        <f>[2]!YBHIST($A$2,B252,"LMMOAS","sec","")</f>
        <v>E</v>
      </c>
      <c r="F252">
        <v>490.40579200000002</v>
      </c>
    </row>
    <row r="253" spans="2:6" ht="15" x14ac:dyDescent="0.25">
      <c r="B253" s="14">
        <v>40942</v>
      </c>
      <c r="C253" s="30" t="str">
        <f>[2]!YBHIST($A$2,$B253,"Price","sec","")</f>
        <v>E</v>
      </c>
      <c r="D253" t="str">
        <f>[2]!YBPRICE($A$2,C253&amp;"d",$B254,"OAS","Swap",B253,"LMMSkew","","Model",100,"OAS")</f>
        <v>E</v>
      </c>
      <c r="E253" s="32" t="str">
        <f>[2]!YBHIST($A$2,B253,"LMMOAS","sec","")</f>
        <v>E</v>
      </c>
      <c r="F253">
        <v>365.53659099999999</v>
      </c>
    </row>
    <row r="254" spans="2:6" ht="15" x14ac:dyDescent="0.25">
      <c r="B254" s="14">
        <v>40945</v>
      </c>
      <c r="C254" s="30" t="str">
        <f>[2]!YBHIST($A$2,$B254,"Price","sec","")</f>
        <v>E</v>
      </c>
      <c r="D254" t="str">
        <f>[2]!YBPRICE($A$2,C254&amp;"d",$B255,"OAS","Swap",B254,"LMMSkew","","Model",100,"OAS")</f>
        <v>E</v>
      </c>
      <c r="E254" s="32" t="str">
        <f>[2]!YBHIST($A$2,B254,"LMMOAS","sec","")</f>
        <v>E</v>
      </c>
      <c r="F254">
        <v>383.16290299999997</v>
      </c>
    </row>
    <row r="255" spans="2:6" ht="15" x14ac:dyDescent="0.25">
      <c r="B255" s="14">
        <v>40946</v>
      </c>
      <c r="C255" s="30" t="str">
        <f>[2]!YBHIST($A$2,$B255,"Price","sec","")</f>
        <v>E</v>
      </c>
      <c r="D255" t="str">
        <f>[2]!YBPRICE($A$2,C255&amp;"d",$B256,"OAS","Swap",B255,"LMMSkew","","Model",100,"OAS")</f>
        <v>E</v>
      </c>
      <c r="E255" s="32" t="str">
        <f>[2]!YBHIST($A$2,B255,"LMMOAS","sec","")</f>
        <v>E</v>
      </c>
      <c r="F255">
        <v>319.17748999999998</v>
      </c>
    </row>
    <row r="256" spans="2:6" ht="15" x14ac:dyDescent="0.25">
      <c r="B256" s="14">
        <v>40947</v>
      </c>
      <c r="C256" s="30" t="str">
        <f>[2]!YBHIST($A$2,$B256,"Price","sec","")</f>
        <v>E</v>
      </c>
      <c r="D256" t="str">
        <f>[2]!YBPRICE($A$2,C256&amp;"d",$B257,"OAS","Swap",B256,"LMMSkew","","Model",100,"OAS")</f>
        <v>E</v>
      </c>
      <c r="E256" s="32" t="str">
        <f>[2]!YBHIST($A$2,B256,"LMMOAS","sec","")</f>
        <v>E</v>
      </c>
      <c r="F256">
        <v>313.64639299999999</v>
      </c>
    </row>
    <row r="257" spans="2:6" ht="15" x14ac:dyDescent="0.25">
      <c r="B257" s="14">
        <v>40948</v>
      </c>
      <c r="C257" s="30" t="str">
        <f>[2]!YBHIST($A$2,$B257,"Price","sec","")</f>
        <v>E</v>
      </c>
      <c r="D257" t="str">
        <f>[2]!YBPRICE($A$2,C257&amp;"d",$B258,"OAS","Swap",B257,"LMMSkew","","Model",100,"OAS")</f>
        <v>E</v>
      </c>
      <c r="E257" s="32" t="str">
        <f>[2]!YBHIST($A$2,B257,"LMMOAS","sec","")</f>
        <v>E</v>
      </c>
      <c r="F257">
        <v>259.65728799999999</v>
      </c>
    </row>
    <row r="258" spans="2:6" ht="15" x14ac:dyDescent="0.25">
      <c r="B258" s="14">
        <v>40949</v>
      </c>
      <c r="C258" s="30" t="str">
        <f>[2]!YBHIST($A$2,$B258,"Price","sec","")</f>
        <v>E</v>
      </c>
      <c r="D258" t="str">
        <f>[2]!YBPRICE($A$2,C258&amp;"d",$B259,"OAS","Swap",B258,"LMMSkew","","Model",100,"OAS")</f>
        <v>E</v>
      </c>
      <c r="E258" s="32" t="str">
        <f>[2]!YBHIST($A$2,B258,"LMMOAS","sec","")</f>
        <v>E</v>
      </c>
      <c r="F258">
        <v>297.07180799999998</v>
      </c>
    </row>
    <row r="259" spans="2:6" ht="15" x14ac:dyDescent="0.25">
      <c r="B259" s="14">
        <v>40952</v>
      </c>
      <c r="C259" s="30" t="str">
        <f>[2]!YBHIST($A$2,$B259,"Price","sec","")</f>
        <v>E</v>
      </c>
      <c r="D259" t="str">
        <f>[2]!YBPRICE($A$2,C259&amp;"d",$B260,"OAS","Swap",B259,"LMMSkew","","Model",100,"OAS")</f>
        <v>E</v>
      </c>
      <c r="E259" s="32" t="str">
        <f>[2]!YBHIST($A$2,B259,"LMMOAS","sec","")</f>
        <v>E</v>
      </c>
      <c r="F259">
        <v>247.52720600000001</v>
      </c>
    </row>
    <row r="260" spans="2:6" ht="15" x14ac:dyDescent="0.25">
      <c r="B260" s="14">
        <v>40953</v>
      </c>
      <c r="C260" s="30" t="str">
        <f>[2]!YBHIST($A$2,$B260,"Price","sec","")</f>
        <v>E</v>
      </c>
      <c r="D260" t="str">
        <f>[2]!YBPRICE($A$2,C260&amp;"d",$B261,"OAS","Swap",B260,"LMMSkew","","Model",100,"OAS")</f>
        <v>E</v>
      </c>
      <c r="E260" s="32" t="str">
        <f>[2]!YBHIST($A$2,B260,"LMMOAS","sec","")</f>
        <v>E</v>
      </c>
      <c r="F260">
        <v>286.90188599999999</v>
      </c>
    </row>
    <row r="261" spans="2:6" ht="15" x14ac:dyDescent="0.25">
      <c r="B261" s="14">
        <v>40954</v>
      </c>
      <c r="C261" s="30" t="str">
        <f>[2]!YBHIST($A$2,$B261,"Price","sec","")</f>
        <v>E</v>
      </c>
      <c r="D261" t="str">
        <f>[2]!YBPRICE($A$2,C261&amp;"d",$B262,"OAS","Swap",B261,"LMMSkew","","Model",100,"OAS")</f>
        <v>E</v>
      </c>
      <c r="E261" s="32" t="str">
        <f>[2]!YBHIST($A$2,B261,"LMMOAS","sec","")</f>
        <v>E</v>
      </c>
      <c r="F261">
        <v>306.90368699999999</v>
      </c>
    </row>
    <row r="262" spans="2:6" ht="15" x14ac:dyDescent="0.25">
      <c r="B262" s="14">
        <v>40955</v>
      </c>
      <c r="C262" s="30" t="str">
        <f>[2]!YBHIST($A$2,$B262,"Price","sec","")</f>
        <v>E</v>
      </c>
      <c r="D262" t="str">
        <f>[2]!YBPRICE($A$2,C262&amp;"d",$B263,"OAS","Swap",B262,"LMMSkew","","Model",100,"OAS")</f>
        <v>E</v>
      </c>
      <c r="E262" s="32" t="str">
        <f>[2]!YBHIST($A$2,B262,"LMMOAS","sec","")</f>
        <v>E</v>
      </c>
      <c r="F262">
        <v>238.676804</v>
      </c>
    </row>
    <row r="263" spans="2:6" ht="15" x14ac:dyDescent="0.25">
      <c r="B263" s="14">
        <v>40956</v>
      </c>
      <c r="C263" s="30" t="str">
        <f>[2]!YBHIST($A$2,$B263,"Price","sec","")</f>
        <v>E</v>
      </c>
      <c r="D263" t="str">
        <f>[2]!YBPRICE($A$2,C263&amp;"d",$B264,"OAS","Swap",B263,"LMMSkew","","Model",100,"OAS")</f>
        <v>E</v>
      </c>
      <c r="E263" s="32" t="str">
        <f>[2]!YBHIST($A$2,B263,"LMMOAS","sec","")</f>
        <v>E</v>
      </c>
      <c r="F263">
        <v>227.82620199999999</v>
      </c>
    </row>
    <row r="264" spans="2:6" ht="15" x14ac:dyDescent="0.25">
      <c r="B264" s="14">
        <v>40960</v>
      </c>
      <c r="C264" s="30" t="str">
        <f>[2]!YBHIST($A$2,$B264,"Price","sec","")</f>
        <v>E</v>
      </c>
      <c r="D264" t="str">
        <f>[2]!YBPRICE($A$2,C264&amp;"d",$B265,"OAS","Swap",B264,"LMMSkew","","Model",100,"OAS")</f>
        <v>E</v>
      </c>
      <c r="E264" s="32" t="str">
        <f>[2]!YBHIST($A$2,B264,"LMMOAS","sec","")</f>
        <v>E</v>
      </c>
      <c r="F264">
        <v>201.929596</v>
      </c>
    </row>
    <row r="265" spans="2:6" ht="15" x14ac:dyDescent="0.25">
      <c r="B265" s="14">
        <v>40961</v>
      </c>
      <c r="C265" s="30" t="str">
        <f>[2]!YBHIST($A$2,$B265,"Price","sec","")</f>
        <v>E</v>
      </c>
      <c r="D265" t="str">
        <f>[2]!YBPRICE($A$2,C265&amp;"d",$B266,"OAS","Swap",B265,"LMMSkew","","Model",100,"OAS")</f>
        <v>E</v>
      </c>
      <c r="E265" s="32" t="str">
        <f>[2]!YBHIST($A$2,B265,"LMMOAS","sec","")</f>
        <v>E</v>
      </c>
      <c r="F265">
        <v>242.471802</v>
      </c>
    </row>
    <row r="266" spans="2:6" ht="15" x14ac:dyDescent="0.25">
      <c r="B266" s="14">
        <v>40962</v>
      </c>
      <c r="C266" s="30" t="str">
        <f>[2]!YBHIST($A$2,$B266,"Price","sec","")</f>
        <v>E</v>
      </c>
      <c r="D266" t="str">
        <f>[2]!YBPRICE($A$2,C266&amp;"d",$B267,"OAS","Swap",B266,"LMMSkew","","Model",100,"OAS")</f>
        <v>E</v>
      </c>
      <c r="E266" s="32" t="str">
        <f>[2]!YBHIST($A$2,B266,"LMMOAS","sec","")</f>
        <v>E</v>
      </c>
      <c r="F266">
        <v>240.480896</v>
      </c>
    </row>
    <row r="267" spans="2:6" ht="15" x14ac:dyDescent="0.25">
      <c r="B267" s="14">
        <v>40963</v>
      </c>
      <c r="C267" s="30" t="str">
        <f>[2]!YBHIST($A$2,$B267,"Price","sec","")</f>
        <v>E</v>
      </c>
      <c r="D267" t="str">
        <f>[2]!YBPRICE($A$2,C267&amp;"d",$B268,"OAS","Swap",B267,"LMMSkew","","Model",100,"OAS")</f>
        <v>E</v>
      </c>
      <c r="E267" s="32" t="str">
        <f>[2]!YBHIST($A$2,B267,"LMMOAS","sec","")</f>
        <v>E</v>
      </c>
      <c r="F267">
        <v>223.970901</v>
      </c>
    </row>
    <row r="268" spans="2:6" ht="15" x14ac:dyDescent="0.25">
      <c r="B268" s="14">
        <v>40966</v>
      </c>
      <c r="C268" s="30" t="str">
        <f>[2]!YBHIST($A$2,$B268,"Price","sec","")</f>
        <v>E</v>
      </c>
      <c r="D268" t="str">
        <f>[2]!YBPRICE($A$2,C268&amp;"d",$B269,"OAS","Swap",B268,"LMMSkew","","Model",100,"OAS")</f>
        <v>E</v>
      </c>
      <c r="E268" s="32" t="str">
        <f>[2]!YBHIST($A$2,B268,"LMMOAS","sec","")</f>
        <v>E</v>
      </c>
      <c r="F268">
        <v>236.057602</v>
      </c>
    </row>
    <row r="269" spans="2:6" ht="15" x14ac:dyDescent="0.25">
      <c r="B269" s="14">
        <v>40967</v>
      </c>
      <c r="C269" s="30" t="str">
        <f>[2]!YBHIST($A$2,$B269,"Price","sec","")</f>
        <v>E</v>
      </c>
      <c r="D269" t="str">
        <f>[2]!YBPRICE($A$2,C269&amp;"d",$B270,"OAS","Swap",B269,"LMMSkew","","Model",100,"OAS")</f>
        <v>E</v>
      </c>
      <c r="E269" s="32" t="str">
        <f>[2]!YBHIST($A$2,B269,"LMMOAS","sec","")</f>
        <v>E</v>
      </c>
      <c r="F269">
        <v>220.4785</v>
      </c>
    </row>
    <row r="270" spans="2:6" ht="15" x14ac:dyDescent="0.25">
      <c r="B270" s="14">
        <v>40968</v>
      </c>
      <c r="C270" s="30" t="str">
        <f>[2]!YBHIST($A$2,$B270,"Price","sec","")</f>
        <v>E</v>
      </c>
      <c r="D270" t="str">
        <f>[2]!YBPRICE($A$2,C270&amp;"d",$B271,"OAS","Swap",B270,"LMMSkew","","Model",100,"OAS")</f>
        <v>E</v>
      </c>
      <c r="E270" s="32" t="str">
        <f>[2]!YBHIST($A$2,B270,"LMMOAS","sec","")</f>
        <v>E</v>
      </c>
      <c r="F270">
        <v>162.42820699999999</v>
      </c>
    </row>
    <row r="271" spans="2:6" ht="15" x14ac:dyDescent="0.25">
      <c r="B271" s="14">
        <v>40969</v>
      </c>
      <c r="C271" s="30" t="str">
        <f>[2]!YBHIST($A$2,$B271,"Price","sec","")</f>
        <v>E</v>
      </c>
      <c r="D271" t="str">
        <f>[2]!YBPRICE($A$2,C271&amp;"d",$B272,"OAS","Swap",B271,"LMMSkew","","Model",100,"OAS")</f>
        <v>E</v>
      </c>
      <c r="E271" s="32" t="str">
        <f>[2]!YBHIST($A$2,B271,"LMMOAS","sec","")</f>
        <v>E</v>
      </c>
      <c r="F271">
        <v>129.48699999999999</v>
      </c>
    </row>
    <row r="272" spans="2:6" ht="15" x14ac:dyDescent="0.25">
      <c r="B272" s="14">
        <v>40970</v>
      </c>
      <c r="C272" s="30" t="str">
        <f>[2]!YBHIST($A$2,$B272,"Price","sec","")</f>
        <v>E</v>
      </c>
      <c r="D272" t="str">
        <f>[2]!YBPRICE($A$2,C272&amp;"d",$B273,"OAS","Swap",B272,"LMMSkew","","Model",100,"OAS")</f>
        <v>E</v>
      </c>
      <c r="E272" s="32" t="str">
        <f>[2]!YBHIST($A$2,B272,"LMMOAS","sec","")</f>
        <v>E</v>
      </c>
      <c r="F272">
        <v>160.42860400000001</v>
      </c>
    </row>
    <row r="273" spans="2:6" ht="15" x14ac:dyDescent="0.25">
      <c r="B273" s="14">
        <v>40973</v>
      </c>
      <c r="C273" s="30" t="str">
        <f>[2]!YBHIST($A$2,$B273,"Price","sec","")</f>
        <v>E</v>
      </c>
      <c r="D273" t="str">
        <f>[2]!YBPRICE($A$2,C273&amp;"d",$B274,"OAS","Swap",B273,"LMMSkew","","Model",100,"OAS")</f>
        <v>E</v>
      </c>
      <c r="E273" s="32" t="str">
        <f>[2]!YBHIST($A$2,B273,"LMMOAS","sec","")</f>
        <v>E</v>
      </c>
      <c r="F273">
        <v>145.221802</v>
      </c>
    </row>
    <row r="274" spans="2:6" ht="15" x14ac:dyDescent="0.25">
      <c r="B274" s="14">
        <v>40974</v>
      </c>
      <c r="C274" s="30" t="str">
        <f>[2]!YBHIST($A$2,$B274,"Price","sec","")</f>
        <v>E</v>
      </c>
      <c r="D274" t="str">
        <f>[2]!YBPRICE($A$2,C274&amp;"d",$B275,"OAS","Swap",B274,"LMMSkew","","Model",100,"OAS")</f>
        <v>E</v>
      </c>
      <c r="E274" s="32" t="str">
        <f>[2]!YBHIST($A$2,B274,"LMMOAS","sec","")</f>
        <v>E</v>
      </c>
      <c r="F274">
        <v>163.85519400000001</v>
      </c>
    </row>
    <row r="275" spans="2:6" ht="15" x14ac:dyDescent="0.25">
      <c r="B275" s="14">
        <v>40975</v>
      </c>
      <c r="C275" s="30" t="str">
        <f>[2]!YBHIST($A$2,$B275,"Price","sec","")</f>
        <v>E</v>
      </c>
      <c r="D275" t="str">
        <f>[2]!YBPRICE($A$2,C275&amp;"d",$B276,"OAS","Swap",B275,"LMMSkew","","Model",100,"OAS")</f>
        <v>E</v>
      </c>
      <c r="E275" s="32" t="str">
        <f>[2]!YBHIST($A$2,B275,"LMMOAS","sec","")</f>
        <v>E</v>
      </c>
      <c r="F275">
        <v>169.16520700000001</v>
      </c>
    </row>
    <row r="276" spans="2:6" ht="15" x14ac:dyDescent="0.25">
      <c r="B276" s="14">
        <v>40976</v>
      </c>
      <c r="C276" s="30" t="str">
        <f>[2]!YBHIST($A$2,$B276,"Price","sec","")</f>
        <v>E</v>
      </c>
      <c r="D276" t="str">
        <f>[2]!YBPRICE($A$2,C276&amp;"d",$B277,"OAS","Swap",B276,"LMMSkew","","Model",100,"OAS")</f>
        <v>E</v>
      </c>
      <c r="E276" s="32" t="str">
        <f>[2]!YBHIST($A$2,B276,"LMMOAS","sec","")</f>
        <v>E</v>
      </c>
      <c r="F276">
        <v>170.226303</v>
      </c>
    </row>
    <row r="277" spans="2:6" ht="15" x14ac:dyDescent="0.25">
      <c r="B277" s="14">
        <v>40977</v>
      </c>
      <c r="C277" s="30" t="str">
        <f>[2]!YBHIST($A$2,$B277,"Price","sec","")</f>
        <v>E</v>
      </c>
      <c r="D277" t="str">
        <f>[2]!YBPRICE($A$2,C277&amp;"d",$B278,"OAS","Swap",B277,"LMMSkew","","Model",100,"OAS")</f>
        <v>E</v>
      </c>
      <c r="E277" s="32" t="str">
        <f>[2]!YBHIST($A$2,B277,"LMMOAS","sec","")</f>
        <v>E</v>
      </c>
      <c r="F277">
        <v>154.49949599999999</v>
      </c>
    </row>
    <row r="278" spans="2:6" ht="15" x14ac:dyDescent="0.25">
      <c r="B278" s="14">
        <v>40980</v>
      </c>
      <c r="C278" s="30" t="str">
        <f>[2]!YBHIST($A$2,$B278,"Price","sec","")</f>
        <v>E</v>
      </c>
      <c r="D278" t="str">
        <f>[2]!YBPRICE($A$2,C278&amp;"d",$B279,"OAS","Swap",B278,"LMMSkew","","Model",100,"OAS")</f>
        <v>E</v>
      </c>
      <c r="E278" s="32" t="str">
        <f>[2]!YBHIST($A$2,B278,"LMMOAS","sec","")</f>
        <v>E</v>
      </c>
      <c r="F278">
        <v>167.63699299999999</v>
      </c>
    </row>
    <row r="279" spans="2:6" ht="15" x14ac:dyDescent="0.25">
      <c r="B279" s="14">
        <v>40981</v>
      </c>
      <c r="C279" s="30" t="str">
        <f>[2]!YBHIST($A$2,$B279,"Price","sec","")</f>
        <v>E</v>
      </c>
      <c r="D279" t="str">
        <f>[2]!YBPRICE($A$2,C279&amp;"d",$B280,"OAS","Swap",B279,"LMMSkew","","Model",100,"OAS")</f>
        <v>E</v>
      </c>
      <c r="E279" s="32" t="str">
        <f>[2]!YBHIST($A$2,B279,"LMMOAS","sec","")</f>
        <v>E</v>
      </c>
      <c r="F279">
        <v>125.08719600000001</v>
      </c>
    </row>
    <row r="280" spans="2:6" ht="15" x14ac:dyDescent="0.25">
      <c r="B280" s="14">
        <v>40982</v>
      </c>
      <c r="C280" s="30" t="str">
        <f>[2]!YBHIST($A$2,$B280,"Price","sec","")</f>
        <v>E</v>
      </c>
      <c r="D280" t="str">
        <f>[2]!YBPRICE($A$2,C280&amp;"d",$B281,"OAS","Swap",B280,"LMMSkew","","Model",100,"OAS")</f>
        <v>E</v>
      </c>
      <c r="E280" s="32" t="str">
        <f>[2]!YBHIST($A$2,B280,"LMMOAS","sec","")</f>
        <v>E</v>
      </c>
      <c r="F280">
        <v>56.842799999999997</v>
      </c>
    </row>
    <row r="281" spans="2:6" ht="15" x14ac:dyDescent="0.25">
      <c r="B281" s="14">
        <v>40983</v>
      </c>
      <c r="C281" s="30" t="str">
        <f>[2]!YBHIST($A$2,$B281,"Price","sec","")</f>
        <v>E</v>
      </c>
      <c r="D281" t="str">
        <f>[2]!YBPRICE($A$2,C281&amp;"d",$B282,"OAS","Swap",B281,"LMMSkew","","Model",100,"OAS")</f>
        <v>E</v>
      </c>
      <c r="E281" s="32" t="str">
        <f>[2]!YBHIST($A$2,B281,"LMMOAS","sec","")</f>
        <v>E</v>
      </c>
      <c r="F281">
        <v>71.837303000000006</v>
      </c>
    </row>
    <row r="282" spans="2:6" ht="15" x14ac:dyDescent="0.25">
      <c r="B282" s="14">
        <v>40984</v>
      </c>
      <c r="C282" s="30" t="str">
        <f>[2]!YBHIST($A$2,$B282,"Price","sec","")</f>
        <v>E</v>
      </c>
      <c r="D282" t="str">
        <f>[2]!YBPRICE($A$2,C282&amp;"d",$B283,"OAS","Swap",B282,"LMMSkew","","Model",100,"OAS")</f>
        <v>E</v>
      </c>
      <c r="E282" s="32" t="str">
        <f>[2]!YBHIST($A$2,B282,"LMMOAS","sec","")</f>
        <v>E</v>
      </c>
      <c r="F282">
        <v>60.188400000000001</v>
      </c>
    </row>
    <row r="283" spans="2:6" ht="15" x14ac:dyDescent="0.25">
      <c r="B283" s="14">
        <v>40987</v>
      </c>
      <c r="C283" s="30" t="str">
        <f>[2]!YBHIST($A$2,$B283,"Price","sec","")</f>
        <v>E</v>
      </c>
      <c r="D283" t="str">
        <f>[2]!YBPRICE($A$2,C283&amp;"d",$B284,"OAS","Swap",B283,"LMMSkew","","Model",100,"OAS")</f>
        <v>E</v>
      </c>
      <c r="E283" s="32" t="str">
        <f>[2]!YBHIST($A$2,B283,"LMMOAS","sec","")</f>
        <v>E</v>
      </c>
      <c r="F283">
        <v>-4.1496000000000004</v>
      </c>
    </row>
    <row r="284" spans="2:6" ht="15" x14ac:dyDescent="0.25">
      <c r="B284" s="14">
        <v>40988</v>
      </c>
      <c r="C284" s="30" t="str">
        <f>[2]!YBHIST($A$2,$B284,"Price","sec","")</f>
        <v>E</v>
      </c>
      <c r="D284" t="str">
        <f>[2]!YBPRICE($A$2,C284&amp;"d",$B285,"OAS","Swap",B284,"LMMSkew","","Model",100,"OAS")</f>
        <v>E</v>
      </c>
      <c r="E284" s="32" t="str">
        <f>[2]!YBHIST($A$2,B284,"LMMOAS","sec","")</f>
        <v>E</v>
      </c>
      <c r="F284">
        <v>-16.381001000000001</v>
      </c>
    </row>
    <row r="285" spans="2:6" ht="15" x14ac:dyDescent="0.25">
      <c r="B285" s="14">
        <v>40989</v>
      </c>
      <c r="C285" s="30" t="str">
        <f>[2]!YBHIST($A$2,$B285,"Price","sec","")</f>
        <v>E</v>
      </c>
      <c r="D285" t="str">
        <f>[2]!YBPRICE($A$2,C285&amp;"d",$B286,"OAS","Swap",B285,"LMMSkew","","Model",100,"OAS")</f>
        <v>E</v>
      </c>
      <c r="E285" s="32" t="str">
        <f>[2]!YBHIST($A$2,B285,"LMMOAS","sec","")</f>
        <v>E</v>
      </c>
      <c r="F285">
        <v>15.536</v>
      </c>
    </row>
    <row r="286" spans="2:6" ht="15" x14ac:dyDescent="0.25">
      <c r="B286" s="14">
        <v>40990</v>
      </c>
      <c r="C286" s="30" t="str">
        <f>[2]!YBHIST($A$2,$B286,"Price","sec","")</f>
        <v>E</v>
      </c>
      <c r="D286" t="str">
        <f>[2]!YBPRICE($A$2,C286&amp;"d",$B287,"OAS","Swap",B286,"LMMSkew","","Model",100,"OAS")</f>
        <v>E</v>
      </c>
      <c r="E286" s="32" t="str">
        <f>[2]!YBHIST($A$2,B286,"LMMOAS","sec","")</f>
        <v>E</v>
      </c>
      <c r="F286">
        <v>15.0131</v>
      </c>
    </row>
    <row r="287" spans="2:6" ht="15" x14ac:dyDescent="0.25">
      <c r="B287" s="14">
        <v>40991</v>
      </c>
      <c r="C287" s="30" t="str">
        <f>[2]!YBHIST($A$2,$B287,"Price","sec","")</f>
        <v>E</v>
      </c>
      <c r="D287" t="str">
        <f>[2]!YBPRICE($A$2,C287&amp;"d",$B288,"OAS","Swap",B287,"LMMSkew","","Model",100,"OAS")</f>
        <v>E</v>
      </c>
      <c r="E287" s="32" t="str">
        <f>[2]!YBHIST($A$2,B287,"LMMOAS","sec","")</f>
        <v>E</v>
      </c>
      <c r="F287">
        <v>16.662399000000001</v>
      </c>
    </row>
    <row r="288" spans="2:6" ht="15" x14ac:dyDescent="0.25">
      <c r="B288" s="14">
        <v>40994</v>
      </c>
      <c r="C288" s="30" t="str">
        <f>[2]!YBHIST($A$2,$B288,"Price","sec","")</f>
        <v>E</v>
      </c>
      <c r="D288" t="str">
        <f>[2]!YBPRICE($A$2,C288&amp;"d",$B289,"OAS","Swap",B288,"LMMSkew","","Model",100,"OAS")</f>
        <v>E</v>
      </c>
      <c r="E288" s="32" t="str">
        <f>[2]!YBHIST($A$2,B288,"LMMOAS","sec","")</f>
        <v>E</v>
      </c>
      <c r="F288">
        <v>19.258400000000002</v>
      </c>
    </row>
    <row r="289" spans="2:6" ht="15" x14ac:dyDescent="0.25">
      <c r="B289" s="14">
        <v>40995</v>
      </c>
      <c r="C289" s="30" t="str">
        <f>[2]!YBHIST($A$2,$B289,"Price","sec","")</f>
        <v>E</v>
      </c>
      <c r="D289" t="str">
        <f>[2]!YBPRICE($A$2,C289&amp;"d",$B290,"OAS","Swap",B289,"LMMSkew","","Model",100,"OAS")</f>
        <v>E</v>
      </c>
      <c r="E289" s="32" t="str">
        <f>[2]!YBHIST($A$2,B289,"LMMOAS","sec","")</f>
        <v>E</v>
      </c>
      <c r="F289">
        <v>57.465302000000001</v>
      </c>
    </row>
    <row r="290" spans="2:6" ht="15" x14ac:dyDescent="0.25">
      <c r="B290" s="14">
        <v>40996</v>
      </c>
      <c r="C290" s="30" t="str">
        <f>[2]!YBHIST($A$2,$B290,"Price","sec","")</f>
        <v>E</v>
      </c>
      <c r="D290" t="str">
        <f>[2]!YBPRICE($A$2,C290&amp;"d",$B291,"OAS","Swap",B290,"LMMSkew","","Model",100,"OAS")</f>
        <v>E</v>
      </c>
      <c r="E290" s="32" t="str">
        <f>[2]!YBHIST($A$2,B290,"LMMOAS","sec","")</f>
        <v>E</v>
      </c>
      <c r="F290">
        <v>47.925700999999997</v>
      </c>
    </row>
    <row r="291" spans="2:6" ht="15" x14ac:dyDescent="0.25">
      <c r="B291" s="14">
        <v>40997</v>
      </c>
      <c r="C291" s="30" t="str">
        <f>[2]!YBHIST($A$2,$B291,"Price","sec","")</f>
        <v>E</v>
      </c>
      <c r="D291" t="str">
        <f>[2]!YBPRICE($A$2,C291&amp;"d",$B292,"OAS","Swap",B291,"LMMSkew","","Model",100,"OAS")</f>
        <v>E</v>
      </c>
      <c r="E291" s="32" t="str">
        <f>[2]!YBHIST($A$2,B291,"LMMOAS","sec","")</f>
        <v>E</v>
      </c>
      <c r="F291">
        <v>63.045898000000001</v>
      </c>
    </row>
    <row r="292" spans="2:6" ht="15" x14ac:dyDescent="0.25">
      <c r="B292" s="14">
        <v>40998</v>
      </c>
      <c r="C292" s="30" t="str">
        <f>[2]!YBHIST($A$2,$B292,"Price","sec","")</f>
        <v>E</v>
      </c>
      <c r="D292" t="str">
        <f>[2]!YBPRICE($A$2,C292&amp;"d",$B293,"OAS","Swap",B292,"LMMSkew","","Model",100,"OAS")</f>
        <v>E</v>
      </c>
      <c r="E292" s="32" t="str">
        <f>[2]!YBHIST($A$2,B292,"LMMOAS","sec","")</f>
        <v>E</v>
      </c>
      <c r="F292">
        <v>21.704599000000002</v>
      </c>
    </row>
    <row r="293" spans="2:6" ht="15" x14ac:dyDescent="0.25">
      <c r="B293" s="14">
        <v>41001</v>
      </c>
      <c r="C293" s="30" t="str">
        <f>[2]!YBHIST($A$2,$B293,"Price","sec","")</f>
        <v>E</v>
      </c>
      <c r="D293" t="str">
        <f>[2]!YBPRICE($A$2,C293&amp;"d",$B294,"OAS","Swap",B293,"LMMSkew","","Model",100,"OAS")</f>
        <v>E</v>
      </c>
      <c r="E293" s="32" t="str">
        <f>[2]!YBHIST($A$2,B293,"LMMOAS","sec","")</f>
        <v>E</v>
      </c>
      <c r="F293">
        <v>26.460999999999999</v>
      </c>
    </row>
    <row r="294" spans="2:6" ht="15" x14ac:dyDescent="0.25">
      <c r="B294" s="14">
        <v>41002</v>
      </c>
      <c r="C294" s="30" t="str">
        <f>[2]!YBHIST($A$2,$B294,"Price","sec","")</f>
        <v>E</v>
      </c>
      <c r="D294" t="str">
        <f>[2]!YBPRICE($A$2,C294&amp;"d",$B295,"OAS","Swap",B294,"LMMSkew","","Model",100,"OAS")</f>
        <v>E</v>
      </c>
      <c r="E294" s="32" t="str">
        <f>[2]!YBHIST($A$2,B294,"LMMOAS","sec","")</f>
        <v>E</v>
      </c>
      <c r="F294">
        <v>-25.407800999999999</v>
      </c>
    </row>
    <row r="295" spans="2:6" ht="15" x14ac:dyDescent="0.25">
      <c r="B295" s="14">
        <v>41003</v>
      </c>
      <c r="C295" s="30" t="str">
        <f>[2]!YBHIST($A$2,$B295,"Price","sec","")</f>
        <v>E</v>
      </c>
      <c r="D295" t="str">
        <f>[2]!YBPRICE($A$2,C295&amp;"d",$B296,"OAS","Swap",B295,"LMMSkew","","Model",100,"OAS")</f>
        <v>E</v>
      </c>
      <c r="E295" s="32" t="str">
        <f>[2]!YBHIST($A$2,B295,"LMMOAS","sec","")</f>
        <v>E</v>
      </c>
      <c r="F295">
        <v>-9.9998000000000005</v>
      </c>
    </row>
    <row r="296" spans="2:6" ht="15" x14ac:dyDescent="0.25">
      <c r="B296" s="14">
        <v>41004</v>
      </c>
      <c r="C296" s="30" t="str">
        <f>[2]!YBHIST($A$2,$B296,"Price","sec","")</f>
        <v>E</v>
      </c>
      <c r="D296" t="str">
        <f>[2]!YBPRICE($A$2,C296&amp;"d",$B297,"OAS","Swap",B296,"LMMSkew","","Model",100,"OAS")</f>
        <v>E</v>
      </c>
      <c r="E296" s="32" t="str">
        <f>[2]!YBHIST($A$2,B296,"LMMOAS","sec","")</f>
        <v>E</v>
      </c>
      <c r="F296">
        <v>13.196199999999999</v>
      </c>
    </row>
    <row r="297" spans="2:6" ht="15" x14ac:dyDescent="0.25">
      <c r="B297" s="14">
        <v>41005</v>
      </c>
      <c r="C297" s="30" t="str">
        <f>[2]!YBHIST($A$2,$B297,"Price","sec","")</f>
        <v>E</v>
      </c>
      <c r="D297" t="str">
        <f>[2]!YBPRICE($A$2,C297&amp;"d",$B298,"OAS","Swap",B297,"LMMSkew","","Model",100,"OAS")</f>
        <v>E</v>
      </c>
      <c r="E297" s="32" t="str">
        <f>[2]!YBHIST($A$2,B297,"LMMOAS","sec","")</f>
        <v>E</v>
      </c>
      <c r="F297">
        <v>268.24160799999999</v>
      </c>
    </row>
    <row r="298" spans="2:6" ht="15" x14ac:dyDescent="0.25">
      <c r="B298" s="14">
        <v>41008</v>
      </c>
      <c r="C298" s="30" t="str">
        <f>[2]!YBHIST($A$2,$B298,"Price","sec","")</f>
        <v>E</v>
      </c>
      <c r="D298" t="str">
        <f>[2]!YBPRICE($A$2,C298&amp;"d",$B299,"OAS","Swap",B298,"LMMSkew","","Model",100,"OAS")</f>
        <v>E</v>
      </c>
      <c r="E298" s="32" t="str">
        <f>[2]!YBHIST($A$2,B298,"LMMOAS","sec","")</f>
        <v>E</v>
      </c>
      <c r="F298">
        <v>65.207297999999994</v>
      </c>
    </row>
    <row r="299" spans="2:6" ht="15" x14ac:dyDescent="0.25">
      <c r="B299" s="14">
        <v>41009</v>
      </c>
      <c r="C299" s="30" t="str">
        <f>[2]!YBHIST($A$2,$B299,"Price","sec","")</f>
        <v>E</v>
      </c>
      <c r="D299" t="str">
        <f>[2]!YBPRICE($A$2,C299&amp;"d",$B300,"OAS","Swap",B299,"LMMSkew","","Model",100,"OAS")</f>
        <v>E</v>
      </c>
      <c r="E299" s="32" t="str">
        <f>[2]!YBHIST($A$2,B299,"LMMOAS","sec","")</f>
        <v>E</v>
      </c>
      <c r="F299">
        <v>86.164398000000006</v>
      </c>
    </row>
    <row r="300" spans="2:6" ht="15" x14ac:dyDescent="0.25">
      <c r="B300" s="14">
        <v>41010</v>
      </c>
      <c r="C300" s="30" t="str">
        <f>[2]!YBHIST($A$2,$B300,"Price","sec","")</f>
        <v>E</v>
      </c>
      <c r="D300" t="str">
        <f>[2]!YBPRICE($A$2,C300&amp;"d",$B301,"OAS","Swap",B300,"LMMSkew","","Model",100,"OAS")</f>
        <v>E</v>
      </c>
      <c r="E300" s="32" t="str">
        <f>[2]!YBHIST($A$2,B300,"LMMOAS","sec","")</f>
        <v>E</v>
      </c>
      <c r="F300">
        <v>81.158896999999996</v>
      </c>
    </row>
    <row r="301" spans="2:6" ht="15" x14ac:dyDescent="0.25">
      <c r="B301" s="14">
        <v>41011</v>
      </c>
      <c r="C301" s="30" t="str">
        <f>[2]!YBHIST($A$2,$B301,"Price","sec","")</f>
        <v>E</v>
      </c>
      <c r="D301" t="str">
        <f>[2]!YBPRICE($A$2,C301&amp;"d",$B302,"OAS","Swap",B301,"LMMSkew","","Model",100,"OAS")</f>
        <v>E</v>
      </c>
      <c r="E301" s="32" t="str">
        <f>[2]!YBHIST($A$2,B301,"LMMOAS","sec","")</f>
        <v>E</v>
      </c>
      <c r="F301">
        <v>80.005095999999995</v>
      </c>
    </row>
    <row r="302" spans="2:6" ht="15" x14ac:dyDescent="0.25">
      <c r="B302" s="14">
        <v>41012</v>
      </c>
      <c r="C302" s="30" t="str">
        <f>[2]!YBHIST($A$2,$B302,"Price","sec","")</f>
        <v>E</v>
      </c>
      <c r="D302" t="str">
        <f>[2]!YBPRICE($A$2,C302&amp;"d",$B303,"OAS","Swap",B302,"LMMSkew","","Model",100,"OAS")</f>
        <v>E</v>
      </c>
      <c r="E302" s="32" t="str">
        <f>[2]!YBHIST($A$2,B302,"LMMOAS","sec","")</f>
        <v>E</v>
      </c>
      <c r="F302">
        <v>102.285202</v>
      </c>
    </row>
    <row r="303" spans="2:6" ht="15" x14ac:dyDescent="0.25">
      <c r="B303" s="14">
        <v>41015</v>
      </c>
      <c r="C303" s="30" t="str">
        <f>[2]!YBHIST($A$2,$B303,"Price","sec","")</f>
        <v>E</v>
      </c>
      <c r="D303" t="str">
        <f>[2]!YBPRICE($A$2,C303&amp;"d",$B304,"OAS","Swap",B303,"LMMSkew","","Model",100,"OAS")</f>
        <v>E</v>
      </c>
      <c r="E303" s="32" t="str">
        <f>[2]!YBHIST($A$2,B303,"LMMOAS","sec","")</f>
        <v>E</v>
      </c>
      <c r="F303">
        <v>116.2677</v>
      </c>
    </row>
    <row r="304" spans="2:6" ht="15" x14ac:dyDescent="0.25">
      <c r="B304" s="14">
        <v>41016</v>
      </c>
      <c r="C304" s="30" t="str">
        <f>[2]!YBHIST($A$2,$B304,"Price","sec","")</f>
        <v>E</v>
      </c>
      <c r="D304" t="str">
        <f>[2]!YBPRICE($A$2,C304&amp;"d",$B305,"OAS","Swap",B304,"LMMSkew","","Model",100,"OAS")</f>
        <v>E</v>
      </c>
      <c r="E304" s="32" t="str">
        <f>[2]!YBHIST($A$2,B304,"LMMOAS","sec","")</f>
        <v>E</v>
      </c>
      <c r="F304">
        <v>129.25959800000001</v>
      </c>
    </row>
    <row r="305" spans="2:6" ht="15" x14ac:dyDescent="0.25">
      <c r="B305" s="14">
        <v>41017</v>
      </c>
      <c r="C305" s="30" t="str">
        <f>[2]!YBHIST($A$2,$B305,"Price","sec","")</f>
        <v>E</v>
      </c>
      <c r="D305" t="str">
        <f>[2]!YBPRICE($A$2,C305&amp;"d",$B306,"OAS","Swap",B305,"LMMSkew","","Model",100,"OAS")</f>
        <v>E</v>
      </c>
      <c r="E305" s="32" t="str">
        <f>[2]!YBHIST($A$2,B305,"LMMOAS","sec","")</f>
        <v>E</v>
      </c>
      <c r="F305">
        <v>156.50619499999999</v>
      </c>
    </row>
    <row r="306" spans="2:6" ht="15" x14ac:dyDescent="0.25">
      <c r="B306" s="14">
        <v>41018</v>
      </c>
      <c r="C306" s="30" t="str">
        <f>[2]!YBHIST($A$2,$B306,"Price","sec","")</f>
        <v>E</v>
      </c>
      <c r="D306" t="str">
        <f>[2]!YBPRICE($A$2,C306&amp;"d",$B307,"OAS","Swap",B306,"LMMSkew","","Model",100,"OAS")</f>
        <v>E</v>
      </c>
      <c r="E306" s="32" t="str">
        <f>[2]!YBHIST($A$2,B306,"LMMOAS","sec","")</f>
        <v>E</v>
      </c>
      <c r="F306">
        <v>155.35600299999999</v>
      </c>
    </row>
    <row r="307" spans="2:6" ht="15" x14ac:dyDescent="0.25">
      <c r="B307" s="14">
        <v>41019</v>
      </c>
      <c r="C307" s="30" t="str">
        <f>[2]!YBHIST($A$2,$B307,"Price","sec","")</f>
        <v>E</v>
      </c>
      <c r="D307" t="str">
        <f>[2]!YBPRICE($A$2,C307&amp;"d",$B308,"OAS","Swap",B307,"LMMSkew","","Model",100,"OAS")</f>
        <v>E</v>
      </c>
      <c r="E307" s="32" t="str">
        <f>[2]!YBHIST($A$2,B307,"LMMOAS","sec","")</f>
        <v>E</v>
      </c>
      <c r="F307">
        <v>128.5121</v>
      </c>
    </row>
    <row r="308" spans="2:6" ht="15" x14ac:dyDescent="0.25">
      <c r="B308" s="14">
        <v>41022</v>
      </c>
      <c r="C308" s="30" t="str">
        <f>[2]!YBHIST($A$2,$B308,"Price","sec","")</f>
        <v>E</v>
      </c>
      <c r="D308" t="str">
        <f>[2]!YBPRICE($A$2,C308&amp;"d",$B309,"OAS","Swap",B308,"LMMSkew","","Model",100,"OAS")</f>
        <v>E</v>
      </c>
      <c r="E308" s="32" t="str">
        <f>[2]!YBHIST($A$2,B308,"LMMOAS","sec","")</f>
        <v>E</v>
      </c>
      <c r="F308">
        <v>142.64700300000001</v>
      </c>
    </row>
    <row r="309" spans="2:6" ht="15" x14ac:dyDescent="0.25">
      <c r="B309" s="14">
        <v>41023</v>
      </c>
      <c r="C309" s="30" t="str">
        <f>[2]!YBHIST($A$2,$B309,"Price","sec","")</f>
        <v>E</v>
      </c>
      <c r="D309" t="str">
        <f>[2]!YBPRICE($A$2,C309&amp;"d",$B310,"OAS","Swap",B309,"LMMSkew","","Model",100,"OAS")</f>
        <v>E</v>
      </c>
      <c r="E309" s="32" t="str">
        <f>[2]!YBHIST($A$2,B309,"LMMOAS","sec","")</f>
        <v>E</v>
      </c>
      <c r="F309">
        <v>128.158096</v>
      </c>
    </row>
    <row r="310" spans="2:6" ht="15" x14ac:dyDescent="0.25">
      <c r="B310" s="14">
        <v>41024</v>
      </c>
      <c r="C310" s="30" t="str">
        <f>[2]!YBHIST($A$2,$B310,"Price","sec","")</f>
        <v>E</v>
      </c>
      <c r="D310" t="str">
        <f>[2]!YBPRICE($A$2,C310&amp;"d",$B311,"OAS","Swap",B310,"LMMSkew","","Model",100,"OAS")</f>
        <v>E</v>
      </c>
      <c r="E310" s="32" t="str">
        <f>[2]!YBHIST($A$2,B310,"LMMOAS","sec","")</f>
        <v>E</v>
      </c>
      <c r="F310">
        <v>110.977997</v>
      </c>
    </row>
    <row r="311" spans="2:6" ht="15" x14ac:dyDescent="0.25">
      <c r="B311" s="14">
        <v>41025</v>
      </c>
      <c r="C311" s="30" t="str">
        <f>[2]!YBHIST($A$2,$B311,"Price","sec","")</f>
        <v>E</v>
      </c>
      <c r="D311" t="str">
        <f>[2]!YBPRICE($A$2,C311&amp;"d",$B312,"OAS","Swap",B311,"LMMSkew","","Model",100,"OAS")</f>
        <v>E</v>
      </c>
      <c r="E311" s="32" t="str">
        <f>[2]!YBHIST($A$2,B311,"LMMOAS","sec","")</f>
        <v>E</v>
      </c>
      <c r="F311">
        <v>119.915398</v>
      </c>
    </row>
    <row r="312" spans="2:6" ht="15" x14ac:dyDescent="0.25">
      <c r="B312" s="14">
        <v>41026</v>
      </c>
      <c r="C312" s="30" t="str">
        <f>[2]!YBHIST($A$2,$B312,"Price","sec","")</f>
        <v>E</v>
      </c>
      <c r="D312" t="str">
        <f>[2]!YBPRICE($A$2,C312&amp;"d",$B313,"OAS","Swap",B312,"LMMSkew","","Model",100,"OAS")</f>
        <v>E</v>
      </c>
      <c r="E312" s="32" t="str">
        <f>[2]!YBHIST($A$2,B312,"LMMOAS","sec","")</f>
        <v>E</v>
      </c>
      <c r="F312">
        <v>124.584503</v>
      </c>
    </row>
    <row r="313" spans="2:6" ht="15" x14ac:dyDescent="0.25">
      <c r="B313" s="14">
        <v>41029</v>
      </c>
      <c r="C313" s="30" t="str">
        <f>[2]!YBHIST($A$2,$B313,"Price","sec","")</f>
        <v>E</v>
      </c>
      <c r="D313" t="str">
        <f>[2]!YBPRICE($A$2,C313&amp;"d",$B314,"OAS","Swap",B313,"LMMSkew","","Model",100,"OAS")</f>
        <v>E</v>
      </c>
      <c r="E313" s="32" t="str">
        <f>[2]!YBHIST($A$2,B313,"LMMOAS","sec","")</f>
        <v>E</v>
      </c>
      <c r="F313">
        <v>103.585098</v>
      </c>
    </row>
    <row r="314" spans="2:6" ht="15" x14ac:dyDescent="0.25">
      <c r="B314" s="14">
        <v>41030</v>
      </c>
      <c r="C314" s="30" t="str">
        <f>[2]!YBHIST($A$2,$B314,"Price","sec","")</f>
        <v>E</v>
      </c>
      <c r="D314" t="str">
        <f>[2]!YBPRICE($A$2,C314&amp;"d",$B315,"OAS","Swap",B314,"LMMSkew","","Model",100,"OAS")</f>
        <v>E</v>
      </c>
      <c r="E314" s="32" t="str">
        <f>[2]!YBHIST($A$2,B314,"LMMOAS","sec","")</f>
        <v>E</v>
      </c>
      <c r="F314">
        <v>71.352203000000003</v>
      </c>
    </row>
    <row r="315" spans="2:6" ht="15" x14ac:dyDescent="0.25">
      <c r="B315" s="14">
        <v>41031</v>
      </c>
      <c r="C315" s="30" t="str">
        <f>[2]!YBHIST($A$2,$B315,"Price","sec","")</f>
        <v>E</v>
      </c>
      <c r="D315" t="str">
        <f>[2]!YBPRICE($A$2,C315&amp;"d",$B316,"OAS","Swap",B315,"LMMSkew","","Model",100,"OAS")</f>
        <v>E</v>
      </c>
      <c r="E315" s="32" t="str">
        <f>[2]!YBHIST($A$2,B315,"LMMOAS","sec","")</f>
        <v>E</v>
      </c>
      <c r="F315">
        <v>78.429100000000005</v>
      </c>
    </row>
    <row r="316" spans="2:6" ht="15" x14ac:dyDescent="0.25">
      <c r="B316" s="14">
        <v>41032</v>
      </c>
      <c r="C316" s="30" t="str">
        <f>[2]!YBHIST($A$2,$B316,"Price","sec","")</f>
        <v>E</v>
      </c>
      <c r="D316" t="str">
        <f>[2]!YBPRICE($A$2,C316&amp;"d",$B317,"OAS","Swap",B316,"LMMSkew","","Model",100,"OAS")</f>
        <v>E</v>
      </c>
      <c r="E316" s="32" t="str">
        <f>[2]!YBHIST($A$2,B316,"LMMOAS","sec","")</f>
        <v>E</v>
      </c>
      <c r="F316">
        <v>59.625599000000001</v>
      </c>
    </row>
    <row r="317" spans="2:6" ht="15" x14ac:dyDescent="0.25">
      <c r="B317" s="14">
        <v>41033</v>
      </c>
      <c r="C317" s="30" t="str">
        <f>[2]!YBHIST($A$2,$B317,"Price","sec","")</f>
        <v>E</v>
      </c>
      <c r="D317" t="str">
        <f>[2]!YBPRICE($A$2,C317&amp;"d",$B318,"OAS","Swap",B317,"LMMSkew","","Model",100,"OAS")</f>
        <v>E</v>
      </c>
      <c r="E317" s="32" t="str">
        <f>[2]!YBHIST($A$2,B317,"LMMOAS","sec","")</f>
        <v>E</v>
      </c>
      <c r="F317">
        <v>62.234698999999999</v>
      </c>
    </row>
    <row r="318" spans="2:6" ht="15" x14ac:dyDescent="0.25">
      <c r="B318" s="14">
        <v>41036</v>
      </c>
      <c r="C318" s="30" t="str">
        <f>[2]!YBHIST($A$2,$B318,"Price","sec","")</f>
        <v>E</v>
      </c>
      <c r="D318" t="str">
        <f>[2]!YBPRICE($A$2,C318&amp;"d",$B319,"OAS","Swap",B318,"LMMSkew","","Model",100,"OAS")</f>
        <v>E</v>
      </c>
      <c r="E318" s="32" t="str">
        <f>[2]!YBHIST($A$2,B318,"LMMOAS","sec","")</f>
        <v>E</v>
      </c>
      <c r="F318">
        <v>17.575600000000001</v>
      </c>
    </row>
    <row r="319" spans="2:6" ht="15" x14ac:dyDescent="0.25">
      <c r="B319" s="14">
        <v>41037</v>
      </c>
      <c r="C319" s="30" t="str">
        <f>[2]!YBHIST($A$2,$B319,"Price","sec","")</f>
        <v>E</v>
      </c>
      <c r="D319" t="str">
        <f>[2]!YBPRICE($A$2,C319&amp;"d",$B320,"OAS","Swap",B319,"LMMSkew","","Model",100,"OAS")</f>
        <v>E</v>
      </c>
      <c r="E319" s="32" t="str">
        <f>[2]!YBHIST($A$2,B319,"LMMOAS","sec","")</f>
        <v>E</v>
      </c>
      <c r="F319">
        <v>-2.2479</v>
      </c>
    </row>
    <row r="320" spans="2:6" ht="15" x14ac:dyDescent="0.25">
      <c r="B320" s="14">
        <v>41038</v>
      </c>
      <c r="C320" s="30" t="str">
        <f>[2]!YBHIST($A$2,$B320,"Price","sec","")</f>
        <v>E</v>
      </c>
      <c r="D320" t="str">
        <f>[2]!YBPRICE($A$2,C320&amp;"d",$B321,"OAS","Swap",B320,"LMMSkew","","Model",100,"OAS")</f>
        <v>E</v>
      </c>
      <c r="E320" s="32" t="str">
        <f>[2]!YBHIST($A$2,B320,"LMMOAS","sec","")</f>
        <v>E</v>
      </c>
      <c r="F320">
        <v>-22.840401</v>
      </c>
    </row>
    <row r="321" spans="2:6" ht="15" x14ac:dyDescent="0.25">
      <c r="B321" s="14">
        <v>41039</v>
      </c>
      <c r="C321" s="30" t="str">
        <f>[2]!YBHIST($A$2,$B321,"Price","sec","")</f>
        <v>E</v>
      </c>
      <c r="D321" t="str">
        <f>[2]!YBPRICE($A$2,C321&amp;"d",$B322,"OAS","Swap",B321,"LMMSkew","","Model",100,"OAS")</f>
        <v>E</v>
      </c>
      <c r="E321" s="32" t="str">
        <f>[2]!YBHIST($A$2,B321,"LMMOAS","sec","")</f>
        <v>E</v>
      </c>
      <c r="F321">
        <v>-16.379000000000001</v>
      </c>
    </row>
    <row r="322" spans="2:6" ht="15" x14ac:dyDescent="0.25">
      <c r="B322" s="14">
        <v>41040</v>
      </c>
      <c r="C322" s="30" t="str">
        <f>[2]!YBHIST($A$2,$B322,"Price","sec","")</f>
        <v>E</v>
      </c>
      <c r="D322" t="str">
        <f>[2]!YBPRICE($A$2,C322&amp;"d",$B323,"OAS","Swap",B322,"LMMSkew","","Model",100,"OAS")</f>
        <v>E</v>
      </c>
      <c r="E322" s="32" t="str">
        <f>[2]!YBHIST($A$2,B322,"LMMOAS","sec","")</f>
        <v>E</v>
      </c>
      <c r="F322">
        <v>4.6672000000000002</v>
      </c>
    </row>
    <row r="323" spans="2:6" ht="15" x14ac:dyDescent="0.25">
      <c r="B323" s="14">
        <v>41043</v>
      </c>
      <c r="C323" s="30" t="str">
        <f>[2]!YBHIST($A$2,$B323,"Price","sec","")</f>
        <v>E</v>
      </c>
      <c r="D323" t="str">
        <f>[2]!YBPRICE($A$2,C323&amp;"d",$B324,"OAS","Swap",B323,"LMMSkew","","Model",100,"OAS")</f>
        <v>E</v>
      </c>
      <c r="E323" s="32" t="str">
        <f>[2]!YBHIST($A$2,B323,"LMMOAS","sec","")</f>
        <v>E</v>
      </c>
      <c r="F323">
        <v>28.029900000000001</v>
      </c>
    </row>
    <row r="324" spans="2:6" ht="15" x14ac:dyDescent="0.25">
      <c r="B324" s="14">
        <v>41044</v>
      </c>
      <c r="C324" s="30" t="str">
        <f>[2]!YBHIST($A$2,$B324,"Price","sec","")</f>
        <v>E</v>
      </c>
      <c r="D324" t="str">
        <f>[2]!YBPRICE($A$2,C324&amp;"d",$B325,"OAS","Swap",B324,"LMMSkew","","Model",100,"OAS")</f>
        <v>E</v>
      </c>
      <c r="E324" s="32" t="str">
        <f>[2]!YBHIST($A$2,B324,"LMMOAS","sec","")</f>
        <v>E</v>
      </c>
      <c r="F324">
        <v>24.404499000000001</v>
      </c>
    </row>
    <row r="325" spans="2:6" ht="15" x14ac:dyDescent="0.25">
      <c r="B325" s="14">
        <v>41045</v>
      </c>
      <c r="C325" s="30" t="str">
        <f>[2]!YBHIST($A$2,$B325,"Price","sec","")</f>
        <v>E</v>
      </c>
      <c r="D325" t="str">
        <f>[2]!YBPRICE($A$2,C325&amp;"d",$B326,"OAS","Swap",B325,"LMMSkew","","Model",100,"OAS")</f>
        <v>E</v>
      </c>
      <c r="E325" s="32" t="str">
        <f>[2]!YBHIST($A$2,B325,"LMMOAS","sec","")</f>
        <v>E</v>
      </c>
      <c r="F325">
        <v>67.080901999999995</v>
      </c>
    </row>
    <row r="326" spans="2:6" ht="15" x14ac:dyDescent="0.25">
      <c r="B326" s="14">
        <v>41046</v>
      </c>
      <c r="C326" s="30" t="str">
        <f>[2]!YBHIST($A$2,$B326,"Price","sec","")</f>
        <v>E</v>
      </c>
      <c r="D326" t="str">
        <f>[2]!YBPRICE($A$2,C326&amp;"d",$B327,"OAS","Swap",B326,"LMMSkew","","Model",100,"OAS")</f>
        <v>E</v>
      </c>
      <c r="E326" s="32" t="str">
        <f>[2]!YBHIST($A$2,B326,"LMMOAS","sec","")</f>
        <v>E</v>
      </c>
      <c r="F326">
        <v>99.404601999999997</v>
      </c>
    </row>
    <row r="327" spans="2:6" ht="15" x14ac:dyDescent="0.25">
      <c r="B327" s="14">
        <v>41047</v>
      </c>
      <c r="C327" s="30" t="str">
        <f>[2]!YBHIST($A$2,$B327,"Price","sec","")</f>
        <v>E</v>
      </c>
      <c r="D327" t="str">
        <f>[2]!YBPRICE($A$2,C327&amp;"d",$B328,"OAS","Swap",B327,"LMMSkew","","Model",100,"OAS")</f>
        <v>E</v>
      </c>
      <c r="E327" s="32" t="str">
        <f>[2]!YBHIST($A$2,B327,"LMMOAS","sec","")</f>
        <v>E</v>
      </c>
      <c r="F327">
        <v>102.77829699999999</v>
      </c>
    </row>
    <row r="328" spans="2:6" ht="15" x14ac:dyDescent="0.25">
      <c r="B328" s="14">
        <v>41050</v>
      </c>
      <c r="C328" s="30" t="str">
        <f>[2]!YBHIST($A$2,$B328,"Price","sec","")</f>
        <v>E</v>
      </c>
      <c r="D328" t="str">
        <f>[2]!YBPRICE($A$2,C328&amp;"d",$B329,"OAS","Swap",B328,"LMMSkew","","Model",100,"OAS")</f>
        <v>E</v>
      </c>
      <c r="E328" s="32" t="str">
        <f>[2]!YBHIST($A$2,B328,"LMMOAS","sec","")</f>
        <v>E</v>
      </c>
      <c r="F328">
        <v>145.88859600000001</v>
      </c>
    </row>
    <row r="329" spans="2:6" ht="15" x14ac:dyDescent="0.25">
      <c r="B329" s="14">
        <v>41051</v>
      </c>
      <c r="C329" s="30" t="str">
        <f>[2]!YBHIST($A$2,$B329,"Price","sec","")</f>
        <v>E</v>
      </c>
      <c r="D329" t="str">
        <f>[2]!YBPRICE($A$2,C329&amp;"d",$B330,"OAS","Swap",B329,"LMMSkew","","Model",100,"OAS")</f>
        <v>E</v>
      </c>
      <c r="E329" s="32" t="str">
        <f>[2]!YBHIST($A$2,B329,"LMMOAS","sec","")</f>
        <v>E</v>
      </c>
      <c r="F329">
        <v>118.70700100000001</v>
      </c>
    </row>
    <row r="330" spans="2:6" ht="15" x14ac:dyDescent="0.25">
      <c r="B330" s="14">
        <v>41052</v>
      </c>
      <c r="C330" s="30" t="str">
        <f>[2]!YBHIST($A$2,$B330,"Price","sec","")</f>
        <v>E</v>
      </c>
      <c r="D330" t="str">
        <f>[2]!YBPRICE($A$2,C330&amp;"d",$B331,"OAS","Swap",B330,"LMMSkew","","Model",100,"OAS")</f>
        <v>E</v>
      </c>
      <c r="E330" s="32" t="str">
        <f>[2]!YBHIST($A$2,B330,"LMMOAS","sec","")</f>
        <v>E</v>
      </c>
      <c r="F330">
        <v>121.586502</v>
      </c>
    </row>
    <row r="331" spans="2:6" ht="15" x14ac:dyDescent="0.25">
      <c r="B331" s="14">
        <v>41053</v>
      </c>
      <c r="C331" s="30" t="str">
        <f>[2]!YBHIST($A$2,$B331,"Price","sec","")</f>
        <v>E</v>
      </c>
      <c r="D331" t="str">
        <f>[2]!YBPRICE($A$2,C331&amp;"d",$B332,"OAS","Swap",B331,"LMMSkew","","Model",100,"OAS")</f>
        <v>E</v>
      </c>
      <c r="E331" s="32" t="str">
        <f>[2]!YBHIST($A$2,B331,"LMMOAS","sec","")</f>
        <v>E</v>
      </c>
      <c r="F331">
        <v>136.14830000000001</v>
      </c>
    </row>
    <row r="332" spans="2:6" ht="15" x14ac:dyDescent="0.25">
      <c r="B332" s="14">
        <v>41054</v>
      </c>
      <c r="C332" s="30" t="str">
        <f>[2]!YBHIST($A$2,$B332,"Price","sec","")</f>
        <v>E</v>
      </c>
      <c r="D332" t="str">
        <f>[2]!YBPRICE($A$2,C332&amp;"d",$B333,"OAS","Swap",B332,"LMMSkew","","Model",100,"OAS")</f>
        <v>E</v>
      </c>
      <c r="E332" s="32" t="str">
        <f>[2]!YBHIST($A$2,B332,"LMMOAS","sec","")</f>
        <v>E</v>
      </c>
      <c r="F332">
        <v>134.78270000000001</v>
      </c>
    </row>
    <row r="333" spans="2:6" ht="15" x14ac:dyDescent="0.25">
      <c r="B333" s="14">
        <v>41058</v>
      </c>
      <c r="C333" s="30" t="str">
        <f>[2]!YBHIST($A$2,$B333,"Price","sec","")</f>
        <v>E</v>
      </c>
      <c r="D333" t="str">
        <f>[2]!YBPRICE($A$2,C333&amp;"d",$B334,"OAS","Swap",B333,"LMMSkew","","Model",100,"OAS")</f>
        <v>E</v>
      </c>
      <c r="E333" s="32" t="str">
        <f>[2]!YBHIST($A$2,B333,"LMMOAS","sec","")</f>
        <v>E</v>
      </c>
      <c r="F333">
        <v>138.218704</v>
      </c>
    </row>
    <row r="334" spans="2:6" ht="15" x14ac:dyDescent="0.25">
      <c r="B334" s="14">
        <v>41059</v>
      </c>
      <c r="C334" s="30" t="str">
        <f>[2]!YBHIST($A$2,$B334,"Price","sec","")</f>
        <v>E</v>
      </c>
      <c r="D334" t="str">
        <f>[2]!YBPRICE($A$2,C334&amp;"d",$B335,"OAS","Swap",B334,"LMMSkew","","Model",100,"OAS")</f>
        <v>E</v>
      </c>
      <c r="E334" s="32" t="str">
        <f>[2]!YBHIST($A$2,B334,"LMMOAS","sec","")</f>
        <v>E</v>
      </c>
      <c r="F334">
        <v>210.74279799999999</v>
      </c>
    </row>
    <row r="335" spans="2:6" ht="15" x14ac:dyDescent="0.25">
      <c r="B335" s="14">
        <v>41060</v>
      </c>
      <c r="C335" s="30" t="str">
        <f>[2]!YBHIST($A$2,$B335,"Price","sec","")</f>
        <v>E</v>
      </c>
      <c r="D335" t="str">
        <f>[2]!YBPRICE($A$2,C335&amp;"d",$B336,"OAS","Swap",B335,"LMMSkew","","Model",100,"OAS")</f>
        <v>E</v>
      </c>
      <c r="E335" s="32" t="str">
        <f>[2]!YBHIST($A$2,B335,"LMMOAS","sec","")</f>
        <v>E</v>
      </c>
      <c r="F335">
        <v>252.547394</v>
      </c>
    </row>
    <row r="336" spans="2:6" ht="15" x14ac:dyDescent="0.25">
      <c r="B336" s="14">
        <v>41061</v>
      </c>
      <c r="C336" s="30" t="str">
        <f>[2]!YBHIST($A$2,$B336,"Price","sec","")</f>
        <v>E</v>
      </c>
      <c r="D336" t="str">
        <f>[2]!YBPRICE($A$2,C336&amp;"d",$B337,"OAS","Swap",B336,"LMMSkew","","Model",100,"OAS")</f>
        <v>E</v>
      </c>
      <c r="E336" s="32" t="str">
        <f>[2]!YBHIST($A$2,B336,"LMMOAS","sec","")</f>
        <v>E</v>
      </c>
      <c r="F336">
        <v>281.22601300000002</v>
      </c>
    </row>
    <row r="337" spans="2:6" ht="15" x14ac:dyDescent="0.25">
      <c r="B337" s="14">
        <v>41064</v>
      </c>
      <c r="C337" s="30" t="str">
        <f>[2]!YBHIST($A$2,$B337,"Price","sec","")</f>
        <v>E</v>
      </c>
      <c r="D337" t="str">
        <f>[2]!YBPRICE($A$2,C337&amp;"d",$B338,"OAS","Swap",B337,"LMMSkew","","Model",100,"OAS")</f>
        <v>E</v>
      </c>
      <c r="E337" s="32" t="str">
        <f>[2]!YBHIST($A$2,B337,"LMMOAS","sec","")</f>
        <v>E</v>
      </c>
      <c r="F337">
        <v>237.566406</v>
      </c>
    </row>
    <row r="338" spans="2:6" ht="15" x14ac:dyDescent="0.25">
      <c r="B338" s="14">
        <v>41065</v>
      </c>
      <c r="C338" s="30" t="str">
        <f>[2]!YBHIST($A$2,$B338,"Price","sec","")</f>
        <v>E</v>
      </c>
      <c r="D338" t="str">
        <f>[2]!YBPRICE($A$2,C338&amp;"d",$B339,"OAS","Swap",B338,"LMMSkew","","Model",100,"OAS")</f>
        <v>E</v>
      </c>
      <c r="E338" s="32" t="str">
        <f>[2]!YBHIST($A$2,B338,"LMMOAS","sec","")</f>
        <v>E</v>
      </c>
      <c r="F338">
        <v>280.08108499999997</v>
      </c>
    </row>
    <row r="339" spans="2:6" ht="15" x14ac:dyDescent="0.25">
      <c r="B339" s="14">
        <v>41066</v>
      </c>
      <c r="C339" s="30" t="str">
        <f>[2]!YBHIST($A$2,$B339,"Price","sec","")</f>
        <v>E</v>
      </c>
      <c r="D339" t="str">
        <f>[2]!YBPRICE($A$2,C339&amp;"d",$B340,"OAS","Swap",B339,"LMMSkew","","Model",100,"OAS")</f>
        <v>E</v>
      </c>
      <c r="E339" s="32" t="str">
        <f>[2]!YBHIST($A$2,B339,"LMMOAS","sec","")</f>
        <v>E</v>
      </c>
      <c r="F339">
        <v>234.496094</v>
      </c>
    </row>
    <row r="340" spans="2:6" ht="15" x14ac:dyDescent="0.25">
      <c r="B340" s="14">
        <v>41067</v>
      </c>
      <c r="C340" s="30" t="str">
        <f>[2]!YBHIST($A$2,$B340,"Price","sec","")</f>
        <v>E</v>
      </c>
      <c r="D340" t="str">
        <f>[2]!YBPRICE($A$2,C340&amp;"d",$B341,"OAS","Swap",B340,"LMMSkew","","Model",100,"OAS")</f>
        <v>E</v>
      </c>
      <c r="E340" s="32" t="str">
        <f>[2]!YBHIST($A$2,B340,"LMMOAS","sec","")</f>
        <v>E</v>
      </c>
      <c r="F340">
        <v>222.69180299999999</v>
      </c>
    </row>
    <row r="341" spans="2:6" ht="15" x14ac:dyDescent="0.25">
      <c r="B341" s="14">
        <v>41068</v>
      </c>
      <c r="C341" s="30" t="str">
        <f>[2]!YBHIST($A$2,$B341,"Price","sec","")</f>
        <v>E</v>
      </c>
      <c r="D341" t="str">
        <f>[2]!YBPRICE($A$2,C341&amp;"d",$B342,"OAS","Swap",B341,"LMMSkew","","Model",100,"OAS")</f>
        <v>E</v>
      </c>
      <c r="E341" s="32" t="str">
        <f>[2]!YBHIST($A$2,B341,"LMMOAS","sec","")</f>
        <v>E</v>
      </c>
      <c r="F341">
        <v>216.009094</v>
      </c>
    </row>
    <row r="342" spans="2:6" ht="15" x14ac:dyDescent="0.25">
      <c r="B342" s="14">
        <v>41071</v>
      </c>
      <c r="C342" s="30" t="str">
        <f>[2]!YBHIST($A$2,$B342,"Price","sec","")</f>
        <v>E</v>
      </c>
      <c r="D342" t="str">
        <f>[2]!YBPRICE($A$2,C342&amp;"d",$B343,"OAS","Swap",B342,"LMMSkew","","Model",100,"OAS")</f>
        <v>E</v>
      </c>
      <c r="E342" s="32" t="str">
        <f>[2]!YBHIST($A$2,B342,"LMMOAS","sec","")</f>
        <v>E</v>
      </c>
      <c r="F342">
        <v>243.88789399999999</v>
      </c>
    </row>
    <row r="343" spans="2:6" ht="15" x14ac:dyDescent="0.25">
      <c r="B343" s="14">
        <v>41072</v>
      </c>
      <c r="C343" s="30" t="str">
        <f>[2]!YBHIST($A$2,$B343,"Price","sec","")</f>
        <v>E</v>
      </c>
      <c r="D343" t="str">
        <f>[2]!YBPRICE($A$2,C343&amp;"d",$B344,"OAS","Swap",B343,"LMMSkew","","Model",100,"OAS")</f>
        <v>E</v>
      </c>
      <c r="E343" s="32" t="str">
        <f>[2]!YBHIST($A$2,B343,"LMMOAS","sec","")</f>
        <v>E</v>
      </c>
      <c r="F343">
        <v>207.63220200000001</v>
      </c>
    </row>
    <row r="344" spans="2:6" ht="15" x14ac:dyDescent="0.25">
      <c r="B344" s="14">
        <v>41073</v>
      </c>
      <c r="C344" s="30" t="str">
        <f>[2]!YBHIST($A$2,$B344,"Price","sec","")</f>
        <v>E</v>
      </c>
      <c r="D344" t="str">
        <f>[2]!YBPRICE($A$2,C344&amp;"d",$B345,"OAS","Swap",B344,"LMMSkew","","Model",100,"OAS")</f>
        <v>E</v>
      </c>
      <c r="E344" s="32" t="str">
        <f>[2]!YBHIST($A$2,B344,"LMMOAS","sec","")</f>
        <v>E</v>
      </c>
      <c r="F344">
        <v>225.23699999999999</v>
      </c>
    </row>
    <row r="345" spans="2:6" ht="15" x14ac:dyDescent="0.25">
      <c r="B345" s="14">
        <v>41074</v>
      </c>
      <c r="C345" s="30" t="str">
        <f>[2]!YBHIST($A$2,$B345,"Price","sec","")</f>
        <v>E</v>
      </c>
      <c r="D345" t="str">
        <f>[2]!YBPRICE($A$2,C345&amp;"d",$B346,"OAS","Swap",B345,"LMMSkew","","Model",100,"OAS")</f>
        <v>E</v>
      </c>
      <c r="E345" s="32" t="str">
        <f>[2]!YBHIST($A$2,B345,"LMMOAS","sec","")</f>
        <v>E</v>
      </c>
      <c r="F345">
        <v>216.458496</v>
      </c>
    </row>
    <row r="346" spans="2:6" ht="15" x14ac:dyDescent="0.25">
      <c r="B346" s="14">
        <v>41075</v>
      </c>
      <c r="C346" s="30" t="str">
        <f>[2]!YBHIST($A$2,$B346,"Price","sec","")</f>
        <v>E</v>
      </c>
      <c r="D346" t="str">
        <f>[2]!YBPRICE($A$2,C346&amp;"d",$B347,"OAS","Swap",B346,"LMMSkew","","Model",100,"OAS")</f>
        <v>E</v>
      </c>
      <c r="E346" s="32" t="str">
        <f>[2]!YBHIST($A$2,B346,"LMMOAS","sec","")</f>
        <v>E</v>
      </c>
      <c r="F346">
        <v>244.73980700000001</v>
      </c>
    </row>
    <row r="347" spans="2:6" ht="15" x14ac:dyDescent="0.25">
      <c r="B347" s="14">
        <v>41078</v>
      </c>
      <c r="C347" s="30" t="str">
        <f>[2]!YBHIST($A$2,$B347,"Price","sec","")</f>
        <v>E</v>
      </c>
      <c r="D347" t="str">
        <f>[2]!YBPRICE($A$2,C347&amp;"d",$B348,"OAS","Swap",B347,"LMMSkew","","Model",100,"OAS")</f>
        <v>E</v>
      </c>
      <c r="E347" s="32" t="str">
        <f>[2]!YBHIST($A$2,B347,"LMMOAS","sec","")</f>
        <v>E</v>
      </c>
      <c r="F347">
        <v>268.31658900000002</v>
      </c>
    </row>
    <row r="348" spans="2:6" ht="15" x14ac:dyDescent="0.25">
      <c r="B348" s="14">
        <v>41079</v>
      </c>
      <c r="C348" s="30" t="str">
        <f>[2]!YBHIST($A$2,$B348,"Price","sec","")</f>
        <v>E</v>
      </c>
      <c r="D348" t="str">
        <f>[2]!YBPRICE($A$2,C348&amp;"d",$B349,"OAS","Swap",B348,"LMMSkew","","Model",100,"OAS")</f>
        <v>E</v>
      </c>
      <c r="E348" s="32" t="str">
        <f>[2]!YBHIST($A$2,B348,"LMMOAS","sec","")</f>
        <v>E</v>
      </c>
      <c r="F348">
        <v>280.94699100000003</v>
      </c>
    </row>
    <row r="349" spans="2:6" ht="15" x14ac:dyDescent="0.25">
      <c r="B349" s="14">
        <v>41080</v>
      </c>
      <c r="C349" s="30" t="str">
        <f>[2]!YBHIST($A$2,$B349,"Price","sec","")</f>
        <v>E</v>
      </c>
      <c r="D349" t="str">
        <f>[2]!YBPRICE($A$2,C349&amp;"d",$B350,"OAS","Swap",B349,"LMMSkew","","Model",100,"OAS")</f>
        <v>E</v>
      </c>
      <c r="E349" s="32" t="str">
        <f>[2]!YBHIST($A$2,B349,"LMMOAS","sec","")</f>
        <v>E</v>
      </c>
      <c r="F349">
        <v>231.11309800000001</v>
      </c>
    </row>
    <row r="350" spans="2:6" ht="15" x14ac:dyDescent="0.25">
      <c r="B350" s="14">
        <v>41081</v>
      </c>
      <c r="C350" s="30" t="str">
        <f>[2]!YBHIST($A$2,$B350,"Price","sec","")</f>
        <v>E</v>
      </c>
      <c r="D350" t="str">
        <f>[2]!YBPRICE($A$2,C350&amp;"d",$B351,"OAS","Swap",B350,"LMMSkew","","Model",100,"OAS")</f>
        <v>E</v>
      </c>
      <c r="E350" s="32" t="str">
        <f>[2]!YBHIST($A$2,B350,"LMMOAS","sec","")</f>
        <v>E</v>
      </c>
      <c r="F350">
        <v>247.57929999999999</v>
      </c>
    </row>
    <row r="351" spans="2:6" ht="15" x14ac:dyDescent="0.25">
      <c r="B351" s="14">
        <v>41082</v>
      </c>
      <c r="C351" s="30" t="str">
        <f>[2]!YBHIST($A$2,$B351,"Price","sec","")</f>
        <v>E</v>
      </c>
      <c r="D351" t="str">
        <f>[2]!YBPRICE($A$2,C351&amp;"d",$B352,"OAS","Swap",B351,"LMMSkew","","Model",100,"OAS")</f>
        <v>E</v>
      </c>
      <c r="E351" s="32" t="str">
        <f>[2]!YBHIST($A$2,B351,"LMMOAS","sec","")</f>
        <v>E</v>
      </c>
      <c r="F351">
        <v>255.39529400000001</v>
      </c>
    </row>
    <row r="352" spans="2:6" ht="15" x14ac:dyDescent="0.25">
      <c r="B352" s="14">
        <v>41085</v>
      </c>
      <c r="C352" s="30" t="str">
        <f>[2]!YBHIST($A$2,$B352,"Price","sec","")</f>
        <v>E</v>
      </c>
      <c r="D352" t="str">
        <f>[2]!YBPRICE($A$2,C352&amp;"d",$B353,"OAS","Swap",B352,"LMMSkew","","Model",100,"OAS")</f>
        <v>E</v>
      </c>
      <c r="E352" s="32" t="str">
        <f>[2]!YBHIST($A$2,B352,"LMMOAS","sec","")</f>
        <v>E</v>
      </c>
      <c r="F352">
        <v>283.58480800000001</v>
      </c>
    </row>
    <row r="353" spans="2:6" ht="15" x14ac:dyDescent="0.25">
      <c r="B353" s="14">
        <v>41086</v>
      </c>
      <c r="C353" s="30" t="str">
        <f>[2]!YBHIST($A$2,$B353,"Price","sec","")</f>
        <v>E</v>
      </c>
      <c r="D353" t="str">
        <f>[2]!YBPRICE($A$2,C353&amp;"d",$B354,"OAS","Swap",B353,"LMMSkew","","Model",100,"OAS")</f>
        <v>E</v>
      </c>
      <c r="E353" s="32" t="str">
        <f>[2]!YBHIST($A$2,B353,"LMMOAS","sec","")</f>
        <v>E</v>
      </c>
      <c r="F353">
        <v>261.72378500000002</v>
      </c>
    </row>
    <row r="354" spans="2:6" ht="15" x14ac:dyDescent="0.25">
      <c r="B354" s="14">
        <v>41087</v>
      </c>
      <c r="C354" s="30" t="str">
        <f>[2]!YBHIST($A$2,$B354,"Price","sec","")</f>
        <v>E</v>
      </c>
      <c r="D354" t="str">
        <f>[2]!YBPRICE($A$2,C354&amp;"d",$B355,"OAS","Swap",B354,"LMMSkew","","Model",100,"OAS")</f>
        <v>E</v>
      </c>
      <c r="E354" s="32" t="str">
        <f>[2]!YBHIST($A$2,B354,"LMMOAS","sec","")</f>
        <v>E</v>
      </c>
      <c r="F354">
        <v>261.79888899999997</v>
      </c>
    </row>
    <row r="355" spans="2:6" ht="15" x14ac:dyDescent="0.25">
      <c r="B355" s="14">
        <v>41088</v>
      </c>
      <c r="C355" s="30" t="str">
        <f>[2]!YBHIST($A$2,$B355,"Price","sec","")</f>
        <v>E</v>
      </c>
      <c r="D355" t="str">
        <f>[2]!YBPRICE($A$2,C355&amp;"d",$B356,"OAS","Swap",B355,"LMMSkew","","Model",100,"OAS")</f>
        <v>E</v>
      </c>
      <c r="E355" s="32" t="str">
        <f>[2]!YBHIST($A$2,B355,"LMMOAS","sec","")</f>
        <v>E</v>
      </c>
      <c r="F355">
        <v>271.69628899999998</v>
      </c>
    </row>
    <row r="356" spans="2:6" ht="15" x14ac:dyDescent="0.25">
      <c r="B356" s="14">
        <v>41089</v>
      </c>
      <c r="C356" s="30" t="str">
        <f>[2]!YBHIST($A$2,$B356,"Price","sec","")</f>
        <v>E</v>
      </c>
      <c r="D356" t="str">
        <f>[2]!YBPRICE($A$2,C356&amp;"d",$B357,"OAS","Swap",B356,"LMMSkew","","Model",100,"OAS")</f>
        <v>E</v>
      </c>
      <c r="E356" s="32" t="str">
        <f>[2]!YBHIST($A$2,B356,"LMMOAS","sec","")</f>
        <v>E</v>
      </c>
      <c r="F356">
        <v>261.36380000000003</v>
      </c>
    </row>
    <row r="357" spans="2:6" ht="15" x14ac:dyDescent="0.25">
      <c r="B357" s="14">
        <v>41092</v>
      </c>
      <c r="C357" s="30" t="str">
        <f>[2]!YBHIST($A$2,$B357,"Price","sec","")</f>
        <v>E</v>
      </c>
      <c r="D357" t="str">
        <f>[2]!YBPRICE($A$2,C357&amp;"d",$B358,"OAS","Swap",B357,"LMMSkew","","Model",100,"OAS")</f>
        <v>E</v>
      </c>
      <c r="E357" s="32" t="str">
        <f>[2]!YBHIST($A$2,B357,"LMMOAS","sec","")</f>
        <v>E</v>
      </c>
      <c r="F357">
        <v>302.69808999999998</v>
      </c>
    </row>
    <row r="358" spans="2:6" ht="15" x14ac:dyDescent="0.25">
      <c r="B358" s="14">
        <v>41093</v>
      </c>
      <c r="C358" s="30" t="str">
        <f>[2]!YBHIST($A$2,$B358,"Price","sec","")</f>
        <v>E</v>
      </c>
      <c r="D358" t="str">
        <f>[2]!YBPRICE($A$2,C358&amp;"d",$B359,"OAS","Swap",B358,"LMMSkew","","Model",100,"OAS")</f>
        <v>E</v>
      </c>
      <c r="E358" s="32" t="str">
        <f>[2]!YBHIST($A$2,B358,"LMMOAS","sec","")</f>
        <v>E</v>
      </c>
      <c r="F358">
        <v>290.41229199999998</v>
      </c>
    </row>
    <row r="359" spans="2:6" ht="15" x14ac:dyDescent="0.25">
      <c r="B359" s="14">
        <v>41095</v>
      </c>
      <c r="C359" s="30" t="str">
        <f>[2]!YBHIST($A$2,$B359,"Price","sec","")</f>
        <v>E</v>
      </c>
      <c r="D359" t="str">
        <f>[2]!YBPRICE($A$2,C359&amp;"d",$B360,"OAS","Swap",B359,"LMMSkew","","Model",100,"OAS")</f>
        <v>E</v>
      </c>
      <c r="E359" s="32" t="str">
        <f>[2]!YBHIST($A$2,B359,"LMMOAS","sec","")</f>
        <v>E</v>
      </c>
      <c r="F359">
        <v>313.41918900000002</v>
      </c>
    </row>
    <row r="360" spans="2:6" ht="15" x14ac:dyDescent="0.25">
      <c r="B360" s="14">
        <v>41096</v>
      </c>
      <c r="C360" s="30" t="str">
        <f>[2]!YBHIST($A$2,$B360,"Price","sec","")</f>
        <v>E</v>
      </c>
      <c r="D360" t="str">
        <f>[2]!YBPRICE($A$2,C360&amp;"d",$B361,"OAS","Swap",B360,"LMMSkew","","Model",100,"OAS")</f>
        <v>E</v>
      </c>
      <c r="E360" s="32" t="str">
        <f>[2]!YBHIST($A$2,B360,"LMMOAS","sec","")</f>
        <v>E</v>
      </c>
      <c r="F360">
        <v>331.91339099999999</v>
      </c>
    </row>
    <row r="361" spans="2:6" ht="15" x14ac:dyDescent="0.25">
      <c r="B361" s="14">
        <v>41099</v>
      </c>
      <c r="C361" s="30" t="str">
        <f>[2]!YBHIST($A$2,$B361,"Price","sec","")</f>
        <v>E</v>
      </c>
      <c r="D361" t="str">
        <f>[2]!YBPRICE($A$2,C361&amp;"d",$B362,"OAS","Swap",B361,"LMMSkew","","Model",100,"OAS")</f>
        <v>E</v>
      </c>
      <c r="E361" s="32" t="str">
        <f>[2]!YBHIST($A$2,B361,"LMMOAS","sec","")</f>
        <v>E</v>
      </c>
      <c r="F361">
        <v>324.81710800000002</v>
      </c>
    </row>
    <row r="362" spans="2:6" ht="15" x14ac:dyDescent="0.25">
      <c r="B362" s="14">
        <v>41100</v>
      </c>
      <c r="C362" s="30" t="str">
        <f>[2]!YBHIST($A$2,$B362,"Price","sec","")</f>
        <v>E</v>
      </c>
      <c r="D362" t="str">
        <f>[2]!YBPRICE($A$2,C362&amp;"d",$B363,"OAS","Swap",B362,"LMMSkew","","Model",100,"OAS")</f>
        <v>E</v>
      </c>
      <c r="E362" s="32" t="str">
        <f>[2]!YBHIST($A$2,B362,"LMMOAS","sec","")</f>
        <v>E</v>
      </c>
      <c r="F362">
        <v>288.075897</v>
      </c>
    </row>
    <row r="363" spans="2:6" ht="15" x14ac:dyDescent="0.25">
      <c r="B363" s="14">
        <v>41101</v>
      </c>
      <c r="C363" s="30" t="str">
        <f>[2]!YBHIST($A$2,$B363,"Price","sec","")</f>
        <v>E</v>
      </c>
      <c r="D363" t="str">
        <f>[2]!YBPRICE($A$2,C363&amp;"d",$B364,"OAS","Swap",B363,"LMMSkew","","Model",100,"OAS")</f>
        <v>E</v>
      </c>
      <c r="E363" s="32" t="str">
        <f>[2]!YBHIST($A$2,B363,"LMMOAS","sec","")</f>
        <v>E</v>
      </c>
      <c r="F363">
        <v>285.666901</v>
      </c>
    </row>
    <row r="364" spans="2:6" ht="15" x14ac:dyDescent="0.25">
      <c r="B364" s="14">
        <v>41102</v>
      </c>
      <c r="C364" s="30" t="str">
        <f>[2]!YBHIST($A$2,$B364,"Price","sec","")</f>
        <v>E</v>
      </c>
      <c r="D364" t="str">
        <f>[2]!YBPRICE($A$2,C364&amp;"d",$B365,"OAS","Swap",B364,"LMMSkew","","Model",100,"OAS")</f>
        <v>E</v>
      </c>
      <c r="E364" s="32" t="str">
        <f>[2]!YBHIST($A$2,B364,"LMMOAS","sec","")</f>
        <v>E</v>
      </c>
      <c r="F364">
        <v>287.60751299999998</v>
      </c>
    </row>
    <row r="365" spans="2:6" ht="15" x14ac:dyDescent="0.25">
      <c r="B365" s="14">
        <v>41103</v>
      </c>
      <c r="C365" s="30" t="str">
        <f>[2]!YBHIST($A$2,$B365,"Price","sec","")</f>
        <v>E</v>
      </c>
      <c r="D365" t="str">
        <f>[2]!YBPRICE($A$2,C365&amp;"d",$B366,"OAS","Swap",B365,"LMMSkew","","Model",100,"OAS")</f>
        <v>E</v>
      </c>
      <c r="E365" s="32" t="str">
        <f>[2]!YBHIST($A$2,B365,"LMMOAS","sec","")</f>
        <v>E</v>
      </c>
      <c r="F365">
        <v>270.31561299999998</v>
      </c>
    </row>
    <row r="366" spans="2:6" ht="15" x14ac:dyDescent="0.25">
      <c r="B366" s="14">
        <v>41106</v>
      </c>
      <c r="C366" s="30" t="str">
        <f>[2]!YBHIST($A$2,$B366,"Price","sec","")</f>
        <v>E</v>
      </c>
      <c r="D366" t="str">
        <f>[2]!YBPRICE($A$2,C366&amp;"d",$B367,"OAS","Swap",B366,"LMMSkew","","Model",100,"OAS")</f>
        <v>E</v>
      </c>
      <c r="E366" s="32" t="str">
        <f>[2]!YBHIST($A$2,B366,"LMMOAS","sec","")</f>
        <v>E</v>
      </c>
      <c r="F366">
        <v>309.26388500000002</v>
      </c>
    </row>
    <row r="367" spans="2:6" ht="15" x14ac:dyDescent="0.25">
      <c r="B367" s="14">
        <v>41107</v>
      </c>
      <c r="C367" s="30" t="str">
        <f>[2]!YBHIST($A$2,$B367,"Price","sec","")</f>
        <v>E</v>
      </c>
      <c r="D367" t="str">
        <f>[2]!YBPRICE($A$2,C367&amp;"d",$B368,"OAS","Swap",B367,"LMMSkew","","Model",100,"OAS")</f>
        <v>E</v>
      </c>
      <c r="E367" s="32" t="str">
        <f>[2]!YBHIST($A$2,B367,"LMMOAS","sec","")</f>
        <v>E</v>
      </c>
      <c r="F367">
        <v>293.67010499999998</v>
      </c>
    </row>
    <row r="368" spans="2:6" ht="15" x14ac:dyDescent="0.25">
      <c r="B368" s="14">
        <v>41108</v>
      </c>
      <c r="C368" s="30" t="str">
        <f>[2]!YBHIST($A$2,$B368,"Price","sec","")</f>
        <v>E</v>
      </c>
      <c r="D368" t="str">
        <f>[2]!YBPRICE($A$2,C368&amp;"d",$B369,"OAS","Swap",B368,"LMMSkew","","Model",100,"OAS")</f>
        <v>E</v>
      </c>
      <c r="E368" s="32" t="str">
        <f>[2]!YBHIST($A$2,B368,"LMMOAS","sec","")</f>
        <v>E</v>
      </c>
      <c r="F368">
        <v>305.90008499999999</v>
      </c>
    </row>
    <row r="369" spans="2:6" ht="15" x14ac:dyDescent="0.25">
      <c r="B369" s="14">
        <v>41109</v>
      </c>
      <c r="C369" s="30" t="str">
        <f>[2]!YBHIST($A$2,$B369,"Price","sec","")</f>
        <v>E</v>
      </c>
      <c r="D369" t="str">
        <f>[2]!YBPRICE($A$2,C369&amp;"d",$B370,"OAS","Swap",B369,"LMMSkew","","Model",100,"OAS")</f>
        <v>E</v>
      </c>
      <c r="E369" s="32" t="str">
        <f>[2]!YBHIST($A$2,B369,"LMMOAS","sec","")</f>
        <v>E</v>
      </c>
      <c r="F369">
        <v>298.12649499999998</v>
      </c>
    </row>
    <row r="370" spans="2:6" ht="15" x14ac:dyDescent="0.25">
      <c r="B370" s="14">
        <v>41110</v>
      </c>
      <c r="C370" s="30" t="str">
        <f>[2]!YBHIST($A$2,$B370,"Price","sec","")</f>
        <v>E</v>
      </c>
      <c r="D370" t="str">
        <f>[2]!YBPRICE($A$2,C370&amp;"d",$B371,"OAS","Swap",B370,"LMMSkew","","Model",100,"OAS")</f>
        <v>E</v>
      </c>
      <c r="E370" s="32" t="str">
        <f>[2]!YBHIST($A$2,B370,"LMMOAS","sec","")</f>
        <v>E</v>
      </c>
      <c r="F370">
        <v>303.14209</v>
      </c>
    </row>
    <row r="371" spans="2:6" ht="15" x14ac:dyDescent="0.25">
      <c r="B371" s="14">
        <v>41113</v>
      </c>
      <c r="C371" s="30" t="str">
        <f>[2]!YBHIST($A$2,$B371,"Price","sec","")</f>
        <v>E</v>
      </c>
      <c r="D371" t="str">
        <f>[2]!YBPRICE($A$2,C371&amp;"d",$B372,"OAS","Swap",B371,"LMMSkew","","Model",100,"OAS")</f>
        <v>E</v>
      </c>
      <c r="E371" s="32" t="str">
        <f>[2]!YBHIST($A$2,B371,"LMMOAS","sec","")</f>
        <v>E</v>
      </c>
      <c r="F371">
        <v>318.377411</v>
      </c>
    </row>
    <row r="372" spans="2:6" ht="15" x14ac:dyDescent="0.25">
      <c r="B372" s="14">
        <v>41114</v>
      </c>
      <c r="C372" s="30" t="str">
        <f>[2]!YBHIST($A$2,$B372,"Price","sec","")</f>
        <v>E</v>
      </c>
      <c r="D372" t="str">
        <f>[2]!YBPRICE($A$2,C372&amp;"d",$B373,"OAS","Swap",B372,"LMMSkew","","Model",100,"OAS")</f>
        <v>E</v>
      </c>
      <c r="E372" s="32" t="str">
        <f>[2]!YBHIST($A$2,B372,"LMMOAS","sec","")</f>
        <v>E</v>
      </c>
      <c r="F372">
        <v>344.65121499999998</v>
      </c>
    </row>
    <row r="373" spans="2:6" ht="15" x14ac:dyDescent="0.25">
      <c r="B373" s="14">
        <v>41115</v>
      </c>
      <c r="C373" s="30" t="str">
        <f>[2]!YBHIST($A$2,$B373,"Price","sec","")</f>
        <v>E</v>
      </c>
      <c r="D373" t="str">
        <f>[2]!YBPRICE($A$2,C373&amp;"d",$B374,"OAS","Swap",B373,"LMMSkew","","Model",100,"OAS")</f>
        <v>E</v>
      </c>
      <c r="E373" s="32" t="str">
        <f>[2]!YBHIST($A$2,B373,"LMMOAS","sec","")</f>
        <v>E</v>
      </c>
      <c r="F373">
        <v>339.24349999999998</v>
      </c>
    </row>
    <row r="374" spans="2:6" ht="15" x14ac:dyDescent="0.25">
      <c r="B374" s="14">
        <v>41116</v>
      </c>
      <c r="C374" s="30" t="str">
        <f>[2]!YBHIST($A$2,$B374,"Price","sec","")</f>
        <v>E</v>
      </c>
      <c r="D374" t="str">
        <f>[2]!YBPRICE($A$2,C374&amp;"d",$B375,"OAS","Swap",B374,"LMMSkew","","Model",100,"OAS")</f>
        <v>E</v>
      </c>
      <c r="E374" s="32" t="str">
        <f>[2]!YBHIST($A$2,B374,"LMMOAS","sec","")</f>
        <v>E</v>
      </c>
      <c r="F374">
        <v>293.882294</v>
      </c>
    </row>
    <row r="375" spans="2:6" ht="15" x14ac:dyDescent="0.25">
      <c r="B375" s="14">
        <v>41117</v>
      </c>
      <c r="C375" s="30" t="str">
        <f>[2]!YBHIST($A$2,$B375,"Price","sec","")</f>
        <v>E</v>
      </c>
      <c r="D375" t="str">
        <f>[2]!YBPRICE($A$2,C375&amp;"d",$B376,"OAS","Swap",B375,"LMMSkew","","Model",100,"OAS")</f>
        <v>E</v>
      </c>
      <c r="E375" s="32" t="str">
        <f>[2]!YBHIST($A$2,B375,"LMMOAS","sec","")</f>
        <v>E</v>
      </c>
      <c r="F375">
        <v>249.08770799999999</v>
      </c>
    </row>
    <row r="376" spans="2:6" ht="15" x14ac:dyDescent="0.25">
      <c r="B376" s="14">
        <v>41120</v>
      </c>
      <c r="C376" s="30" t="str">
        <f>[2]!YBHIST($A$2,$B376,"Price","sec","")</f>
        <v>E</v>
      </c>
      <c r="D376" t="str">
        <f>[2]!YBPRICE($A$2,C376&amp;"d",$B377,"OAS","Swap",B376,"LMMSkew","","Model",100,"OAS")</f>
        <v>E</v>
      </c>
      <c r="E376" s="32" t="str">
        <f>[2]!YBHIST($A$2,B376,"LMMOAS","sec","")</f>
        <v>E</v>
      </c>
      <c r="F376">
        <v>236.45889299999999</v>
      </c>
    </row>
    <row r="377" spans="2:6" ht="15" x14ac:dyDescent="0.25">
      <c r="B377" s="14">
        <v>41121</v>
      </c>
      <c r="C377" s="30" t="str">
        <f>[2]!YBHIST($A$2,$B377,"Price","sec","")</f>
        <v>E</v>
      </c>
      <c r="D377" t="str">
        <f>[2]!YBPRICE($A$2,C377&amp;"d",$B378,"OAS","Swap",B377,"LMMSkew","","Model",100,"OAS")</f>
        <v>E</v>
      </c>
      <c r="E377" s="32" t="str">
        <f>[2]!YBHIST($A$2,B377,"LMMOAS","sec","")</f>
        <v>E</v>
      </c>
      <c r="F377">
        <v>229.97110000000001</v>
      </c>
    </row>
    <row r="378" spans="2:6" ht="15" x14ac:dyDescent="0.25">
      <c r="B378" s="14">
        <v>41122</v>
      </c>
      <c r="C378" s="30" t="str">
        <f>[2]!YBHIST($A$2,$B378,"Price","sec","")</f>
        <v>E</v>
      </c>
      <c r="D378" t="str">
        <f>[2]!YBPRICE($A$2,C378&amp;"d",$B379,"OAS","Swap",B378,"LMMSkew","","Model",100,"OAS")</f>
        <v>E</v>
      </c>
      <c r="E378" s="32" t="str">
        <f>[2]!YBHIST($A$2,B378,"LMMOAS","sec","")</f>
        <v>E</v>
      </c>
      <c r="F378">
        <v>201.82839999999999</v>
      </c>
    </row>
    <row r="379" spans="2:6" ht="15" x14ac:dyDescent="0.25">
      <c r="B379" s="14">
        <v>41123</v>
      </c>
      <c r="C379" s="30" t="str">
        <f>[2]!YBHIST($A$2,$B379,"Price","sec","")</f>
        <v>E</v>
      </c>
      <c r="D379" t="str">
        <f>[2]!YBPRICE($A$2,C379&amp;"d",$B380,"OAS","Swap",B379,"LMMSkew","","Model",100,"OAS")</f>
        <v>E</v>
      </c>
      <c r="E379" s="32" t="str">
        <f>[2]!YBHIST($A$2,B379,"LMMOAS","sec","")</f>
        <v>E</v>
      </c>
      <c r="F379">
        <v>200.926605</v>
      </c>
    </row>
    <row r="380" spans="2:6" ht="15" x14ac:dyDescent="0.25">
      <c r="B380" s="14">
        <v>41124</v>
      </c>
      <c r="C380" s="30" t="str">
        <f>[2]!YBHIST($A$2,$B380,"Price","sec","")</f>
        <v>E</v>
      </c>
      <c r="D380" t="str">
        <f>[2]!YBPRICE($A$2,C380&amp;"d",$B381,"OAS","Swap",B380,"LMMSkew","","Model",100,"OAS")</f>
        <v>E</v>
      </c>
      <c r="E380" s="32" t="str">
        <f>[2]!YBHIST($A$2,B380,"LMMOAS","sec","")</f>
        <v>E</v>
      </c>
      <c r="F380">
        <v>172.87600699999999</v>
      </c>
    </row>
    <row r="381" spans="2:6" ht="15" x14ac:dyDescent="0.25">
      <c r="B381" s="14">
        <v>41127</v>
      </c>
      <c r="C381" s="30" t="str">
        <f>[2]!YBHIST($A$2,$B381,"Price","sec","")</f>
        <v>E</v>
      </c>
      <c r="D381" t="str">
        <f>[2]!YBPRICE($A$2,C381&amp;"d",$B382,"OAS","Swap",B381,"LMMSkew","","Model",100,"OAS")</f>
        <v>E</v>
      </c>
      <c r="E381" s="32" t="str">
        <f>[2]!YBHIST($A$2,B381,"LMMOAS","sec","")</f>
        <v>E</v>
      </c>
      <c r="F381">
        <v>181.199997</v>
      </c>
    </row>
    <row r="382" spans="2:6" ht="15" x14ac:dyDescent="0.25">
      <c r="B382" s="14">
        <v>41128</v>
      </c>
      <c r="C382" s="30" t="str">
        <f>[2]!YBHIST($A$2,$B382,"Price","sec","")</f>
        <v>E</v>
      </c>
      <c r="D382" t="str">
        <f>[2]!YBPRICE($A$2,C382&amp;"d",$B383,"OAS","Swap",B382,"LMMSkew","","Model",100,"OAS")</f>
        <v>E</v>
      </c>
      <c r="E382" s="32" t="str">
        <f>[2]!YBHIST($A$2,B382,"LMMOAS","sec","")</f>
        <v>E</v>
      </c>
      <c r="F382">
        <v>173.72740200000001</v>
      </c>
    </row>
    <row r="383" spans="2:6" ht="15" x14ac:dyDescent="0.25">
      <c r="B383" s="14">
        <v>41129</v>
      </c>
      <c r="C383" s="30" t="str">
        <f>[2]!YBHIST($A$2,$B383,"Price","sec","")</f>
        <v>E</v>
      </c>
      <c r="D383" t="str">
        <f>[2]!YBPRICE($A$2,C383&amp;"d",$B384,"OAS","Swap",B383,"LMMSkew","","Model",100,"OAS")</f>
        <v>E</v>
      </c>
      <c r="E383" s="32" t="str">
        <f>[2]!YBHIST($A$2,B383,"LMMOAS","sec","")</f>
        <v>E</v>
      </c>
      <c r="F383">
        <v>176.588898</v>
      </c>
    </row>
    <row r="384" spans="2:6" ht="15" x14ac:dyDescent="0.25">
      <c r="B384" s="14">
        <v>41130</v>
      </c>
      <c r="C384" s="30" t="str">
        <f>[2]!YBHIST($A$2,$B384,"Price","sec","")</f>
        <v>E</v>
      </c>
      <c r="D384" t="str">
        <f>[2]!YBPRICE($A$2,C384&amp;"d",$B385,"OAS","Swap",B384,"LMMSkew","","Model",100,"OAS")</f>
        <v>E</v>
      </c>
      <c r="E384" s="32" t="str">
        <f>[2]!YBHIST($A$2,B384,"LMMOAS","sec","")</f>
        <v>E</v>
      </c>
      <c r="F384">
        <v>163.587997</v>
      </c>
    </row>
    <row r="385" spans="2:6" ht="15" x14ac:dyDescent="0.25">
      <c r="B385" s="14">
        <v>41131</v>
      </c>
      <c r="C385" s="30" t="str">
        <f>[2]!YBHIST($A$2,$B385,"Price","sec","")</f>
        <v>E</v>
      </c>
      <c r="D385" t="str">
        <f>[2]!YBPRICE($A$2,C385&amp;"d",$B386,"OAS","Swap",B385,"LMMSkew","","Model",100,"OAS")</f>
        <v>E</v>
      </c>
      <c r="E385" s="32" t="str">
        <f>[2]!YBHIST($A$2,B385,"LMMOAS","sec","")</f>
        <v>E</v>
      </c>
      <c r="F385">
        <v>171.76010099999999</v>
      </c>
    </row>
    <row r="386" spans="2:6" ht="15" x14ac:dyDescent="0.25">
      <c r="B386" s="14">
        <v>41134</v>
      </c>
      <c r="C386" s="30" t="str">
        <f>[2]!YBHIST($A$2,$B386,"Price","sec","")</f>
        <v>E</v>
      </c>
      <c r="D386" t="str">
        <f>[2]!YBPRICE($A$2,C386&amp;"d",$B387,"OAS","Swap",B386,"LMMSkew","","Model",100,"OAS")</f>
        <v>E</v>
      </c>
      <c r="E386" s="32" t="str">
        <f>[2]!YBHIST($A$2,B386,"LMMOAS","sec","")</f>
        <v>E</v>
      </c>
      <c r="F386">
        <v>162.964294</v>
      </c>
    </row>
    <row r="387" spans="2:6" ht="15" x14ac:dyDescent="0.25">
      <c r="B387" s="14">
        <v>41135</v>
      </c>
      <c r="C387" s="30" t="str">
        <f>[2]!YBHIST($A$2,$B387,"Price","sec","")</f>
        <v>E</v>
      </c>
      <c r="D387" t="str">
        <f>[2]!YBPRICE($A$2,C387&amp;"d",$B388,"OAS","Swap",B387,"LMMSkew","","Model",100,"OAS")</f>
        <v>E</v>
      </c>
      <c r="E387" s="32" t="str">
        <f>[2]!YBHIST($A$2,B387,"LMMOAS","sec","")</f>
        <v>E</v>
      </c>
      <c r="F387">
        <v>151.04840100000001</v>
      </c>
    </row>
    <row r="388" spans="2:6" ht="15" x14ac:dyDescent="0.25">
      <c r="B388" s="14">
        <v>41136</v>
      </c>
      <c r="C388" s="30" t="str">
        <f>[2]!YBHIST($A$2,$B388,"Price","sec","")</f>
        <v>E</v>
      </c>
      <c r="D388" t="str">
        <f>[2]!YBPRICE($A$2,C388&amp;"d",$B389,"OAS","Swap",B388,"LMMSkew","","Model",100,"OAS")</f>
        <v>E</v>
      </c>
      <c r="E388" s="32" t="str">
        <f>[2]!YBHIST($A$2,B388,"LMMOAS","sec","")</f>
        <v>E</v>
      </c>
      <c r="F388">
        <v>139.95199600000001</v>
      </c>
    </row>
    <row r="389" spans="2:6" ht="15" x14ac:dyDescent="0.25">
      <c r="B389" s="14">
        <v>41137</v>
      </c>
      <c r="C389" s="30" t="str">
        <f>[2]!YBHIST($A$2,$B389,"Price","sec","")</f>
        <v>E</v>
      </c>
      <c r="D389" t="str">
        <f>[2]!YBPRICE($A$2,C389&amp;"d",$B390,"OAS","Swap",B389,"LMMSkew","","Model",100,"OAS")</f>
        <v>E</v>
      </c>
      <c r="E389" s="32" t="str">
        <f>[2]!YBHIST($A$2,B389,"LMMOAS","sec","")</f>
        <v>E</v>
      </c>
      <c r="F389">
        <v>111.673203</v>
      </c>
    </row>
    <row r="390" spans="2:6" ht="15" x14ac:dyDescent="0.25">
      <c r="B390" s="14">
        <v>41138</v>
      </c>
      <c r="C390" s="30" t="str">
        <f>[2]!YBHIST($A$2,$B390,"Price","sec","")</f>
        <v>E</v>
      </c>
      <c r="D390" t="str">
        <f>[2]!YBPRICE($A$2,C390&amp;"d",$B391,"OAS","Swap",B390,"LMMSkew","","Model",100,"OAS")</f>
        <v>E</v>
      </c>
      <c r="E390" s="32" t="str">
        <f>[2]!YBHIST($A$2,B390,"LMMOAS","sec","")</f>
        <v>E</v>
      </c>
      <c r="F390">
        <v>118.69259599999999</v>
      </c>
    </row>
    <row r="391" spans="2:6" ht="15" x14ac:dyDescent="0.25">
      <c r="B391" s="14">
        <v>41141</v>
      </c>
      <c r="C391" s="30" t="str">
        <f>[2]!YBHIST($A$2,$B391,"Price","sec","")</f>
        <v>E</v>
      </c>
      <c r="D391" t="str">
        <f>[2]!YBPRICE($A$2,C391&amp;"d",$B392,"OAS","Swap",B391,"LMMSkew","","Model",100,"OAS")</f>
        <v>E</v>
      </c>
      <c r="E391" s="32" t="str">
        <f>[2]!YBHIST($A$2,B391,"LMMOAS","sec","")</f>
        <v>E</v>
      </c>
      <c r="F391">
        <v>125.724403</v>
      </c>
    </row>
    <row r="392" spans="2:6" ht="15" x14ac:dyDescent="0.25">
      <c r="B392" s="14">
        <v>41142</v>
      </c>
      <c r="C392" s="30" t="str">
        <f>[2]!YBHIST($A$2,$B392,"Price","sec","")</f>
        <v>E</v>
      </c>
      <c r="D392" t="str">
        <f>[2]!YBPRICE($A$2,C392&amp;"d",$B393,"OAS","Swap",B392,"LMMSkew","","Model",100,"OAS")</f>
        <v>E</v>
      </c>
      <c r="E392" s="32" t="str">
        <f>[2]!YBHIST($A$2,B392,"LMMOAS","sec","")</f>
        <v>E</v>
      </c>
      <c r="F392">
        <v>122.78479799999999</v>
      </c>
    </row>
    <row r="393" spans="2:6" ht="15" x14ac:dyDescent="0.25">
      <c r="B393" s="14">
        <v>41143</v>
      </c>
      <c r="C393" s="30" t="str">
        <f>[2]!YBHIST($A$2,$B393,"Price","sec","")</f>
        <v>E</v>
      </c>
      <c r="D393" t="str">
        <f>[2]!YBPRICE($A$2,C393&amp;"d",$B394,"OAS","Swap",B393,"LMMSkew","","Model",100,"OAS")</f>
        <v>E</v>
      </c>
      <c r="E393" s="32" t="str">
        <f>[2]!YBHIST($A$2,B393,"LMMOAS","sec","")</f>
        <v>E</v>
      </c>
      <c r="F393">
        <v>115.84200300000001</v>
      </c>
    </row>
    <row r="394" spans="2:6" ht="15" x14ac:dyDescent="0.25">
      <c r="B394" s="14">
        <v>41144</v>
      </c>
      <c r="C394" s="30" t="str">
        <f>[2]!YBHIST($A$2,$B394,"Price","sec","")</f>
        <v>E</v>
      </c>
      <c r="D394" t="str">
        <f>[2]!YBPRICE($A$2,C394&amp;"d",$B395,"OAS","Swap",B394,"LMMSkew","","Model",100,"OAS")</f>
        <v>E</v>
      </c>
      <c r="E394" s="32" t="str">
        <f>[2]!YBHIST($A$2,B394,"LMMOAS","sec","")</f>
        <v>E</v>
      </c>
      <c r="F394">
        <v>131.06759600000001</v>
      </c>
    </row>
    <row r="395" spans="2:6" ht="15" x14ac:dyDescent="0.25">
      <c r="B395" s="14">
        <v>41145</v>
      </c>
      <c r="C395" s="30" t="str">
        <f>[2]!YBHIST($A$2,$B395,"Price","sec","")</f>
        <v>E</v>
      </c>
      <c r="D395" t="str">
        <f>[2]!YBPRICE($A$2,C395&amp;"d",$B396,"OAS","Swap",B395,"LMMSkew","","Model",100,"OAS")</f>
        <v>E</v>
      </c>
      <c r="E395" s="32" t="str">
        <f>[2]!YBHIST($A$2,B395,"LMMOAS","sec","")</f>
        <v>E</v>
      </c>
      <c r="F395">
        <v>107.89340199999999</v>
      </c>
    </row>
    <row r="396" spans="2:6" ht="15" x14ac:dyDescent="0.25">
      <c r="B396" s="14">
        <v>41148</v>
      </c>
      <c r="C396" s="30" t="str">
        <f>[2]!YBHIST($A$2,$B396,"Price","sec","")</f>
        <v>E</v>
      </c>
      <c r="D396" t="str">
        <f>[2]!YBPRICE($A$2,C396&amp;"d",$B397,"OAS","Swap",B396,"LMMSkew","","Model",100,"OAS")</f>
        <v>E</v>
      </c>
      <c r="E396" s="32" t="str">
        <f>[2]!YBHIST($A$2,B396,"LMMOAS","sec","")</f>
        <v>E</v>
      </c>
      <c r="F396">
        <v>107.43589799999999</v>
      </c>
    </row>
    <row r="397" spans="2:6" ht="15" x14ac:dyDescent="0.25">
      <c r="B397" s="14">
        <v>41149</v>
      </c>
      <c r="C397" s="30" t="str">
        <f>[2]!YBHIST($A$2,$B397,"Price","sec","")</f>
        <v>E</v>
      </c>
      <c r="D397" t="str">
        <f>[2]!YBPRICE($A$2,C397&amp;"d",$B398,"OAS","Swap",B397,"LMMSkew","","Model",100,"OAS")</f>
        <v>E</v>
      </c>
      <c r="E397" s="32" t="str">
        <f>[2]!YBHIST($A$2,B397,"LMMOAS","sec","")</f>
        <v>E</v>
      </c>
      <c r="F397">
        <v>92.273598000000007</v>
      </c>
    </row>
    <row r="398" spans="2:6" ht="15" x14ac:dyDescent="0.25">
      <c r="B398" s="14">
        <v>41150</v>
      </c>
      <c r="C398" s="30" t="str">
        <f>[2]!YBHIST($A$2,$B398,"Price","sec","")</f>
        <v>E</v>
      </c>
      <c r="D398" t="str">
        <f>[2]!YBPRICE($A$2,C398&amp;"d",$B399,"OAS","Swap",B398,"LMMSkew","","Model",100,"OAS")</f>
        <v>E</v>
      </c>
      <c r="E398" s="32" t="str">
        <f>[2]!YBHIST($A$2,B398,"LMMOAS","sec","")</f>
        <v>E</v>
      </c>
      <c r="F398">
        <v>103.21520200000001</v>
      </c>
    </row>
    <row r="399" spans="2:6" ht="15" x14ac:dyDescent="0.25">
      <c r="B399" s="14">
        <v>41151</v>
      </c>
      <c r="C399" s="30" t="str">
        <f>[2]!YBHIST($A$2,$B399,"Price","sec","")</f>
        <v>E</v>
      </c>
      <c r="D399" t="str">
        <f>[2]!YBPRICE($A$2,C399&amp;"d",$B400,"OAS","Swap",B399,"LMMSkew","","Model",100,"OAS")</f>
        <v>E</v>
      </c>
      <c r="E399" s="32" t="str">
        <f>[2]!YBHIST($A$2,B399,"LMMOAS","sec","")</f>
        <v>E</v>
      </c>
      <c r="F399">
        <v>108.836304</v>
      </c>
    </row>
    <row r="400" spans="2:6" ht="15" x14ac:dyDescent="0.25">
      <c r="B400" s="14">
        <v>41152</v>
      </c>
      <c r="C400" s="30" t="str">
        <f>[2]!YBHIST($A$2,$B400,"Price","sec","")</f>
        <v>E</v>
      </c>
      <c r="D400" t="str">
        <f>[2]!YBPRICE($A$2,C400&amp;"d",$B401,"OAS","Swap",B400,"LMMSkew","","Model",100,"OAS")</f>
        <v>E</v>
      </c>
      <c r="E400" s="32" t="str">
        <f>[2]!YBHIST($A$2,B400,"LMMOAS","sec","")</f>
        <v>E</v>
      </c>
      <c r="F400">
        <v>126.018501</v>
      </c>
    </row>
    <row r="401" spans="2:6" ht="15" x14ac:dyDescent="0.25">
      <c r="B401" s="14">
        <v>41156</v>
      </c>
      <c r="C401" s="30" t="str">
        <f>[2]!YBHIST($A$2,$B401,"Price","sec","")</f>
        <v>E</v>
      </c>
      <c r="D401" t="str">
        <f>[2]!YBPRICE($A$2,C401&amp;"d",$B402,"OAS","Swap",B401,"LMMSkew","","Model",100,"OAS")</f>
        <v>E</v>
      </c>
      <c r="E401" s="32" t="str">
        <f>[2]!YBHIST($A$2,B401,"LMMOAS","sec","")</f>
        <v>E</v>
      </c>
      <c r="F401">
        <v>136.16789199999999</v>
      </c>
    </row>
    <row r="402" spans="2:6" ht="15" x14ac:dyDescent="0.25">
      <c r="B402" s="14">
        <v>41157</v>
      </c>
      <c r="C402" s="30" t="str">
        <f>[2]!YBHIST($A$2,$B402,"Price","sec","")</f>
        <v>E</v>
      </c>
      <c r="D402" t="str">
        <f>[2]!YBPRICE($A$2,C402&amp;"d",$B403,"OAS","Swap",B402,"LMMSkew","","Model",100,"OAS")</f>
        <v>E</v>
      </c>
      <c r="E402" s="32" t="str">
        <f>[2]!YBHIST($A$2,B402,"LMMOAS","sec","")</f>
        <v>E</v>
      </c>
      <c r="F402">
        <v>145.36779799999999</v>
      </c>
    </row>
    <row r="403" spans="2:6" ht="15" x14ac:dyDescent="0.25">
      <c r="B403" s="14">
        <v>41158</v>
      </c>
      <c r="C403" s="30" t="str">
        <f>[2]!YBHIST($A$2,$B403,"Price","sec","")</f>
        <v>E</v>
      </c>
      <c r="D403" t="str">
        <f>[2]!YBPRICE($A$2,C403&amp;"d",$B404,"OAS","Swap",B403,"LMMSkew","","Model",100,"OAS")</f>
        <v>E</v>
      </c>
      <c r="E403" s="32" t="str">
        <f>[2]!YBHIST($A$2,B403,"LMMOAS","sec","")</f>
        <v>E</v>
      </c>
      <c r="F403">
        <v>136.753906</v>
      </c>
    </row>
    <row r="404" spans="2:6" ht="15" x14ac:dyDescent="0.25">
      <c r="B404" s="14">
        <v>41159</v>
      </c>
      <c r="C404" s="30" t="str">
        <f>[2]!YBHIST($A$2,$B404,"Price","sec","")</f>
        <v>E</v>
      </c>
      <c r="D404" t="str">
        <f>[2]!YBPRICE($A$2,C404&amp;"d",$B405,"OAS","Swap",B404,"LMMSkew","","Model",100,"OAS")</f>
        <v>E</v>
      </c>
      <c r="E404" s="32" t="str">
        <f>[2]!YBHIST($A$2,B404,"LMMOAS","sec","")</f>
        <v>E</v>
      </c>
      <c r="F404">
        <v>156.40870699999999</v>
      </c>
    </row>
    <row r="405" spans="2:6" ht="15" x14ac:dyDescent="0.25">
      <c r="B405" s="14">
        <v>41162</v>
      </c>
      <c r="C405" s="30" t="str">
        <f>[2]!YBHIST($A$2,$B405,"Price","sec","")</f>
        <v>E</v>
      </c>
      <c r="D405" t="str">
        <f>[2]!YBPRICE($A$2,C405&amp;"d",$B406,"OAS","Swap",B405,"LMMSkew","","Model",100,"OAS")</f>
        <v>E</v>
      </c>
      <c r="E405" s="32" t="str">
        <f>[2]!YBHIST($A$2,B405,"LMMOAS","sec","")</f>
        <v>E</v>
      </c>
      <c r="F405">
        <v>182.48620600000001</v>
      </c>
    </row>
    <row r="406" spans="2:6" ht="15" x14ac:dyDescent="0.25">
      <c r="B406" s="14">
        <v>41163</v>
      </c>
      <c r="C406" s="30" t="str">
        <f>[2]!YBHIST($A$2,$B406,"Price","sec","")</f>
        <v>E</v>
      </c>
      <c r="D406" t="str">
        <f>[2]!YBPRICE($A$2,C406&amp;"d",$B407,"OAS","Swap",B406,"LMMSkew","","Model",100,"OAS")</f>
        <v>E</v>
      </c>
      <c r="E406" s="32" t="str">
        <f>[2]!YBHIST($A$2,B406,"LMMOAS","sec","")</f>
        <v>E</v>
      </c>
      <c r="F406">
        <v>186.86039700000001</v>
      </c>
    </row>
    <row r="407" spans="2:6" ht="15" x14ac:dyDescent="0.25">
      <c r="B407" s="14">
        <v>41164</v>
      </c>
      <c r="C407" s="30" t="str">
        <f>[2]!YBHIST($A$2,$B407,"Price","sec","")</f>
        <v>E</v>
      </c>
      <c r="D407" t="str">
        <f>[2]!YBPRICE($A$2,C407&amp;"d",$B408,"OAS","Swap",B407,"LMMSkew","","Model",100,"OAS")</f>
        <v>E</v>
      </c>
      <c r="E407" s="32" t="str">
        <f>[2]!YBHIST($A$2,B407,"LMMOAS","sec","")</f>
        <v>E</v>
      </c>
      <c r="F407">
        <v>206.483902</v>
      </c>
    </row>
    <row r="408" spans="2:6" ht="15" x14ac:dyDescent="0.25">
      <c r="B408" s="14">
        <v>41165</v>
      </c>
      <c r="C408" s="30" t="str">
        <f>[2]!YBHIST($A$2,$B408,"Price","sec","")</f>
        <v>E</v>
      </c>
      <c r="D408" t="str">
        <f>[2]!YBPRICE($A$2,C408&amp;"d",$B409,"OAS","Swap",B408,"LMMSkew","","Model",100,"OAS")</f>
        <v>E</v>
      </c>
      <c r="E408" s="32" t="str">
        <f>[2]!YBHIST($A$2,B408,"LMMOAS","sec","")</f>
        <v>E</v>
      </c>
      <c r="F408">
        <v>289.24529999999999</v>
      </c>
    </row>
    <row r="409" spans="2:6" ht="15" x14ac:dyDescent="0.25">
      <c r="B409" s="14">
        <v>41166</v>
      </c>
      <c r="C409" s="30" t="str">
        <f>[2]!YBHIST($A$2,$B409,"Price","sec","")</f>
        <v>E</v>
      </c>
      <c r="D409" t="str">
        <f>[2]!YBPRICE($A$2,C409&amp;"d",$B410,"OAS","Swap",B409,"LMMSkew","","Model",100,"OAS")</f>
        <v>E</v>
      </c>
      <c r="E409" s="32" t="str">
        <f>[2]!YBHIST($A$2,B409,"LMMOAS","sec","")</f>
        <v>E</v>
      </c>
      <c r="F409">
        <v>299.248108</v>
      </c>
    </row>
    <row r="410" spans="2:6" ht="15" x14ac:dyDescent="0.25">
      <c r="B410" s="14">
        <v>41169</v>
      </c>
      <c r="C410" s="30" t="str">
        <f>[2]!YBHIST($A$2,$B410,"Price","sec","")</f>
        <v>E</v>
      </c>
      <c r="D410" t="str">
        <f>[2]!YBPRICE($A$2,C410&amp;"d",$B411,"OAS","Swap",B410,"LMMSkew","","Model",100,"OAS")</f>
        <v>E</v>
      </c>
      <c r="E410" s="32" t="str">
        <f>[2]!YBHIST($A$2,B410,"LMMOAS","sec","")</f>
        <v>E</v>
      </c>
      <c r="F410">
        <v>288.83160400000003</v>
      </c>
    </row>
    <row r="411" spans="2:6" ht="15" x14ac:dyDescent="0.25">
      <c r="B411" s="14">
        <v>41170</v>
      </c>
      <c r="C411" s="30" t="str">
        <f>[2]!YBHIST($A$2,$B411,"Price","sec","")</f>
        <v>E</v>
      </c>
      <c r="D411" t="str">
        <f>[2]!YBPRICE($A$2,C411&amp;"d",$B412,"OAS","Swap",B411,"LMMSkew","","Model",100,"OAS")</f>
        <v>E</v>
      </c>
      <c r="E411" s="32" t="str">
        <f>[2]!YBHIST($A$2,B411,"LMMOAS","sec","")</f>
        <v>E</v>
      </c>
      <c r="F411">
        <v>295.59310900000003</v>
      </c>
    </row>
    <row r="412" spans="2:6" ht="15" x14ac:dyDescent="0.25">
      <c r="B412" s="14">
        <v>41171</v>
      </c>
      <c r="C412" s="30" t="str">
        <f>[2]!YBHIST($A$2,$B412,"Price","sec","")</f>
        <v>E</v>
      </c>
      <c r="D412" t="str">
        <f>[2]!YBPRICE($A$2,C412&amp;"d",$B413,"OAS","Swap",B412,"LMMSkew","","Model",100,"OAS")</f>
        <v>E</v>
      </c>
      <c r="E412" s="32" t="str">
        <f>[2]!YBHIST($A$2,B412,"LMMOAS","sec","")</f>
        <v>E</v>
      </c>
      <c r="F412">
        <v>305.35391199999998</v>
      </c>
    </row>
    <row r="413" spans="2:6" ht="15" x14ac:dyDescent="0.25">
      <c r="B413" s="14">
        <v>41172</v>
      </c>
      <c r="C413" s="30" t="str">
        <f>[2]!YBHIST($A$2,$B413,"Price","sec","")</f>
        <v>E</v>
      </c>
      <c r="D413" t="str">
        <f>[2]!YBPRICE($A$2,C413&amp;"d",$B414,"OAS","Swap",B413,"LMMSkew","","Model",100,"OAS")</f>
        <v>E</v>
      </c>
      <c r="E413" s="32" t="str">
        <f>[2]!YBHIST($A$2,B413,"LMMOAS","sec","")</f>
        <v>E</v>
      </c>
      <c r="F413">
        <v>330.882812</v>
      </c>
    </row>
    <row r="414" spans="2:6" ht="15" x14ac:dyDescent="0.25">
      <c r="B414" s="14">
        <v>41173</v>
      </c>
      <c r="C414" s="30" t="str">
        <f>[2]!YBHIST($A$2,$B414,"Price","sec","")</f>
        <v>E</v>
      </c>
      <c r="D414" t="str">
        <f>[2]!YBPRICE($A$2,C414&amp;"d",$B415,"OAS","Swap",B414,"LMMSkew","","Model",100,"OAS")</f>
        <v>E</v>
      </c>
      <c r="E414" s="32" t="str">
        <f>[2]!YBHIST($A$2,B414,"LMMOAS","sec","")</f>
        <v>E</v>
      </c>
      <c r="F414">
        <v>371.7099</v>
      </c>
    </row>
    <row r="415" spans="2:6" ht="15" x14ac:dyDescent="0.25">
      <c r="B415" s="14">
        <v>41176</v>
      </c>
      <c r="C415" s="30" t="str">
        <f>[2]!YBHIST($A$2,$B415,"Price","sec","")</f>
        <v>E</v>
      </c>
      <c r="D415" t="str">
        <f>[2]!YBPRICE($A$2,C415&amp;"d",$B416,"OAS","Swap",B415,"LMMSkew","","Model",100,"OAS")</f>
        <v>E</v>
      </c>
      <c r="E415" s="32" t="str">
        <f>[2]!YBHIST($A$2,B415,"LMMOAS","sec","")</f>
        <v>E</v>
      </c>
      <c r="F415">
        <v>447.06280500000003</v>
      </c>
    </row>
    <row r="416" spans="2:6" ht="15" x14ac:dyDescent="0.25">
      <c r="B416" s="14">
        <v>41177</v>
      </c>
      <c r="C416" s="30" t="str">
        <f>[2]!YBHIST($A$2,$B416,"Price","sec","")</f>
        <v>E</v>
      </c>
      <c r="D416" t="str">
        <f>[2]!YBPRICE($A$2,C416&amp;"d",$B417,"OAS","Swap",B416,"LMMSkew","","Model",100,"OAS")</f>
        <v>E</v>
      </c>
      <c r="E416" s="32" t="str">
        <f>[2]!YBHIST($A$2,B416,"LMMOAS","sec","")</f>
        <v>E</v>
      </c>
      <c r="F416">
        <v>522.47631799999999</v>
      </c>
    </row>
    <row r="417" spans="2:6" ht="15" x14ac:dyDescent="0.25">
      <c r="B417" s="14">
        <v>41178</v>
      </c>
      <c r="C417" s="30" t="str">
        <f>[2]!YBHIST($A$2,$B417,"Price","sec","")</f>
        <v>E</v>
      </c>
      <c r="D417" t="str">
        <f>[2]!YBPRICE($A$2,C417&amp;"d",$B418,"OAS","Swap",B417,"LMMSkew","","Model",100,"OAS")</f>
        <v>E</v>
      </c>
      <c r="E417" s="32" t="str">
        <f>[2]!YBHIST($A$2,B417,"LMMOAS","sec","")</f>
        <v>E</v>
      </c>
      <c r="F417">
        <v>489.41558800000001</v>
      </c>
    </row>
    <row r="418" spans="2:6" ht="15" x14ac:dyDescent="0.25">
      <c r="B418" s="14">
        <v>41179</v>
      </c>
      <c r="C418" s="30" t="str">
        <f>[2]!YBHIST($A$2,$B418,"Price","sec","")</f>
        <v>E</v>
      </c>
      <c r="D418" t="str">
        <f>[2]!YBPRICE($A$2,C418&amp;"d",$B419,"OAS","Swap",B418,"LMMSkew","","Model",100,"OAS")</f>
        <v>E</v>
      </c>
      <c r="E418" s="32" t="str">
        <f>[2]!YBHIST($A$2,B418,"LMMOAS","sec","")</f>
        <v>E</v>
      </c>
      <c r="F418">
        <v>447.58441199999999</v>
      </c>
    </row>
    <row r="419" spans="2:6" ht="15" x14ac:dyDescent="0.25">
      <c r="B419" s="14">
        <v>41180</v>
      </c>
      <c r="C419" s="30" t="str">
        <f>[2]!YBHIST($A$2,$B419,"Price","sec","")</f>
        <v>E</v>
      </c>
      <c r="D419" t="str">
        <f>[2]!YBPRICE($A$2,C419&amp;"d",$B420,"OAS","Swap",B419,"LMMSkew","","Model",100,"OAS")</f>
        <v>E</v>
      </c>
      <c r="E419" s="32" t="str">
        <f>[2]!YBHIST($A$2,B419,"LMMOAS","sec","")</f>
        <v>E</v>
      </c>
      <c r="F419">
        <v>421.34609999999998</v>
      </c>
    </row>
    <row r="420" spans="2:6" ht="15" x14ac:dyDescent="0.25">
      <c r="B420" s="14">
        <v>41183</v>
      </c>
      <c r="C420" s="30" t="str">
        <f>[2]!YBHIST($A$2,$B420,"Price","sec","")</f>
        <v>E</v>
      </c>
      <c r="D420" t="str">
        <f>[2]!YBPRICE($A$2,C420&amp;"d",$B421,"OAS","Swap",B420,"LMMSkew","","Model",100,"OAS")</f>
        <v>E</v>
      </c>
      <c r="E420" s="32" t="str">
        <f>[2]!YBHIST($A$2,B420,"LMMOAS","sec","")</f>
        <v>E</v>
      </c>
      <c r="F420">
        <v>377.69909699999999</v>
      </c>
    </row>
    <row r="421" spans="2:6" ht="15" x14ac:dyDescent="0.25">
      <c r="B421" s="14">
        <v>41184</v>
      </c>
      <c r="C421" s="30" t="str">
        <f>[2]!YBHIST($A$2,$B421,"Price","sec","")</f>
        <v>E</v>
      </c>
      <c r="D421" t="str">
        <f>[2]!YBPRICE($A$2,C421&amp;"d",$B422,"OAS","Swap",B421,"LMMSkew","","Model",100,"OAS")</f>
        <v>E</v>
      </c>
      <c r="E421" s="32" t="str">
        <f>[2]!YBHIST($A$2,B421,"LMMOAS","sec","")</f>
        <v>E</v>
      </c>
      <c r="F421">
        <v>367.17541499999999</v>
      </c>
    </row>
    <row r="422" spans="2:6" ht="15" x14ac:dyDescent="0.25">
      <c r="B422" s="14">
        <v>41185</v>
      </c>
      <c r="C422" s="30" t="str">
        <f>[2]!YBHIST($A$2,$B422,"Price","sec","")</f>
        <v>E</v>
      </c>
      <c r="D422" t="str">
        <f>[2]!YBPRICE($A$2,C422&amp;"d",$B423,"OAS","Swap",B422,"LMMSkew","","Model",100,"OAS")</f>
        <v>E</v>
      </c>
      <c r="E422" s="32" t="str">
        <f>[2]!YBHIST($A$2,B422,"LMMOAS","sec","")</f>
        <v>E</v>
      </c>
      <c r="F422">
        <v>422.14001500000001</v>
      </c>
    </row>
    <row r="423" spans="2:6" ht="15" x14ac:dyDescent="0.25">
      <c r="B423" s="14">
        <v>41186</v>
      </c>
      <c r="C423" s="30" t="str">
        <f>[2]!YBHIST($A$2,$B423,"Price","sec","")</f>
        <v>E</v>
      </c>
      <c r="D423" t="str">
        <f>[2]!YBPRICE($A$2,C423&amp;"d",$B424,"OAS","Swap",B423,"LMMSkew","","Model",100,"OAS")</f>
        <v>E</v>
      </c>
      <c r="E423" s="32" t="str">
        <f>[2]!YBHIST($A$2,B423,"LMMOAS","sec","")</f>
        <v>E</v>
      </c>
      <c r="F423">
        <v>436.46109000000001</v>
      </c>
    </row>
    <row r="424" spans="2:6" ht="15" x14ac:dyDescent="0.25">
      <c r="B424" s="14">
        <v>41187</v>
      </c>
      <c r="C424" s="30" t="str">
        <f>[2]!YBHIST($A$2,$B424,"Price","sec","")</f>
        <v>E</v>
      </c>
      <c r="D424" t="str">
        <f>[2]!YBPRICE($A$2,C424&amp;"d",$B425,"OAS","Swap",B424,"LMMSkew","","Model",100,"OAS")</f>
        <v>E</v>
      </c>
      <c r="E424" s="32" t="str">
        <f>[2]!YBHIST($A$2,B424,"LMMOAS","sec","")</f>
        <v>E</v>
      </c>
      <c r="F424">
        <v>457.66830399999998</v>
      </c>
    </row>
    <row r="425" spans="2:6" ht="15" x14ac:dyDescent="0.25">
      <c r="B425" s="14">
        <v>41191</v>
      </c>
      <c r="C425" s="30" t="str">
        <f>[2]!YBHIST($A$2,$B425,"Price","sec","")</f>
        <v>E</v>
      </c>
      <c r="D425" t="str">
        <f>[2]!YBPRICE($A$2,C425&amp;"d",$B426,"OAS","Swap",B425,"LMMSkew","","Model",100,"OAS")</f>
        <v>E</v>
      </c>
      <c r="E425" s="32" t="str">
        <f>[2]!YBHIST($A$2,B425,"LMMOAS","sec","")</f>
        <v>E</v>
      </c>
      <c r="F425">
        <v>454.518799</v>
      </c>
    </row>
    <row r="426" spans="2:6" ht="15" x14ac:dyDescent="0.25">
      <c r="B426" s="14">
        <v>41192</v>
      </c>
      <c r="C426" s="30" t="str">
        <f>[2]!YBHIST($A$2,$B426,"Price","sec","")</f>
        <v>E</v>
      </c>
      <c r="D426" t="str">
        <f>[2]!YBPRICE($A$2,C426&amp;"d",$B427,"OAS","Swap",B426,"LMMSkew","","Model",100,"OAS")</f>
        <v>E</v>
      </c>
      <c r="E426" s="32" t="str">
        <f>[2]!YBHIST($A$2,B426,"LMMOAS","sec","")</f>
        <v>E</v>
      </c>
      <c r="F426">
        <v>483.07650799999999</v>
      </c>
    </row>
    <row r="427" spans="2:6" ht="15" x14ac:dyDescent="0.25">
      <c r="B427" s="14">
        <v>41193</v>
      </c>
      <c r="C427" s="30" t="str">
        <f>[2]!YBHIST($A$2,$B427,"Price","sec","")</f>
        <v>E</v>
      </c>
      <c r="D427" t="str">
        <f>[2]!YBPRICE($A$2,C427&amp;"d",$B428,"OAS","Swap",B427,"LMMSkew","","Model",100,"OAS")</f>
        <v>E</v>
      </c>
      <c r="E427" s="32" t="str">
        <f>[2]!YBHIST($A$2,B427,"LMMOAS","sec","")</f>
        <v>E</v>
      </c>
      <c r="F427">
        <v>490.89419600000002</v>
      </c>
    </row>
    <row r="428" spans="2:6" ht="15" x14ac:dyDescent="0.25">
      <c r="B428" s="14">
        <v>41194</v>
      </c>
      <c r="C428" s="30" t="str">
        <f>[2]!YBHIST($A$2,$B428,"Price","sec","")</f>
        <v>E</v>
      </c>
      <c r="D428" t="str">
        <f>[2]!YBPRICE($A$2,C428&amp;"d",$B429,"OAS","Swap",B428,"LMMSkew","","Model",100,"OAS")</f>
        <v>E</v>
      </c>
      <c r="E428" s="32" t="str">
        <f>[2]!YBHIST($A$2,B428,"LMMOAS","sec","")</f>
        <v>E</v>
      </c>
      <c r="F428">
        <v>438.64300500000002</v>
      </c>
    </row>
    <row r="429" spans="2:6" ht="15" x14ac:dyDescent="0.25">
      <c r="B429" s="14">
        <v>41197</v>
      </c>
      <c r="C429" s="30" t="str">
        <f>[2]!YBHIST($A$2,$B429,"Price","sec","")</f>
        <v>E</v>
      </c>
      <c r="D429" t="str">
        <f>[2]!YBPRICE($A$2,C429&amp;"d",$B430,"OAS","Swap",B429,"LMMSkew","","Model",100,"OAS")</f>
        <v>E</v>
      </c>
      <c r="E429" s="32" t="str">
        <f>[2]!YBHIST($A$2,B429,"LMMOAS","sec","")</f>
        <v>E</v>
      </c>
      <c r="F429">
        <v>432.55011000000002</v>
      </c>
    </row>
    <row r="430" spans="2:6" ht="15" x14ac:dyDescent="0.25">
      <c r="B430" s="14">
        <v>41198</v>
      </c>
      <c r="C430" s="30" t="str">
        <f>[2]!YBHIST($A$2,$B430,"Price","sec","")</f>
        <v>E</v>
      </c>
      <c r="D430" t="str">
        <f>[2]!YBPRICE($A$2,C430&amp;"d",$B431,"OAS","Swap",B430,"LMMSkew","","Model",100,"OAS")</f>
        <v>E</v>
      </c>
      <c r="E430" s="32" t="str">
        <f>[2]!YBHIST($A$2,B430,"LMMOAS","sec","")</f>
        <v>E</v>
      </c>
      <c r="F430">
        <v>446.50650000000002</v>
      </c>
    </row>
    <row r="431" spans="2:6" ht="15" x14ac:dyDescent="0.25">
      <c r="B431" s="14">
        <v>41199</v>
      </c>
      <c r="C431" s="30" t="str">
        <f>[2]!YBHIST($A$2,$B431,"Price","sec","")</f>
        <v>E</v>
      </c>
      <c r="D431" t="str">
        <f>[2]!YBPRICE($A$2,C431&amp;"d",$B432,"OAS","Swap",B431,"LMMSkew","","Model",100,"OAS")</f>
        <v>E</v>
      </c>
      <c r="E431" s="32" t="str">
        <f>[2]!YBHIST($A$2,B431,"LMMOAS","sec","")</f>
        <v>E</v>
      </c>
      <c r="F431">
        <v>416.60400399999997</v>
      </c>
    </row>
    <row r="432" spans="2:6" ht="15" x14ac:dyDescent="0.25">
      <c r="B432" s="14">
        <v>41200</v>
      </c>
      <c r="C432" s="30" t="str">
        <f>[2]!YBHIST($A$2,$B432,"Price","sec","")</f>
        <v>E</v>
      </c>
      <c r="D432" t="str">
        <f>[2]!YBPRICE($A$2,C432&amp;"d",$B433,"OAS","Swap",B432,"LMMSkew","","Model",100,"OAS")</f>
        <v>E</v>
      </c>
      <c r="E432" s="32" t="str">
        <f>[2]!YBHIST($A$2,B432,"LMMOAS","sec","")</f>
        <v>E</v>
      </c>
      <c r="F432">
        <v>396.82629400000002</v>
      </c>
    </row>
    <row r="433" spans="2:6" ht="15" x14ac:dyDescent="0.25">
      <c r="B433" s="14">
        <v>41201</v>
      </c>
      <c r="C433" s="30" t="str">
        <f>[2]!YBHIST($A$2,$B433,"Price","sec","")</f>
        <v>E</v>
      </c>
      <c r="D433" t="str">
        <f>[2]!YBPRICE($A$2,C433&amp;"d",$B434,"OAS","Swap",B433,"LMMSkew","","Model",100,"OAS")</f>
        <v>E</v>
      </c>
      <c r="E433" s="32" t="str">
        <f>[2]!YBHIST($A$2,B433,"LMMOAS","sec","")</f>
        <v>E</v>
      </c>
      <c r="F433">
        <v>421.60379</v>
      </c>
    </row>
    <row r="434" spans="2:6" ht="15" x14ac:dyDescent="0.25">
      <c r="B434" s="14">
        <v>41204</v>
      </c>
      <c r="C434" s="30" t="str">
        <f>[2]!YBHIST($A$2,$B434,"Price","sec","")</f>
        <v>E</v>
      </c>
      <c r="D434" t="str">
        <f>[2]!YBPRICE($A$2,C434&amp;"d",$B435,"OAS","Swap",B434,"LMMSkew","","Model",100,"OAS")</f>
        <v>E</v>
      </c>
      <c r="E434" s="32" t="str">
        <f>[2]!YBHIST($A$2,B434,"LMMOAS","sec","")</f>
        <v>E</v>
      </c>
      <c r="F434">
        <v>430.64331099999998</v>
      </c>
    </row>
    <row r="435" spans="2:6" ht="15" x14ac:dyDescent="0.25">
      <c r="B435" s="14">
        <v>41205</v>
      </c>
      <c r="C435" s="30" t="str">
        <f>[2]!YBHIST($A$2,$B435,"Price","sec","")</f>
        <v>E</v>
      </c>
      <c r="D435" t="str">
        <f>[2]!YBPRICE($A$2,C435&amp;"d",$B436,"OAS","Swap",B435,"LMMSkew","","Model",100,"OAS")</f>
        <v>E</v>
      </c>
      <c r="E435" s="32" t="str">
        <f>[2]!YBHIST($A$2,B435,"LMMOAS","sec","")</f>
        <v>E</v>
      </c>
      <c r="F435">
        <v>445.246307</v>
      </c>
    </row>
    <row r="436" spans="2:6" ht="15" x14ac:dyDescent="0.25">
      <c r="B436" s="14">
        <v>41206</v>
      </c>
      <c r="C436" s="30" t="str">
        <f>[2]!YBHIST($A$2,$B436,"Price","sec","")</f>
        <v>E</v>
      </c>
      <c r="D436" t="str">
        <f>[2]!YBPRICE($A$2,C436&amp;"d",$B437,"OAS","Swap",B436,"LMMSkew","","Model",100,"OAS")</f>
        <v>E</v>
      </c>
      <c r="E436" s="32" t="str">
        <f>[2]!YBHIST($A$2,B436,"LMMOAS","sec","")</f>
        <v>E</v>
      </c>
      <c r="F436">
        <v>434.46371499999998</v>
      </c>
    </row>
    <row r="437" spans="2:6" ht="15" x14ac:dyDescent="0.25">
      <c r="B437" s="14">
        <v>41207</v>
      </c>
      <c r="C437" s="30" t="str">
        <f>[2]!YBHIST($A$2,$B437,"Price","sec","")</f>
        <v>E</v>
      </c>
      <c r="D437" t="str">
        <f>[2]!YBPRICE($A$2,C437&amp;"d",$B438,"OAS","Swap",B437,"LMMSkew","","Model",100,"OAS")</f>
        <v>E</v>
      </c>
      <c r="E437" s="32" t="str">
        <f>[2]!YBHIST($A$2,B437,"LMMOAS","sec","")</f>
        <v>E</v>
      </c>
      <c r="F437">
        <v>416.21508799999998</v>
      </c>
    </row>
    <row r="438" spans="2:6" ht="15" x14ac:dyDescent="0.25">
      <c r="B438" s="14">
        <v>41208</v>
      </c>
      <c r="C438" s="30" t="str">
        <f>[2]!YBHIST($A$2,$B438,"Price","sec","")</f>
        <v>E</v>
      </c>
      <c r="D438" t="str">
        <f>[2]!YBPRICE($A$2,C438&amp;"d",$B439,"OAS","Swap",B438,"LMMSkew","","Model",100,"OAS")</f>
        <v>E</v>
      </c>
      <c r="E438" s="32" t="str">
        <f>[2]!YBHIST($A$2,B438,"LMMOAS","sec","")</f>
        <v>E</v>
      </c>
      <c r="F438">
        <v>426.57150300000001</v>
      </c>
    </row>
    <row r="439" spans="2:6" ht="15" x14ac:dyDescent="0.25">
      <c r="B439" s="14">
        <v>41211</v>
      </c>
      <c r="C439" s="30" t="str">
        <f>[2]!YBHIST($A$2,$B439,"Price","sec","")</f>
        <v>E</v>
      </c>
      <c r="D439" t="str">
        <f>[2]!YBPRICE($A$2,C439&amp;"d",$B440,"OAS","Swap",B439,"LMMSkew","","Model",100,"OAS")</f>
        <v>E</v>
      </c>
      <c r="E439" s="32" t="str">
        <f>[2]!YBHIST($A$2,B439,"LMMOAS","sec","")</f>
        <v>E</v>
      </c>
      <c r="F439">
        <v>397.405396</v>
      </c>
    </row>
    <row r="440" spans="2:6" ht="15" x14ac:dyDescent="0.25">
      <c r="B440" s="14">
        <v>41213</v>
      </c>
      <c r="C440" s="30" t="str">
        <f>[2]!YBHIST($A$2,$B440,"Price","sec","")</f>
        <v>E</v>
      </c>
      <c r="D440" t="str">
        <f>[2]!YBPRICE($A$2,C440&amp;"d",$B441,"OAS","Swap",B440,"LMMSkew","","Model",100,"OAS")</f>
        <v>E</v>
      </c>
      <c r="E440" s="32" t="str">
        <f>[2]!YBHIST($A$2,B440,"LMMOAS","sec","")</f>
        <v>E</v>
      </c>
      <c r="F440">
        <v>371.07870500000001</v>
      </c>
    </row>
    <row r="441" spans="2:6" ht="15" x14ac:dyDescent="0.25">
      <c r="B441" s="14">
        <v>41214</v>
      </c>
      <c r="C441" s="30" t="str">
        <f>[2]!YBHIST($A$2,$B441,"Price","sec","")</f>
        <v>E</v>
      </c>
      <c r="D441" t="str">
        <f>[2]!YBPRICE($A$2,C441&amp;"d",$B442,"OAS","Swap",B441,"LMMSkew","","Model",100,"OAS")</f>
        <v>E</v>
      </c>
      <c r="E441" s="32" t="str">
        <f>[2]!YBHIST($A$2,B441,"LMMOAS","sec","")</f>
        <v>E</v>
      </c>
      <c r="F441">
        <v>427.46939099999997</v>
      </c>
    </row>
    <row r="442" spans="2:6" ht="15" x14ac:dyDescent="0.25">
      <c r="B442" s="14">
        <v>41215</v>
      </c>
      <c r="C442" s="30" t="str">
        <f>[2]!YBHIST($A$2,$B442,"Price","sec","")</f>
        <v>E</v>
      </c>
      <c r="D442" t="str">
        <f>[2]!YBPRICE($A$2,C442&amp;"d",$B443,"OAS","Swap",B442,"LMMSkew","","Model",100,"OAS")</f>
        <v>E</v>
      </c>
      <c r="E442" s="32" t="str">
        <f>[2]!YBHIST($A$2,B442,"LMMOAS","sec","")</f>
        <v>E</v>
      </c>
      <c r="F442">
        <v>422.79849200000001</v>
      </c>
    </row>
    <row r="443" spans="2:6" ht="15" x14ac:dyDescent="0.25">
      <c r="B443" s="14">
        <v>41218</v>
      </c>
      <c r="C443" s="30" t="str">
        <f>[2]!YBHIST($A$2,$B443,"Price","sec","")</f>
        <v>E</v>
      </c>
      <c r="D443" t="str">
        <f>[2]!YBPRICE($A$2,C443&amp;"d",$B444,"OAS","Swap",B443,"LMMSkew","","Model",100,"OAS")</f>
        <v>E</v>
      </c>
      <c r="E443" s="32" t="str">
        <f>[2]!YBHIST($A$2,B443,"LMMOAS","sec","")</f>
        <v>E</v>
      </c>
      <c r="F443">
        <v>427.817993</v>
      </c>
    </row>
    <row r="444" spans="2:6" ht="15" x14ac:dyDescent="0.25">
      <c r="B444" s="14">
        <v>41219</v>
      </c>
      <c r="C444" s="30" t="str">
        <f>[2]!YBHIST($A$2,$B444,"Price","sec","")</f>
        <v>E</v>
      </c>
      <c r="D444" t="str">
        <f>[2]!YBPRICE($A$2,C444&amp;"d",$B445,"OAS","Swap",B444,"LMMSkew","","Model",100,"OAS")</f>
        <v>E</v>
      </c>
      <c r="E444" s="32" t="str">
        <f>[2]!YBHIST($A$2,B444,"LMMOAS","sec","")</f>
        <v>E</v>
      </c>
      <c r="F444">
        <v>418.99508700000001</v>
      </c>
    </row>
    <row r="445" spans="2:6" ht="15" x14ac:dyDescent="0.25">
      <c r="B445" s="14">
        <v>41220</v>
      </c>
      <c r="C445" s="30" t="str">
        <f>[2]!YBHIST($A$2,$B445,"Price","sec","")</f>
        <v>E</v>
      </c>
      <c r="D445" t="str">
        <f>[2]!YBPRICE($A$2,C445&amp;"d",$B446,"OAS","Swap",B445,"LMMSkew","","Model",100,"OAS")</f>
        <v>E</v>
      </c>
      <c r="E445" s="32" t="str">
        <f>[2]!YBHIST($A$2,B445,"LMMOAS","sec","")</f>
        <v>E</v>
      </c>
      <c r="F445">
        <v>406.77829000000003</v>
      </c>
    </row>
    <row r="446" spans="2:6" ht="15" x14ac:dyDescent="0.25">
      <c r="B446" s="14">
        <v>41221</v>
      </c>
      <c r="C446" s="30" t="str">
        <f>[2]!YBHIST($A$2,$B446,"Price","sec","")</f>
        <v>E</v>
      </c>
      <c r="D446" t="str">
        <f>[2]!YBPRICE($A$2,C446&amp;"d",$B447,"OAS","Swap",B446,"LMMSkew","","Model",100,"OAS")</f>
        <v>E</v>
      </c>
      <c r="E446" s="32" t="str">
        <f>[2]!YBHIST($A$2,B446,"LMMOAS","sec","")</f>
        <v>E</v>
      </c>
      <c r="F446">
        <v>394.187592</v>
      </c>
    </row>
    <row r="447" spans="2:6" ht="15" x14ac:dyDescent="0.25">
      <c r="B447" s="14">
        <v>41222</v>
      </c>
      <c r="C447" s="30" t="str">
        <f>[2]!YBHIST($A$2,$B447,"Price","sec","")</f>
        <v>E</v>
      </c>
      <c r="D447" t="str">
        <f>[2]!YBPRICE($A$2,C447&amp;"d",$B448,"OAS","Swap",B447,"LMMSkew","","Model",100,"OAS")</f>
        <v>E</v>
      </c>
      <c r="E447" s="32" t="str">
        <f>[2]!YBHIST($A$2,B447,"LMMOAS","sec","")</f>
        <v>E</v>
      </c>
      <c r="F447">
        <v>395.87271099999998</v>
      </c>
    </row>
    <row r="448" spans="2:6" ht="15" x14ac:dyDescent="0.25">
      <c r="B448" s="14">
        <v>41226</v>
      </c>
      <c r="C448" s="30" t="str">
        <f>[2]!YBHIST($A$2,$B448,"Price","sec","")</f>
        <v>E</v>
      </c>
      <c r="D448" t="str">
        <f>[2]!YBPRICE($A$2,C448&amp;"d",$B449,"OAS","Swap",B448,"LMMSkew","","Model",100,"OAS")</f>
        <v>E</v>
      </c>
      <c r="E448" s="32" t="str">
        <f>[2]!YBHIST($A$2,B448,"LMMOAS","sec","")</f>
        <v>E</v>
      </c>
      <c r="F448">
        <v>408.692993</v>
      </c>
    </row>
    <row r="449" spans="2:6" ht="15" x14ac:dyDescent="0.25">
      <c r="B449" s="14">
        <v>41227</v>
      </c>
      <c r="C449" s="30" t="str">
        <f>[2]!YBHIST($A$2,$B449,"Price","sec","")</f>
        <v>E</v>
      </c>
      <c r="D449" t="str">
        <f>[2]!YBPRICE($A$2,C449&amp;"d",$B450,"OAS","Swap",B449,"LMMSkew","","Model",100,"OAS")</f>
        <v>E</v>
      </c>
      <c r="E449" s="32" t="str">
        <f>[2]!YBHIST($A$2,B449,"LMMOAS","sec","")</f>
        <v>E</v>
      </c>
      <c r="F449">
        <v>411.519409</v>
      </c>
    </row>
    <row r="450" spans="2:6" ht="15" x14ac:dyDescent="0.25">
      <c r="B450" s="14">
        <v>41228</v>
      </c>
      <c r="C450" s="30" t="str">
        <f>[2]!YBHIST($A$2,$B450,"Price","sec","")</f>
        <v>E</v>
      </c>
      <c r="D450" t="str">
        <f>[2]!YBPRICE($A$2,C450&amp;"d",$B451,"OAS","Swap",B450,"LMMSkew","","Model",100,"OAS")</f>
        <v>E</v>
      </c>
      <c r="E450" s="32" t="str">
        <f>[2]!YBHIST($A$2,B450,"LMMOAS","sec","")</f>
        <v>E</v>
      </c>
      <c r="F450">
        <v>450.192902</v>
      </c>
    </row>
    <row r="451" spans="2:6" ht="15" x14ac:dyDescent="0.25">
      <c r="B451" s="14">
        <v>41229</v>
      </c>
      <c r="C451" s="30" t="str">
        <f>[2]!YBHIST($A$2,$B451,"Price","sec","")</f>
        <v>E</v>
      </c>
      <c r="D451" t="str">
        <f>[2]!YBPRICE($A$2,C451&amp;"d",$B452,"OAS","Swap",B451,"LMMSkew","","Model",100,"OAS")</f>
        <v>E</v>
      </c>
      <c r="E451" s="32" t="str">
        <f>[2]!YBHIST($A$2,B451,"LMMOAS","sec","")</f>
        <v>E</v>
      </c>
      <c r="F451">
        <v>450.903503</v>
      </c>
    </row>
    <row r="452" spans="2:6" ht="15" x14ac:dyDescent="0.25">
      <c r="B452" s="14">
        <v>41232</v>
      </c>
      <c r="C452" s="30" t="str">
        <f>[2]!YBHIST($A$2,$B452,"Price","sec","")</f>
        <v>E</v>
      </c>
      <c r="D452" t="str">
        <f>[2]!YBPRICE($A$2,C452&amp;"d",$B453,"OAS","Swap",B452,"LMMSkew","","Model",100,"OAS")</f>
        <v>E</v>
      </c>
      <c r="E452" s="32" t="str">
        <f>[2]!YBHIST($A$2,B452,"LMMOAS","sec","")</f>
        <v>E</v>
      </c>
      <c r="F452">
        <v>470.38439899999997</v>
      </c>
    </row>
    <row r="453" spans="2:6" ht="15" x14ac:dyDescent="0.25">
      <c r="B453" s="14">
        <v>41233</v>
      </c>
      <c r="C453" s="30" t="str">
        <f>[2]!YBHIST($A$2,$B453,"Price","sec","")</f>
        <v>E</v>
      </c>
      <c r="D453" t="str">
        <f>[2]!YBPRICE($A$2,C453&amp;"d",$B454,"OAS","Swap",B453,"LMMSkew","","Model",100,"OAS")</f>
        <v>E</v>
      </c>
      <c r="E453" s="32" t="str">
        <f>[2]!YBHIST($A$2,B453,"LMMOAS","sec","")</f>
        <v>E</v>
      </c>
      <c r="F453">
        <v>514.44281000000001</v>
      </c>
    </row>
    <row r="454" spans="2:6" ht="15" x14ac:dyDescent="0.25">
      <c r="B454" s="14">
        <v>41234</v>
      </c>
      <c r="C454" s="30" t="str">
        <f>[2]!YBHIST($A$2,$B454,"Price","sec","")</f>
        <v>E</v>
      </c>
      <c r="D454" t="str">
        <f>[2]!YBPRICE($A$2,C454&amp;"d",$B455,"OAS","Swap",B454,"LMMSkew","","Model",100,"OAS")</f>
        <v>E</v>
      </c>
      <c r="E454" s="32" t="str">
        <f>[2]!YBHIST($A$2,B454,"LMMOAS","sec","")</f>
        <v>E</v>
      </c>
      <c r="F454">
        <v>486.028503</v>
      </c>
    </row>
    <row r="455" spans="2:6" ht="15" x14ac:dyDescent="0.25">
      <c r="B455" s="14">
        <v>41236</v>
      </c>
      <c r="C455" s="30" t="str">
        <f>[2]!YBHIST($A$2,$B455,"Price","sec","")</f>
        <v>E</v>
      </c>
      <c r="D455" t="str">
        <f>[2]!YBPRICE($A$2,C455&amp;"d",$B456,"OAS","Swap",B455,"LMMSkew","","Model",100,"OAS")</f>
        <v>E</v>
      </c>
      <c r="E455" s="32" t="str">
        <f>[2]!YBHIST($A$2,B455,"LMMOAS","sec","")</f>
        <v>E</v>
      </c>
      <c r="F455">
        <v>471.62148999999999</v>
      </c>
    </row>
    <row r="456" spans="2:6" ht="15" x14ac:dyDescent="0.25">
      <c r="B456" s="14">
        <v>41239</v>
      </c>
      <c r="C456" s="30" t="str">
        <f>[2]!YBHIST($A$2,$B456,"Price","sec","")</f>
        <v>E</v>
      </c>
      <c r="D456" t="str">
        <f>[2]!YBPRICE($A$2,C456&amp;"d",$B457,"OAS","Swap",B456,"LMMSkew","","Model",100,"OAS")</f>
        <v>E</v>
      </c>
      <c r="E456" s="32" t="str">
        <f>[2]!YBHIST($A$2,B456,"LMMOAS","sec","")</f>
        <v>E</v>
      </c>
      <c r="F456">
        <v>451.07879600000001</v>
      </c>
    </row>
    <row r="457" spans="2:6" ht="15" x14ac:dyDescent="0.25">
      <c r="B457" s="14">
        <v>41240</v>
      </c>
      <c r="C457" s="30" t="str">
        <f>[2]!YBHIST($A$2,$B457,"Price","sec","")</f>
        <v>E</v>
      </c>
      <c r="D457" t="str">
        <f>[2]!YBPRICE($A$2,C457&amp;"d",$B458,"OAS","Swap",B457,"LMMSkew","","Model",100,"OAS")</f>
        <v>E</v>
      </c>
      <c r="E457" s="32" t="str">
        <f>[2]!YBHIST($A$2,B457,"LMMOAS","sec","")</f>
        <v>E</v>
      </c>
      <c r="F457">
        <v>428.36749300000002</v>
      </c>
    </row>
    <row r="458" spans="2:6" ht="15" x14ac:dyDescent="0.25">
      <c r="B458" s="14">
        <v>41241</v>
      </c>
      <c r="C458" s="30" t="str">
        <f>[2]!YBHIST($A$2,$B458,"Price","sec","")</f>
        <v>E</v>
      </c>
      <c r="D458" t="str">
        <f>[2]!YBPRICE($A$2,C458&amp;"d",$B459,"OAS","Swap",B458,"LMMSkew","","Model",100,"OAS")</f>
        <v>E</v>
      </c>
      <c r="E458" s="32" t="str">
        <f>[2]!YBHIST($A$2,B458,"LMMOAS","sec","")</f>
        <v>E</v>
      </c>
      <c r="F458">
        <v>422.72460899999999</v>
      </c>
    </row>
    <row r="459" spans="2:6" ht="15" x14ac:dyDescent="0.25">
      <c r="B459" s="14">
        <v>41242</v>
      </c>
      <c r="C459" s="30" t="str">
        <f>[2]!YBHIST($A$2,$B459,"Price","sec","")</f>
        <v>E</v>
      </c>
      <c r="D459" t="str">
        <f>[2]!YBPRICE($A$2,C459&amp;"d",$B460,"OAS","Swap",B459,"LMMSkew","","Model",100,"OAS")</f>
        <v>E</v>
      </c>
      <c r="E459" s="32" t="str">
        <f>[2]!YBHIST($A$2,B459,"LMMOAS","sec","")</f>
        <v>E</v>
      </c>
      <c r="F459">
        <v>436.41198700000001</v>
      </c>
    </row>
    <row r="460" spans="2:6" ht="15" x14ac:dyDescent="0.25">
      <c r="B460" s="14">
        <v>41243</v>
      </c>
      <c r="C460" s="30" t="str">
        <f>[2]!YBHIST($A$2,$B460,"Price","sec","")</f>
        <v>E</v>
      </c>
      <c r="D460" t="str">
        <f>[2]!YBPRICE($A$2,C460&amp;"d",$B461,"OAS","Swap",B460,"LMMSkew","","Model",100,"OAS")</f>
        <v>E</v>
      </c>
      <c r="E460" s="32" t="str">
        <f>[2]!YBHIST($A$2,B460,"LMMOAS","sec","")</f>
        <v>E</v>
      </c>
      <c r="F460">
        <v>446.99420199999997</v>
      </c>
    </row>
    <row r="461" spans="2:6" ht="15" x14ac:dyDescent="0.25">
      <c r="B461" s="14">
        <v>41246</v>
      </c>
      <c r="C461" s="30" t="str">
        <f>[2]!YBHIST($A$2,$B461,"Price","sec","")</f>
        <v>E</v>
      </c>
      <c r="D461" t="str">
        <f>[2]!YBPRICE($A$2,C461&amp;"d",$B462,"OAS","Swap",B461,"LMMSkew","","Model",100,"OAS")</f>
        <v>E</v>
      </c>
      <c r="E461" s="32" t="str">
        <f>[2]!YBHIST($A$2,B461,"LMMOAS","sec","")</f>
        <v>E</v>
      </c>
      <c r="F461">
        <v>447.60180700000001</v>
      </c>
    </row>
    <row r="462" spans="2:6" ht="15" x14ac:dyDescent="0.25">
      <c r="B462" s="14">
        <v>41247</v>
      </c>
      <c r="C462" s="30" t="str">
        <f>[2]!YBHIST($A$2,$B462,"Price","sec","")</f>
        <v>E</v>
      </c>
      <c r="D462" t="str">
        <f>[2]!YBPRICE($A$2,C462&amp;"d",$B463,"OAS","Swap",B462,"LMMSkew","","Model",100,"OAS")</f>
        <v>E</v>
      </c>
      <c r="E462" s="32" t="str">
        <f>[2]!YBHIST($A$2,B462,"LMMOAS","sec","")</f>
        <v>E</v>
      </c>
      <c r="F462">
        <v>461.79840100000001</v>
      </c>
    </row>
    <row r="463" spans="2:6" ht="15" x14ac:dyDescent="0.25">
      <c r="B463" s="14">
        <v>41248</v>
      </c>
      <c r="C463" s="30" t="str">
        <f>[2]!YBHIST($A$2,$B463,"Price","sec","")</f>
        <v>E</v>
      </c>
      <c r="D463" t="str">
        <f>[2]!YBPRICE($A$2,C463&amp;"d",$B464,"OAS","Swap",B463,"LMMSkew","","Model",100,"OAS")</f>
        <v>E</v>
      </c>
      <c r="E463" s="32" t="str">
        <f>[2]!YBHIST($A$2,B463,"LMMOAS","sec","")</f>
        <v>E</v>
      </c>
      <c r="F463">
        <v>509.06100500000002</v>
      </c>
    </row>
    <row r="464" spans="2:6" ht="15" x14ac:dyDescent="0.25">
      <c r="B464" s="14">
        <v>41249</v>
      </c>
      <c r="C464" s="30" t="str">
        <f>[2]!YBHIST($A$2,$B464,"Price","sec","")</f>
        <v>E</v>
      </c>
      <c r="D464" t="str">
        <f>[2]!YBPRICE($A$2,C464&amp;"d",$B465,"OAS","Swap",B464,"LMMSkew","","Model",100,"OAS")</f>
        <v>E</v>
      </c>
      <c r="E464" s="32" t="str">
        <f>[2]!YBHIST($A$2,B464,"LMMOAS","sec","")</f>
        <v>E</v>
      </c>
      <c r="F464">
        <v>508.70831299999998</v>
      </c>
    </row>
    <row r="465" spans="2:6" ht="15" x14ac:dyDescent="0.25">
      <c r="B465" s="14">
        <v>41250</v>
      </c>
      <c r="C465" s="30" t="str">
        <f>[2]!YBHIST($A$2,$B465,"Price","sec","")</f>
        <v>E</v>
      </c>
      <c r="D465" t="str">
        <f>[2]!YBPRICE($A$2,C465&amp;"d",$B466,"OAS","Swap",B465,"LMMSkew","","Model",100,"OAS")</f>
        <v>E</v>
      </c>
      <c r="E465" s="32" t="str">
        <f>[2]!YBHIST($A$2,B465,"LMMOAS","sec","")</f>
        <v>E</v>
      </c>
      <c r="F465">
        <v>497.20111100000003</v>
      </c>
    </row>
    <row r="466" spans="2:6" ht="15" x14ac:dyDescent="0.25">
      <c r="B466" s="14">
        <v>41253</v>
      </c>
      <c r="C466" s="30" t="str">
        <f>[2]!YBHIST($A$2,$B466,"Price","sec","")</f>
        <v>E</v>
      </c>
      <c r="D466" t="str">
        <f>[2]!YBPRICE($A$2,C466&amp;"d",$B467,"OAS","Swap",B466,"LMMSkew","","Model",100,"OAS")</f>
        <v>E</v>
      </c>
      <c r="E466" s="32" t="str">
        <f>[2]!YBHIST($A$2,B466,"LMMOAS","sec","")</f>
        <v>E</v>
      </c>
      <c r="F466">
        <v>487.79708900000003</v>
      </c>
    </row>
    <row r="467" spans="2:6" ht="15" x14ac:dyDescent="0.25">
      <c r="B467" s="14">
        <v>41254</v>
      </c>
      <c r="C467" s="30" t="str">
        <f>[2]!YBHIST($A$2,$B467,"Price","sec","")</f>
        <v>E</v>
      </c>
      <c r="D467" t="str">
        <f>[2]!YBPRICE($A$2,C467&amp;"d",$B468,"OAS","Swap",B467,"LMMSkew","","Model",100,"OAS")</f>
        <v>E</v>
      </c>
      <c r="E467" s="32" t="str">
        <f>[2]!YBHIST($A$2,B467,"LMMOAS","sec","")</f>
        <v>E</v>
      </c>
      <c r="F467">
        <v>495.26080300000001</v>
      </c>
    </row>
    <row r="468" spans="2:6" ht="15" x14ac:dyDescent="0.25">
      <c r="B468" s="14">
        <v>41255</v>
      </c>
      <c r="C468" s="30" t="str">
        <f>[2]!YBHIST($A$2,$B468,"Price","sec","")</f>
        <v>E</v>
      </c>
      <c r="D468" t="str">
        <f>[2]!YBPRICE($A$2,C468&amp;"d",$B469,"OAS","Swap",B468,"LMMSkew","","Model",100,"OAS")</f>
        <v>E</v>
      </c>
      <c r="E468" s="32" t="str">
        <f>[2]!YBHIST($A$2,B468,"LMMOAS","sec","")</f>
        <v>E</v>
      </c>
      <c r="F468">
        <v>512.666382</v>
      </c>
    </row>
    <row r="469" spans="2:6" ht="15" x14ac:dyDescent="0.25">
      <c r="B469" s="14">
        <v>41256</v>
      </c>
      <c r="C469" s="30" t="str">
        <f>[2]!YBHIST($A$2,$B469,"Price","sec","")</f>
        <v>E</v>
      </c>
      <c r="D469" t="str">
        <f>[2]!YBPRICE($A$2,C469&amp;"d",$B470,"OAS","Swap",B469,"LMMSkew","","Model",100,"OAS")</f>
        <v>E</v>
      </c>
      <c r="E469" s="32" t="str">
        <f>[2]!YBHIST($A$2,B469,"LMMOAS","sec","")</f>
        <v>E</v>
      </c>
      <c r="F469">
        <v>496.30120799999997</v>
      </c>
    </row>
    <row r="470" spans="2:6" ht="15" x14ac:dyDescent="0.25">
      <c r="B470" s="14">
        <v>41257</v>
      </c>
      <c r="C470" s="30" t="str">
        <f>[2]!YBHIST($A$2,$B470,"Price","sec","")</f>
        <v>E</v>
      </c>
      <c r="D470" t="str">
        <f>[2]!YBPRICE($A$2,C470&amp;"d",$B471,"OAS","Swap",B470,"LMMSkew","","Model",100,"OAS")</f>
        <v>E</v>
      </c>
      <c r="E470" s="32" t="str">
        <f>[2]!YBHIST($A$2,B470,"LMMOAS","sec","")</f>
        <v>E</v>
      </c>
      <c r="F470">
        <v>496.901794</v>
      </c>
    </row>
    <row r="471" spans="2:6" ht="15" x14ac:dyDescent="0.25">
      <c r="B471" s="14">
        <v>41260</v>
      </c>
      <c r="C471" s="30" t="str">
        <f>[2]!YBHIST($A$2,$B471,"Price","sec","")</f>
        <v>E</v>
      </c>
      <c r="D471" t="str">
        <f>[2]!YBPRICE($A$2,C471&amp;"d",$B472,"OAS","Swap",B471,"LMMSkew","","Model",100,"OAS")</f>
        <v>E</v>
      </c>
      <c r="E471" s="32" t="str">
        <f>[2]!YBHIST($A$2,B471,"LMMOAS","sec","")</f>
        <v>E</v>
      </c>
      <c r="F471">
        <v>496.850098</v>
      </c>
    </row>
    <row r="472" spans="2:6" ht="15" x14ac:dyDescent="0.25">
      <c r="B472" s="14">
        <v>41261</v>
      </c>
      <c r="C472" s="30" t="str">
        <f>[2]!YBHIST($A$2,$B472,"Price","sec","")</f>
        <v>E</v>
      </c>
      <c r="D472" t="str">
        <f>[2]!YBPRICE($A$2,C472&amp;"d",$B473,"OAS","Swap",B472,"LMMSkew","","Model",100,"OAS")</f>
        <v>E</v>
      </c>
      <c r="E472" s="32" t="str">
        <f>[2]!YBHIST($A$2,B472,"LMMOAS","sec","")</f>
        <v>E</v>
      </c>
      <c r="F472">
        <v>499.73190299999999</v>
      </c>
    </row>
    <row r="473" spans="2:6" ht="15" x14ac:dyDescent="0.25">
      <c r="B473" s="14">
        <v>41262</v>
      </c>
      <c r="C473" s="30" t="str">
        <f>[2]!YBHIST($A$2,$B473,"Price","sec","")</f>
        <v>E</v>
      </c>
      <c r="D473" t="str">
        <f>[2]!YBPRICE($A$2,C473&amp;"d",$B474,"OAS","Swap",B473,"LMMSkew","","Model",100,"OAS")</f>
        <v>E</v>
      </c>
      <c r="E473" s="32" t="str">
        <f>[2]!YBHIST($A$2,B473,"LMMOAS","sec","")</f>
        <v>E</v>
      </c>
      <c r="F473">
        <v>499.44241299999999</v>
      </c>
    </row>
    <row r="474" spans="2:6" ht="15" x14ac:dyDescent="0.25">
      <c r="B474" s="14">
        <v>41263</v>
      </c>
      <c r="C474" s="30" t="str">
        <f>[2]!YBHIST($A$2,$B474,"Price","sec","")</f>
        <v>E</v>
      </c>
      <c r="D474" t="str">
        <f>[2]!YBPRICE($A$2,C474&amp;"d",$B475,"OAS","Swap",B474,"LMMSkew","","Model",100,"OAS")</f>
        <v>E</v>
      </c>
      <c r="E474" s="32" t="str">
        <f>[2]!YBHIST($A$2,B474,"LMMOAS","sec","")</f>
        <v>E</v>
      </c>
      <c r="F474">
        <v>507.09789999999998</v>
      </c>
    </row>
    <row r="475" spans="2:6" ht="15" x14ac:dyDescent="0.25">
      <c r="B475" s="14">
        <v>41264</v>
      </c>
      <c r="C475" s="30" t="str">
        <f>[2]!YBHIST($A$2,$B475,"Price","sec","")</f>
        <v>E</v>
      </c>
      <c r="D475" t="str">
        <f>[2]!YBPRICE($A$2,C475&amp;"d",$B476,"OAS","Swap",B475,"LMMSkew","","Model",100,"OAS")</f>
        <v>E</v>
      </c>
      <c r="E475" s="32" t="str">
        <f>[2]!YBHIST($A$2,B475,"LMMOAS","sec","")</f>
        <v>E</v>
      </c>
      <c r="F475">
        <v>525.70159899999999</v>
      </c>
    </row>
    <row r="476" spans="2:6" ht="15" x14ac:dyDescent="0.25">
      <c r="B476" s="14">
        <v>41267</v>
      </c>
      <c r="C476" s="30" t="str">
        <f>[2]!YBHIST($A$2,$B476,"Price","sec","")</f>
        <v>E</v>
      </c>
      <c r="D476" t="str">
        <f>[2]!YBPRICE($A$2,C476&amp;"d",$B477,"OAS","Swap",B476,"LMMSkew","","Model",100,"OAS")</f>
        <v>E</v>
      </c>
      <c r="E476" s="32" t="str">
        <f>[2]!YBHIST($A$2,B476,"LMMOAS","sec","")</f>
        <v>E</v>
      </c>
      <c r="F476">
        <v>534.29370100000006</v>
      </c>
    </row>
    <row r="477" spans="2:6" ht="15" x14ac:dyDescent="0.25">
      <c r="B477" s="14">
        <v>41269</v>
      </c>
      <c r="C477" s="30" t="str">
        <f>[2]!YBHIST($A$2,$B477,"Price","sec","")</f>
        <v>E</v>
      </c>
      <c r="D477" t="str">
        <f>[2]!YBPRICE($A$2,C477&amp;"d",$B478,"OAS","Swap",B477,"LMMSkew","","Model",100,"OAS")</f>
        <v>E</v>
      </c>
      <c r="E477" s="32" t="str">
        <f>[2]!YBHIST($A$2,B477,"LMMOAS","sec","")</f>
        <v>E</v>
      </c>
      <c r="F477">
        <v>530.948486</v>
      </c>
    </row>
    <row r="478" spans="2:6" ht="15" x14ac:dyDescent="0.25">
      <c r="B478" s="14">
        <v>41270</v>
      </c>
      <c r="C478" s="30" t="str">
        <f>[2]!YBHIST($A$2,$B478,"Price","sec","")</f>
        <v>E</v>
      </c>
      <c r="D478" t="str">
        <f>[2]!YBPRICE($A$2,C478&amp;"d",$B479,"OAS","Swap",B478,"LMMSkew","","Model",100,"OAS")</f>
        <v>E</v>
      </c>
      <c r="E478" s="32" t="str">
        <f>[2]!YBHIST($A$2,B478,"LMMOAS","sec","")</f>
        <v>E</v>
      </c>
      <c r="F478">
        <v>537.15277100000003</v>
      </c>
    </row>
    <row r="479" spans="2:6" ht="15" x14ac:dyDescent="0.25">
      <c r="B479" s="14">
        <v>41271</v>
      </c>
      <c r="C479" s="30" t="str">
        <f>[2]!YBHIST($A$2,$B479,"Price","sec","")</f>
        <v>E</v>
      </c>
      <c r="D479" t="str">
        <f>[2]!YBPRICE($A$2,C479&amp;"d",$B480,"OAS","Swap",B479,"LMMSkew","","Model",100,"OAS")</f>
        <v>E</v>
      </c>
      <c r="E479" s="32" t="str">
        <f>[2]!YBHIST($A$2,B479,"LMMOAS","sec","")</f>
        <v>E</v>
      </c>
      <c r="F479">
        <v>531.53991699999995</v>
      </c>
    </row>
    <row r="480" spans="2:6" ht="15" x14ac:dyDescent="0.25">
      <c r="B480" s="14">
        <v>41274</v>
      </c>
      <c r="C480" s="30" t="str">
        <f>[2]!YBHIST($A$2,$B480,"Price","sec","")</f>
        <v>E</v>
      </c>
      <c r="D480" t="str">
        <f>[2]!YBPRICE($A$2,C480&amp;"d",$B481,"OAS","Swap",B480,"LMMSkew","","Model",100,"OAS")</f>
        <v>E</v>
      </c>
      <c r="E480" s="32" t="str">
        <f>[2]!YBHIST($A$2,B480,"LMMOAS","sec","")</f>
        <v>E</v>
      </c>
      <c r="F480">
        <v>548.32458499999996</v>
      </c>
    </row>
    <row r="481" spans="2:6" ht="15" x14ac:dyDescent="0.25">
      <c r="B481" s="14">
        <v>41276</v>
      </c>
      <c r="C481" s="30" t="str">
        <f>[2]!YBHIST($A$2,$B481,"Price","sec","")</f>
        <v>E</v>
      </c>
      <c r="D481" t="str">
        <f>[2]!YBPRICE($A$2,C481&amp;"d",$B482,"OAS","Swap",B481,"LMMSkew","","Model",100,"OAS")</f>
        <v>E</v>
      </c>
      <c r="E481" s="32" t="str">
        <f>[2]!YBHIST($A$2,B481,"LMMOAS","sec","")</f>
        <v>E</v>
      </c>
      <c r="F481">
        <v>537.22491500000001</v>
      </c>
    </row>
    <row r="482" spans="2:6" ht="15" x14ac:dyDescent="0.25">
      <c r="B482" s="14">
        <v>41277</v>
      </c>
      <c r="C482" s="30" t="str">
        <f>[2]!YBHIST($A$2,$B482,"Price","sec","")</f>
        <v>E</v>
      </c>
      <c r="D482" t="str">
        <f>[2]!YBPRICE($A$2,C482&amp;"d",$B483,"OAS","Swap",B482,"LMMSkew","","Model",100,"OAS")</f>
        <v>E</v>
      </c>
      <c r="E482" s="32" t="str">
        <f>[2]!YBHIST($A$2,B482,"LMMOAS","sec","")</f>
        <v>E</v>
      </c>
      <c r="F482">
        <v>515.91803000000004</v>
      </c>
    </row>
    <row r="483" spans="2:6" ht="15" x14ac:dyDescent="0.25">
      <c r="B483" s="14">
        <v>41278</v>
      </c>
      <c r="C483" s="30" t="str">
        <f>[2]!YBHIST($A$2,$B483,"Price","sec","")</f>
        <v>E</v>
      </c>
      <c r="D483" t="str">
        <f>[2]!YBPRICE($A$2,C483&amp;"d",$B484,"OAS","Swap",B483,"LMMSkew","","Model",100,"OAS")</f>
        <v>E</v>
      </c>
      <c r="E483" s="32" t="str">
        <f>[2]!YBHIST($A$2,B483,"LMMOAS","sec","")</f>
        <v>E</v>
      </c>
      <c r="F483">
        <v>505.35791</v>
      </c>
    </row>
    <row r="484" spans="2:6" ht="15" x14ac:dyDescent="0.25">
      <c r="B484" s="14">
        <v>41281</v>
      </c>
      <c r="C484" s="30" t="str">
        <f>[2]!YBHIST($A$2,$B484,"Price","sec","")</f>
        <v>E</v>
      </c>
      <c r="D484" t="str">
        <f>[2]!YBPRICE($A$2,C484&amp;"d",$B485,"OAS","Swap",B484,"LMMSkew","","Model",100,"OAS")</f>
        <v>E</v>
      </c>
      <c r="E484" s="32" t="str">
        <f>[2]!YBHIST($A$2,B484,"LMMOAS","sec","")</f>
        <v>E</v>
      </c>
      <c r="F484">
        <v>506.56811499999998</v>
      </c>
    </row>
    <row r="485" spans="2:6" ht="15" x14ac:dyDescent="0.25">
      <c r="B485" s="14">
        <v>41282</v>
      </c>
      <c r="C485" s="30" t="str">
        <f>[2]!YBHIST($A$2,$B485,"Price","sec","")</f>
        <v>E</v>
      </c>
      <c r="D485" t="str">
        <f>[2]!YBPRICE($A$2,C485&amp;"d",$B486,"OAS","Swap",B485,"LMMSkew","","Model",100,"OAS")</f>
        <v>E</v>
      </c>
      <c r="E485" s="32" t="str">
        <f>[2]!YBHIST($A$2,B485,"LMMOAS","sec","")</f>
        <v>E</v>
      </c>
      <c r="F485">
        <v>534.92401099999995</v>
      </c>
    </row>
    <row r="486" spans="2:6" ht="15" x14ac:dyDescent="0.25">
      <c r="B486" s="14">
        <v>41283</v>
      </c>
      <c r="C486" s="30" t="str">
        <f>[2]!YBHIST($A$2,$B486,"Price","sec","")</f>
        <v>E</v>
      </c>
      <c r="D486" t="str">
        <f>[2]!YBPRICE($A$2,C486&amp;"d",$B487,"OAS","Swap",B486,"LMMSkew","","Model",100,"OAS")</f>
        <v>E</v>
      </c>
      <c r="E486" s="32" t="str">
        <f>[2]!YBHIST($A$2,B486,"LMMOAS","sec","")</f>
        <v>E</v>
      </c>
      <c r="F486">
        <v>541.43518099999994</v>
      </c>
    </row>
    <row r="487" spans="2:6" ht="15" x14ac:dyDescent="0.25">
      <c r="B487" s="14">
        <v>41284</v>
      </c>
      <c r="C487" s="30" t="str">
        <f>[2]!YBHIST($A$2,$B487,"Price","sec","")</f>
        <v>E</v>
      </c>
      <c r="D487" t="str">
        <f>[2]!YBPRICE($A$2,C487&amp;"d",$B488,"OAS","Swap",B487,"LMMSkew","","Model",100,"OAS")</f>
        <v>E</v>
      </c>
      <c r="E487" s="32" t="str">
        <f>[2]!YBHIST($A$2,B487,"LMMOAS","sec","")</f>
        <v>E</v>
      </c>
      <c r="F487">
        <v>533.29400599999997</v>
      </c>
    </row>
    <row r="488" spans="2:6" ht="15" x14ac:dyDescent="0.25">
      <c r="B488" s="14">
        <v>41285</v>
      </c>
      <c r="C488" s="30" t="str">
        <f>[2]!YBHIST($A$2,$B488,"Price","sec","")</f>
        <v>E</v>
      </c>
      <c r="D488" t="str">
        <f>[2]!YBPRICE($A$2,C488&amp;"d",$B489,"OAS","Swap",B488,"LMMSkew","","Model",100,"OAS")</f>
        <v>E</v>
      </c>
      <c r="E488" s="32" t="str">
        <f>[2]!YBHIST($A$2,B488,"LMMOAS","sec","")</f>
        <v>E</v>
      </c>
      <c r="F488">
        <v>533.34899900000005</v>
      </c>
    </row>
    <row r="489" spans="2:6" ht="15" x14ac:dyDescent="0.25">
      <c r="B489" s="14">
        <v>41288</v>
      </c>
      <c r="C489" s="30" t="str">
        <f>[2]!YBHIST($A$2,$B489,"Price","sec","")</f>
        <v>E</v>
      </c>
      <c r="D489" t="str">
        <f>[2]!YBPRICE($A$2,C489&amp;"d",$B490,"OAS","Swap",B489,"LMMSkew","","Model",100,"OAS")</f>
        <v>E</v>
      </c>
      <c r="E489" s="32" t="str">
        <f>[2]!YBHIST($A$2,B489,"LMMOAS","sec","")</f>
        <v>E</v>
      </c>
      <c r="F489">
        <v>528.99530000000004</v>
      </c>
    </row>
    <row r="490" spans="2:6" ht="15" x14ac:dyDescent="0.25">
      <c r="B490" s="14">
        <v>41289</v>
      </c>
      <c r="C490" s="30" t="str">
        <f>[2]!YBHIST($A$2,$B490,"Price","sec","")</f>
        <v>E</v>
      </c>
      <c r="D490" t="str">
        <f>[2]!YBPRICE($A$2,C490&amp;"d",$B491,"OAS","Swap",B490,"LMMSkew","","Model",100,"OAS")</f>
        <v>E</v>
      </c>
      <c r="E490" s="32" t="str">
        <f>[2]!YBHIST($A$2,B490,"LMMOAS","sec","")</f>
        <v>E</v>
      </c>
      <c r="F490">
        <v>546.03057899999999</v>
      </c>
    </row>
    <row r="491" spans="2:6" ht="15" x14ac:dyDescent="0.25">
      <c r="B491" s="14">
        <v>41290</v>
      </c>
      <c r="C491" s="30" t="str">
        <f>[2]!YBHIST($A$2,$B491,"Price","sec","")</f>
        <v>E</v>
      </c>
      <c r="D491" t="str">
        <f>[2]!YBPRICE($A$2,C491&amp;"d",$B492,"OAS","Swap",B491,"LMMSkew","","Model",100,"OAS")</f>
        <v>E</v>
      </c>
      <c r="E491" s="32" t="str">
        <f>[2]!YBHIST($A$2,B491,"LMMOAS","sec","")</f>
        <v>E</v>
      </c>
      <c r="F491">
        <v>537.03900099999998</v>
      </c>
    </row>
    <row r="492" spans="2:6" ht="15" x14ac:dyDescent="0.25">
      <c r="B492" s="14">
        <v>41291</v>
      </c>
      <c r="C492" s="30" t="str">
        <f>[2]!YBHIST($A$2,$B492,"Price","sec","")</f>
        <v>E</v>
      </c>
      <c r="D492" t="str">
        <f>[2]!YBPRICE($A$2,C492&amp;"d",$B493,"OAS","Swap",B492,"LMMSkew","","Model",100,"OAS")</f>
        <v>E</v>
      </c>
      <c r="E492" s="32" t="str">
        <f>[2]!YBHIST($A$2,B492,"LMMOAS","sec","")</f>
        <v>E</v>
      </c>
      <c r="F492">
        <v>532.76092500000004</v>
      </c>
    </row>
    <row r="493" spans="2:6" ht="15" x14ac:dyDescent="0.25">
      <c r="B493" s="14">
        <v>41292</v>
      </c>
      <c r="C493" s="30" t="str">
        <f>[2]!YBHIST($A$2,$B493,"Price","sec","")</f>
        <v>E</v>
      </c>
      <c r="D493" t="str">
        <f>[2]!YBPRICE($A$2,C493&amp;"d",$B494,"OAS","Swap",B493,"LMMSkew","","Model",100,"OAS")</f>
        <v>E</v>
      </c>
      <c r="E493" s="32" t="str">
        <f>[2]!YBHIST($A$2,B493,"LMMOAS","sec","")</f>
        <v>E</v>
      </c>
      <c r="F493">
        <v>523.73211700000002</v>
      </c>
    </row>
    <row r="494" spans="2:6" ht="15" x14ac:dyDescent="0.25">
      <c r="B494" s="14">
        <v>41296</v>
      </c>
      <c r="C494" s="30" t="str">
        <f>[2]!YBHIST($A$2,$B494,"Price","sec","")</f>
        <v>E</v>
      </c>
      <c r="D494" t="str">
        <f>[2]!YBPRICE($A$2,C494&amp;"d",$B495,"OAS","Swap",B494,"LMMSkew","","Model",100,"OAS")</f>
        <v>E</v>
      </c>
      <c r="E494" s="32" t="str">
        <f>[2]!YBHIST($A$2,B494,"LMMOAS","sec","")</f>
        <v>E</v>
      </c>
      <c r="F494">
        <v>539.84112500000003</v>
      </c>
    </row>
    <row r="495" spans="2:6" ht="15" x14ac:dyDescent="0.25">
      <c r="B495" s="14">
        <v>41297</v>
      </c>
      <c r="C495" s="30" t="str">
        <f>[2]!YBHIST($A$2,$B495,"Price","sec","")</f>
        <v>E</v>
      </c>
      <c r="D495" t="str">
        <f>[2]!YBPRICE($A$2,C495&amp;"d",$B496,"OAS","Swap",B495,"LMMSkew","","Model",100,"OAS")</f>
        <v>E</v>
      </c>
      <c r="E495" s="32" t="str">
        <f>[2]!YBHIST($A$2,B495,"LMMOAS","sec","")</f>
        <v>E</v>
      </c>
      <c r="F495">
        <v>544.07849099999999</v>
      </c>
    </row>
    <row r="496" spans="2:6" ht="15" x14ac:dyDescent="0.25">
      <c r="B496" s="14">
        <v>41298</v>
      </c>
      <c r="C496" s="30" t="str">
        <f>[2]!YBHIST($A$2,$B496,"Price","sec","")</f>
        <v>E</v>
      </c>
      <c r="D496" t="str">
        <f>[2]!YBPRICE($A$2,C496&amp;"d",$B497,"OAS","Swap",B496,"LMMSkew","","Model",100,"OAS")</f>
        <v>E</v>
      </c>
      <c r="E496" s="32" t="str">
        <f>[2]!YBHIST($A$2,B496,"LMMOAS","sec","")</f>
        <v>E</v>
      </c>
      <c r="F496">
        <v>538.75329599999998</v>
      </c>
    </row>
    <row r="497" spans="2:6" ht="15" x14ac:dyDescent="0.25">
      <c r="B497" s="14">
        <v>41299</v>
      </c>
      <c r="C497" s="30" t="str">
        <f>[2]!YBHIST($A$2,$B497,"Price","sec","")</f>
        <v>E</v>
      </c>
      <c r="D497" t="str">
        <f>[2]!YBPRICE($A$2,C497&amp;"d",$B498,"OAS","Swap",B497,"LMMSkew","","Model",100,"OAS")</f>
        <v>E</v>
      </c>
      <c r="E497" s="32" t="str">
        <f>[2]!YBHIST($A$2,B497,"LMMOAS","sec","")</f>
        <v>E</v>
      </c>
      <c r="F497">
        <v>491.72479199999998</v>
      </c>
    </row>
    <row r="498" spans="2:6" ht="15" x14ac:dyDescent="0.25">
      <c r="B498" s="14">
        <v>41302</v>
      </c>
      <c r="C498" s="30" t="str">
        <f>[2]!YBHIST($A$2,$B498,"Price","sec","")</f>
        <v>E</v>
      </c>
      <c r="D498" t="str">
        <f>[2]!YBPRICE($A$2,C498&amp;"d",$B499,"OAS","Swap",B498,"LMMSkew","","Model",100,"OAS")</f>
        <v>E</v>
      </c>
      <c r="E498" s="32" t="str">
        <f>[2]!YBHIST($A$2,B498,"LMMOAS","sec","")</f>
        <v>E</v>
      </c>
      <c r="F498">
        <v>488.58358800000002</v>
      </c>
    </row>
    <row r="499" spans="2:6" ht="15" x14ac:dyDescent="0.25">
      <c r="B499" s="14">
        <v>41303</v>
      </c>
      <c r="C499" s="30" t="str">
        <f>[2]!YBHIST($A$2,$B499,"Price","sec","")</f>
        <v>E</v>
      </c>
      <c r="D499" t="str">
        <f>[2]!YBPRICE($A$2,C499&amp;"d",$B500,"OAS","Swap",B499,"LMMSkew","","Model",100,"OAS")</f>
        <v>E</v>
      </c>
      <c r="E499" s="32" t="str">
        <f>[2]!YBHIST($A$2,B499,"LMMOAS","sec","")</f>
        <v>E</v>
      </c>
      <c r="F499">
        <v>490.69641100000001</v>
      </c>
    </row>
    <row r="500" spans="2:6" ht="15" x14ac:dyDescent="0.25">
      <c r="B500" s="14">
        <v>41304</v>
      </c>
      <c r="C500" s="30" t="str">
        <f>[2]!YBHIST($A$2,$B500,"Price","sec","")</f>
        <v>E</v>
      </c>
      <c r="D500" t="str">
        <f>[2]!YBPRICE($A$2,C500&amp;"d",$B501,"OAS","Swap",B500,"LMMSkew","","Model",100,"OAS")</f>
        <v>E</v>
      </c>
      <c r="E500" s="32" t="str">
        <f>[2]!YBHIST($A$2,B500,"LMMOAS","sec","")</f>
        <v>E</v>
      </c>
      <c r="F500">
        <v>476.41549700000002</v>
      </c>
    </row>
    <row r="501" spans="2:6" ht="15" x14ac:dyDescent="0.25">
      <c r="B501" s="14">
        <v>41305</v>
      </c>
      <c r="C501" s="30" t="str">
        <f>[2]!YBHIST($A$2,$B501,"Price","sec","")</f>
        <v>E</v>
      </c>
      <c r="D501" t="str">
        <f>[2]!YBPRICE($A$2,C501&amp;"d",$B502,"OAS","Swap",B501,"LMMSkew","","Model",100,"OAS")</f>
        <v>E</v>
      </c>
      <c r="E501" s="32" t="str">
        <f>[2]!YBHIST($A$2,B501,"LMMOAS","sec","")</f>
        <v>E</v>
      </c>
      <c r="F501">
        <v>487.00070199999999</v>
      </c>
    </row>
    <row r="502" spans="2:6" ht="15" x14ac:dyDescent="0.25">
      <c r="B502" s="14">
        <v>41306</v>
      </c>
      <c r="C502" s="30" t="str">
        <f>[2]!YBHIST($A$2,$B502,"Price","sec","")</f>
        <v>E</v>
      </c>
      <c r="D502" t="str">
        <f>[2]!YBPRICE($A$2,C502&amp;"d",$B503,"OAS","Swap",B502,"LMMSkew","","Model",100,"OAS")</f>
        <v>E</v>
      </c>
      <c r="E502" s="32" t="str">
        <f>[2]!YBHIST($A$2,B502,"LMMOAS","sec","")</f>
        <v>E</v>
      </c>
      <c r="F502">
        <v>486.68618800000002</v>
      </c>
    </row>
    <row r="503" spans="2:6" ht="15" x14ac:dyDescent="0.25">
      <c r="B503" s="14">
        <v>41309</v>
      </c>
      <c r="C503" s="30" t="str">
        <f>[2]!YBHIST($A$2,$B503,"Price","sec","")</f>
        <v>E</v>
      </c>
      <c r="D503" t="str">
        <f>[2]!YBPRICE($A$2,C503&amp;"d",$B504,"OAS","Swap",B503,"LMMSkew","","Model",100,"OAS")</f>
        <v>E</v>
      </c>
      <c r="E503" s="32" t="str">
        <f>[2]!YBHIST($A$2,B503,"LMMOAS","sec","")</f>
        <v>E</v>
      </c>
      <c r="F503">
        <v>470.776703</v>
      </c>
    </row>
    <row r="504" spans="2:6" ht="15" x14ac:dyDescent="0.25">
      <c r="B504" s="14">
        <v>41310</v>
      </c>
      <c r="C504" s="30" t="str">
        <f>[2]!YBHIST($A$2,$B504,"Price","sec","")</f>
        <v>E</v>
      </c>
      <c r="D504" t="str">
        <f>[2]!YBPRICE($A$2,C504&amp;"d",$B505,"OAS","Swap",B504,"LMMSkew","","Model",100,"OAS")</f>
        <v>E</v>
      </c>
      <c r="E504" s="32" t="str">
        <f>[2]!YBHIST($A$2,B504,"LMMOAS","sec","")</f>
        <v>E</v>
      </c>
      <c r="F504">
        <v>446.41970800000001</v>
      </c>
    </row>
    <row r="505" spans="2:6" ht="15" x14ac:dyDescent="0.25">
      <c r="B505" s="14">
        <v>41311</v>
      </c>
      <c r="C505" s="30" t="str">
        <f>[2]!YBHIST($A$2,$B505,"Price","sec","")</f>
        <v>E</v>
      </c>
      <c r="D505" t="str">
        <f>[2]!YBPRICE($A$2,C505&amp;"d",$B506,"OAS","Swap",B505,"LMMSkew","","Model",100,"OAS")</f>
        <v>E</v>
      </c>
      <c r="E505" s="32" t="str">
        <f>[2]!YBHIST($A$2,B505,"LMMOAS","sec","")</f>
        <v>E</v>
      </c>
      <c r="F505">
        <v>448.96319599999998</v>
      </c>
    </row>
    <row r="506" spans="2:6" ht="15" x14ac:dyDescent="0.25">
      <c r="B506" s="14">
        <v>41312</v>
      </c>
      <c r="C506" s="30" t="str">
        <f>[2]!YBHIST($A$2,$B506,"Price","sec","")</f>
        <v>E</v>
      </c>
      <c r="D506" t="str">
        <f>[2]!YBPRICE($A$2,C506&amp;"d",$B507,"OAS","Swap",B506,"LMMSkew","","Model",100,"OAS")</f>
        <v>E</v>
      </c>
      <c r="E506" s="32" t="str">
        <f>[2]!YBHIST($A$2,B506,"LMMOAS","sec","")</f>
        <v>E</v>
      </c>
      <c r="F506">
        <v>450.426514</v>
      </c>
    </row>
    <row r="507" spans="2:6" ht="15" x14ac:dyDescent="0.25">
      <c r="B507" s="14">
        <v>41313</v>
      </c>
      <c r="C507" s="30" t="str">
        <f>[2]!YBHIST($A$2,$B507,"Price","sec","")</f>
        <v>E</v>
      </c>
      <c r="D507" t="str">
        <f>[2]!YBPRICE($A$2,C507&amp;"d",$B508,"OAS","Swap",B507,"LMMSkew","","Model",100,"OAS")</f>
        <v>E</v>
      </c>
      <c r="E507" s="32" t="str">
        <f>[2]!YBHIST($A$2,B507,"LMMOAS","sec","")</f>
        <v>E</v>
      </c>
      <c r="F507">
        <v>451.46679699999999</v>
      </c>
    </row>
    <row r="508" spans="2:6" ht="15" x14ac:dyDescent="0.25">
      <c r="B508" s="14">
        <v>41316</v>
      </c>
      <c r="C508" s="30" t="str">
        <f>[2]!YBHIST($A$2,$B508,"Price","sec","")</f>
        <v>E</v>
      </c>
      <c r="D508" t="str">
        <f>[2]!YBPRICE($A$2,C508&amp;"d",$B509,"OAS","Swap",B508,"LMMSkew","","Model",100,"OAS")</f>
        <v>E</v>
      </c>
      <c r="E508" s="32" t="str">
        <f>[2]!YBHIST($A$2,B508,"LMMOAS","sec","")</f>
        <v>E</v>
      </c>
      <c r="F508">
        <v>478.33621199999999</v>
      </c>
    </row>
    <row r="509" spans="2:6" ht="15" x14ac:dyDescent="0.25">
      <c r="B509" s="14">
        <v>41317</v>
      </c>
      <c r="C509" s="30" t="str">
        <f>[2]!YBHIST($A$2,$B509,"Price","sec","")</f>
        <v>E</v>
      </c>
      <c r="D509" t="str">
        <f>[2]!YBPRICE($A$2,C509&amp;"d",$B510,"OAS","Swap",B509,"LMMSkew","","Model",100,"OAS")</f>
        <v>E</v>
      </c>
      <c r="E509" s="32" t="str">
        <f>[2]!YBHIST($A$2,B509,"LMMOAS","sec","")</f>
        <v>E</v>
      </c>
      <c r="F509">
        <v>477.54089399999998</v>
      </c>
    </row>
    <row r="510" spans="2:6" ht="15" x14ac:dyDescent="0.25">
      <c r="B510" s="14">
        <v>41318</v>
      </c>
      <c r="C510" s="30" t="str">
        <f>[2]!YBHIST($A$2,$B510,"Price","sec","")</f>
        <v>E</v>
      </c>
      <c r="D510" t="str">
        <f>[2]!YBPRICE($A$2,C510&amp;"d",$B511,"OAS","Swap",B510,"LMMSkew","","Model",100,"OAS")</f>
        <v>E</v>
      </c>
      <c r="E510" s="32" t="str">
        <f>[2]!YBHIST($A$2,B510,"LMMOAS","sec","")</f>
        <v>E</v>
      </c>
      <c r="F510">
        <v>476.40798999999998</v>
      </c>
    </row>
    <row r="511" spans="2:6" ht="15" x14ac:dyDescent="0.25">
      <c r="B511" s="14">
        <v>41319</v>
      </c>
      <c r="C511" s="30" t="str">
        <f>[2]!YBHIST($A$2,$B511,"Price","sec","")</f>
        <v>E</v>
      </c>
      <c r="D511" t="str">
        <f>[2]!YBPRICE($A$2,C511&amp;"d",$B512,"OAS","Swap",B511,"LMMSkew","","Model",100,"OAS")</f>
        <v>E</v>
      </c>
      <c r="E511" s="32" t="str">
        <f>[2]!YBHIST($A$2,B511,"LMMOAS","sec","")</f>
        <v>E</v>
      </c>
      <c r="F511">
        <v>479.40008499999999</v>
      </c>
    </row>
    <row r="512" spans="2:6" ht="15" x14ac:dyDescent="0.25">
      <c r="B512" s="14">
        <v>41320</v>
      </c>
      <c r="C512" s="30" t="str">
        <f>[2]!YBHIST($A$2,$B512,"Price","sec","")</f>
        <v>E</v>
      </c>
      <c r="D512" t="str">
        <f>[2]!YBPRICE($A$2,C512&amp;"d",$B513,"OAS","Swap",B512,"LMMSkew","","Model",100,"OAS")</f>
        <v>E</v>
      </c>
      <c r="E512" s="32" t="str">
        <f>[2]!YBHIST($A$2,B512,"LMMOAS","sec","")</f>
        <v>E</v>
      </c>
      <c r="F512">
        <v>490.98278800000003</v>
      </c>
    </row>
    <row r="513" spans="2:6" ht="15" x14ac:dyDescent="0.25">
      <c r="B513" s="14">
        <v>41324</v>
      </c>
      <c r="C513" s="30" t="str">
        <f>[2]!YBHIST($A$2,$B513,"Price","sec","")</f>
        <v>E</v>
      </c>
      <c r="D513" t="str">
        <f>[2]!YBPRICE($A$2,C513&amp;"d",$B514,"OAS","Swap",B513,"LMMSkew","","Model",100,"OAS")</f>
        <v>E</v>
      </c>
      <c r="E513" s="32" t="str">
        <f>[2]!YBHIST($A$2,B513,"LMMOAS","sec","")</f>
        <v>E</v>
      </c>
      <c r="F513">
        <v>523.18981900000006</v>
      </c>
    </row>
    <row r="514" spans="2:6" ht="15" x14ac:dyDescent="0.25">
      <c r="B514" s="14">
        <v>41325</v>
      </c>
      <c r="C514" s="30" t="str">
        <f>[2]!YBHIST($A$2,$B514,"Price","sec","")</f>
        <v>E</v>
      </c>
      <c r="D514" t="str">
        <f>[2]!YBPRICE($A$2,C514&amp;"d",$B515,"OAS","Swap",B514,"LMMSkew","","Model",100,"OAS")</f>
        <v>E</v>
      </c>
      <c r="E514" s="32" t="str">
        <f>[2]!YBHIST($A$2,B514,"LMMOAS","sec","")</f>
        <v>E</v>
      </c>
      <c r="F514">
        <v>523.54882799999996</v>
      </c>
    </row>
    <row r="515" spans="2:6" ht="15" x14ac:dyDescent="0.25">
      <c r="B515" s="14">
        <v>41326</v>
      </c>
      <c r="C515" s="30" t="str">
        <f>[2]!YBHIST($A$2,$B515,"Price","sec","")</f>
        <v>E</v>
      </c>
      <c r="D515" t="str">
        <f>[2]!YBPRICE($A$2,C515&amp;"d",$B516,"OAS","Swap",B515,"LMMSkew","","Model",100,"OAS")</f>
        <v>E</v>
      </c>
      <c r="E515" s="32" t="str">
        <f>[2]!YBHIST($A$2,B515,"LMMOAS","sec","")</f>
        <v>E</v>
      </c>
      <c r="F515">
        <v>540.18280000000004</v>
      </c>
    </row>
    <row r="516" spans="2:6" ht="15" x14ac:dyDescent="0.25">
      <c r="B516" s="14">
        <v>41327</v>
      </c>
      <c r="C516" s="30" t="str">
        <f>[2]!YBHIST($A$2,$B516,"Price","sec","")</f>
        <v>E</v>
      </c>
      <c r="D516" t="str">
        <f>[2]!YBPRICE($A$2,C516&amp;"d",$B517,"OAS","Swap",B516,"LMMSkew","","Model",100,"OAS")</f>
        <v>E</v>
      </c>
      <c r="E516" s="32" t="str">
        <f>[2]!YBHIST($A$2,B516,"LMMOAS","sec","")</f>
        <v>E</v>
      </c>
      <c r="F516">
        <v>530.26147500000002</v>
      </c>
    </row>
    <row r="517" spans="2:6" ht="15" x14ac:dyDescent="0.25">
      <c r="B517" s="14">
        <v>41330</v>
      </c>
      <c r="C517" s="30" t="str">
        <f>[2]!YBHIST($A$2,$B517,"Price","sec","")</f>
        <v>E</v>
      </c>
      <c r="D517" t="str">
        <f>[2]!YBPRICE($A$2,C517&amp;"d",$B518,"OAS","Swap",B517,"LMMSkew","","Model",100,"OAS")</f>
        <v>E</v>
      </c>
      <c r="E517" s="32" t="str">
        <f>[2]!YBHIST($A$2,B517,"LMMOAS","sec","")</f>
        <v>E</v>
      </c>
      <c r="F517">
        <v>544.89648399999999</v>
      </c>
    </row>
    <row r="518" spans="2:6" ht="15" x14ac:dyDescent="0.25">
      <c r="B518" s="14">
        <v>41331</v>
      </c>
      <c r="C518" s="30" t="str">
        <f>[2]!YBHIST($A$2,$B518,"Price","sec","")</f>
        <v>E</v>
      </c>
      <c r="D518" t="str">
        <f>[2]!YBPRICE($A$2,C518&amp;"d",$B519,"OAS","Swap",B518,"LMMSkew","","Model",100,"OAS")</f>
        <v>E</v>
      </c>
      <c r="E518" s="32" t="str">
        <f>[2]!YBHIST($A$2,B518,"LMMOAS","sec","")</f>
        <v>E</v>
      </c>
      <c r="F518">
        <v>548.72937000000002</v>
      </c>
    </row>
    <row r="519" spans="2:6" ht="15" x14ac:dyDescent="0.25">
      <c r="B519" s="14">
        <v>41332</v>
      </c>
      <c r="C519" s="30" t="str">
        <f>[2]!YBHIST($A$2,$B519,"Price","sec","")</f>
        <v>E</v>
      </c>
      <c r="D519" t="str">
        <f>[2]!YBPRICE($A$2,C519&amp;"d",$B520,"OAS","Swap",B519,"LMMSkew","","Model",100,"OAS")</f>
        <v>E</v>
      </c>
      <c r="E519" s="32" t="str">
        <f>[2]!YBHIST($A$2,B519,"LMMOAS","sec","")</f>
        <v>E</v>
      </c>
      <c r="F519">
        <v>548.00591999999995</v>
      </c>
    </row>
    <row r="520" spans="2:6" ht="15" x14ac:dyDescent="0.25">
      <c r="B520" s="14">
        <v>41333</v>
      </c>
      <c r="C520" s="30" t="str">
        <f>[2]!YBHIST($A$2,$B520,"Price","sec","")</f>
        <v>E</v>
      </c>
      <c r="D520" t="str">
        <f>[2]!YBPRICE($A$2,C520&amp;"d",$B521,"OAS","Swap",B520,"LMMSkew","","Model",100,"OAS")</f>
        <v>E</v>
      </c>
      <c r="E520" s="32" t="str">
        <f>[2]!YBHIST($A$2,B520,"LMMOAS","sec","")</f>
        <v>E</v>
      </c>
      <c r="F520">
        <v>517.53558299999997</v>
      </c>
    </row>
    <row r="521" spans="2:6" ht="15" x14ac:dyDescent="0.25">
      <c r="B521" s="14">
        <v>41334</v>
      </c>
      <c r="C521" s="30" t="str">
        <f>[2]!YBHIST($A$2,$B521,"Price","sec","")</f>
        <v>E</v>
      </c>
      <c r="D521" t="str">
        <f>[2]!YBPRICE($A$2,C521&amp;"d",$B522,"OAS","Swap",B521,"LMMSkew","","Model",100,"OAS")</f>
        <v>E</v>
      </c>
      <c r="E521" s="32" t="str">
        <f>[2]!YBHIST($A$2,B521,"LMMOAS","sec","")</f>
        <v>E</v>
      </c>
      <c r="F521">
        <v>500.531586</v>
      </c>
    </row>
    <row r="522" spans="2:6" ht="15" x14ac:dyDescent="0.25">
      <c r="B522" s="14">
        <v>41337</v>
      </c>
      <c r="C522" s="30" t="str">
        <f>[2]!YBHIST($A$2,$B522,"Price","sec","")</f>
        <v>E</v>
      </c>
      <c r="D522" t="str">
        <f>[2]!YBPRICE($A$2,C522&amp;"d",$B523,"OAS","Swap",B522,"LMMSkew","","Model",100,"OAS")</f>
        <v>E</v>
      </c>
      <c r="E522" s="32" t="str">
        <f>[2]!YBHIST($A$2,B522,"LMMOAS","sec","")</f>
        <v>E</v>
      </c>
      <c r="F522">
        <v>504.18170199999997</v>
      </c>
    </row>
    <row r="523" spans="2:6" ht="15" x14ac:dyDescent="0.25">
      <c r="B523" s="14">
        <v>41338</v>
      </c>
      <c r="C523" s="30" t="str">
        <f>[2]!YBHIST($A$2,$B523,"Price","sec","")</f>
        <v>E</v>
      </c>
      <c r="D523" t="str">
        <f>[2]!YBPRICE($A$2,C523&amp;"d",$B524,"OAS","Swap",B523,"LMMSkew","","Model",100,"OAS")</f>
        <v>E</v>
      </c>
      <c r="E523" s="32" t="str">
        <f>[2]!YBHIST($A$2,B523,"LMMOAS","sec","")</f>
        <v>E</v>
      </c>
      <c r="F523">
        <v>470.27270499999997</v>
      </c>
    </row>
    <row r="524" spans="2:6" ht="15" x14ac:dyDescent="0.25">
      <c r="B524" s="14">
        <v>41339</v>
      </c>
      <c r="C524" s="30" t="str">
        <f>[2]!YBHIST($A$2,$B524,"Price","sec","")</f>
        <v>E</v>
      </c>
      <c r="D524" t="str">
        <f>[2]!YBPRICE($A$2,C524&amp;"d",$B525,"OAS","Swap",B524,"LMMSkew","","Model",100,"OAS")</f>
        <v>E</v>
      </c>
      <c r="E524" s="32" t="str">
        <f>[2]!YBHIST($A$2,B524,"LMMOAS","sec","")</f>
        <v>E</v>
      </c>
      <c r="F524">
        <v>474.43780500000003</v>
      </c>
    </row>
    <row r="525" spans="2:6" ht="15" x14ac:dyDescent="0.25">
      <c r="B525" s="14">
        <v>41340</v>
      </c>
      <c r="C525" s="30" t="str">
        <f>[2]!YBHIST($A$2,$B525,"Price","sec","")</f>
        <v>E</v>
      </c>
      <c r="D525" t="str">
        <f>[2]!YBPRICE($A$2,C525&amp;"d",$B526,"OAS","Swap",B525,"LMMSkew","","Model",100,"OAS")</f>
        <v>E</v>
      </c>
      <c r="E525" s="32" t="str">
        <f>[2]!YBHIST($A$2,B525,"LMMOAS","sec","")</f>
        <v>E</v>
      </c>
      <c r="F525">
        <v>469.47000100000002</v>
      </c>
    </row>
    <row r="526" spans="2:6" ht="15" x14ac:dyDescent="0.25">
      <c r="B526" s="14">
        <v>41341</v>
      </c>
      <c r="C526" s="30" t="str">
        <f>[2]!YBHIST($A$2,$B526,"Price","sec","")</f>
        <v>E</v>
      </c>
      <c r="D526" t="str">
        <f>[2]!YBPRICE($A$2,C526&amp;"d",$B527,"OAS","Swap",B526,"LMMSkew","","Model",100,"OAS")</f>
        <v>E</v>
      </c>
      <c r="E526" s="32" t="str">
        <f>[2]!YBHIST($A$2,B526,"LMMOAS","sec","")</f>
        <v>E</v>
      </c>
      <c r="F526">
        <v>442.77890000000002</v>
      </c>
    </row>
    <row r="527" spans="2:6" ht="15" x14ac:dyDescent="0.25">
      <c r="B527" s="14">
        <v>41344</v>
      </c>
      <c r="C527" s="30" t="str">
        <f>[2]!YBHIST($A$2,$B527,"Price","sec","")</f>
        <v>E</v>
      </c>
      <c r="D527" t="str">
        <f>[2]!YBPRICE($A$2,C527&amp;"d",$B528,"OAS","Swap",B527,"LMMSkew","","Model",100,"OAS")</f>
        <v>E</v>
      </c>
      <c r="E527" s="32" t="str">
        <f>[2]!YBHIST($A$2,B527,"LMMOAS","sec","")</f>
        <v>E</v>
      </c>
      <c r="F527">
        <v>447.121399</v>
      </c>
    </row>
    <row r="528" spans="2:6" ht="15" x14ac:dyDescent="0.25">
      <c r="B528" s="14">
        <v>41345</v>
      </c>
      <c r="C528" s="30" t="str">
        <f>[2]!YBHIST($A$2,$B528,"Price","sec","")</f>
        <v>E</v>
      </c>
      <c r="D528" t="str">
        <f>[2]!YBPRICE($A$2,C528&amp;"d",$B529,"OAS","Swap",B528,"LMMSkew","","Model",100,"OAS")</f>
        <v>E</v>
      </c>
      <c r="E528" s="32" t="str">
        <f>[2]!YBHIST($A$2,B528,"LMMOAS","sec","")</f>
        <v>E</v>
      </c>
      <c r="F528">
        <v>451.67028800000003</v>
      </c>
    </row>
    <row r="529" spans="2:6" ht="15" x14ac:dyDescent="0.25">
      <c r="B529" s="14">
        <v>41346</v>
      </c>
      <c r="C529" s="30" t="str">
        <f>[2]!YBHIST($A$2,$B529,"Price","sec","")</f>
        <v>E</v>
      </c>
      <c r="D529" t="str">
        <f>[2]!YBPRICE($A$2,C529&amp;"d",$B530,"OAS","Swap",B529,"LMMSkew","","Model",100,"OAS")</f>
        <v>E</v>
      </c>
      <c r="E529" s="32" t="str">
        <f>[2]!YBHIST($A$2,B529,"LMMOAS","sec","")</f>
        <v>E</v>
      </c>
      <c r="F529">
        <v>444.16000400000001</v>
      </c>
    </row>
    <row r="530" spans="2:6" ht="15" x14ac:dyDescent="0.25">
      <c r="B530" s="14">
        <v>41347</v>
      </c>
      <c r="C530" s="30" t="str">
        <f>[2]!YBHIST($A$2,$B530,"Price","sec","")</f>
        <v>E</v>
      </c>
      <c r="D530" t="str">
        <f>[2]!YBPRICE($A$2,C530&amp;"d",$B531,"OAS","Swap",B530,"LMMSkew","","Model",100,"OAS")</f>
        <v>E</v>
      </c>
      <c r="E530" s="32" t="str">
        <f>[2]!YBHIST($A$2,B530,"LMMOAS","sec","")</f>
        <v>E</v>
      </c>
      <c r="F530">
        <v>436.50628699999999</v>
      </c>
    </row>
    <row r="531" spans="2:6" ht="15" x14ac:dyDescent="0.25">
      <c r="B531" s="14">
        <v>41348</v>
      </c>
      <c r="C531" s="30" t="str">
        <f>[2]!YBHIST($A$2,$B531,"Price","sec","")</f>
        <v>E</v>
      </c>
      <c r="D531" t="str">
        <f>[2]!YBPRICE($A$2,C531&amp;"d",$B532,"OAS","Swap",B531,"LMMSkew","","Model",100,"OAS")</f>
        <v>E</v>
      </c>
      <c r="E531" s="32" t="str">
        <f>[2]!YBHIST($A$2,B531,"LMMOAS","sec","")</f>
        <v>E</v>
      </c>
      <c r="F531">
        <v>425.44808999999998</v>
      </c>
    </row>
    <row r="532" spans="2:6" ht="15" x14ac:dyDescent="0.25">
      <c r="B532" s="14">
        <v>41351</v>
      </c>
      <c r="C532" s="30" t="str">
        <f>[2]!YBHIST($A$2,$B532,"Price","sec","")</f>
        <v>E</v>
      </c>
      <c r="D532" t="str">
        <f>[2]!YBPRICE($A$2,C532&amp;"d",$B533,"OAS","Swap",B532,"LMMSkew","","Model",100,"OAS")</f>
        <v>E</v>
      </c>
      <c r="E532" s="32" t="str">
        <f>[2]!YBHIST($A$2,B532,"LMMOAS","sec","")</f>
        <v>E</v>
      </c>
      <c r="F532">
        <v>439.53921500000001</v>
      </c>
    </row>
    <row r="533" spans="2:6" ht="15" x14ac:dyDescent="0.25">
      <c r="B533" s="14">
        <v>41352</v>
      </c>
      <c r="C533" s="30" t="str">
        <f>[2]!YBHIST($A$2,$B533,"Price","sec","")</f>
        <v>E</v>
      </c>
      <c r="D533" t="str">
        <f>[2]!YBPRICE($A$2,C533&amp;"d",$B534,"OAS","Swap",B533,"LMMSkew","","Model",100,"OAS")</f>
        <v>E</v>
      </c>
      <c r="E533" s="32" t="str">
        <f>[2]!YBHIST($A$2,B533,"LMMOAS","sec","")</f>
        <v>E</v>
      </c>
      <c r="F533">
        <v>432.89279199999999</v>
      </c>
    </row>
    <row r="534" spans="2:6" ht="15" x14ac:dyDescent="0.25">
      <c r="B534" s="14">
        <v>41353</v>
      </c>
      <c r="C534" s="30" t="str">
        <f>[2]!YBHIST($A$2,$B534,"Price","sec","")</f>
        <v>E</v>
      </c>
      <c r="D534" t="str">
        <f>[2]!YBPRICE($A$2,C534&amp;"d",$B535,"OAS","Swap",B534,"LMMSkew","","Model",100,"OAS")</f>
        <v>E</v>
      </c>
      <c r="E534" s="32" t="str">
        <f>[2]!YBHIST($A$2,B534,"LMMOAS","sec","")</f>
        <v>E</v>
      </c>
      <c r="F534">
        <v>438.42880200000002</v>
      </c>
    </row>
    <row r="535" spans="2:6" ht="15" x14ac:dyDescent="0.25">
      <c r="B535" s="14">
        <v>41354</v>
      </c>
      <c r="C535" s="30" t="str">
        <f>[2]!YBHIST($A$2,$B535,"Price","sec","")</f>
        <v>E</v>
      </c>
      <c r="D535" t="str">
        <f>[2]!YBPRICE($A$2,C535&amp;"d",$B536,"OAS","Swap",B535,"LMMSkew","","Model",100,"OAS")</f>
        <v>E</v>
      </c>
      <c r="E535" s="32" t="str">
        <f>[2]!YBHIST($A$2,B535,"LMMOAS","sec","")</f>
        <v>E</v>
      </c>
      <c r="F535">
        <v>433.79119900000001</v>
      </c>
    </row>
    <row r="536" spans="2:6" ht="15" x14ac:dyDescent="0.25">
      <c r="B536" s="14">
        <v>41355</v>
      </c>
      <c r="C536" s="30" t="str">
        <f>[2]!YBHIST($A$2,$B536,"Price","sec","")</f>
        <v>E</v>
      </c>
      <c r="D536" t="str">
        <f>[2]!YBPRICE($A$2,C536&amp;"d",$B537,"OAS","Swap",B536,"LMMSkew","","Model",100,"OAS")</f>
        <v>E</v>
      </c>
      <c r="E536" s="32" t="str">
        <f>[2]!YBHIST($A$2,B536,"LMMOAS","sec","")</f>
        <v>E</v>
      </c>
      <c r="F536">
        <v>423.377411</v>
      </c>
    </row>
    <row r="537" spans="2:6" ht="15" x14ac:dyDescent="0.25">
      <c r="B537" s="14">
        <v>41358</v>
      </c>
      <c r="C537" s="30" t="str">
        <f>[2]!YBHIST($A$2,$B537,"Price","sec","")</f>
        <v>E</v>
      </c>
      <c r="D537" t="str">
        <f>[2]!YBPRICE($A$2,C537&amp;"d",$B538,"OAS","Swap",B537,"LMMSkew","","Model",100,"OAS")</f>
        <v>E</v>
      </c>
      <c r="E537" s="32" t="str">
        <f>[2]!YBHIST($A$2,B537,"LMMOAS","sec","")</f>
        <v>E</v>
      </c>
      <c r="F537">
        <v>426.44039900000001</v>
      </c>
    </row>
    <row r="538" spans="2:6" ht="15" x14ac:dyDescent="0.25">
      <c r="B538" s="14">
        <v>41359</v>
      </c>
      <c r="C538" s="30" t="str">
        <f>[2]!YBHIST($A$2,$B538,"Price","sec","")</f>
        <v>E</v>
      </c>
      <c r="D538" t="str">
        <f>[2]!YBPRICE($A$2,C538&amp;"d",$B539,"OAS","Swap",B538,"LMMSkew","","Model",100,"OAS")</f>
        <v>E</v>
      </c>
      <c r="E538" s="32" t="str">
        <f>[2]!YBHIST($A$2,B538,"LMMOAS","sec","")</f>
        <v>E</v>
      </c>
      <c r="F538">
        <v>426.839294</v>
      </c>
    </row>
    <row r="539" spans="2:6" ht="15" x14ac:dyDescent="0.25">
      <c r="B539" s="14">
        <v>41360</v>
      </c>
      <c r="C539" s="30" t="str">
        <f>[2]!YBHIST($A$2,$B539,"Price","sec","")</f>
        <v>E</v>
      </c>
      <c r="D539" t="str">
        <f>[2]!YBPRICE($A$2,C539&amp;"d",$B540,"OAS","Swap",B539,"LMMSkew","","Model",100,"OAS")</f>
        <v>E</v>
      </c>
      <c r="E539" s="32" t="str">
        <f>[2]!YBHIST($A$2,B539,"LMMOAS","sec","")</f>
        <v>E</v>
      </c>
      <c r="F539">
        <v>424.76019300000002</v>
      </c>
    </row>
    <row r="540" spans="2:6" ht="15" x14ac:dyDescent="0.25">
      <c r="B540" s="14">
        <v>41361</v>
      </c>
      <c r="C540" s="30" t="str">
        <f>[2]!YBHIST($A$2,$B540,"Price","sec","")</f>
        <v>E</v>
      </c>
      <c r="D540" t="str">
        <f>[2]!YBPRICE($A$2,C540&amp;"d",$B541,"OAS","Swap",B540,"LMMSkew","","Model",100,"OAS")</f>
        <v>E</v>
      </c>
      <c r="E540" s="32" t="str">
        <f>[2]!YBHIST($A$2,B540,"LMMOAS","sec","")</f>
        <v>E</v>
      </c>
      <c r="F540">
        <v>423.56549100000001</v>
      </c>
    </row>
    <row r="541" spans="2:6" ht="15" x14ac:dyDescent="0.25">
      <c r="B541" s="14">
        <v>41365</v>
      </c>
      <c r="C541" s="30" t="str">
        <f>[2]!YBHIST($A$2,$B541,"Price","sec","")</f>
        <v>E</v>
      </c>
      <c r="D541" t="str">
        <f>[2]!YBPRICE($A$2,C541&amp;"d",$B542,"OAS","Swap",B541,"LMMSkew","","Model",100,"OAS")</f>
        <v>E</v>
      </c>
      <c r="E541" s="32" t="str">
        <f>[2]!YBHIST($A$2,B541,"LMMOAS","sec","")</f>
        <v>E</v>
      </c>
      <c r="F541">
        <v>423.157196</v>
      </c>
    </row>
    <row r="542" spans="2:6" ht="15" x14ac:dyDescent="0.25">
      <c r="B542" s="14">
        <v>41366</v>
      </c>
      <c r="C542" s="30" t="str">
        <f>[2]!YBHIST($A$2,$B542,"Price","sec","")</f>
        <v>E</v>
      </c>
      <c r="D542" t="str">
        <f>[2]!YBPRICE($A$2,C542&amp;"d",$B543,"OAS","Swap",B542,"LMMSkew","","Model",100,"OAS")</f>
        <v>E</v>
      </c>
      <c r="E542" s="32" t="str">
        <f>[2]!YBHIST($A$2,B542,"LMMOAS","sec","")</f>
        <v>E</v>
      </c>
      <c r="F542">
        <v>453.75509599999998</v>
      </c>
    </row>
    <row r="543" spans="2:6" ht="15" x14ac:dyDescent="0.25">
      <c r="B543" s="14">
        <v>41367</v>
      </c>
      <c r="C543" s="30" t="str">
        <f>[2]!YBHIST($A$2,$B543,"Price","sec","")</f>
        <v>E</v>
      </c>
      <c r="D543" t="str">
        <f>[2]!YBPRICE($A$2,C543&amp;"d",$B544,"OAS","Swap",B543,"LMMSkew","","Model",100,"OAS")</f>
        <v>E</v>
      </c>
      <c r="E543" s="32" t="str">
        <f>[2]!YBHIST($A$2,B543,"LMMOAS","sec","")</f>
        <v>E</v>
      </c>
      <c r="F543">
        <v>474.43960600000003</v>
      </c>
    </row>
    <row r="544" spans="2:6" ht="15" x14ac:dyDescent="0.25">
      <c r="B544" s="14">
        <v>41368</v>
      </c>
      <c r="C544" s="30" t="str">
        <f>[2]!YBHIST($A$2,$B544,"Price","sec","")</f>
        <v>E</v>
      </c>
      <c r="D544" t="str">
        <f>[2]!YBPRICE($A$2,C544&amp;"d",$B545,"OAS","Swap",B544,"LMMSkew","","Model",100,"OAS")</f>
        <v>E</v>
      </c>
      <c r="E544" s="32" t="str">
        <f>[2]!YBHIST($A$2,B544,"LMMOAS","sec","")</f>
        <v>E</v>
      </c>
      <c r="F544">
        <v>507.92480499999999</v>
      </c>
    </row>
    <row r="545" spans="2:6" ht="15" x14ac:dyDescent="0.25">
      <c r="B545" s="14">
        <v>41369</v>
      </c>
      <c r="C545" s="30" t="str">
        <f>[2]!YBHIST($A$2,$B545,"Price","sec","")</f>
        <v>E</v>
      </c>
      <c r="D545" t="str">
        <f>[2]!YBPRICE($A$2,C545&amp;"d",$B546,"OAS","Swap",B545,"LMMSkew","","Model",100,"OAS")</f>
        <v>E</v>
      </c>
      <c r="E545" s="32" t="str">
        <f>[2]!YBHIST($A$2,B545,"LMMOAS","sec","")</f>
        <v>E</v>
      </c>
      <c r="F545">
        <v>568.78887899999995</v>
      </c>
    </row>
    <row r="546" spans="2:6" ht="15" x14ac:dyDescent="0.25">
      <c r="B546" s="14">
        <v>41372</v>
      </c>
      <c r="C546" s="30" t="str">
        <f>[2]!YBHIST($A$2,$B546,"Price","sec","")</f>
        <v>E</v>
      </c>
      <c r="D546" t="str">
        <f>[2]!YBPRICE($A$2,C546&amp;"d",$B547,"OAS","Swap",B546,"LMMSkew","","Model",100,"OAS")</f>
        <v>E</v>
      </c>
      <c r="E546" s="32" t="str">
        <f>[2]!YBHIST($A$2,B546,"LMMOAS","sec","")</f>
        <v>E</v>
      </c>
      <c r="F546">
        <v>563.00451699999996</v>
      </c>
    </row>
    <row r="547" spans="2:6" ht="15" x14ac:dyDescent="0.25">
      <c r="B547" s="14">
        <v>41373</v>
      </c>
      <c r="C547" s="30" t="str">
        <f>[2]!YBHIST($A$2,$B547,"Price","sec","")</f>
        <v>E</v>
      </c>
      <c r="D547" t="str">
        <f>[2]!YBPRICE($A$2,C547&amp;"d",$B548,"OAS","Swap",B547,"LMMSkew","","Model",100,"OAS")</f>
        <v>E</v>
      </c>
      <c r="E547" s="32" t="str">
        <f>[2]!YBHIST($A$2,B547,"LMMOAS","sec","")</f>
        <v>E</v>
      </c>
      <c r="F547">
        <v>563.78057899999999</v>
      </c>
    </row>
    <row r="548" spans="2:6" ht="15" x14ac:dyDescent="0.25">
      <c r="B548" s="14">
        <v>41374</v>
      </c>
      <c r="C548" s="30" t="str">
        <f>[2]!YBHIST($A$2,$B548,"Price","sec","")</f>
        <v>E</v>
      </c>
      <c r="D548" t="str">
        <f>[2]!YBPRICE($A$2,C548&amp;"d",$B549,"OAS","Swap",B548,"LMMSkew","","Model",100,"OAS")</f>
        <v>E</v>
      </c>
      <c r="E548" s="32" t="str">
        <f>[2]!YBHIST($A$2,B548,"LMMOAS","sec","")</f>
        <v>E</v>
      </c>
      <c r="F548">
        <v>554.84619099999998</v>
      </c>
    </row>
    <row r="549" spans="2:6" ht="15" x14ac:dyDescent="0.25">
      <c r="B549" s="14">
        <v>41375</v>
      </c>
      <c r="C549" s="30" t="str">
        <f>[2]!YBHIST($A$2,$B549,"Price","sec","")</f>
        <v>E</v>
      </c>
      <c r="D549" t="str">
        <f>[2]!YBPRICE($A$2,C549&amp;"d",$B550,"OAS","Swap",B549,"LMMSkew","","Model",100,"OAS")</f>
        <v>E</v>
      </c>
      <c r="E549" s="32" t="str">
        <f>[2]!YBHIST($A$2,B549,"LMMOAS","sec","")</f>
        <v>E</v>
      </c>
      <c r="F549">
        <v>560.88207999999997</v>
      </c>
    </row>
    <row r="550" spans="2:6" ht="15" x14ac:dyDescent="0.25">
      <c r="B550" s="14">
        <v>41376</v>
      </c>
      <c r="C550" s="30" t="str">
        <f>[2]!YBHIST($A$2,$B550,"Price","sec","")</f>
        <v>E</v>
      </c>
      <c r="D550" t="str">
        <f>[2]!YBPRICE($A$2,C550&amp;"d",$B551,"OAS","Swap",B550,"LMMSkew","","Model",100,"OAS")</f>
        <v>E</v>
      </c>
      <c r="E550" s="32" t="str">
        <f>[2]!YBHIST($A$2,B550,"LMMOAS","sec","")</f>
        <v>E</v>
      </c>
      <c r="F550">
        <v>554.40118399999994</v>
      </c>
    </row>
    <row r="551" spans="2:6" ht="15" x14ac:dyDescent="0.25">
      <c r="B551" s="14">
        <v>41379</v>
      </c>
      <c r="C551" s="30" t="str">
        <f>[2]!YBHIST($A$2,$B551,"Price","sec","")</f>
        <v>E</v>
      </c>
      <c r="D551" t="str">
        <f>[2]!YBPRICE($A$2,C551&amp;"d",$B552,"OAS","Swap",B551,"LMMSkew","","Model",100,"OAS")</f>
        <v>E</v>
      </c>
      <c r="E551" s="32" t="str">
        <f>[2]!YBHIST($A$2,B551,"LMMOAS","sec","")</f>
        <v>E</v>
      </c>
      <c r="F551">
        <v>568.81982400000004</v>
      </c>
    </row>
    <row r="552" spans="2:6" ht="15" x14ac:dyDescent="0.25">
      <c r="B552" s="14">
        <v>41380</v>
      </c>
      <c r="C552" s="30" t="str">
        <f>[2]!YBHIST($A$2,$B552,"Price","sec","")</f>
        <v>E</v>
      </c>
      <c r="D552" t="str">
        <f>[2]!YBPRICE($A$2,C552&amp;"d",$B553,"OAS","Swap",B552,"LMMSkew","","Model",100,"OAS")</f>
        <v>E</v>
      </c>
      <c r="E552" s="32" t="str">
        <f>[2]!YBHIST($A$2,B552,"LMMOAS","sec","")</f>
        <v>E</v>
      </c>
      <c r="F552">
        <v>562.39190699999995</v>
      </c>
    </row>
    <row r="553" spans="2:6" ht="15" x14ac:dyDescent="0.25">
      <c r="B553" s="14">
        <v>41381</v>
      </c>
      <c r="C553" s="30" t="str">
        <f>[2]!YBHIST($A$2,$B553,"Price","sec","")</f>
        <v>E</v>
      </c>
      <c r="D553" t="str">
        <f>[2]!YBPRICE($A$2,C553&amp;"d",$B554,"OAS","Swap",B553,"LMMSkew","","Model",100,"OAS")</f>
        <v>E</v>
      </c>
      <c r="E553" s="32" t="str">
        <f>[2]!YBHIST($A$2,B553,"LMMOAS","sec","")</f>
        <v>E</v>
      </c>
      <c r="F553">
        <v>565.21832300000005</v>
      </c>
    </row>
    <row r="554" spans="2:6" ht="15" x14ac:dyDescent="0.25">
      <c r="B554" s="14">
        <v>41382</v>
      </c>
      <c r="C554" s="30" t="str">
        <f>[2]!YBHIST($A$2,$B554,"Price","sec","")</f>
        <v>E</v>
      </c>
      <c r="D554" t="str">
        <f>[2]!YBPRICE($A$2,C554&amp;"d",$B555,"OAS","Swap",B554,"LMMSkew","","Model",100,"OAS")</f>
        <v>E</v>
      </c>
      <c r="E554" s="32" t="str">
        <f>[2]!YBHIST($A$2,B554,"LMMOAS","sec","")</f>
        <v>E</v>
      </c>
      <c r="F554">
        <v>556.05279499999995</v>
      </c>
    </row>
    <row r="555" spans="2:6" ht="15" x14ac:dyDescent="0.25">
      <c r="B555" s="14">
        <v>41383</v>
      </c>
      <c r="C555" s="30" t="str">
        <f>[2]!YBHIST($A$2,$B555,"Price","sec","")</f>
        <v>E</v>
      </c>
      <c r="D555" t="str">
        <f>[2]!YBPRICE($A$2,C555&amp;"d",$B556,"OAS","Swap",B555,"LMMSkew","","Model",100,"OAS")</f>
        <v>E</v>
      </c>
      <c r="E555" s="32" t="str">
        <f>[2]!YBHIST($A$2,B555,"LMMOAS","sec","")</f>
        <v>E</v>
      </c>
      <c r="F555">
        <v>556.02221699999996</v>
      </c>
    </row>
    <row r="556" spans="2:6" ht="15" x14ac:dyDescent="0.25">
      <c r="B556" s="14">
        <v>41386</v>
      </c>
      <c r="C556" s="30" t="str">
        <f>[2]!YBHIST($A$2,$B556,"Price","sec","")</f>
        <v>E</v>
      </c>
      <c r="D556" t="str">
        <f>[2]!YBPRICE($A$2,C556&amp;"d",$B557,"OAS","Swap",B556,"LMMSkew","","Model",100,"OAS")</f>
        <v>E</v>
      </c>
      <c r="E556" s="32" t="str">
        <f>[2]!YBHIST($A$2,B556,"LMMOAS","sec","")</f>
        <v>E</v>
      </c>
      <c r="F556">
        <v>559.52459699999997</v>
      </c>
    </row>
    <row r="557" spans="2:6" ht="15" x14ac:dyDescent="0.25">
      <c r="B557" s="14">
        <v>41387</v>
      </c>
      <c r="C557" s="30" t="str">
        <f>[2]!YBHIST($A$2,$B557,"Price","sec","")</f>
        <v>E</v>
      </c>
      <c r="D557" t="str">
        <f>[2]!YBPRICE($A$2,C557&amp;"d",$B558,"OAS","Swap",B557,"LMMSkew","","Model",100,"OAS")</f>
        <v>E</v>
      </c>
      <c r="E557" s="32" t="str">
        <f>[2]!YBHIST($A$2,B557,"LMMOAS","sec","")</f>
        <v>E</v>
      </c>
      <c r="F557">
        <v>558.00567599999999</v>
      </c>
    </row>
    <row r="558" spans="2:6" ht="15" x14ac:dyDescent="0.25">
      <c r="B558" s="14">
        <v>41388</v>
      </c>
      <c r="C558" s="30" t="str">
        <f>[2]!YBHIST($A$2,$B558,"Price","sec","")</f>
        <v>E</v>
      </c>
      <c r="D558" t="str">
        <f>[2]!YBPRICE($A$2,C558&amp;"d",$B559,"OAS","Swap",B558,"LMMSkew","","Model",100,"OAS")</f>
        <v>E</v>
      </c>
      <c r="E558" s="32" t="str">
        <f>[2]!YBHIST($A$2,B558,"LMMOAS","sec","")</f>
        <v>E</v>
      </c>
      <c r="F558">
        <v>553.82379200000003</v>
      </c>
    </row>
    <row r="559" spans="2:6" ht="15" x14ac:dyDescent="0.25">
      <c r="B559" s="14">
        <v>41389</v>
      </c>
      <c r="C559" s="30" t="str">
        <f>[2]!YBHIST($A$2,$B559,"Price","sec","")</f>
        <v>E</v>
      </c>
      <c r="D559" t="str">
        <f>[2]!YBPRICE($A$2,C559&amp;"d",$B560,"OAS","Swap",B559,"LMMSkew","","Model",100,"OAS")</f>
        <v>E</v>
      </c>
      <c r="E559" s="32" t="str">
        <f>[2]!YBHIST($A$2,B559,"LMMOAS","sec","")</f>
        <v>E</v>
      </c>
      <c r="F559">
        <v>571.955872</v>
      </c>
    </row>
    <row r="560" spans="2:6" ht="15" x14ac:dyDescent="0.25">
      <c r="B560" s="14">
        <v>41390</v>
      </c>
      <c r="C560" s="30" t="str">
        <f>[2]!YBHIST($A$2,$B560,"Price","sec","")</f>
        <v>E</v>
      </c>
      <c r="D560" t="str">
        <f>[2]!YBPRICE($A$2,C560&amp;"d",$B561,"OAS","Swap",B560,"LMMSkew","","Model",100,"OAS")</f>
        <v>E</v>
      </c>
      <c r="E560" s="32" t="str">
        <f>[2]!YBHIST($A$2,B560,"LMMOAS","sec","")</f>
        <v>E</v>
      </c>
      <c r="F560">
        <v>581.40502900000001</v>
      </c>
    </row>
    <row r="561" spans="2:6" ht="15" x14ac:dyDescent="0.25">
      <c r="B561" s="14">
        <v>41393</v>
      </c>
      <c r="C561" s="30" t="str">
        <f>[2]!YBHIST($A$2,$B561,"Price","sec","")</f>
        <v>E</v>
      </c>
      <c r="D561" t="str">
        <f>[2]!YBPRICE($A$2,C561&amp;"d",$B562,"OAS","Swap",B561,"LMMSkew","","Model",100,"OAS")</f>
        <v>E</v>
      </c>
      <c r="E561" s="32" t="str">
        <f>[2]!YBHIST($A$2,B561,"LMMOAS","sec","")</f>
        <v>E</v>
      </c>
      <c r="F561">
        <v>594.21179199999995</v>
      </c>
    </row>
    <row r="562" spans="2:6" ht="15" x14ac:dyDescent="0.25">
      <c r="B562" s="14">
        <v>41394</v>
      </c>
      <c r="C562" s="30" t="str">
        <f>[2]!YBHIST($A$2,$B562,"Price","sec","")</f>
        <v>E</v>
      </c>
      <c r="D562" t="str">
        <f>[2]!YBPRICE($A$2,C562&amp;"d",$B563,"OAS","Swap",B562,"LMMSkew","","Model",100,"OAS")</f>
        <v>E</v>
      </c>
      <c r="E562" s="32" t="str">
        <f>[2]!YBHIST($A$2,B562,"LMMOAS","sec","")</f>
        <v>E</v>
      </c>
      <c r="F562">
        <v>617.55328399999996</v>
      </c>
    </row>
    <row r="563" spans="2:6" ht="15" x14ac:dyDescent="0.25">
      <c r="B563" s="14">
        <v>41395</v>
      </c>
      <c r="C563" s="30" t="str">
        <f>[2]!YBHIST($A$2,$B563,"Price","sec","")</f>
        <v>E</v>
      </c>
      <c r="D563" t="str">
        <f>[2]!YBPRICE($A$2,C563&amp;"d",$B564,"OAS","Swap",B563,"LMMSkew","","Model",100,"OAS")</f>
        <v>E</v>
      </c>
      <c r="E563" s="32" t="str">
        <f>[2]!YBHIST($A$2,B563,"LMMOAS","sec","")</f>
        <v>E</v>
      </c>
      <c r="F563">
        <v>630.77587900000003</v>
      </c>
    </row>
    <row r="564" spans="2:6" ht="15" x14ac:dyDescent="0.25">
      <c r="B564" s="14">
        <v>41396</v>
      </c>
      <c r="C564" s="30" t="str">
        <f>[2]!YBHIST($A$2,$B564,"Price","sec","")</f>
        <v>E</v>
      </c>
      <c r="D564" t="str">
        <f>[2]!YBPRICE($A$2,C564&amp;"d",$B565,"OAS","Swap",B564,"LMMSkew","","Model",100,"OAS")</f>
        <v>E</v>
      </c>
      <c r="E564" s="32" t="str">
        <f>[2]!YBHIST($A$2,B564,"LMMOAS","sec","")</f>
        <v>E</v>
      </c>
      <c r="F564">
        <v>588.15759300000002</v>
      </c>
    </row>
    <row r="565" spans="2:6" ht="15" x14ac:dyDescent="0.25">
      <c r="B565" s="14">
        <v>41397</v>
      </c>
      <c r="C565" s="30" t="str">
        <f>[2]!YBHIST($A$2,$B565,"Price","sec","")</f>
        <v>E</v>
      </c>
      <c r="D565" t="str">
        <f>[2]!YBPRICE($A$2,C565&amp;"d",$B566,"OAS","Swap",B565,"LMMSkew","","Model",100,"OAS")</f>
        <v>E</v>
      </c>
      <c r="E565" s="32" t="str">
        <f>[2]!YBHIST($A$2,B565,"LMMOAS","sec","")</f>
        <v>E</v>
      </c>
      <c r="F565">
        <v>563.77081299999998</v>
      </c>
    </row>
    <row r="566" spans="2:6" ht="15" x14ac:dyDescent="0.25">
      <c r="B566" s="14">
        <v>41400</v>
      </c>
      <c r="C566" s="30" t="str">
        <f>[2]!YBHIST($A$2,$B566,"Price","sec","")</f>
        <v>E</v>
      </c>
      <c r="D566" t="str">
        <f>[2]!YBPRICE($A$2,C566&amp;"d",$B567,"OAS","Swap",B566,"LMMSkew","","Model",100,"OAS")</f>
        <v>E</v>
      </c>
      <c r="E566" s="32" t="str">
        <f>[2]!YBHIST($A$2,B566,"LMMOAS","sec","")</f>
        <v>E</v>
      </c>
      <c r="F566">
        <v>579.62457300000005</v>
      </c>
    </row>
    <row r="567" spans="2:6" ht="15" x14ac:dyDescent="0.25">
      <c r="B567" s="14">
        <v>41401</v>
      </c>
      <c r="C567" s="30" t="str">
        <f>[2]!YBHIST($A$2,$B567,"Price","sec","")</f>
        <v>E</v>
      </c>
      <c r="D567" t="str">
        <f>[2]!YBPRICE($A$2,C567&amp;"d",$B568,"OAS","Swap",B567,"LMMSkew","","Model",100,"OAS")</f>
        <v>E</v>
      </c>
      <c r="E567" s="32" t="str">
        <f>[2]!YBHIST($A$2,B567,"LMMOAS","sec","")</f>
        <v>E</v>
      </c>
      <c r="F567">
        <v>565.71710199999995</v>
      </c>
    </row>
    <row r="568" spans="2:6" ht="15" x14ac:dyDescent="0.25">
      <c r="B568" s="14">
        <v>41402</v>
      </c>
      <c r="C568" s="30" t="str">
        <f>[2]!YBHIST($A$2,$B568,"Price","sec","")</f>
        <v>E</v>
      </c>
      <c r="D568" t="str">
        <f>[2]!YBPRICE($A$2,C568&amp;"d",$B569,"OAS","Swap",B568,"LMMSkew","","Model",100,"OAS")</f>
        <v>E</v>
      </c>
      <c r="E568" s="32" t="str">
        <f>[2]!YBHIST($A$2,B568,"LMMOAS","sec","")</f>
        <v>E</v>
      </c>
      <c r="F568">
        <v>585.81347700000003</v>
      </c>
    </row>
    <row r="569" spans="2:6" ht="15" x14ac:dyDescent="0.25">
      <c r="B569" s="14">
        <v>41403</v>
      </c>
      <c r="C569" s="30" t="str">
        <f>[2]!YBHIST($A$2,$B569,"Price","sec","")</f>
        <v>E</v>
      </c>
      <c r="D569" t="str">
        <f>[2]!YBPRICE($A$2,C569&amp;"d",$B570,"OAS","Swap",B569,"LMMSkew","","Model",100,"OAS")</f>
        <v>E</v>
      </c>
      <c r="E569" s="32" t="str">
        <f>[2]!YBHIST($A$2,B569,"LMMOAS","sec","")</f>
        <v>E</v>
      </c>
      <c r="F569">
        <v>615.71478300000001</v>
      </c>
    </row>
    <row r="570" spans="2:6" ht="15" x14ac:dyDescent="0.25">
      <c r="B570" s="14">
        <v>41404</v>
      </c>
      <c r="C570" s="30" t="str">
        <f>[2]!YBHIST($A$2,$B570,"Price","sec","")</f>
        <v>E</v>
      </c>
      <c r="D570" t="str">
        <f>[2]!YBPRICE($A$2,C570&amp;"d",$B571,"OAS","Swap",B570,"LMMSkew","","Model",100,"OAS")</f>
        <v>E</v>
      </c>
      <c r="E570" s="32" t="str">
        <f>[2]!YBHIST($A$2,B570,"LMMOAS","sec","")</f>
        <v>E</v>
      </c>
      <c r="F570">
        <v>586.34960899999999</v>
      </c>
    </row>
    <row r="571" spans="2:6" ht="15" x14ac:dyDescent="0.25">
      <c r="B571" s="14">
        <v>41407</v>
      </c>
      <c r="C571" s="30" t="str">
        <f>[2]!YBHIST($A$2,$B571,"Price","sec","")</f>
        <v>E</v>
      </c>
      <c r="D571" t="str">
        <f>[2]!YBPRICE($A$2,C571&amp;"d",$B572,"OAS","Swap",B571,"LMMSkew","","Model",100,"OAS")</f>
        <v>E</v>
      </c>
      <c r="E571" s="32" t="str">
        <f>[2]!YBHIST($A$2,B571,"LMMOAS","sec","")</f>
        <v>E</v>
      </c>
      <c r="F571">
        <v>559.482483</v>
      </c>
    </row>
    <row r="572" spans="2:6" ht="15" x14ac:dyDescent="0.25">
      <c r="B572" s="14">
        <v>41408</v>
      </c>
      <c r="C572" s="30" t="str">
        <f>[2]!YBHIST($A$2,$B572,"Price","sec","")</f>
        <v>E</v>
      </c>
      <c r="D572" t="str">
        <f>[2]!YBPRICE($A$2,C572&amp;"d",$B573,"OAS","Swap",B572,"LMMSkew","","Model",100,"OAS")</f>
        <v>E</v>
      </c>
      <c r="E572" s="32" t="str">
        <f>[2]!YBHIST($A$2,B572,"LMMOAS","sec","")</f>
        <v>E</v>
      </c>
      <c r="F572">
        <v>562.56280500000003</v>
      </c>
    </row>
    <row r="573" spans="2:6" ht="15" x14ac:dyDescent="0.25">
      <c r="B573" s="14">
        <v>41409</v>
      </c>
      <c r="C573" s="30" t="str">
        <f>[2]!YBHIST($A$2,$B573,"Price","sec","")</f>
        <v>E</v>
      </c>
      <c r="D573" t="str">
        <f>[2]!YBPRICE($A$2,C573&amp;"d",$B574,"OAS","Swap",B573,"LMMSkew","","Model",100,"OAS")</f>
        <v>E</v>
      </c>
      <c r="E573" s="32" t="str">
        <f>[2]!YBHIST($A$2,B573,"LMMOAS","sec","")</f>
        <v>E</v>
      </c>
      <c r="F573">
        <v>553.22668499999997</v>
      </c>
    </row>
    <row r="574" spans="2:6" ht="15" x14ac:dyDescent="0.25">
      <c r="B574" s="14">
        <v>41410</v>
      </c>
      <c r="C574" s="30" t="str">
        <f>[2]!YBHIST($A$2,$B574,"Price","sec","")</f>
        <v>E</v>
      </c>
      <c r="D574" t="str">
        <f>[2]!YBPRICE($A$2,C574&amp;"d",$B575,"OAS","Swap",B574,"LMMSkew","","Model",100,"OAS")</f>
        <v>E</v>
      </c>
      <c r="E574" s="32" t="str">
        <f>[2]!YBHIST($A$2,B574,"LMMOAS","sec","")</f>
        <v>E</v>
      </c>
      <c r="F574">
        <v>576.79821800000002</v>
      </c>
    </row>
    <row r="575" spans="2:6" ht="15" x14ac:dyDescent="0.25">
      <c r="B575" s="14">
        <v>41411</v>
      </c>
      <c r="C575" s="30" t="str">
        <f>[2]!YBHIST($A$2,$B575,"Price","sec","")</f>
        <v>E</v>
      </c>
      <c r="D575" t="str">
        <f>[2]!YBPRICE($A$2,C575&amp;"d",$B576,"OAS","Swap",B575,"LMMSkew","","Model",100,"OAS")</f>
        <v>E</v>
      </c>
      <c r="E575" s="32" t="str">
        <f>[2]!YBHIST($A$2,B575,"LMMOAS","sec","")</f>
        <v>E</v>
      </c>
      <c r="F575">
        <v>603.03363000000002</v>
      </c>
    </row>
    <row r="576" spans="2:6" ht="15" x14ac:dyDescent="0.25">
      <c r="B576" s="14">
        <v>41414</v>
      </c>
      <c r="C576" s="30" t="str">
        <f>[2]!YBHIST($A$2,$B576,"Price","sec","")</f>
        <v>E</v>
      </c>
      <c r="D576" t="str">
        <f>[2]!YBPRICE($A$2,C576&amp;"d",$B577,"OAS","Swap",B576,"LMMSkew","","Model",100,"OAS")</f>
        <v>E</v>
      </c>
      <c r="E576" s="32" t="str">
        <f>[2]!YBHIST($A$2,B576,"LMMOAS","sec","")</f>
        <v>E</v>
      </c>
      <c r="F576">
        <v>614.75439500000005</v>
      </c>
    </row>
    <row r="577" spans="2:6" ht="15" x14ac:dyDescent="0.25">
      <c r="B577" s="14">
        <v>41415</v>
      </c>
      <c r="C577" s="30" t="str">
        <f>[2]!YBHIST($A$2,$B577,"Price","sec","")</f>
        <v>E</v>
      </c>
      <c r="D577" t="str">
        <f>[2]!YBPRICE($A$2,C577&amp;"d",$B578,"OAS","Swap",B577,"LMMSkew","","Model",100,"OAS")</f>
        <v>E</v>
      </c>
      <c r="E577" s="32" t="str">
        <f>[2]!YBHIST($A$2,B577,"LMMOAS","sec","")</f>
        <v>E</v>
      </c>
      <c r="F577">
        <v>622.50628700000004</v>
      </c>
    </row>
    <row r="578" spans="2:6" ht="15" x14ac:dyDescent="0.25">
      <c r="B578" s="14">
        <v>41416</v>
      </c>
      <c r="C578" s="30" t="str">
        <f>[2]!YBHIST($A$2,$B578,"Price","sec","")</f>
        <v>E</v>
      </c>
      <c r="D578" t="str">
        <f>[2]!YBPRICE($A$2,C578&amp;"d",$B579,"OAS","Swap",B578,"LMMSkew","","Model",100,"OAS")</f>
        <v>E</v>
      </c>
      <c r="E578" s="32" t="str">
        <f>[2]!YBHIST($A$2,B578,"LMMOAS","sec","")</f>
        <v>E</v>
      </c>
      <c r="F578">
        <v>559.74871800000005</v>
      </c>
    </row>
    <row r="579" spans="2:6" ht="15" x14ac:dyDescent="0.25">
      <c r="B579" s="14">
        <v>41417</v>
      </c>
      <c r="C579" s="30" t="str">
        <f>[2]!YBHIST($A$2,$B579,"Price","sec","")</f>
        <v>E</v>
      </c>
      <c r="D579" t="str">
        <f>[2]!YBPRICE($A$2,C579&amp;"d",$B580,"OAS","Swap",B579,"LMMSkew","","Model",100,"OAS")</f>
        <v>E</v>
      </c>
      <c r="E579" s="32" t="str">
        <f>[2]!YBHIST($A$2,B579,"LMMOAS","sec","")</f>
        <v>E</v>
      </c>
      <c r="F579">
        <v>538.107483</v>
      </c>
    </row>
    <row r="580" spans="2:6" ht="15" x14ac:dyDescent="0.25">
      <c r="B580" s="14">
        <v>41418</v>
      </c>
      <c r="C580" s="30" t="str">
        <f>[2]!YBHIST($A$2,$B580,"Price","sec","")</f>
        <v>E</v>
      </c>
      <c r="D580" t="str">
        <f>[2]!YBPRICE($A$2,C580&amp;"d",$B581,"OAS","Swap",B580,"LMMSkew","","Model",100,"OAS")</f>
        <v>E</v>
      </c>
      <c r="E580" s="32" t="str">
        <f>[2]!YBHIST($A$2,B580,"LMMOAS","sec","")</f>
        <v>E</v>
      </c>
      <c r="F580">
        <v>535.80688499999997</v>
      </c>
    </row>
    <row r="581" spans="2:6" ht="15" x14ac:dyDescent="0.25">
      <c r="B581" s="14">
        <v>41422</v>
      </c>
      <c r="C581" s="30" t="str">
        <f>[2]!YBHIST($A$2,$B581,"Price","sec","")</f>
        <v>E</v>
      </c>
      <c r="D581" t="str">
        <f>[2]!YBPRICE($A$2,C581&amp;"d",$B582,"OAS","Swap",B581,"LMMSkew","","Model",100,"OAS")</f>
        <v>E</v>
      </c>
      <c r="E581" s="32" t="str">
        <f>[2]!YBHIST($A$2,B581,"LMMOAS","sec","")</f>
        <v>E</v>
      </c>
      <c r="F581">
        <v>454.04580700000002</v>
      </c>
    </row>
    <row r="582" spans="2:6" ht="15" x14ac:dyDescent="0.25">
      <c r="B582" s="14">
        <v>41423</v>
      </c>
      <c r="C582" s="30" t="str">
        <f>[2]!YBHIST($A$2,$B582,"Price","sec","")</f>
        <v>E</v>
      </c>
      <c r="D582" t="str">
        <f>[2]!YBPRICE($A$2,C582&amp;"d",$B583,"OAS","Swap",B582,"LMMSkew","","Model",100,"OAS")</f>
        <v>E</v>
      </c>
      <c r="E582" s="32" t="str">
        <f>[2]!YBHIST($A$2,B582,"LMMOAS","sec","")</f>
        <v>E</v>
      </c>
      <c r="F582">
        <v>440.42199699999998</v>
      </c>
    </row>
    <row r="583" spans="2:6" ht="15" x14ac:dyDescent="0.25">
      <c r="B583" s="14">
        <v>41424</v>
      </c>
      <c r="C583" s="30" t="str">
        <f>[2]!YBHIST($A$2,$B583,"Price","sec","")</f>
        <v>E</v>
      </c>
      <c r="D583" t="str">
        <f>[2]!YBPRICE($A$2,C583&amp;"d",$B584,"OAS","Swap",B583,"LMMSkew","","Model",100,"OAS")</f>
        <v>E</v>
      </c>
      <c r="E583" s="32" t="str">
        <f>[2]!YBHIST($A$2,B583,"LMMOAS","sec","")</f>
        <v>E</v>
      </c>
      <c r="F583">
        <v>456.204407</v>
      </c>
    </row>
    <row r="584" spans="2:6" ht="15" x14ac:dyDescent="0.25">
      <c r="B584" s="14">
        <v>41425</v>
      </c>
      <c r="C584" s="30" t="str">
        <f>[2]!YBHIST($A$2,$B584,"Price","sec","")</f>
        <v>E</v>
      </c>
      <c r="D584" t="str">
        <f>[2]!YBPRICE($A$2,C584&amp;"d",$B585,"OAS","Swap",B584,"LMMSkew","","Model",100,"OAS")</f>
        <v>E</v>
      </c>
      <c r="E584" s="32" t="str">
        <f>[2]!YBHIST($A$2,B584,"LMMOAS","sec","")</f>
        <v>E</v>
      </c>
      <c r="F584">
        <v>443.104309</v>
      </c>
    </row>
    <row r="585" spans="2:6" ht="15" x14ac:dyDescent="0.25">
      <c r="B585" s="14">
        <v>41428</v>
      </c>
      <c r="C585" s="30" t="str">
        <f>[2]!YBHIST($A$2,$B585,"Price","sec","")</f>
        <v>E</v>
      </c>
      <c r="D585" t="str">
        <f>[2]!YBPRICE($A$2,C585&amp;"d",$B586,"OAS","Swap",B585,"LMMSkew","","Model",100,"OAS")</f>
        <v>E</v>
      </c>
      <c r="E585" s="32" t="str">
        <f>[2]!YBHIST($A$2,B585,"LMMOAS","sec","")</f>
        <v>E</v>
      </c>
      <c r="F585">
        <v>431.718414</v>
      </c>
    </row>
    <row r="586" spans="2:6" ht="15" x14ac:dyDescent="0.25">
      <c r="B586" s="14">
        <v>41429</v>
      </c>
      <c r="C586" s="30" t="str">
        <f>[2]!YBHIST($A$2,$B586,"Price","sec","")</f>
        <v>E</v>
      </c>
      <c r="D586" t="str">
        <f>[2]!YBPRICE($A$2,C586&amp;"d",$B587,"OAS","Swap",B586,"LMMSkew","","Model",100,"OAS")</f>
        <v>E</v>
      </c>
      <c r="E586" s="32" t="str">
        <f>[2]!YBHIST($A$2,B586,"LMMOAS","sec","")</f>
        <v>E</v>
      </c>
      <c r="F586">
        <v>446.81021099999998</v>
      </c>
    </row>
    <row r="587" spans="2:6" ht="15" x14ac:dyDescent="0.25">
      <c r="B587" s="14">
        <v>41430</v>
      </c>
      <c r="C587" s="30" t="str">
        <f>[2]!YBHIST($A$2,$B587,"Price","sec","")</f>
        <v>E</v>
      </c>
      <c r="D587" t="str">
        <f>[2]!YBPRICE($A$2,C587&amp;"d",$B588,"OAS","Swap",B587,"LMMSkew","","Model",100,"OAS")</f>
        <v>E</v>
      </c>
      <c r="E587" s="32" t="str">
        <f>[2]!YBHIST($A$2,B587,"LMMOAS","sec","")</f>
        <v>E</v>
      </c>
      <c r="F587">
        <v>469.95941199999999</v>
      </c>
    </row>
    <row r="588" spans="2:6" ht="15" x14ac:dyDescent="0.25">
      <c r="B588" s="14">
        <v>41431</v>
      </c>
      <c r="C588" s="30" t="str">
        <f>[2]!YBHIST($A$2,$B588,"Price","sec","")</f>
        <v>E</v>
      </c>
      <c r="D588" t="str">
        <f>[2]!YBPRICE($A$2,C588&amp;"d",$B589,"OAS","Swap",B588,"LMMSkew","","Model",100,"OAS")</f>
        <v>E</v>
      </c>
      <c r="E588" s="32" t="str">
        <f>[2]!YBHIST($A$2,B588,"LMMOAS","sec","")</f>
        <v>E</v>
      </c>
      <c r="F588">
        <v>488.51119999999997</v>
      </c>
    </row>
    <row r="589" spans="2:6" ht="15" x14ac:dyDescent="0.25">
      <c r="B589" s="14">
        <v>41432</v>
      </c>
      <c r="C589" s="30" t="str">
        <f>[2]!YBHIST($A$2,$B589,"Price","sec","")</f>
        <v>E</v>
      </c>
      <c r="D589" t="str">
        <f>[2]!YBPRICE($A$2,C589&amp;"d",$B590,"OAS","Swap",B589,"LMMSkew","","Model",100,"OAS")</f>
        <v>E</v>
      </c>
      <c r="E589" s="32" t="str">
        <f>[2]!YBHIST($A$2,B589,"LMMOAS","sec","")</f>
        <v>E</v>
      </c>
      <c r="F589">
        <v>444.13970899999998</v>
      </c>
    </row>
    <row r="590" spans="2:6" ht="15" x14ac:dyDescent="0.25">
      <c r="B590" s="14">
        <v>41435</v>
      </c>
      <c r="C590" s="30" t="str">
        <f>[2]!YBHIST($A$2,$B590,"Price","sec","")</f>
        <v>E</v>
      </c>
      <c r="D590" t="str">
        <f>[2]!YBPRICE($A$2,C590&amp;"d",$B591,"OAS","Swap",B590,"LMMSkew","","Model",100,"OAS")</f>
        <v>E</v>
      </c>
      <c r="E590" s="32" t="str">
        <f>[2]!YBHIST($A$2,B590,"LMMOAS","sec","")</f>
        <v>E</v>
      </c>
      <c r="F590">
        <v>441.66720600000002</v>
      </c>
    </row>
    <row r="591" spans="2:6" ht="15" x14ac:dyDescent="0.25">
      <c r="B591" s="14">
        <v>41436</v>
      </c>
      <c r="C591" s="30" t="str">
        <f>[2]!YBHIST($A$2,$B591,"Price","sec","")</f>
        <v>E</v>
      </c>
      <c r="D591" t="str">
        <f>[2]!YBPRICE($A$2,C591&amp;"d",$B592,"OAS","Swap",B591,"LMMSkew","","Model",100,"OAS")</f>
        <v>E</v>
      </c>
      <c r="E591" s="32" t="str">
        <f>[2]!YBHIST($A$2,B591,"LMMOAS","sec","")</f>
        <v>E</v>
      </c>
      <c r="F591">
        <v>439.63009599999998</v>
      </c>
    </row>
    <row r="592" spans="2:6" ht="15" x14ac:dyDescent="0.25">
      <c r="B592" s="14">
        <v>41437</v>
      </c>
      <c r="C592" s="30" t="str">
        <f>[2]!YBHIST($A$2,$B592,"Price","sec","")</f>
        <v>E</v>
      </c>
      <c r="D592" t="str">
        <f>[2]!YBPRICE($A$2,C592&amp;"d",$B593,"OAS","Swap",B592,"LMMSkew","","Model",100,"OAS")</f>
        <v>E</v>
      </c>
      <c r="E592" s="32" t="str">
        <f>[2]!YBHIST($A$2,B592,"LMMOAS","sec","")</f>
        <v>E</v>
      </c>
      <c r="F592">
        <v>425.37008700000001</v>
      </c>
    </row>
    <row r="593" spans="2:6" ht="15" x14ac:dyDescent="0.25">
      <c r="B593" s="14">
        <v>41438</v>
      </c>
      <c r="C593" s="30" t="str">
        <f>[2]!YBHIST($A$2,$B593,"Price","sec","")</f>
        <v>E</v>
      </c>
      <c r="D593" t="str">
        <f>[2]!YBPRICE($A$2,C593&amp;"d",$B594,"OAS","Swap",B593,"LMMSkew","","Model",100,"OAS")</f>
        <v>E</v>
      </c>
      <c r="E593" s="32" t="str">
        <f>[2]!YBHIST($A$2,B593,"LMMOAS","sec","")</f>
        <v>E</v>
      </c>
      <c r="F593">
        <v>426.44461100000001</v>
      </c>
    </row>
    <row r="594" spans="2:6" ht="15" x14ac:dyDescent="0.25">
      <c r="B594" s="14">
        <v>41439</v>
      </c>
      <c r="C594" s="30" t="str">
        <f>[2]!YBHIST($A$2,$B594,"Price","sec","")</f>
        <v>E</v>
      </c>
      <c r="D594" t="str">
        <f>[2]!YBPRICE($A$2,C594&amp;"d",$B595,"OAS","Swap",B594,"LMMSkew","","Model",100,"OAS")</f>
        <v>E</v>
      </c>
      <c r="E594" s="32" t="str">
        <f>[2]!YBHIST($A$2,B594,"LMMOAS","sec","")</f>
        <v>E</v>
      </c>
      <c r="F594">
        <v>435.21530200000001</v>
      </c>
    </row>
    <row r="595" spans="2:6" ht="15" x14ac:dyDescent="0.25">
      <c r="B595" s="14">
        <v>41442</v>
      </c>
      <c r="C595" s="30" t="str">
        <f>[2]!YBHIST($A$2,$B595,"Price","sec","")</f>
        <v>E</v>
      </c>
      <c r="D595" t="str">
        <f>[2]!YBPRICE($A$2,C595&amp;"d",$B596,"OAS","Swap",B595,"LMMSkew","","Model",100,"OAS")</f>
        <v>E</v>
      </c>
      <c r="E595" s="32" t="str">
        <f>[2]!YBHIST($A$2,B595,"LMMOAS","sec","")</f>
        <v>E</v>
      </c>
      <c r="F595">
        <v>427.42440800000003</v>
      </c>
    </row>
    <row r="596" spans="2:6" ht="15" x14ac:dyDescent="0.25">
      <c r="B596" s="14">
        <v>41443</v>
      </c>
      <c r="C596" s="30" t="str">
        <f>[2]!YBHIST($A$2,$B596,"Price","sec","")</f>
        <v>E</v>
      </c>
      <c r="D596" t="str">
        <f>[2]!YBPRICE($A$2,C596&amp;"d",$B597,"OAS","Swap",B596,"LMMSkew","","Model",100,"OAS")</f>
        <v>E</v>
      </c>
      <c r="E596" s="32" t="str">
        <f>[2]!YBHIST($A$2,B596,"LMMOAS","sec","")</f>
        <v>E</v>
      </c>
      <c r="F596">
        <v>416.66519199999999</v>
      </c>
    </row>
    <row r="597" spans="2:6" ht="15" x14ac:dyDescent="0.25">
      <c r="B597" s="14">
        <v>41444</v>
      </c>
      <c r="C597" s="30" t="str">
        <f>[2]!YBHIST($A$2,$B597,"Price","sec","")</f>
        <v>E</v>
      </c>
      <c r="D597" t="str">
        <f>[2]!YBPRICE($A$2,C597&amp;"d",$B598,"OAS","Swap",B597,"LMMSkew","","Model",100,"OAS")</f>
        <v>E</v>
      </c>
      <c r="E597" s="32" t="str">
        <f>[2]!YBHIST($A$2,B597,"LMMOAS","sec","")</f>
        <v>E</v>
      </c>
      <c r="F597">
        <v>374.49951199999998</v>
      </c>
    </row>
    <row r="598" spans="2:6" ht="15" x14ac:dyDescent="0.25">
      <c r="B598" s="14">
        <v>41445</v>
      </c>
      <c r="C598" s="30" t="str">
        <f>[2]!YBHIST($A$2,$B598,"Price","sec","")</f>
        <v>E</v>
      </c>
      <c r="D598" t="str">
        <f>[2]!YBPRICE($A$2,C598&amp;"d",$B599,"OAS","Swap",B598,"LMMSkew","","Model",100,"OAS")</f>
        <v>E</v>
      </c>
      <c r="E598" s="32" t="str">
        <f>[2]!YBHIST($A$2,B598,"LMMOAS","sec","")</f>
        <v>E</v>
      </c>
      <c r="F598">
        <v>348.81408699999997</v>
      </c>
    </row>
    <row r="599" spans="2:6" ht="15" x14ac:dyDescent="0.25">
      <c r="B599" s="14">
        <v>41446</v>
      </c>
      <c r="C599" s="30" t="str">
        <f>[2]!YBHIST($A$2,$B599,"Price","sec","")</f>
        <v>E</v>
      </c>
      <c r="D599" t="str">
        <f>[2]!YBPRICE($A$2,C599&amp;"d",$B600,"OAS","Swap",B599,"LMMSkew","","Model",100,"OAS")</f>
        <v>E</v>
      </c>
      <c r="E599" s="32" t="str">
        <f>[2]!YBHIST($A$2,B599,"LMMOAS","sec","")</f>
        <v>E</v>
      </c>
      <c r="F599">
        <v>320.869507</v>
      </c>
    </row>
    <row r="600" spans="2:6" ht="15" x14ac:dyDescent="0.25">
      <c r="B600" s="14">
        <v>41449</v>
      </c>
      <c r="C600" s="30" t="str">
        <f>[2]!YBHIST($A$2,$B600,"Price","sec","")</f>
        <v>E</v>
      </c>
      <c r="D600" t="str">
        <f>[2]!YBPRICE($A$2,C600&amp;"d",$B601,"OAS","Swap",B600,"LMMSkew","","Model",100,"OAS")</f>
        <v>E</v>
      </c>
      <c r="E600" s="32" t="str">
        <f>[2]!YBHIST($A$2,B600,"LMMOAS","sec","")</f>
        <v>E</v>
      </c>
      <c r="F600">
        <v>312.10668900000002</v>
      </c>
    </row>
    <row r="601" spans="2:6" ht="15" x14ac:dyDescent="0.25">
      <c r="B601" s="14">
        <v>41450</v>
      </c>
      <c r="C601" s="30" t="str">
        <f>[2]!YBHIST($A$2,$B601,"Price","sec","")</f>
        <v>E</v>
      </c>
      <c r="D601" t="str">
        <f>[2]!YBPRICE($A$2,C601&amp;"d",$B602,"OAS","Swap",B601,"LMMSkew","","Model",100,"OAS")</f>
        <v>E</v>
      </c>
      <c r="E601" s="32" t="str">
        <f>[2]!YBHIST($A$2,B601,"LMMOAS","sec","")</f>
        <v>E</v>
      </c>
      <c r="F601">
        <v>318.48089599999997</v>
      </c>
    </row>
    <row r="602" spans="2:6" ht="15" x14ac:dyDescent="0.25">
      <c r="B602" s="14">
        <v>41451</v>
      </c>
      <c r="C602" s="30" t="str">
        <f>[2]!YBHIST($A$2,$B602,"Price","sec","")</f>
        <v>E</v>
      </c>
      <c r="D602" t="str">
        <f>[2]!YBPRICE($A$2,C602&amp;"d",$B603,"OAS","Swap",B602,"LMMSkew","","Model",100,"OAS")</f>
        <v>E</v>
      </c>
      <c r="E602" s="32" t="str">
        <f>[2]!YBHIST($A$2,B602,"LMMOAS","sec","")</f>
        <v>E</v>
      </c>
      <c r="F602">
        <v>328.15838600000001</v>
      </c>
    </row>
    <row r="603" spans="2:6" ht="15" x14ac:dyDescent="0.25">
      <c r="B603" s="14">
        <v>41452</v>
      </c>
      <c r="C603" s="30" t="str">
        <f>[2]!YBHIST($A$2,$B603,"Price","sec","")</f>
        <v>E</v>
      </c>
      <c r="D603" t="str">
        <f>[2]!YBPRICE($A$2,C603&amp;"d",$B604,"OAS","Swap",B603,"LMMSkew","","Model",100,"OAS")</f>
        <v>E</v>
      </c>
      <c r="E603" s="32" t="str">
        <f>[2]!YBHIST($A$2,B603,"LMMOAS","sec","")</f>
        <v>E</v>
      </c>
      <c r="F603">
        <v>355.79489100000001</v>
      </c>
    </row>
    <row r="604" spans="2:6" ht="15" x14ac:dyDescent="0.25">
      <c r="B604" s="14">
        <v>41453</v>
      </c>
      <c r="C604" s="30" t="str">
        <f>[2]!YBHIST($A$2,$B604,"Price","sec","")</f>
        <v>E</v>
      </c>
      <c r="D604" t="str">
        <f>[2]!YBPRICE($A$2,C604&amp;"d",$B605,"OAS","Swap",B604,"LMMSkew","","Model",100,"OAS")</f>
        <v>E</v>
      </c>
      <c r="E604" s="32" t="str">
        <f>[2]!YBHIST($A$2,B604,"LMMOAS","sec","")</f>
        <v>E</v>
      </c>
      <c r="F604">
        <v>347.92450000000002</v>
      </c>
    </row>
    <row r="605" spans="2:6" ht="15" x14ac:dyDescent="0.25">
      <c r="B605" s="14">
        <v>41456</v>
      </c>
      <c r="C605" s="30" t="str">
        <f>[2]!YBHIST($A$2,$B605,"Price","sec","")</f>
        <v>E</v>
      </c>
      <c r="D605" t="str">
        <f>[2]!YBPRICE($A$2,C605&amp;"d",$B606,"OAS","Swap",B605,"LMMSkew","","Model",100,"OAS")</f>
        <v>E</v>
      </c>
      <c r="E605" s="32" t="str">
        <f>[2]!YBHIST($A$2,B605,"LMMOAS","sec","")</f>
        <v>E</v>
      </c>
      <c r="F605">
        <v>334.00351000000001</v>
      </c>
    </row>
    <row r="606" spans="2:6" ht="15" x14ac:dyDescent="0.25">
      <c r="B606" s="14">
        <v>41457</v>
      </c>
      <c r="C606" s="30" t="str">
        <f>[2]!YBHIST($A$2,$B606,"Price","sec","")</f>
        <v>E</v>
      </c>
      <c r="D606" t="str">
        <f>[2]!YBPRICE($A$2,C606&amp;"d",$B607,"OAS","Swap",B606,"LMMSkew","","Model",100,"OAS")</f>
        <v>E</v>
      </c>
      <c r="E606" s="32" t="str">
        <f>[2]!YBHIST($A$2,B606,"LMMOAS","sec","")</f>
        <v>E</v>
      </c>
      <c r="F606">
        <v>329.320312</v>
      </c>
    </row>
    <row r="607" spans="2:6" ht="15" x14ac:dyDescent="0.25">
      <c r="B607" s="14">
        <v>41458</v>
      </c>
      <c r="C607" s="30" t="str">
        <f>[2]!YBHIST($A$2,$B607,"Price","sec","")</f>
        <v>E</v>
      </c>
      <c r="D607" t="str">
        <f>[2]!YBPRICE($A$2,C607&amp;"d",$B608,"OAS","Swap",B607,"LMMSkew","","Model",100,"OAS")</f>
        <v>E</v>
      </c>
      <c r="E607" s="32" t="str">
        <f>[2]!YBHIST($A$2,B607,"LMMOAS","sec","")</f>
        <v>E</v>
      </c>
      <c r="F607">
        <v>320.64331099999998</v>
      </c>
    </row>
    <row r="608" spans="2:6" ht="15" x14ac:dyDescent="0.25">
      <c r="B608" s="14">
        <v>41460</v>
      </c>
      <c r="C608" s="30" t="str">
        <f>[2]!YBHIST($A$2,$B608,"Price","sec","")</f>
        <v>E</v>
      </c>
      <c r="D608" t="str">
        <f>[2]!YBPRICE($A$2,C608&amp;"d",$B609,"OAS","Swap",B608,"LMMSkew","","Model",100,"OAS")</f>
        <v>E</v>
      </c>
      <c r="E608" s="32" t="str">
        <f>[2]!YBHIST($A$2,B608,"LMMOAS","sec","")</f>
        <v>E</v>
      </c>
      <c r="F608">
        <v>291.90451000000002</v>
      </c>
    </row>
    <row r="609" spans="2:6" ht="15" x14ac:dyDescent="0.25">
      <c r="B609" s="14">
        <v>41463</v>
      </c>
      <c r="C609" s="30" t="str">
        <f>[2]!YBHIST($A$2,$B609,"Price","sec","")</f>
        <v>E</v>
      </c>
      <c r="D609" t="str">
        <f>[2]!YBPRICE($A$2,C609&amp;"d",$B610,"OAS","Swap",B609,"LMMSkew","","Model",100,"OAS")</f>
        <v>E</v>
      </c>
      <c r="E609" s="32" t="str">
        <f>[2]!YBHIST($A$2,B609,"LMMOAS","sec","")</f>
        <v>E</v>
      </c>
      <c r="F609">
        <v>284.93368500000003</v>
      </c>
    </row>
    <row r="610" spans="2:6" ht="15" x14ac:dyDescent="0.25">
      <c r="B610" s="14">
        <v>41464</v>
      </c>
      <c r="C610" s="30" t="str">
        <f>[2]!YBHIST($A$2,$B610,"Price","sec","")</f>
        <v>E</v>
      </c>
      <c r="D610" t="str">
        <f>[2]!YBPRICE($A$2,C610&amp;"d",$B611,"OAS","Swap",B610,"LMMSkew","","Model",100,"OAS")</f>
        <v>E</v>
      </c>
      <c r="E610" s="32" t="str">
        <f>[2]!YBHIST($A$2,B610,"LMMOAS","sec","")</f>
        <v>E</v>
      </c>
      <c r="F610">
        <v>274.01681500000001</v>
      </c>
    </row>
    <row r="611" spans="2:6" ht="15" x14ac:dyDescent="0.25">
      <c r="B611" s="14">
        <v>41465</v>
      </c>
      <c r="C611" s="30" t="str">
        <f>[2]!YBHIST($A$2,$B611,"Price","sec","")</f>
        <v>E</v>
      </c>
      <c r="D611" t="str">
        <f>[2]!YBPRICE($A$2,C611&amp;"d",$B612,"OAS","Swap",B611,"LMMSkew","","Model",100,"OAS")</f>
        <v>E</v>
      </c>
      <c r="E611" s="32" t="str">
        <f>[2]!YBHIST($A$2,B611,"LMMOAS","sec","")</f>
        <v>E</v>
      </c>
      <c r="F611">
        <v>261.736603</v>
      </c>
    </row>
    <row r="612" spans="2:6" ht="15" x14ac:dyDescent="0.25">
      <c r="B612" s="14">
        <v>41466</v>
      </c>
      <c r="C612" s="30" t="str">
        <f>[2]!YBHIST($A$2,$B612,"Price","sec","")</f>
        <v>E</v>
      </c>
      <c r="D612" t="str">
        <f>[2]!YBPRICE($A$2,C612&amp;"d",$B613,"OAS","Swap",B612,"LMMSkew","","Model",100,"OAS")</f>
        <v>E</v>
      </c>
      <c r="E612" s="32" t="str">
        <f>[2]!YBHIST($A$2,B612,"LMMOAS","sec","")</f>
        <v>E</v>
      </c>
      <c r="F612">
        <v>272.50949100000003</v>
      </c>
    </row>
    <row r="613" spans="2:6" ht="15" x14ac:dyDescent="0.25">
      <c r="B613" s="14">
        <v>41467</v>
      </c>
      <c r="C613" s="30" t="str">
        <f>[2]!YBHIST($A$2,$B613,"Price","sec","")</f>
        <v>E</v>
      </c>
      <c r="D613" t="str">
        <f>[2]!YBPRICE($A$2,C613&amp;"d",$B614,"OAS","Swap",B613,"LMMSkew","","Model",100,"OAS")</f>
        <v>E</v>
      </c>
      <c r="E613" s="32" t="str">
        <f>[2]!YBHIST($A$2,B613,"LMMOAS","sec","")</f>
        <v>E</v>
      </c>
      <c r="F613">
        <v>282.134705</v>
      </c>
    </row>
    <row r="614" spans="2:6" ht="15" x14ac:dyDescent="0.25">
      <c r="B614" s="14">
        <v>41470</v>
      </c>
      <c r="C614" s="30" t="str">
        <f>[2]!YBHIST($A$2,$B614,"Price","sec","")</f>
        <v>E</v>
      </c>
      <c r="D614" t="str">
        <f>[2]!YBPRICE($A$2,C614&amp;"d",$B615,"OAS","Swap",B614,"LMMSkew","","Model",100,"OAS")</f>
        <v>E</v>
      </c>
      <c r="E614" s="32" t="str">
        <f>[2]!YBHIST($A$2,B614,"LMMOAS","sec","")</f>
        <v>E</v>
      </c>
      <c r="F614">
        <v>294.97000100000002</v>
      </c>
    </row>
    <row r="615" spans="2:6" ht="15" x14ac:dyDescent="0.25">
      <c r="B615" s="14">
        <v>41471</v>
      </c>
      <c r="C615" s="30" t="str">
        <f>[2]!YBHIST($A$2,$B615,"Price","sec","")</f>
        <v>E</v>
      </c>
      <c r="D615" t="str">
        <f>[2]!YBPRICE($A$2,C615&amp;"d",$B616,"OAS","Swap",B615,"LMMSkew","","Model",100,"OAS")</f>
        <v>E</v>
      </c>
      <c r="E615" s="32" t="str">
        <f>[2]!YBHIST($A$2,B615,"LMMOAS","sec","")</f>
        <v>E</v>
      </c>
      <c r="F615">
        <v>314.589294</v>
      </c>
    </row>
    <row r="616" spans="2:6" ht="15" x14ac:dyDescent="0.25">
      <c r="B616" s="14">
        <v>41472</v>
      </c>
      <c r="C616" s="30" t="str">
        <f>[2]!YBHIST($A$2,$B616,"Price","sec","")</f>
        <v>E</v>
      </c>
      <c r="D616" t="str">
        <f>[2]!YBPRICE($A$2,C616&amp;"d",$B617,"OAS","Swap",B616,"LMMSkew","","Model",100,"OAS")</f>
        <v>E</v>
      </c>
      <c r="E616" s="32" t="str">
        <f>[2]!YBHIST($A$2,B616,"LMMOAS","sec","")</f>
        <v>E</v>
      </c>
      <c r="F616">
        <v>325.76669299999998</v>
      </c>
    </row>
    <row r="617" spans="2:6" ht="15" x14ac:dyDescent="0.25">
      <c r="B617" s="14">
        <v>41473</v>
      </c>
      <c r="C617" s="30" t="str">
        <f>[2]!YBHIST($A$2,$B617,"Price","sec","")</f>
        <v>E</v>
      </c>
      <c r="D617" t="str">
        <f>[2]!YBPRICE($A$2,C617&amp;"d",$B618,"OAS","Swap",B617,"LMMSkew","","Model",100,"OAS")</f>
        <v>E</v>
      </c>
      <c r="E617" s="32" t="str">
        <f>[2]!YBHIST($A$2,B617,"LMMOAS","sec","")</f>
        <v>E</v>
      </c>
      <c r="F617">
        <v>342.47820999999999</v>
      </c>
    </row>
    <row r="618" spans="2:6" ht="15" x14ac:dyDescent="0.25">
      <c r="B618" s="14">
        <v>41474</v>
      </c>
      <c r="C618" s="30" t="str">
        <f>[2]!YBHIST($A$2,$B618,"Price","sec","")</f>
        <v>E</v>
      </c>
      <c r="D618" t="str">
        <f>[2]!YBPRICE($A$2,C618&amp;"d",$B619,"OAS","Swap",B618,"LMMSkew","","Model",100,"OAS")</f>
        <v>E</v>
      </c>
      <c r="E618" s="32" t="str">
        <f>[2]!YBHIST($A$2,B618,"LMMOAS","sec","")</f>
        <v>E</v>
      </c>
      <c r="F618">
        <v>344.66949499999998</v>
      </c>
    </row>
    <row r="619" spans="2:6" ht="15" x14ac:dyDescent="0.25">
      <c r="B619" s="14">
        <v>41477</v>
      </c>
      <c r="C619" s="30" t="str">
        <f>[2]!YBHIST($A$2,$B619,"Price","sec","")</f>
        <v>E</v>
      </c>
      <c r="D619" t="str">
        <f>[2]!YBPRICE($A$2,C619&amp;"d",$B620,"OAS","Swap",B619,"LMMSkew","","Model",100,"OAS")</f>
        <v>E</v>
      </c>
      <c r="E619" s="32" t="str">
        <f>[2]!YBHIST($A$2,B619,"LMMOAS","sec","")</f>
        <v>E</v>
      </c>
      <c r="F619">
        <v>352.96661399999999</v>
      </c>
    </row>
    <row r="620" spans="2:6" ht="15" x14ac:dyDescent="0.25">
      <c r="B620" s="14">
        <v>41478</v>
      </c>
      <c r="C620" s="30" t="str">
        <f>[2]!YBHIST($A$2,$B620,"Price","sec","")</f>
        <v>E</v>
      </c>
      <c r="D620" t="str">
        <f>[2]!YBPRICE($A$2,C620&amp;"d",$B621,"OAS","Swap",B620,"LMMSkew","","Model",100,"OAS")</f>
        <v>E</v>
      </c>
      <c r="E620" s="32" t="str">
        <f>[2]!YBHIST($A$2,B620,"LMMOAS","sec","")</f>
        <v>E</v>
      </c>
      <c r="F620">
        <v>351.70120200000002</v>
      </c>
    </row>
    <row r="621" spans="2:6" ht="15" x14ac:dyDescent="0.25">
      <c r="B621" s="14">
        <v>41479</v>
      </c>
      <c r="C621" s="30" t="str">
        <f>[2]!YBHIST($A$2,$B621,"Price","sec","")</f>
        <v>E</v>
      </c>
      <c r="D621" t="str">
        <f>[2]!YBPRICE($A$2,C621&amp;"d",$B622,"OAS","Swap",B621,"LMMSkew","","Model",100,"OAS")</f>
        <v>E</v>
      </c>
      <c r="E621" s="32" t="str">
        <f>[2]!YBHIST($A$2,B621,"LMMOAS","sec","")</f>
        <v>E</v>
      </c>
      <c r="F621">
        <v>339.864014</v>
      </c>
    </row>
    <row r="622" spans="2:6" ht="15" x14ac:dyDescent="0.25">
      <c r="B622" s="14">
        <v>41480</v>
      </c>
      <c r="C622" s="30" t="str">
        <f>[2]!YBHIST($A$2,$B622,"Price","sec","")</f>
        <v>E</v>
      </c>
      <c r="D622" t="str">
        <f>[2]!YBPRICE($A$2,C622&amp;"d",$B623,"OAS","Swap",B622,"LMMSkew","","Model",100,"OAS")</f>
        <v>E</v>
      </c>
      <c r="E622" s="32" t="str">
        <f>[2]!YBHIST($A$2,B622,"LMMOAS","sec","")</f>
        <v>E</v>
      </c>
      <c r="F622">
        <v>346.75589000000002</v>
      </c>
    </row>
    <row r="623" spans="2:6" ht="15" x14ac:dyDescent="0.25">
      <c r="B623" s="14">
        <v>41481</v>
      </c>
      <c r="C623" s="30" t="str">
        <f>[2]!YBHIST($A$2,$B623,"Price","sec","")</f>
        <v>E</v>
      </c>
      <c r="D623" t="str">
        <f>[2]!YBPRICE($A$2,C623&amp;"d",$B624,"OAS","Swap",B623,"LMMSkew","","Model",100,"OAS")</f>
        <v>E</v>
      </c>
      <c r="E623" s="32" t="str">
        <f>[2]!YBHIST($A$2,B623,"LMMOAS","sec","")</f>
        <v>E</v>
      </c>
      <c r="F623">
        <v>350.84619099999998</v>
      </c>
    </row>
    <row r="624" spans="2:6" ht="15" x14ac:dyDescent="0.25">
      <c r="B624" s="14">
        <v>41484</v>
      </c>
      <c r="C624" s="30" t="str">
        <f>[2]!YBHIST($A$2,$B624,"Price","sec","")</f>
        <v>E</v>
      </c>
      <c r="D624" t="str">
        <f>[2]!YBPRICE($A$2,C624&amp;"d",$B625,"OAS","Swap",B624,"LMMSkew","","Model",100,"OAS")</f>
        <v>E</v>
      </c>
      <c r="E624" s="32" t="str">
        <f>[2]!YBHIST($A$2,B624,"LMMOAS","sec","")</f>
        <v>E</v>
      </c>
      <c r="F624">
        <v>346.19799799999998</v>
      </c>
    </row>
    <row r="625" spans="2:6" ht="15" x14ac:dyDescent="0.25">
      <c r="B625" s="14">
        <v>41485</v>
      </c>
      <c r="C625" s="30" t="str">
        <f>[2]!YBHIST($A$2,$B625,"Price","sec","")</f>
        <v>E</v>
      </c>
      <c r="D625" t="str">
        <f>[2]!YBPRICE($A$2,C625&amp;"d",$B626,"OAS","Swap",B625,"LMMSkew","","Model",100,"OAS")</f>
        <v>E</v>
      </c>
      <c r="E625" s="32" t="str">
        <f>[2]!YBHIST($A$2,B625,"LMMOAS","sec","")</f>
        <v>E</v>
      </c>
      <c r="F625">
        <v>316.01409899999999</v>
      </c>
    </row>
    <row r="626" spans="2:6" ht="15" x14ac:dyDescent="0.25">
      <c r="B626" s="14">
        <v>41486</v>
      </c>
      <c r="C626" s="30" t="str">
        <f>[2]!YBHIST($A$2,$B626,"Price","sec","")</f>
        <v>E</v>
      </c>
      <c r="D626" t="str">
        <f>[2]!YBPRICE($A$2,C626&amp;"d",$B627,"OAS","Swap",B626,"LMMSkew","","Model",100,"OAS")</f>
        <v>E</v>
      </c>
      <c r="E626" s="32" t="str">
        <f>[2]!YBHIST($A$2,B626,"LMMOAS","sec","")</f>
        <v>E</v>
      </c>
      <c r="F626">
        <v>285.19229100000001</v>
      </c>
    </row>
    <row r="627" spans="2:6" ht="15" x14ac:dyDescent="0.25">
      <c r="B627" s="14">
        <v>41487</v>
      </c>
      <c r="C627" s="30" t="str">
        <f>[2]!YBHIST($A$2,$B627,"Price","sec","")</f>
        <v>E</v>
      </c>
      <c r="D627" t="str">
        <f>[2]!YBPRICE($A$2,C627&amp;"d",$B628,"OAS","Swap",B627,"LMMSkew","","Model",100,"OAS")</f>
        <v>E</v>
      </c>
      <c r="E627" s="32" t="str">
        <f>[2]!YBHIST($A$2,B627,"LMMOAS","sec","")</f>
        <v>E</v>
      </c>
      <c r="F627">
        <v>252.28999300000001</v>
      </c>
    </row>
    <row r="628" spans="2:6" ht="15" x14ac:dyDescent="0.25">
      <c r="B628" s="14">
        <v>41488</v>
      </c>
      <c r="C628" s="30" t="str">
        <f>[2]!YBHIST($A$2,$B628,"Price","sec","")</f>
        <v>E</v>
      </c>
      <c r="D628" t="str">
        <f>[2]!YBPRICE($A$2,C628&amp;"d",$B629,"OAS","Swap",B628,"LMMSkew","","Model",100,"OAS")</f>
        <v>E</v>
      </c>
      <c r="E628" s="32" t="str">
        <f>[2]!YBHIST($A$2,B628,"LMMOAS","sec","")</f>
        <v>E</v>
      </c>
      <c r="F628">
        <v>270.23141500000003</v>
      </c>
    </row>
    <row r="629" spans="2:6" ht="15" x14ac:dyDescent="0.25">
      <c r="B629" s="14">
        <v>41491</v>
      </c>
      <c r="C629" s="30" t="str">
        <f>[2]!YBHIST($A$2,$B629,"Price","sec","")</f>
        <v>E</v>
      </c>
      <c r="D629" t="str">
        <f>[2]!YBPRICE($A$2,C629&amp;"d",$B630,"OAS","Swap",B629,"LMMSkew","","Model",100,"OAS")</f>
        <v>E</v>
      </c>
      <c r="E629" s="32" t="str">
        <f>[2]!YBHIST($A$2,B629,"LMMOAS","sec","")</f>
        <v>E</v>
      </c>
      <c r="F629">
        <v>265.58209199999999</v>
      </c>
    </row>
    <row r="630" spans="2:6" ht="15" x14ac:dyDescent="0.25">
      <c r="B630" s="14">
        <v>41492</v>
      </c>
      <c r="C630" s="30" t="str">
        <f>[2]!YBHIST($A$2,$B630,"Price","sec","")</f>
        <v>E</v>
      </c>
      <c r="D630" t="str">
        <f>[2]!YBPRICE($A$2,C630&amp;"d",$B631,"OAS","Swap",B630,"LMMSkew","","Model",100,"OAS")</f>
        <v>E</v>
      </c>
      <c r="E630" s="32" t="str">
        <f>[2]!YBHIST($A$2,B630,"LMMOAS","sec","")</f>
        <v>E</v>
      </c>
      <c r="F630">
        <v>269.89550800000001</v>
      </c>
    </row>
    <row r="631" spans="2:6" ht="15" x14ac:dyDescent="0.25">
      <c r="B631" s="14">
        <v>41493</v>
      </c>
      <c r="C631" s="30" t="str">
        <f>[2]!YBHIST($A$2,$B631,"Price","sec","")</f>
        <v>E</v>
      </c>
      <c r="D631" t="str">
        <f>[2]!YBPRICE($A$2,C631&amp;"d",$B632,"OAS","Swap",B631,"LMMSkew","","Model",100,"OAS")</f>
        <v>E</v>
      </c>
      <c r="E631" s="32" t="str">
        <f>[2]!YBHIST($A$2,B631,"LMMOAS","sec","")</f>
        <v>E</v>
      </c>
      <c r="F631">
        <v>295.676086</v>
      </c>
    </row>
    <row r="632" spans="2:6" ht="15" x14ac:dyDescent="0.25">
      <c r="B632" s="14">
        <v>41494</v>
      </c>
      <c r="C632" s="30" t="str">
        <f>[2]!YBHIST($A$2,$B632,"Price","sec","")</f>
        <v>E</v>
      </c>
      <c r="D632" t="str">
        <f>[2]!YBPRICE($A$2,C632&amp;"d",$B633,"OAS","Swap",B632,"LMMSkew","","Model",100,"OAS")</f>
        <v>E</v>
      </c>
      <c r="E632" s="32" t="str">
        <f>[2]!YBHIST($A$2,B632,"LMMOAS","sec","")</f>
        <v>E</v>
      </c>
      <c r="F632">
        <v>302.75048800000002</v>
      </c>
    </row>
    <row r="633" spans="2:6" ht="15" x14ac:dyDescent="0.25">
      <c r="B633" s="14">
        <v>41495</v>
      </c>
      <c r="C633" s="30" t="str">
        <f>[2]!YBHIST($A$2,$B633,"Price","sec","")</f>
        <v>E</v>
      </c>
      <c r="D633" t="str">
        <f>[2]!YBPRICE($A$2,C633&amp;"d",$B634,"OAS","Swap",B633,"LMMSkew","","Model",100,"OAS")</f>
        <v>E</v>
      </c>
      <c r="E633" s="32" t="str">
        <f>[2]!YBHIST($A$2,B633,"LMMOAS","sec","")</f>
        <v>E</v>
      </c>
      <c r="F633">
        <v>295.551514</v>
      </c>
    </row>
    <row r="634" spans="2:6" ht="15" x14ac:dyDescent="0.25">
      <c r="B634" s="14">
        <v>41498</v>
      </c>
      <c r="C634" s="30" t="str">
        <f>[2]!YBHIST($A$2,$B634,"Price","sec","")</f>
        <v>E</v>
      </c>
      <c r="D634" t="str">
        <f>[2]!YBPRICE($A$2,C634&amp;"d",$B635,"OAS","Swap",B634,"LMMSkew","","Model",100,"OAS")</f>
        <v>E</v>
      </c>
      <c r="E634" s="32" t="str">
        <f>[2]!YBHIST($A$2,B634,"LMMOAS","sec","")</f>
        <v>E</v>
      </c>
      <c r="F634">
        <v>282.70190400000001</v>
      </c>
    </row>
    <row r="635" spans="2:6" ht="15" x14ac:dyDescent="0.25">
      <c r="B635" s="14">
        <v>41499</v>
      </c>
      <c r="C635" s="30" t="str">
        <f>[2]!YBHIST($A$2,$B635,"Price","sec","")</f>
        <v>E</v>
      </c>
      <c r="D635" t="str">
        <f>[2]!YBPRICE($A$2,C635&amp;"d",$B636,"OAS","Swap",B635,"LMMSkew","","Model",100,"OAS")</f>
        <v>E</v>
      </c>
      <c r="E635" s="32" t="str">
        <f>[2]!YBHIST($A$2,B635,"LMMOAS","sec","")</f>
        <v>E</v>
      </c>
      <c r="F635">
        <v>260.91198700000001</v>
      </c>
    </row>
    <row r="636" spans="2:6" ht="15" x14ac:dyDescent="0.25">
      <c r="B636" s="14">
        <v>41500</v>
      </c>
      <c r="C636" s="30" t="str">
        <f>[2]!YBHIST($A$2,$B636,"Price","sec","")</f>
        <v>E</v>
      </c>
      <c r="D636" t="str">
        <f>[2]!YBPRICE($A$2,C636&amp;"d",$B637,"OAS","Swap",B636,"LMMSkew","","Model",100,"OAS")</f>
        <v>E</v>
      </c>
      <c r="E636" s="32" t="str">
        <f>[2]!YBHIST($A$2,B636,"LMMOAS","sec","")</f>
        <v>E</v>
      </c>
      <c r="F636">
        <v>257.93051100000002</v>
      </c>
    </row>
    <row r="637" spans="2:6" ht="15" x14ac:dyDescent="0.25">
      <c r="B637" s="14">
        <v>41501</v>
      </c>
      <c r="C637" s="30" t="str">
        <f>[2]!YBHIST($A$2,$B637,"Price","sec","")</f>
        <v>E</v>
      </c>
      <c r="D637" t="str">
        <f>[2]!YBPRICE($A$2,C637&amp;"d",$B638,"OAS","Swap",B637,"LMMSkew","","Model",100,"OAS")</f>
        <v>E</v>
      </c>
      <c r="E637" s="32" t="str">
        <f>[2]!YBHIST($A$2,B637,"LMMOAS","sec","")</f>
        <v>E</v>
      </c>
      <c r="F637">
        <v>252.93469200000001</v>
      </c>
    </row>
    <row r="638" spans="2:6" ht="15" x14ac:dyDescent="0.25">
      <c r="B638" s="14">
        <v>41502</v>
      </c>
      <c r="C638" s="30" t="str">
        <f>[2]!YBHIST($A$2,$B638,"Price","sec","")</f>
        <v>E</v>
      </c>
      <c r="D638" t="str">
        <f>[2]!YBPRICE($A$2,C638&amp;"d",$B639,"OAS","Swap",B638,"LMMSkew","","Model",100,"OAS")</f>
        <v>E</v>
      </c>
      <c r="E638" s="32" t="str">
        <f>[2]!YBHIST($A$2,B638,"LMMOAS","sec","")</f>
        <v>E</v>
      </c>
      <c r="F638">
        <v>254.877396</v>
      </c>
    </row>
    <row r="639" spans="2:6" ht="15" x14ac:dyDescent="0.25">
      <c r="B639" s="14">
        <v>41505</v>
      </c>
      <c r="C639" s="30" t="str">
        <f>[2]!YBHIST($A$2,$B639,"Price","sec","")</f>
        <v>E</v>
      </c>
      <c r="D639" t="str">
        <f>[2]!YBPRICE($A$2,C639&amp;"d",$B640,"OAS","Swap",B639,"LMMSkew","","Model",100,"OAS")</f>
        <v>E</v>
      </c>
      <c r="E639" s="32" t="str">
        <f>[2]!YBHIST($A$2,B639,"LMMOAS","sec","")</f>
        <v>E</v>
      </c>
      <c r="F639">
        <v>262.54431199999999</v>
      </c>
    </row>
    <row r="640" spans="2:6" ht="15" x14ac:dyDescent="0.25">
      <c r="B640" s="14">
        <v>41506</v>
      </c>
      <c r="C640" s="30" t="str">
        <f>[2]!YBHIST($A$2,$B640,"Price","sec","")</f>
        <v>E</v>
      </c>
      <c r="D640" t="str">
        <f>[2]!YBPRICE($A$2,C640&amp;"d",$B641,"OAS","Swap",B640,"LMMSkew","","Model",100,"OAS")</f>
        <v>E</v>
      </c>
      <c r="E640" s="32" t="str">
        <f>[2]!YBHIST($A$2,B640,"LMMOAS","sec","")</f>
        <v>E</v>
      </c>
      <c r="F640">
        <v>263.61129799999998</v>
      </c>
    </row>
    <row r="641" spans="2:6" ht="15" x14ac:dyDescent="0.25">
      <c r="B641" s="14">
        <v>41507</v>
      </c>
      <c r="C641" s="30" t="str">
        <f>[2]!YBHIST($A$2,$B641,"Price","sec","")</f>
        <v>E</v>
      </c>
      <c r="D641" t="str">
        <f>[2]!YBPRICE($A$2,C641&amp;"d",$B642,"OAS","Swap",B641,"LMMSkew","","Model",100,"OAS")</f>
        <v>E</v>
      </c>
      <c r="E641" s="32" t="str">
        <f>[2]!YBHIST($A$2,B641,"LMMOAS","sec","")</f>
        <v>E</v>
      </c>
      <c r="F641">
        <v>261.68121300000001</v>
      </c>
    </row>
    <row r="642" spans="2:6" ht="15" x14ac:dyDescent="0.25">
      <c r="B642" s="14">
        <v>41508</v>
      </c>
      <c r="C642" s="30" t="str">
        <f>[2]!YBHIST($A$2,$B642,"Price","sec","")</f>
        <v>E</v>
      </c>
      <c r="D642" t="str">
        <f>[2]!YBPRICE($A$2,C642&amp;"d",$B643,"OAS","Swap",B642,"LMMSkew","","Model",100,"OAS")</f>
        <v>E</v>
      </c>
      <c r="E642" s="32" t="str">
        <f>[2]!YBHIST($A$2,B642,"LMMOAS","sec","")</f>
        <v>E</v>
      </c>
      <c r="F642">
        <v>261.37619000000001</v>
      </c>
    </row>
    <row r="643" spans="2:6" ht="15" x14ac:dyDescent="0.25">
      <c r="B643" s="14">
        <v>41509</v>
      </c>
      <c r="C643" s="30" t="str">
        <f>[2]!YBHIST($A$2,$B643,"Price","sec","")</f>
        <v>E</v>
      </c>
      <c r="D643" t="str">
        <f>[2]!YBPRICE($A$2,C643&amp;"d",$B644,"OAS","Swap",B643,"LMMSkew","","Model",100,"OAS")</f>
        <v>E</v>
      </c>
      <c r="E643" s="32" t="str">
        <f>[2]!YBHIST($A$2,B643,"LMMOAS","sec","")</f>
        <v>E</v>
      </c>
      <c r="F643">
        <v>254.104004</v>
      </c>
    </row>
    <row r="644" spans="2:6" ht="15" x14ac:dyDescent="0.25">
      <c r="B644" s="14">
        <v>41512</v>
      </c>
      <c r="C644" s="30" t="str">
        <f>[2]!YBHIST($A$2,$B644,"Price","sec","")</f>
        <v>E</v>
      </c>
      <c r="D644" t="str">
        <f>[2]!YBPRICE($A$2,C644&amp;"d",$B645,"OAS","Swap",B644,"LMMSkew","","Model",100,"OAS")</f>
        <v>E</v>
      </c>
      <c r="E644" s="32" t="str">
        <f>[2]!YBHIST($A$2,B644,"LMMOAS","sec","")</f>
        <v>E</v>
      </c>
      <c r="F644">
        <v>244.16879299999999</v>
      </c>
    </row>
    <row r="645" spans="2:6" ht="15" x14ac:dyDescent="0.25">
      <c r="B645" s="14">
        <v>41513</v>
      </c>
      <c r="C645" s="30" t="str">
        <f>[2]!YBHIST($A$2,$B645,"Price","sec","")</f>
        <v>E</v>
      </c>
      <c r="D645" t="str">
        <f>[2]!YBPRICE($A$2,C645&amp;"d",$B646,"OAS","Swap",B645,"LMMSkew","","Model",100,"OAS")</f>
        <v>E</v>
      </c>
      <c r="E645" s="32" t="str">
        <f>[2]!YBHIST($A$2,B645,"LMMOAS","sec","")</f>
        <v>E</v>
      </c>
      <c r="F645">
        <v>248.18440200000001</v>
      </c>
    </row>
    <row r="646" spans="2:6" ht="15" x14ac:dyDescent="0.25">
      <c r="B646" s="14">
        <v>41514</v>
      </c>
      <c r="C646" s="30" t="str">
        <f>[2]!YBHIST($A$2,$B646,"Price","sec","")</f>
        <v>E</v>
      </c>
      <c r="D646" t="str">
        <f>[2]!YBPRICE($A$2,C646&amp;"d",$B647,"OAS","Swap",B646,"LMMSkew","","Model",100,"OAS")</f>
        <v>E</v>
      </c>
      <c r="E646" s="32" t="str">
        <f>[2]!YBHIST($A$2,B646,"LMMOAS","sec","")</f>
        <v>E</v>
      </c>
      <c r="F646">
        <v>248.15089399999999</v>
      </c>
    </row>
    <row r="647" spans="2:6" ht="15" x14ac:dyDescent="0.25">
      <c r="B647" s="14">
        <v>41515</v>
      </c>
      <c r="C647" s="30" t="str">
        <f>[2]!YBHIST($A$2,$B647,"Price","sec","")</f>
        <v>E</v>
      </c>
      <c r="D647" t="str">
        <f>[2]!YBPRICE($A$2,C647&amp;"d",$B648,"OAS","Swap",B647,"LMMSkew","","Model",100,"OAS")</f>
        <v>E</v>
      </c>
      <c r="E647" s="32" t="str">
        <f>[2]!YBHIST($A$2,B647,"LMMOAS","sec","")</f>
        <v>E</v>
      </c>
      <c r="F647">
        <v>243.17559800000001</v>
      </c>
    </row>
    <row r="648" spans="2:6" ht="15" x14ac:dyDescent="0.25">
      <c r="B648" s="14">
        <v>41516</v>
      </c>
      <c r="C648" s="30" t="str">
        <f>[2]!YBHIST($A$2,$B648,"Price","sec","")</f>
        <v>E</v>
      </c>
      <c r="D648" t="str">
        <f>[2]!YBPRICE($A$2,C648&amp;"d",$B649,"OAS","Swap",B648,"LMMSkew","","Model",100,"OAS")</f>
        <v>E</v>
      </c>
      <c r="E648" s="32" t="str">
        <f>[2]!YBHIST($A$2,B648,"LMMOAS","sec","")</f>
        <v>E</v>
      </c>
      <c r="F648">
        <v>238.61779799999999</v>
      </c>
    </row>
    <row r="649" spans="2:6" ht="15" x14ac:dyDescent="0.25">
      <c r="B649" s="14">
        <v>41520</v>
      </c>
      <c r="C649" s="30" t="str">
        <f>[2]!YBHIST($A$2,$B649,"Price","sec","")</f>
        <v>E</v>
      </c>
      <c r="D649" t="str">
        <f>[2]!YBPRICE($A$2,C649&amp;"d",$B650,"OAS","Swap",B649,"LMMSkew","","Model",100,"OAS")</f>
        <v>E</v>
      </c>
      <c r="E649" s="32" t="str">
        <f>[2]!YBHIST($A$2,B649,"LMMOAS","sec","")</f>
        <v>E</v>
      </c>
      <c r="F649">
        <v>229.66279599999999</v>
      </c>
    </row>
    <row r="650" spans="2:6" ht="15" x14ac:dyDescent="0.25">
      <c r="B650" s="14">
        <v>41521</v>
      </c>
      <c r="C650" s="30" t="str">
        <f>[2]!YBHIST($A$2,$B650,"Price","sec","")</f>
        <v>E</v>
      </c>
      <c r="D650" t="str">
        <f>[2]!YBPRICE($A$2,C650&amp;"d",$B651,"OAS","Swap",B650,"LMMSkew","","Model",100,"OAS")</f>
        <v>E</v>
      </c>
      <c r="E650" s="32" t="str">
        <f>[2]!YBHIST($A$2,B650,"LMMOAS","sec","")</f>
        <v>E</v>
      </c>
      <c r="F650">
        <v>210.88679500000001</v>
      </c>
    </row>
    <row r="651" spans="2:6" ht="15" x14ac:dyDescent="0.25">
      <c r="B651" s="14">
        <v>41522</v>
      </c>
      <c r="C651" s="30" t="str">
        <f>[2]!YBHIST($A$2,$B651,"Price","sec","")</f>
        <v>E</v>
      </c>
      <c r="D651" t="str">
        <f>[2]!YBPRICE($A$2,C651&amp;"d",$B652,"OAS","Swap",B651,"LMMSkew","","Model",100,"OAS")</f>
        <v>E</v>
      </c>
      <c r="E651" s="32" t="str">
        <f>[2]!YBHIST($A$2,B651,"LMMOAS","sec","")</f>
        <v>E</v>
      </c>
      <c r="F651">
        <v>187.82550000000001</v>
      </c>
    </row>
    <row r="652" spans="2:6" ht="15" x14ac:dyDescent="0.25">
      <c r="B652" s="14">
        <v>41523</v>
      </c>
      <c r="C652" s="30" t="str">
        <f>[2]!YBHIST($A$2,$B652,"Price","sec","")</f>
        <v>E</v>
      </c>
      <c r="D652" t="str">
        <f>[2]!YBPRICE($A$2,C652&amp;"d",$B653,"OAS","Swap",B652,"LMMSkew","","Model",100,"OAS")</f>
        <v>E</v>
      </c>
      <c r="E652" s="32" t="str">
        <f>[2]!YBHIST($A$2,B652,"LMMOAS","sec","")</f>
        <v>E</v>
      </c>
      <c r="F652">
        <v>194.48039199999999</v>
      </c>
    </row>
    <row r="653" spans="2:6" ht="15" x14ac:dyDescent="0.25">
      <c r="B653" s="14">
        <v>41526</v>
      </c>
      <c r="C653" s="30" t="str">
        <f>[2]!YBHIST($A$2,$B653,"Price","sec","")</f>
        <v>E</v>
      </c>
      <c r="D653" t="str">
        <f>[2]!YBPRICE($A$2,C653&amp;"d",$B654,"OAS","Swap",B653,"LMMSkew","","Model",100,"OAS")</f>
        <v>E</v>
      </c>
      <c r="E653" s="32" t="str">
        <f>[2]!YBHIST($A$2,B653,"LMMOAS","sec","")</f>
        <v>E</v>
      </c>
      <c r="F653">
        <v>185.213303</v>
      </c>
    </row>
    <row r="654" spans="2:6" ht="15" x14ac:dyDescent="0.25">
      <c r="B654" s="14">
        <v>41527</v>
      </c>
      <c r="C654" s="30" t="str">
        <f>[2]!YBHIST($A$2,$B654,"Price","sec","")</f>
        <v>E</v>
      </c>
      <c r="D654" t="str">
        <f>[2]!YBPRICE($A$2,C654&amp;"d",$B655,"OAS","Swap",B654,"LMMSkew","","Model",100,"OAS")</f>
        <v>E</v>
      </c>
      <c r="E654" s="32" t="str">
        <f>[2]!YBHIST($A$2,B654,"LMMOAS","sec","")</f>
        <v>E</v>
      </c>
      <c r="F654">
        <v>171.19070400000001</v>
      </c>
    </row>
    <row r="655" spans="2:6" ht="15" x14ac:dyDescent="0.25">
      <c r="B655" s="14">
        <v>41528</v>
      </c>
      <c r="C655" s="30" t="str">
        <f>[2]!YBHIST($A$2,$B655,"Price","sec","")</f>
        <v>E</v>
      </c>
      <c r="D655" t="str">
        <f>[2]!YBPRICE($A$2,C655&amp;"d",$B656,"OAS","Swap",B655,"LMMSkew","","Model",100,"OAS")</f>
        <v>E</v>
      </c>
      <c r="E655" s="32" t="str">
        <f>[2]!YBHIST($A$2,B655,"LMMOAS","sec","")</f>
        <v>E</v>
      </c>
      <c r="F655">
        <v>182.796997</v>
      </c>
    </row>
    <row r="656" spans="2:6" ht="15" x14ac:dyDescent="0.25">
      <c r="B656" s="14">
        <v>41529</v>
      </c>
      <c r="C656" s="30" t="str">
        <f>[2]!YBHIST($A$2,$B656,"Price","sec","")</f>
        <v>E</v>
      </c>
      <c r="D656" t="str">
        <f>[2]!YBPRICE($A$2,C656&amp;"d",$B657,"OAS","Swap",B656,"LMMSkew","","Model",100,"OAS")</f>
        <v>E</v>
      </c>
      <c r="E656" s="32" t="str">
        <f>[2]!YBHIST($A$2,B656,"LMMOAS","sec","")</f>
        <v>E</v>
      </c>
      <c r="F656">
        <v>189.65159600000001</v>
      </c>
    </row>
    <row r="657" spans="2:6" ht="15" x14ac:dyDescent="0.25">
      <c r="B657" s="14">
        <v>41530</v>
      </c>
      <c r="C657" s="30" t="str">
        <f>[2]!YBHIST($A$2,$B657,"Price","sec","")</f>
        <v>E</v>
      </c>
      <c r="D657" t="str">
        <f>[2]!YBPRICE($A$2,C657&amp;"d",$B658,"OAS","Swap",B657,"LMMSkew","","Model",100,"OAS")</f>
        <v>E</v>
      </c>
      <c r="E657" s="32" t="str">
        <f>[2]!YBHIST($A$2,B657,"LMMOAS","sec","")</f>
        <v>E</v>
      </c>
      <c r="F657">
        <v>185.598206</v>
      </c>
    </row>
    <row r="658" spans="2:6" ht="15" x14ac:dyDescent="0.25">
      <c r="B658" s="14">
        <v>41533</v>
      </c>
      <c r="C658" s="30" t="str">
        <f>[2]!YBHIST($A$2,$B658,"Price","sec","")</f>
        <v>E</v>
      </c>
      <c r="D658" t="str">
        <f>[2]!YBPRICE($A$2,C658&amp;"d",$B659,"OAS","Swap",B658,"LMMSkew","","Model",100,"OAS")</f>
        <v>E</v>
      </c>
      <c r="E658" s="32" t="str">
        <f>[2]!YBHIST($A$2,B658,"LMMOAS","sec","")</f>
        <v>E</v>
      </c>
      <c r="F658">
        <v>197.18730199999999</v>
      </c>
    </row>
    <row r="659" spans="2:6" ht="15" x14ac:dyDescent="0.25">
      <c r="B659" s="14">
        <v>41534</v>
      </c>
      <c r="C659" s="30" t="str">
        <f>[2]!YBHIST($A$2,$B659,"Price","sec","")</f>
        <v>E</v>
      </c>
      <c r="D659" t="str">
        <f>[2]!YBPRICE($A$2,C659&amp;"d",$B660,"OAS","Swap",B659,"LMMSkew","","Model",100,"OAS")</f>
        <v>E</v>
      </c>
      <c r="E659" s="32" t="str">
        <f>[2]!YBHIST($A$2,B659,"LMMOAS","sec","")</f>
        <v>E</v>
      </c>
      <c r="F659">
        <v>213.77229299999999</v>
      </c>
    </row>
    <row r="660" spans="2:6" ht="15" x14ac:dyDescent="0.25">
      <c r="B660" s="14">
        <v>41535</v>
      </c>
      <c r="C660" s="30" t="str">
        <f>[2]!YBHIST($A$2,$B660,"Price","sec","")</f>
        <v>E</v>
      </c>
      <c r="D660" t="str">
        <f>[2]!YBPRICE($A$2,C660&amp;"d",$B661,"OAS","Swap",B660,"LMMSkew","","Model",100,"OAS")</f>
        <v>E</v>
      </c>
      <c r="E660" s="32" t="str">
        <f>[2]!YBHIST($A$2,B660,"LMMOAS","sec","")</f>
        <v>E</v>
      </c>
      <c r="F660">
        <v>246.06359900000001</v>
      </c>
    </row>
    <row r="661" spans="2:6" ht="15" x14ac:dyDescent="0.25">
      <c r="B661" s="14">
        <v>41536</v>
      </c>
      <c r="C661" s="30" t="str">
        <f>[2]!YBHIST($A$2,$B661,"Price","sec","")</f>
        <v>E</v>
      </c>
      <c r="D661" t="str">
        <f>[2]!YBPRICE($A$2,C661&amp;"d",$B662,"OAS","Swap",B661,"LMMSkew","","Model",100,"OAS")</f>
        <v>E</v>
      </c>
      <c r="E661" s="32" t="str">
        <f>[2]!YBHIST($A$2,B661,"LMMOAS","sec","")</f>
        <v>E</v>
      </c>
      <c r="F661">
        <v>268.52539100000001</v>
      </c>
    </row>
    <row r="662" spans="2:6" ht="15" x14ac:dyDescent="0.25">
      <c r="B662" s="14">
        <v>41537</v>
      </c>
      <c r="C662" s="30" t="str">
        <f>[2]!YBHIST($A$2,$B662,"Price","sec","")</f>
        <v>E</v>
      </c>
      <c r="D662" t="str">
        <f>[2]!YBPRICE($A$2,C662&amp;"d",$B663,"OAS","Swap",B662,"LMMSkew","","Model",100,"OAS")</f>
        <v>E</v>
      </c>
      <c r="E662" s="32" t="str">
        <f>[2]!YBHIST($A$2,B662,"LMMOAS","sec","")</f>
        <v>E</v>
      </c>
      <c r="F662">
        <v>248.65289300000001</v>
      </c>
    </row>
    <row r="663" spans="2:6" ht="15" x14ac:dyDescent="0.25">
      <c r="B663" s="14">
        <v>41540</v>
      </c>
      <c r="C663" s="30" t="str">
        <f>[2]!YBHIST($A$2,$B663,"Price","sec","")</f>
        <v>E</v>
      </c>
      <c r="D663" t="str">
        <f>[2]!YBPRICE($A$2,C663&amp;"d",$B664,"OAS","Swap",B663,"LMMSkew","","Model",100,"OAS")</f>
        <v>E</v>
      </c>
      <c r="E663" s="32" t="str">
        <f>[2]!YBHIST($A$2,B663,"LMMOAS","sec","")</f>
        <v>E</v>
      </c>
      <c r="F663">
        <v>253.808807</v>
      </c>
    </row>
    <row r="664" spans="2:6" ht="15" x14ac:dyDescent="0.25">
      <c r="B664" s="14">
        <v>41541</v>
      </c>
      <c r="C664" s="30" t="str">
        <f>[2]!YBHIST($A$2,$B664,"Price","sec","")</f>
        <v>E</v>
      </c>
      <c r="D664" t="str">
        <f>[2]!YBPRICE($A$2,C664&amp;"d",$B665,"OAS","Swap",B664,"LMMSkew","","Model",100,"OAS")</f>
        <v>E</v>
      </c>
      <c r="E664" s="32" t="str">
        <f>[2]!YBHIST($A$2,B664,"LMMOAS","sec","")</f>
        <v>E</v>
      </c>
      <c r="F664">
        <v>250.200897</v>
      </c>
    </row>
    <row r="665" spans="2:6" ht="15" x14ac:dyDescent="0.25">
      <c r="B665" s="14">
        <v>41542</v>
      </c>
      <c r="C665" s="30" t="str">
        <f>[2]!YBHIST($A$2,$B665,"Price","sec","")</f>
        <v>E</v>
      </c>
      <c r="D665" t="str">
        <f>[2]!YBPRICE($A$2,C665&amp;"d",$B666,"OAS","Swap",B665,"LMMSkew","","Model",100,"OAS")</f>
        <v>E</v>
      </c>
      <c r="E665" s="32" t="str">
        <f>[2]!YBHIST($A$2,B665,"LMMOAS","sec","")</f>
        <v>E</v>
      </c>
      <c r="F665">
        <v>252.321899</v>
      </c>
    </row>
    <row r="666" spans="2:6" ht="15" x14ac:dyDescent="0.25">
      <c r="B666" s="14">
        <v>41543</v>
      </c>
      <c r="C666" s="30" t="str">
        <f>[2]!YBHIST($A$2,$B666,"Price","sec","")</f>
        <v>E</v>
      </c>
      <c r="D666" t="str">
        <f>[2]!YBPRICE($A$2,C666&amp;"d",$B667,"OAS","Swap",B666,"LMMSkew","","Model",100,"OAS")</f>
        <v>E</v>
      </c>
      <c r="E666" s="32" t="str">
        <f>[2]!YBHIST($A$2,B666,"LMMOAS","sec","")</f>
        <v>E</v>
      </c>
      <c r="F666">
        <v>231.33169599999999</v>
      </c>
    </row>
    <row r="667" spans="2:6" ht="15" x14ac:dyDescent="0.25">
      <c r="B667" s="14">
        <v>41544</v>
      </c>
      <c r="C667" s="30" t="str">
        <f>[2]!YBHIST($A$2,$B667,"Price","sec","")</f>
        <v>E</v>
      </c>
      <c r="D667" t="str">
        <f>[2]!YBPRICE($A$2,C667&amp;"d",$B668,"OAS","Swap",B667,"LMMSkew","","Model",100,"OAS")</f>
        <v>E</v>
      </c>
      <c r="E667" s="32" t="str">
        <f>[2]!YBHIST($A$2,B667,"LMMOAS","sec","")</f>
        <v>E</v>
      </c>
      <c r="F667">
        <v>224.99020400000001</v>
      </c>
    </row>
    <row r="668" spans="2:6" ht="15" x14ac:dyDescent="0.25">
      <c r="B668" s="14">
        <v>41547</v>
      </c>
      <c r="C668" s="30" t="str">
        <f>[2]!YBHIST($A$2,$B668,"Price","sec","")</f>
        <v>E</v>
      </c>
      <c r="D668" t="str">
        <f>[2]!YBPRICE($A$2,C668&amp;"d",$B669,"OAS","Swap",B668,"LMMSkew","","Model",100,"OAS")</f>
        <v>E</v>
      </c>
      <c r="E668" s="32" t="str">
        <f>[2]!YBHIST($A$2,B668,"LMMOAS","sec","")</f>
        <v>E</v>
      </c>
      <c r="F668">
        <v>225.22689800000001</v>
      </c>
    </row>
    <row r="669" spans="2:6" ht="15" x14ac:dyDescent="0.25">
      <c r="B669" s="14">
        <v>41548</v>
      </c>
      <c r="C669" s="30" t="str">
        <f>[2]!YBHIST($A$2,$B669,"Price","sec","")</f>
        <v>E</v>
      </c>
      <c r="D669" t="str">
        <f>[2]!YBPRICE($A$2,C669&amp;"d",$B670,"OAS","Swap",B669,"LMMSkew","","Model",100,"OAS")</f>
        <v>E</v>
      </c>
      <c r="E669" s="32" t="str">
        <f>[2]!YBHIST($A$2,B669,"LMMOAS","sec","")</f>
        <v>E</v>
      </c>
      <c r="F669">
        <v>205.3759</v>
      </c>
    </row>
    <row r="670" spans="2:6" ht="15" x14ac:dyDescent="0.25">
      <c r="B670" s="14">
        <v>41549</v>
      </c>
      <c r="C670" s="30" t="str">
        <f>[2]!YBHIST($A$2,$B670,"Price","sec","")</f>
        <v>E</v>
      </c>
      <c r="D670" t="str">
        <f>[2]!YBPRICE($A$2,C670&amp;"d",$B671,"OAS","Swap",B670,"LMMSkew","","Model",100,"OAS")</f>
        <v>E</v>
      </c>
      <c r="E670" s="32" t="str">
        <f>[2]!YBHIST($A$2,B670,"LMMOAS","sec","")</f>
        <v>E</v>
      </c>
      <c r="F670">
        <v>210.13580300000001</v>
      </c>
    </row>
    <row r="671" spans="2:6" ht="15" x14ac:dyDescent="0.25">
      <c r="B671" s="14">
        <v>41550</v>
      </c>
      <c r="C671" s="30" t="str">
        <f>[2]!YBHIST($A$2,$B671,"Price","sec","")</f>
        <v>E</v>
      </c>
      <c r="D671" t="str">
        <f>[2]!YBPRICE($A$2,C671&amp;"d",$B672,"OAS","Swap",B671,"LMMSkew","","Model",100,"OAS")</f>
        <v>E</v>
      </c>
      <c r="E671" s="32" t="str">
        <f>[2]!YBHIST($A$2,B671,"LMMOAS","sec","")</f>
        <v>E</v>
      </c>
      <c r="F671">
        <v>213.38600199999999</v>
      </c>
    </row>
    <row r="672" spans="2:6" ht="15" x14ac:dyDescent="0.25">
      <c r="B672" s="14">
        <v>41551</v>
      </c>
      <c r="C672" s="30" t="str">
        <f>[2]!YBHIST($A$2,$B672,"Price","sec","")</f>
        <v>E</v>
      </c>
      <c r="D672" t="str">
        <f>[2]!YBPRICE($A$2,C672&amp;"d",$B673,"OAS","Swap",B672,"LMMSkew","","Model",100,"OAS")</f>
        <v>E</v>
      </c>
      <c r="E672" s="32" t="str">
        <f>[2]!YBHIST($A$2,B672,"LMMOAS","sec","")</f>
        <v>E</v>
      </c>
      <c r="F672">
        <v>189.892807</v>
      </c>
    </row>
    <row r="673" spans="2:6" ht="15" x14ac:dyDescent="0.25">
      <c r="B673" s="14">
        <v>41554</v>
      </c>
      <c r="C673" s="30" t="str">
        <f>[2]!YBHIST($A$2,$B673,"Price","sec","")</f>
        <v>E</v>
      </c>
      <c r="D673" t="str">
        <f>[2]!YBPRICE($A$2,C673&amp;"d",$B674,"OAS","Swap",B673,"LMMSkew","","Model",100,"OAS")</f>
        <v>E</v>
      </c>
      <c r="E673" s="32" t="str">
        <f>[2]!YBHIST($A$2,B673,"LMMOAS","sec","")</f>
        <v>E</v>
      </c>
      <c r="F673">
        <v>162.734207</v>
      </c>
    </row>
    <row r="674" spans="2:6" ht="15" x14ac:dyDescent="0.25">
      <c r="B674" s="14">
        <v>41555</v>
      </c>
      <c r="C674" s="30" t="str">
        <f>[2]!YBHIST($A$2,$B674,"Price","sec","")</f>
        <v>E</v>
      </c>
      <c r="D674" t="str">
        <f>[2]!YBPRICE($A$2,C674&amp;"d",$B675,"OAS","Swap",B674,"LMMSkew","","Model",100,"OAS")</f>
        <v>E</v>
      </c>
      <c r="E674" s="32" t="str">
        <f>[2]!YBHIST($A$2,B674,"LMMOAS","sec","")</f>
        <v>E</v>
      </c>
      <c r="F674">
        <v>152.837006</v>
      </c>
    </row>
    <row r="675" spans="2:6" ht="15" x14ac:dyDescent="0.25">
      <c r="B675" s="14">
        <v>41556</v>
      </c>
      <c r="C675" s="30" t="str">
        <f>[2]!YBHIST($A$2,$B675,"Price","sec","")</f>
        <v>E</v>
      </c>
      <c r="D675" t="str">
        <f>[2]!YBPRICE($A$2,C675&amp;"d",$B676,"OAS","Swap",B675,"LMMSkew","","Model",100,"OAS")</f>
        <v>E</v>
      </c>
      <c r="E675" s="32" t="str">
        <f>[2]!YBHIST($A$2,B675,"LMMOAS","sec","")</f>
        <v>E</v>
      </c>
      <c r="F675">
        <v>164.409302</v>
      </c>
    </row>
    <row r="676" spans="2:6" ht="15" x14ac:dyDescent="0.25">
      <c r="B676" s="14">
        <v>41557</v>
      </c>
      <c r="C676" s="30" t="str">
        <f>[2]!YBHIST($A$2,$B676,"Price","sec","")</f>
        <v>E</v>
      </c>
      <c r="D676" t="str">
        <f>[2]!YBPRICE($A$2,C676&amp;"d",$B677,"OAS","Swap",B676,"LMMSkew","","Model",100,"OAS")</f>
        <v>E</v>
      </c>
      <c r="E676" s="32" t="str">
        <f>[2]!YBHIST($A$2,B676,"LMMOAS","sec","")</f>
        <v>E</v>
      </c>
      <c r="F676">
        <v>164.84120200000001</v>
      </c>
    </row>
    <row r="677" spans="2:6" ht="15" x14ac:dyDescent="0.25">
      <c r="B677" s="14">
        <v>41558</v>
      </c>
      <c r="C677" s="30" t="str">
        <f>[2]!YBHIST($A$2,$B677,"Price","sec","")</f>
        <v>E</v>
      </c>
      <c r="D677" t="str">
        <f>[2]!YBPRICE($A$2,C677&amp;"d",$B678,"OAS","Swap",B677,"LMMSkew","","Model",100,"OAS")</f>
        <v>E</v>
      </c>
      <c r="E677" s="32" t="str">
        <f>[2]!YBHIST($A$2,B677,"LMMOAS","sec","")</f>
        <v>E</v>
      </c>
      <c r="F677">
        <v>169.58050499999999</v>
      </c>
    </row>
    <row r="678" spans="2:6" ht="15" x14ac:dyDescent="0.25">
      <c r="B678" s="14">
        <v>41562</v>
      </c>
      <c r="C678" s="30" t="str">
        <f>[2]!YBHIST($A$2,$B678,"Price","sec","")</f>
        <v>E</v>
      </c>
      <c r="D678" t="str">
        <f>[2]!YBPRICE($A$2,C678&amp;"d",$B679,"OAS","Swap",B678,"LMMSkew","","Model",100,"OAS")</f>
        <v>E</v>
      </c>
      <c r="E678" s="32" t="str">
        <f>[2]!YBHIST($A$2,B678,"LMMOAS","sec","")</f>
        <v>E</v>
      </c>
      <c r="F678">
        <v>181.22479200000001</v>
      </c>
    </row>
    <row r="679" spans="2:6" ht="15" x14ac:dyDescent="0.25">
      <c r="B679" s="14">
        <v>41563</v>
      </c>
      <c r="C679" s="30" t="str">
        <f>[2]!YBHIST($A$2,$B679,"Price","sec","")</f>
        <v>E</v>
      </c>
      <c r="D679" t="str">
        <f>[2]!YBPRICE($A$2,C679&amp;"d",$B680,"OAS","Swap",B679,"LMMSkew","","Model",100,"OAS")</f>
        <v>E</v>
      </c>
      <c r="E679" s="32" t="str">
        <f>[2]!YBHIST($A$2,B679,"LMMOAS","sec","")</f>
        <v>E</v>
      </c>
      <c r="F679">
        <v>184.85380599999999</v>
      </c>
    </row>
    <row r="680" spans="2:6" ht="15" x14ac:dyDescent="0.25">
      <c r="B680" s="14">
        <v>41564</v>
      </c>
      <c r="C680" s="30" t="str">
        <f>[2]!YBHIST($A$2,$B680,"Price","sec","")</f>
        <v>E</v>
      </c>
      <c r="D680" t="str">
        <f>[2]!YBPRICE($A$2,C680&amp;"d",$B681,"OAS","Swap",B680,"LMMSkew","","Model",100,"OAS")</f>
        <v>E</v>
      </c>
      <c r="E680" s="32" t="str">
        <f>[2]!YBHIST($A$2,B680,"LMMOAS","sec","")</f>
        <v>E</v>
      </c>
      <c r="F680">
        <v>192.06230199999999</v>
      </c>
    </row>
    <row r="681" spans="2:6" ht="15" x14ac:dyDescent="0.25">
      <c r="B681" s="14">
        <v>41565</v>
      </c>
      <c r="C681" s="30" t="str">
        <f>[2]!YBHIST($A$2,$B681,"Price","sec","")</f>
        <v>E</v>
      </c>
      <c r="D681" t="str">
        <f>[2]!YBPRICE($A$2,C681&amp;"d",$B682,"OAS","Swap",B681,"LMMSkew","","Model",100,"OAS")</f>
        <v>E</v>
      </c>
      <c r="E681" s="32" t="str">
        <f>[2]!YBHIST($A$2,B681,"LMMOAS","sec","")</f>
        <v>E</v>
      </c>
      <c r="F681">
        <v>203.08999600000001</v>
      </c>
    </row>
    <row r="682" spans="2:6" ht="15" x14ac:dyDescent="0.25">
      <c r="B682" s="14">
        <v>41568</v>
      </c>
      <c r="C682" s="30" t="str">
        <f>[2]!YBHIST($A$2,$B682,"Price","sec","")</f>
        <v>E</v>
      </c>
      <c r="D682" t="str">
        <f>[2]!YBPRICE($A$2,C682&amp;"d",$B683,"OAS","Swap",B682,"LMMSkew","","Model",100,"OAS")</f>
        <v>E</v>
      </c>
      <c r="E682" s="32" t="str">
        <f>[2]!YBHIST($A$2,B682,"LMMOAS","sec","")</f>
        <v>E</v>
      </c>
      <c r="F682">
        <v>200.185303</v>
      </c>
    </row>
    <row r="683" spans="2:6" ht="15" x14ac:dyDescent="0.25">
      <c r="B683" s="14">
        <v>41569</v>
      </c>
      <c r="C683" s="30" t="str">
        <f>[2]!YBHIST($A$2,$B683,"Price","sec","")</f>
        <v>E</v>
      </c>
      <c r="D683" t="str">
        <f>[2]!YBPRICE($A$2,C683&amp;"d",$B684,"OAS","Swap",B683,"LMMSkew","","Model",100,"OAS")</f>
        <v>E</v>
      </c>
      <c r="E683" s="32" t="str">
        <f>[2]!YBHIST($A$2,B683,"LMMOAS","sec","")</f>
        <v>E</v>
      </c>
      <c r="F683">
        <v>218.078003</v>
      </c>
    </row>
    <row r="684" spans="2:6" ht="15" x14ac:dyDescent="0.25">
      <c r="B684" s="14">
        <v>41570</v>
      </c>
      <c r="C684" s="30" t="str">
        <f>[2]!YBHIST($A$2,$B684,"Price","sec","")</f>
        <v>E</v>
      </c>
      <c r="D684" t="str">
        <f>[2]!YBPRICE($A$2,C684&amp;"d",$B685,"OAS","Swap",B684,"LMMSkew","","Model",100,"OAS")</f>
        <v>E</v>
      </c>
      <c r="E684" s="32" t="str">
        <f>[2]!YBHIST($A$2,B684,"LMMOAS","sec","")</f>
        <v>E</v>
      </c>
      <c r="F684">
        <v>222.41099500000001</v>
      </c>
    </row>
    <row r="685" spans="2:6" ht="15" x14ac:dyDescent="0.25">
      <c r="B685" s="14">
        <v>41571</v>
      </c>
      <c r="C685" s="30" t="str">
        <f>[2]!YBHIST($A$2,$B685,"Price","sec","")</f>
        <v>E</v>
      </c>
      <c r="D685" t="str">
        <f>[2]!YBPRICE($A$2,C685&amp;"d",$B686,"OAS","Swap",B685,"LMMSkew","","Model",100,"OAS")</f>
        <v>E</v>
      </c>
      <c r="E685" s="32" t="str">
        <f>[2]!YBHIST($A$2,B685,"LMMOAS","sec","")</f>
        <v>E</v>
      </c>
      <c r="F685">
        <v>223.84419299999999</v>
      </c>
    </row>
    <row r="686" spans="2:6" ht="15" x14ac:dyDescent="0.25">
      <c r="B686" s="14">
        <v>41575</v>
      </c>
      <c r="C686" s="30" t="str">
        <f>[2]!YBHIST($A$2,$B686,"Price","sec","")</f>
        <v>E</v>
      </c>
      <c r="D686" t="str">
        <f>[2]!YBPRICE($A$2,C686&amp;"d",$B687,"OAS","Swap",B686,"LMMSkew","","Model",100,"OAS")</f>
        <v>E</v>
      </c>
      <c r="E686" s="32" t="str">
        <f>[2]!YBHIST($A$2,B686,"LMMOAS","sec","")</f>
        <v>E</v>
      </c>
      <c r="F686">
        <v>249.04179400000001</v>
      </c>
    </row>
    <row r="687" spans="2:6" ht="15" x14ac:dyDescent="0.25">
      <c r="B687" s="14">
        <v>41576</v>
      </c>
      <c r="C687" s="30" t="str">
        <f>[2]!YBHIST($A$2,$B687,"Price","sec","")</f>
        <v>E</v>
      </c>
      <c r="D687" t="str">
        <f>[2]!YBPRICE($A$2,C687&amp;"d",$B688,"OAS","Swap",B687,"LMMSkew","","Model",100,"OAS")</f>
        <v>E</v>
      </c>
      <c r="E687" s="32" t="str">
        <f>[2]!YBHIST($A$2,B687,"LMMOAS","sec","")</f>
        <v>E</v>
      </c>
      <c r="F687">
        <v>260.36120599999998</v>
      </c>
    </row>
    <row r="688" spans="2:6" ht="15" x14ac:dyDescent="0.25">
      <c r="B688" s="14">
        <v>41577</v>
      </c>
      <c r="C688" s="30" t="str">
        <f>[2]!YBHIST($A$2,$B688,"Price","sec","")</f>
        <v>E</v>
      </c>
      <c r="D688" t="str">
        <f>[2]!YBPRICE($A$2,C688&amp;"d",$B689,"OAS","Swap",B688,"LMMSkew","","Model",100,"OAS")</f>
        <v>E</v>
      </c>
      <c r="E688" s="32" t="str">
        <f>[2]!YBHIST($A$2,B688,"LMMOAS","sec","")</f>
        <v>E</v>
      </c>
      <c r="F688">
        <v>261.27999899999998</v>
      </c>
    </row>
    <row r="689" spans="2:6" ht="15" x14ac:dyDescent="0.25">
      <c r="B689" s="14">
        <v>41578</v>
      </c>
      <c r="C689" s="30" t="str">
        <f>[2]!YBHIST($A$2,$B689,"Price","sec","")</f>
        <v>E</v>
      </c>
      <c r="D689" t="str">
        <f>[2]!YBPRICE($A$2,C689&amp;"d",$B690,"OAS","Swap",B689,"LMMSkew","","Model",100,"OAS")</f>
        <v>E</v>
      </c>
      <c r="E689" s="32" t="str">
        <f>[2]!YBHIST($A$2,B689,"LMMOAS","sec","")</f>
        <v>E</v>
      </c>
      <c r="F689">
        <v>243.733093</v>
      </c>
    </row>
    <row r="690" spans="2:6" ht="15" x14ac:dyDescent="0.25">
      <c r="B690" s="14">
        <v>41579</v>
      </c>
      <c r="C690" s="30" t="str">
        <f>[2]!YBHIST($A$2,$B690,"Price","sec","")</f>
        <v>E</v>
      </c>
      <c r="D690" t="str">
        <f>[2]!YBPRICE($A$2,C690&amp;"d",$B691,"OAS","Swap",B690,"LMMSkew","","Model",100,"OAS")</f>
        <v>E</v>
      </c>
      <c r="E690" s="32" t="str">
        <f>[2]!YBHIST($A$2,B690,"LMMOAS","sec","")</f>
        <v>E</v>
      </c>
      <c r="F690">
        <v>216.46710200000001</v>
      </c>
    </row>
    <row r="691" spans="2:6" ht="15" x14ac:dyDescent="0.25">
      <c r="B691" s="14">
        <v>41582</v>
      </c>
      <c r="C691" s="30" t="str">
        <f>[2]!YBHIST($A$2,$B691,"Price","sec","")</f>
        <v>E</v>
      </c>
      <c r="D691" t="str">
        <f>[2]!YBPRICE($A$2,C691&amp;"d",$B692,"OAS","Swap",B691,"LMMSkew","","Model",100,"OAS")</f>
        <v>E</v>
      </c>
      <c r="E691" s="32" t="str">
        <f>[2]!YBHIST($A$2,B691,"LMMOAS","sec","")</f>
        <v>E</v>
      </c>
      <c r="F691">
        <v>214.29789700000001</v>
      </c>
    </row>
    <row r="692" spans="2:6" ht="15" x14ac:dyDescent="0.25">
      <c r="B692" s="14">
        <v>41583</v>
      </c>
      <c r="C692" s="30" t="str">
        <f>[2]!YBHIST($A$2,$B692,"Price","sec","")</f>
        <v>E</v>
      </c>
      <c r="D692" t="str">
        <f>[2]!YBPRICE($A$2,C692&amp;"d",$B693,"OAS","Swap",B692,"LMMSkew","","Model",100,"OAS")</f>
        <v>E</v>
      </c>
      <c r="E692" s="32" t="str">
        <f>[2]!YBHIST($A$2,B692,"LMMOAS","sec","")</f>
        <v>E</v>
      </c>
      <c r="F692">
        <v>189.39619400000001</v>
      </c>
    </row>
    <row r="693" spans="2:6" ht="15" x14ac:dyDescent="0.25">
      <c r="B693" s="14">
        <v>41584</v>
      </c>
      <c r="C693" s="30" t="str">
        <f>[2]!YBHIST($A$2,$B693,"Price","sec","")</f>
        <v>E</v>
      </c>
      <c r="D693" t="str">
        <f>[2]!YBPRICE($A$2,C693&amp;"d",$B694,"OAS","Swap",B693,"LMMSkew","","Model",100,"OAS")</f>
        <v>E</v>
      </c>
      <c r="E693" s="32" t="str">
        <f>[2]!YBHIST($A$2,B693,"LMMOAS","sec","")</f>
        <v>E</v>
      </c>
      <c r="F693">
        <v>183.379593</v>
      </c>
    </row>
    <row r="694" spans="2:6" ht="15" x14ac:dyDescent="0.25">
      <c r="B694" s="14">
        <v>41585</v>
      </c>
      <c r="C694" s="30" t="str">
        <f>[2]!YBHIST($A$2,$B694,"Price","sec","")</f>
        <v>E</v>
      </c>
      <c r="D694" t="str">
        <f>[2]!YBPRICE($A$2,C694&amp;"d",$B695,"OAS","Swap",B694,"LMMSkew","","Model",100,"OAS")</f>
        <v>E</v>
      </c>
      <c r="E694" s="32" t="str">
        <f>[2]!YBHIST($A$2,B694,"LMMOAS","sec","")</f>
        <v>E</v>
      </c>
      <c r="F694">
        <v>166.33230599999999</v>
      </c>
    </row>
    <row r="695" spans="2:6" ht="15" x14ac:dyDescent="0.25">
      <c r="B695" s="14">
        <v>41586</v>
      </c>
      <c r="C695" s="30" t="str">
        <f>[2]!YBHIST($A$2,$B695,"Price","sec","")</f>
        <v>E</v>
      </c>
      <c r="D695" t="str">
        <f>[2]!YBPRICE($A$2,C695&amp;"d",$B696,"OAS","Swap",B695,"LMMSkew","","Model",100,"OAS")</f>
        <v>E</v>
      </c>
      <c r="E695" s="32" t="str">
        <f>[2]!YBHIST($A$2,B695,"LMMOAS","sec","")</f>
        <v>E</v>
      </c>
      <c r="F695">
        <v>155.75929300000001</v>
      </c>
    </row>
    <row r="696" spans="2:6" ht="15" x14ac:dyDescent="0.25">
      <c r="B696" s="14">
        <v>41590</v>
      </c>
      <c r="C696" s="30" t="str">
        <f>[2]!YBHIST($A$2,$B696,"Price","sec","")</f>
        <v>E</v>
      </c>
      <c r="D696" t="str">
        <f>[2]!YBPRICE($A$2,C696&amp;"d",$B697,"OAS","Swap",B696,"LMMSkew","","Model",100,"OAS")</f>
        <v>E</v>
      </c>
      <c r="E696" s="32" t="str">
        <f>[2]!YBHIST($A$2,B696,"LMMOAS","sec","")</f>
        <v>E</v>
      </c>
      <c r="F696">
        <v>151.340698</v>
      </c>
    </row>
    <row r="697" spans="2:6" ht="15" x14ac:dyDescent="0.25">
      <c r="B697" s="14">
        <v>41591</v>
      </c>
      <c r="C697" s="30" t="str">
        <f>[2]!YBHIST($A$2,$B697,"Price","sec","")</f>
        <v>E</v>
      </c>
      <c r="D697" t="str">
        <f>[2]!YBPRICE($A$2,C697&amp;"d",$B698,"OAS","Swap",B697,"LMMSkew","","Model",100,"OAS")</f>
        <v>E</v>
      </c>
      <c r="E697" s="32" t="str">
        <f>[2]!YBHIST($A$2,B697,"LMMOAS","sec","")</f>
        <v>E</v>
      </c>
      <c r="F697">
        <v>164.08369400000001</v>
      </c>
    </row>
    <row r="698" spans="2:6" ht="15" x14ac:dyDescent="0.25">
      <c r="B698" s="14">
        <v>41592</v>
      </c>
      <c r="C698" s="30" t="str">
        <f>[2]!YBHIST($A$2,$B698,"Price","sec","")</f>
        <v>E</v>
      </c>
      <c r="D698" t="str">
        <f>[2]!YBPRICE($A$2,C698&amp;"d",$B699,"OAS","Swap",B698,"LMMSkew","","Model",100,"OAS")</f>
        <v>E</v>
      </c>
      <c r="E698" s="32" t="str">
        <f>[2]!YBHIST($A$2,B698,"LMMOAS","sec","")</f>
        <v>E</v>
      </c>
      <c r="F698">
        <v>175.72129799999999</v>
      </c>
    </row>
    <row r="699" spans="2:6" ht="15" x14ac:dyDescent="0.25">
      <c r="B699" s="14">
        <v>41593</v>
      </c>
      <c r="C699" s="30" t="str">
        <f>[2]!YBHIST($A$2,$B699,"Price","sec","")</f>
        <v>E</v>
      </c>
      <c r="D699" t="str">
        <f>[2]!YBPRICE($A$2,C699&amp;"d",$B700,"OAS","Swap",B699,"LMMSkew","","Model",100,"OAS")</f>
        <v>E</v>
      </c>
      <c r="E699" s="32" t="str">
        <f>[2]!YBHIST($A$2,B699,"LMMOAS","sec","")</f>
        <v>E</v>
      </c>
      <c r="F699">
        <v>174.98680100000001</v>
      </c>
    </row>
    <row r="700" spans="2:6" ht="15" x14ac:dyDescent="0.25">
      <c r="B700" s="14">
        <v>41596</v>
      </c>
      <c r="C700" s="30" t="str">
        <f>[2]!YBHIST($A$2,$B700,"Price","sec","")</f>
        <v>E</v>
      </c>
      <c r="D700" t="str">
        <f>[2]!YBPRICE($A$2,C700&amp;"d",$B701,"OAS","Swap",B700,"LMMSkew","","Model",100,"OAS")</f>
        <v>E</v>
      </c>
      <c r="E700" s="32" t="str">
        <f>[2]!YBHIST($A$2,B700,"LMMOAS","sec","")</f>
        <v>E</v>
      </c>
      <c r="F700">
        <v>179.39070100000001</v>
      </c>
    </row>
    <row r="701" spans="2:6" ht="15" x14ac:dyDescent="0.25">
      <c r="B701" s="14">
        <v>41597</v>
      </c>
      <c r="C701" s="30" t="str">
        <f>[2]!YBHIST($A$2,$B701,"Price","sec","")</f>
        <v>E</v>
      </c>
      <c r="D701" t="str">
        <f>[2]!YBPRICE($A$2,C701&amp;"d",$B702,"OAS","Swap",B701,"LMMSkew","","Model",100,"OAS")</f>
        <v>E</v>
      </c>
      <c r="E701" s="32" t="str">
        <f>[2]!YBHIST($A$2,B701,"LMMOAS","sec","")</f>
        <v>E</v>
      </c>
      <c r="F701">
        <v>161.823196</v>
      </c>
    </row>
    <row r="702" spans="2:6" ht="15" x14ac:dyDescent="0.25">
      <c r="B702" s="14">
        <v>41598</v>
      </c>
      <c r="C702" s="30" t="str">
        <f>[2]!YBHIST($A$2,$B702,"Price","sec","")</f>
        <v>E</v>
      </c>
      <c r="D702" t="str">
        <f>[2]!YBPRICE($A$2,C702&amp;"d",$B703,"OAS","Swap",B702,"LMMSkew","","Model",100,"OAS")</f>
        <v>E</v>
      </c>
      <c r="E702" s="32" t="str">
        <f>[2]!YBHIST($A$2,B702,"LMMOAS","sec","")</f>
        <v>E</v>
      </c>
      <c r="F702">
        <v>140.72749300000001</v>
      </c>
    </row>
    <row r="703" spans="2:6" ht="15" x14ac:dyDescent="0.25">
      <c r="B703" s="14">
        <v>41599</v>
      </c>
      <c r="C703" s="30" t="str">
        <f>[2]!YBHIST($A$2,$B703,"Price","sec","")</f>
        <v>E</v>
      </c>
      <c r="D703" t="str">
        <f>[2]!YBPRICE($A$2,C703&amp;"d",$B704,"OAS","Swap",B703,"LMMSkew","","Model",100,"OAS")</f>
        <v>E</v>
      </c>
      <c r="E703" s="32" t="str">
        <f>[2]!YBHIST($A$2,B703,"LMMOAS","sec","")</f>
        <v>E</v>
      </c>
      <c r="F703">
        <v>164.22970599999999</v>
      </c>
    </row>
    <row r="704" spans="2:6" ht="15" x14ac:dyDescent="0.25">
      <c r="B704" s="14">
        <v>41600</v>
      </c>
      <c r="C704" s="30" t="str">
        <f>[2]!YBHIST($A$2,$B704,"Price","sec","")</f>
        <v>E</v>
      </c>
      <c r="D704" t="str">
        <f>[2]!YBPRICE($A$2,C704&amp;"d",$B705,"OAS","Swap",B704,"LMMSkew","","Model",100,"OAS")</f>
        <v>E</v>
      </c>
      <c r="E704" s="32" t="str">
        <f>[2]!YBHIST($A$2,B704,"LMMOAS","sec","")</f>
        <v>E</v>
      </c>
      <c r="F704">
        <v>176.21060199999999</v>
      </c>
    </row>
    <row r="705" spans="2:6" ht="15" x14ac:dyDescent="0.25">
      <c r="B705" s="14">
        <v>41603</v>
      </c>
      <c r="C705" s="30" t="str">
        <f>[2]!YBHIST($A$2,$B705,"Price","sec","")</f>
        <v>E</v>
      </c>
      <c r="D705" t="str">
        <f>[2]!YBPRICE($A$2,C705&amp;"d",$B706,"OAS","Swap",B705,"LMMSkew","","Model",100,"OAS")</f>
        <v>E</v>
      </c>
      <c r="E705" s="32" t="str">
        <f>[2]!YBHIST($A$2,B705,"LMMOAS","sec","")</f>
        <v>E</v>
      </c>
      <c r="F705">
        <v>173.259094</v>
      </c>
    </row>
    <row r="706" spans="2:6" ht="15" x14ac:dyDescent="0.25">
      <c r="B706" s="14">
        <v>41604</v>
      </c>
      <c r="C706" s="30" t="str">
        <f>[2]!YBHIST($A$2,$B706,"Price","sec","")</f>
        <v>E</v>
      </c>
      <c r="D706" t="str">
        <f>[2]!YBPRICE($A$2,C706&amp;"d",$B707,"OAS","Swap",B706,"LMMSkew","","Model",100,"OAS")</f>
        <v>E</v>
      </c>
      <c r="E706" s="32" t="str">
        <f>[2]!YBHIST($A$2,B706,"LMMOAS","sec","")</f>
        <v>E</v>
      </c>
      <c r="F706">
        <v>174.47349500000001</v>
      </c>
    </row>
    <row r="707" spans="2:6" ht="15" x14ac:dyDescent="0.25">
      <c r="B707" s="14">
        <v>41605</v>
      </c>
      <c r="C707" s="30" t="str">
        <f>[2]!YBHIST($A$2,$B707,"Price","sec","")</f>
        <v>E</v>
      </c>
      <c r="D707" t="str">
        <f>[2]!YBPRICE($A$2,C707&amp;"d",$B708,"OAS","Swap",B707,"LMMSkew","","Model",100,"OAS")</f>
        <v>E</v>
      </c>
      <c r="E707" s="32" t="str">
        <f>[2]!YBHIST($A$2,B707,"LMMOAS","sec","")</f>
        <v>E</v>
      </c>
      <c r="F707">
        <v>166.94000199999999</v>
      </c>
    </row>
    <row r="708" spans="2:6" ht="15" x14ac:dyDescent="0.25">
      <c r="B708" s="14">
        <v>41607</v>
      </c>
      <c r="C708" s="30" t="str">
        <f>[2]!YBHIST($A$2,$B708,"Price","sec","")</f>
        <v>E</v>
      </c>
      <c r="D708" t="str">
        <f>[2]!YBPRICE($A$2,C708&amp;"d",$B709,"OAS","Swap",B708,"LMMSkew","","Model",100,"OAS")</f>
        <v>E</v>
      </c>
      <c r="E708" s="32" t="str">
        <f>[2]!YBHIST($A$2,B708,"LMMOAS","sec","")</f>
        <v>E</v>
      </c>
      <c r="F708">
        <v>164.663895</v>
      </c>
    </row>
    <row r="709" spans="2:6" ht="15" x14ac:dyDescent="0.25">
      <c r="B709" s="14">
        <v>41610</v>
      </c>
      <c r="C709" s="30" t="str">
        <f>[2]!YBHIST($A$2,$B709,"Price","sec","")</f>
        <v>E</v>
      </c>
      <c r="D709" t="str">
        <f>[2]!YBPRICE($A$2,C709&amp;"d",$B710,"OAS","Swap",B709,"LMMSkew","","Model",100,"OAS")</f>
        <v>E</v>
      </c>
      <c r="E709" s="32" t="str">
        <f>[2]!YBHIST($A$2,B709,"LMMOAS","sec","")</f>
        <v>E</v>
      </c>
      <c r="F709">
        <v>146.7724</v>
      </c>
    </row>
    <row r="710" spans="2:6" ht="15" x14ac:dyDescent="0.25">
      <c r="B710" s="14">
        <v>41611</v>
      </c>
      <c r="C710" s="30" t="str">
        <f>[2]!YBHIST($A$2,$B710,"Price","sec","")</f>
        <v>E</v>
      </c>
      <c r="D710" t="str">
        <f>[2]!YBPRICE($A$2,C710&amp;"d",$B711,"OAS","Swap",B710,"LMMSkew","","Model",100,"OAS")</f>
        <v>E</v>
      </c>
      <c r="E710" s="32" t="str">
        <f>[2]!YBHIST($A$2,B710,"LMMOAS","sec","")</f>
        <v>E</v>
      </c>
      <c r="F710">
        <v>148.858093</v>
      </c>
    </row>
    <row r="711" spans="2:6" ht="15" x14ac:dyDescent="0.25">
      <c r="B711" s="14">
        <v>41612</v>
      </c>
      <c r="C711" s="30" t="str">
        <f>[2]!YBHIST($A$2,$B711,"Price","sec","")</f>
        <v>E</v>
      </c>
      <c r="D711" t="str">
        <f>[2]!YBPRICE($A$2,C711&amp;"d",$B712,"OAS","Swap",B711,"LMMSkew","","Model",100,"OAS")</f>
        <v>E</v>
      </c>
      <c r="E711" s="32" t="str">
        <f>[2]!YBHIST($A$2,B711,"LMMOAS","sec","")</f>
        <v>E</v>
      </c>
      <c r="F711">
        <v>134.19790599999999</v>
      </c>
    </row>
    <row r="712" spans="2:6" ht="15" x14ac:dyDescent="0.25">
      <c r="B712" s="14">
        <v>41613</v>
      </c>
      <c r="C712" s="30" t="str">
        <f>[2]!YBHIST($A$2,$B712,"Price","sec","")</f>
        <v>E</v>
      </c>
      <c r="D712" t="str">
        <f>[2]!YBPRICE($A$2,C712&amp;"d",$B713,"OAS","Swap",B712,"LMMSkew","","Model",100,"OAS")</f>
        <v>E</v>
      </c>
      <c r="E712" s="32" t="str">
        <f>[2]!YBHIST($A$2,B712,"LMMOAS","sec","")</f>
        <v>E</v>
      </c>
      <c r="F712">
        <v>130.290604</v>
      </c>
    </row>
    <row r="713" spans="2:6" ht="15" x14ac:dyDescent="0.25">
      <c r="B713" s="14">
        <v>41614</v>
      </c>
      <c r="C713" s="30" t="str">
        <f>[2]!YBHIST($A$2,$B713,"Price","sec","")</f>
        <v>E</v>
      </c>
      <c r="D713" t="str">
        <f>[2]!YBPRICE($A$2,C713&amp;"d",$B714,"OAS","Swap",B713,"LMMSkew","","Model",100,"OAS")</f>
        <v>E</v>
      </c>
      <c r="E713" s="32" t="str">
        <f>[2]!YBHIST($A$2,B713,"LMMOAS","sec","")</f>
        <v>E</v>
      </c>
      <c r="F713">
        <v>129.48140000000001</v>
      </c>
    </row>
    <row r="714" spans="2:6" ht="15" x14ac:dyDescent="0.25">
      <c r="B714" s="14">
        <v>41617</v>
      </c>
      <c r="C714" s="30" t="str">
        <f>[2]!YBHIST($A$2,$B714,"Price","sec","")</f>
        <v>E</v>
      </c>
      <c r="D714" t="str">
        <f>[2]!YBPRICE($A$2,C714&amp;"d",$B715,"OAS","Swap",B714,"LMMSkew","","Model",100,"OAS")</f>
        <v>E</v>
      </c>
      <c r="E714" s="32" t="str">
        <f>[2]!YBHIST($A$2,B714,"LMMOAS","sec","")</f>
        <v>E</v>
      </c>
      <c r="F714">
        <v>131.45500200000001</v>
      </c>
    </row>
    <row r="715" spans="2:6" ht="15" x14ac:dyDescent="0.25">
      <c r="B715" s="14">
        <v>41618</v>
      </c>
      <c r="C715" s="30" t="str">
        <f>[2]!YBHIST($A$2,$B715,"Price","sec","")</f>
        <v>E</v>
      </c>
      <c r="D715" t="str">
        <f>[2]!YBPRICE($A$2,C715&amp;"d",$B716,"OAS","Swap",B715,"LMMSkew","","Model",100,"OAS")</f>
        <v>E</v>
      </c>
      <c r="E715" s="32" t="str">
        <f>[2]!YBHIST($A$2,B715,"LMMOAS","sec","")</f>
        <v>E</v>
      </c>
      <c r="F715">
        <v>113.635597</v>
      </c>
    </row>
    <row r="716" spans="2:6" ht="15" x14ac:dyDescent="0.25">
      <c r="B716" s="14">
        <v>41619</v>
      </c>
      <c r="C716" s="30" t="str">
        <f>[2]!YBHIST($A$2,$B716,"Price","sec","")</f>
        <v>E</v>
      </c>
      <c r="D716" t="str">
        <f>[2]!YBPRICE($A$2,C716&amp;"d",$B717,"OAS","Swap",B716,"LMMSkew","","Model",100,"OAS")</f>
        <v>E</v>
      </c>
      <c r="E716" s="32" t="str">
        <f>[2]!YBHIST($A$2,B716,"LMMOAS","sec","")</f>
        <v>E</v>
      </c>
      <c r="F716">
        <v>108.554298</v>
      </c>
    </row>
    <row r="717" spans="2:6" ht="15" x14ac:dyDescent="0.25">
      <c r="B717" s="14">
        <v>41620</v>
      </c>
      <c r="C717" s="30" t="str">
        <f>[2]!YBHIST($A$2,$B717,"Price","sec","")</f>
        <v>E</v>
      </c>
      <c r="D717" t="str">
        <f>[2]!YBPRICE($A$2,C717&amp;"d",$B718,"OAS","Swap",B717,"LMMSkew","","Model",100,"OAS")</f>
        <v>E</v>
      </c>
      <c r="E717" s="32" t="str">
        <f>[2]!YBHIST($A$2,B717,"LMMOAS","sec","")</f>
        <v>E</v>
      </c>
      <c r="F717">
        <v>101.133003</v>
      </c>
    </row>
    <row r="718" spans="2:6" ht="15" x14ac:dyDescent="0.25">
      <c r="B718" s="14">
        <v>41621</v>
      </c>
      <c r="C718" s="30" t="str">
        <f>[2]!YBHIST($A$2,$B718,"Price","sec","")</f>
        <v>E</v>
      </c>
      <c r="D718" t="str">
        <f>[2]!YBPRICE($A$2,C718&amp;"d",$B719,"OAS","Swap",B718,"LMMSkew","","Model",100,"OAS")</f>
        <v>E</v>
      </c>
      <c r="E718" s="32" t="str">
        <f>[2]!YBHIST($A$2,B718,"LMMOAS","sec","")</f>
        <v>E</v>
      </c>
      <c r="F718">
        <v>99.260101000000006</v>
      </c>
    </row>
    <row r="719" spans="2:6" ht="15" x14ac:dyDescent="0.25">
      <c r="B719" s="14">
        <v>41624</v>
      </c>
      <c r="C719" s="30" t="str">
        <f>[2]!YBHIST($A$2,$B719,"Price","sec","")</f>
        <v>E</v>
      </c>
      <c r="D719" t="str">
        <f>[2]!YBPRICE($A$2,C719&amp;"d",$B720,"OAS","Swap",B719,"LMMSkew","","Model",100,"OAS")</f>
        <v>E</v>
      </c>
      <c r="E719" s="32" t="str">
        <f>[2]!YBHIST($A$2,B719,"LMMOAS","sec","")</f>
        <v>E</v>
      </c>
      <c r="F719">
        <v>102.64209700000001</v>
      </c>
    </row>
    <row r="720" spans="2:6" ht="15" x14ac:dyDescent="0.25">
      <c r="B720" s="14">
        <v>41625</v>
      </c>
      <c r="C720" s="30" t="str">
        <f>[2]!YBHIST($A$2,$B720,"Price","sec","")</f>
        <v>E</v>
      </c>
      <c r="D720" t="str">
        <f>[2]!YBPRICE($A$2,C720&amp;"d",$B721,"OAS","Swap",B720,"LMMSkew","","Model",100,"OAS")</f>
        <v>E</v>
      </c>
      <c r="E720" s="32" t="str">
        <f>[2]!YBHIST($A$2,B720,"LMMOAS","sec","")</f>
        <v>E</v>
      </c>
      <c r="F720">
        <v>106.35549899999999</v>
      </c>
    </row>
    <row r="721" spans="2:6" ht="15" x14ac:dyDescent="0.25">
      <c r="B721" s="14">
        <v>41626</v>
      </c>
      <c r="C721" s="30" t="str">
        <f>[2]!YBHIST($A$2,$B721,"Price","sec","")</f>
        <v>E</v>
      </c>
      <c r="D721" t="str">
        <f>[2]!YBPRICE($A$2,C721&amp;"d",$B722,"OAS","Swap",B721,"LMMSkew","","Model",100,"OAS")</f>
        <v>E</v>
      </c>
      <c r="E721" s="32" t="str">
        <f>[2]!YBHIST($A$2,B721,"LMMOAS","sec","")</f>
        <v>E</v>
      </c>
      <c r="F721">
        <v>103.123299</v>
      </c>
    </row>
    <row r="722" spans="2:6" ht="15" x14ac:dyDescent="0.25">
      <c r="B722" s="14">
        <v>41627</v>
      </c>
      <c r="C722" s="30" t="str">
        <f>[2]!YBHIST($A$2,$B722,"Price","sec","")</f>
        <v>E</v>
      </c>
      <c r="D722" t="str">
        <f>[2]!YBPRICE($A$2,C722&amp;"d",$B723,"OAS","Swap",B722,"LMMSkew","","Model",100,"OAS")</f>
        <v>E</v>
      </c>
      <c r="E722" s="32" t="str">
        <f>[2]!YBHIST($A$2,B722,"LMMOAS","sec","")</f>
        <v>E</v>
      </c>
      <c r="F722">
        <v>88.593299999999999</v>
      </c>
    </row>
    <row r="723" spans="2:6" ht="15" x14ac:dyDescent="0.25">
      <c r="B723" s="14">
        <v>41628</v>
      </c>
      <c r="C723" s="30" t="str">
        <f>[2]!YBHIST($A$2,$B723,"Price","sec","")</f>
        <v>E</v>
      </c>
      <c r="D723" t="str">
        <f>[2]!YBPRICE($A$2,C723&amp;"d",$B724,"OAS","Swap",B723,"LMMSkew","","Model",100,"OAS")</f>
        <v>E</v>
      </c>
      <c r="E723" s="32" t="str">
        <f>[2]!YBHIST($A$2,B723,"LMMOAS","sec","")</f>
        <v>E</v>
      </c>
      <c r="F723">
        <v>73.449698999999995</v>
      </c>
    </row>
    <row r="724" spans="2:6" ht="15" x14ac:dyDescent="0.25">
      <c r="B724" s="14">
        <v>41631</v>
      </c>
      <c r="C724" s="30" t="str">
        <f>[2]!YBHIST($A$2,$B724,"Price","sec","")</f>
        <v>E</v>
      </c>
      <c r="D724" t="str">
        <f>[2]!YBPRICE($A$2,C724&amp;"d",$B725,"OAS","Swap",B724,"LMMSkew","","Model",100,"OAS")</f>
        <v>E</v>
      </c>
      <c r="E724" s="32" t="str">
        <f>[2]!YBHIST($A$2,B724,"LMMOAS","sec","")</f>
        <v>E</v>
      </c>
      <c r="F724">
        <v>101.38249999999999</v>
      </c>
    </row>
    <row r="725" spans="2:6" ht="15" x14ac:dyDescent="0.25">
      <c r="B725" s="14">
        <v>41632</v>
      </c>
      <c r="C725" s="30" t="str">
        <f>[2]!YBHIST($A$2,$B725,"Price","sec","")</f>
        <v>E</v>
      </c>
      <c r="D725" t="str">
        <f>[2]!YBPRICE($A$2,C725&amp;"d",$B726,"OAS","Swap",B725,"LMMSkew","","Model",100,"OAS")</f>
        <v>E</v>
      </c>
      <c r="E725" s="32" t="str">
        <f>[2]!YBHIST($A$2,B725,"LMMOAS","sec","")</f>
        <v>E</v>
      </c>
      <c r="F725">
        <v>98.914597000000001</v>
      </c>
    </row>
    <row r="726" spans="2:6" ht="15" x14ac:dyDescent="0.25">
      <c r="B726" s="14">
        <v>41634</v>
      </c>
      <c r="C726" s="30" t="str">
        <f>[2]!YBHIST($A$2,$B726,"Price","sec","")</f>
        <v>E</v>
      </c>
      <c r="D726" t="str">
        <f>[2]!YBPRICE($A$2,C726&amp;"d",$B727,"OAS","Swap",B726,"LMMSkew","","Model",100,"OAS")</f>
        <v>E</v>
      </c>
      <c r="E726" s="32" t="str">
        <f>[2]!YBHIST($A$2,B726,"LMMOAS","sec","")</f>
        <v>E</v>
      </c>
      <c r="F726">
        <v>100.028198</v>
      </c>
    </row>
    <row r="727" spans="2:6" ht="15" x14ac:dyDescent="0.25">
      <c r="B727" s="14">
        <v>41635</v>
      </c>
      <c r="C727" s="30" t="str">
        <f>[2]!YBHIST($A$2,$B727,"Price","sec","")</f>
        <v>E</v>
      </c>
      <c r="D727" t="str">
        <f>[2]!YBPRICE($A$2,C727&amp;"d",$B728,"OAS","Swap",B727,"LMMSkew","","Model",100,"OAS")</f>
        <v>E</v>
      </c>
      <c r="E727" s="32" t="str">
        <f>[2]!YBHIST($A$2,B727,"LMMOAS","sec","")</f>
        <v>E</v>
      </c>
      <c r="F727">
        <v>101.147301</v>
      </c>
    </row>
    <row r="728" spans="2:6" ht="15" x14ac:dyDescent="0.25">
      <c r="B728" s="14">
        <v>41638</v>
      </c>
      <c r="C728" s="30" t="str">
        <f>[2]!YBHIST($A$2,$B728,"Price","sec","")</f>
        <v>E</v>
      </c>
      <c r="D728" t="str">
        <f>[2]!YBPRICE($A$2,C728&amp;"d",$B729,"OAS","Swap",B728,"LMMSkew","","Model",100,"OAS")</f>
        <v>E</v>
      </c>
      <c r="E728" s="32" t="str">
        <f>[2]!YBHIST($A$2,B728,"LMMOAS","sec","")</f>
        <v>E</v>
      </c>
      <c r="F728">
        <v>102.30680099999999</v>
      </c>
    </row>
    <row r="729" spans="2:6" ht="15" x14ac:dyDescent="0.25">
      <c r="B729" s="14">
        <v>41639</v>
      </c>
      <c r="C729" s="30" t="str">
        <f>[2]!YBHIST($A$2,$B729,"Price","sec","")</f>
        <v>E</v>
      </c>
      <c r="D729" t="str">
        <f>[2]!YBPRICE($A$2,C729&amp;"d",$B730,"OAS","Swap",B729,"LMMSkew","","Model",100,"OAS")</f>
        <v>E</v>
      </c>
      <c r="E729" s="32" t="str">
        <f>[2]!YBHIST($A$2,B729,"LMMOAS","sec","")</f>
        <v>E</v>
      </c>
      <c r="F729">
        <v>99.149803000000006</v>
      </c>
    </row>
    <row r="730" spans="2:6" ht="15" x14ac:dyDescent="0.25">
      <c r="B730" s="14">
        <v>41641</v>
      </c>
      <c r="C730" s="30" t="str">
        <f>[2]!YBHIST($A$2,$B730,"Price","sec","")</f>
        <v>E</v>
      </c>
      <c r="D730" t="str">
        <f>[2]!YBPRICE($A$2,C730&amp;"d",$B731,"OAS","Swap",B730,"LMMSkew","","Model",100,"OAS")</f>
        <v>E</v>
      </c>
      <c r="E730" s="32" t="str">
        <f>[2]!YBHIST($A$2,B730,"LMMOAS","sec","")</f>
        <v>E</v>
      </c>
      <c r="F730">
        <v>148.41549699999999</v>
      </c>
    </row>
    <row r="731" spans="2:6" ht="15" x14ac:dyDescent="0.25">
      <c r="B731" s="14">
        <v>41642</v>
      </c>
      <c r="C731" s="30" t="str">
        <f>[2]!YBHIST($A$2,$B731,"Price","sec","")</f>
        <v>E</v>
      </c>
      <c r="D731" t="str">
        <f>[2]!YBPRICE($A$2,C731&amp;"d",$B732,"OAS","Swap",B731,"LMMSkew","","Model",100,"OAS")</f>
        <v>E</v>
      </c>
      <c r="E731" s="32" t="str">
        <f>[2]!YBHIST($A$2,B731,"LMMOAS","sec","")</f>
        <v>E</v>
      </c>
      <c r="F731">
        <v>144.07179300000001</v>
      </c>
    </row>
    <row r="732" spans="2:6" ht="15" x14ac:dyDescent="0.25">
      <c r="B732" s="14">
        <v>41645</v>
      </c>
      <c r="C732" s="30" t="str">
        <f>[2]!YBHIST($A$2,$B732,"Price","sec","")</f>
        <v>E</v>
      </c>
      <c r="D732" t="str">
        <f>[2]!YBPRICE($A$2,C732&amp;"d",$B733,"OAS","Swap",B732,"LMMSkew","","Model",100,"OAS")</f>
        <v>E</v>
      </c>
      <c r="E732" s="32" t="str">
        <f>[2]!YBHIST($A$2,B732,"LMMOAS","sec","")</f>
        <v>E</v>
      </c>
      <c r="F732">
        <v>156.65950000000001</v>
      </c>
    </row>
    <row r="733" spans="2:6" ht="15" x14ac:dyDescent="0.25">
      <c r="B733" s="14">
        <v>41646</v>
      </c>
      <c r="C733" s="30" t="str">
        <f>[2]!YBHIST($A$2,$B733,"Price","sec","")</f>
        <v>E</v>
      </c>
      <c r="D733" t="str">
        <f>[2]!YBPRICE($A$2,C733&amp;"d",$B734,"OAS","Swap",B733,"LMMSkew","","Model",100,"OAS")</f>
        <v>E</v>
      </c>
      <c r="E733" s="32" t="str">
        <f>[2]!YBHIST($A$2,B733,"LMMOAS","sec","")</f>
        <v>E</v>
      </c>
      <c r="F733">
        <v>164.266098</v>
      </c>
    </row>
    <row r="734" spans="2:6" ht="15" x14ac:dyDescent="0.25">
      <c r="B734" s="14">
        <v>41647</v>
      </c>
      <c r="C734" s="30" t="str">
        <f>[2]!YBHIST($A$2,$B734,"Price","sec","")</f>
        <v>E</v>
      </c>
      <c r="D734" t="str">
        <f>[2]!YBPRICE($A$2,C734&amp;"d",$B735,"OAS","Swap",B734,"LMMSkew","","Model",100,"OAS")</f>
        <v>E</v>
      </c>
      <c r="E734" s="32" t="str">
        <f>[2]!YBHIST($A$2,B734,"LMMOAS","sec","")</f>
        <v>E</v>
      </c>
      <c r="F734">
        <v>144.24839800000001</v>
      </c>
    </row>
    <row r="735" spans="2:6" ht="15" x14ac:dyDescent="0.25">
      <c r="B735" s="14">
        <v>41648</v>
      </c>
      <c r="C735" s="30" t="str">
        <f>[2]!YBHIST($A$2,$B735,"Price","sec","")</f>
        <v>E</v>
      </c>
      <c r="D735" t="str">
        <f>[2]!YBPRICE($A$2,C735&amp;"d",$B736,"OAS","Swap",B735,"LMMSkew","","Model",100,"OAS")</f>
        <v>E</v>
      </c>
      <c r="E735" s="32" t="str">
        <f>[2]!YBHIST($A$2,B735,"LMMOAS","sec","")</f>
        <v>E</v>
      </c>
      <c r="F735">
        <v>144.87930299999999</v>
      </c>
    </row>
    <row r="736" spans="2:6" ht="15" x14ac:dyDescent="0.25">
      <c r="B736" s="14">
        <v>41649</v>
      </c>
      <c r="C736" s="30" t="str">
        <f>[2]!YBHIST($A$2,$B736,"Price","sec","")</f>
        <v>E</v>
      </c>
      <c r="D736" t="str">
        <f>[2]!YBPRICE($A$2,C736&amp;"d",$B737,"OAS","Swap",B736,"LMMSkew","","Model",100,"OAS")</f>
        <v>E</v>
      </c>
      <c r="E736" s="32" t="str">
        <f>[2]!YBHIST($A$2,B736,"LMMOAS","sec","")</f>
        <v>E</v>
      </c>
      <c r="F736">
        <v>170.81379699999999</v>
      </c>
    </row>
    <row r="737" spans="2:6" ht="15" x14ac:dyDescent="0.25">
      <c r="B737" s="14">
        <v>41652</v>
      </c>
      <c r="C737" s="30" t="str">
        <f>[2]!YBHIST($A$2,$B737,"Price","sec","")</f>
        <v>E</v>
      </c>
      <c r="D737" t="str">
        <f>[2]!YBPRICE($A$2,C737&amp;"d",$B738,"OAS","Swap",B737,"LMMSkew","","Model",100,"OAS")</f>
        <v>E</v>
      </c>
      <c r="E737" s="32" t="str">
        <f>[2]!YBHIST($A$2,B737,"LMMOAS","sec","")</f>
        <v>E</v>
      </c>
      <c r="F737">
        <v>185.204193</v>
      </c>
    </row>
    <row r="738" spans="2:6" ht="15" x14ac:dyDescent="0.25">
      <c r="B738" s="14">
        <v>41653</v>
      </c>
      <c r="C738" s="30" t="str">
        <f>[2]!YBHIST($A$2,$B738,"Price","sec","")</f>
        <v>E</v>
      </c>
      <c r="D738" t="str">
        <f>[2]!YBPRICE($A$2,C738&amp;"d",$B739,"OAS","Swap",B738,"LMMSkew","","Model",100,"OAS")</f>
        <v>E</v>
      </c>
      <c r="E738" s="32" t="str">
        <f>[2]!YBHIST($A$2,B738,"LMMOAS","sec","")</f>
        <v>E</v>
      </c>
      <c r="F738">
        <v>166.554901</v>
      </c>
    </row>
    <row r="739" spans="2:6" ht="15" x14ac:dyDescent="0.25">
      <c r="B739" s="14">
        <v>41654</v>
      </c>
      <c r="C739" s="30" t="str">
        <f>[2]!YBHIST($A$2,$B739,"Price","sec","")</f>
        <v>E</v>
      </c>
      <c r="D739" t="str">
        <f>[2]!YBPRICE($A$2,C739&amp;"d",$B740,"OAS","Swap",B739,"LMMSkew","","Model",100,"OAS")</f>
        <v>E</v>
      </c>
      <c r="E739" s="32" t="str">
        <f>[2]!YBHIST($A$2,B739,"LMMOAS","sec","")</f>
        <v>E</v>
      </c>
      <c r="F739">
        <v>160.32299800000001</v>
      </c>
    </row>
    <row r="740" spans="2:6" ht="15" x14ac:dyDescent="0.25">
      <c r="B740" s="14">
        <v>41655</v>
      </c>
      <c r="C740" s="30" t="str">
        <f>[2]!YBHIST($A$2,$B740,"Price","sec","")</f>
        <v>E</v>
      </c>
      <c r="D740" t="str">
        <f>[2]!YBPRICE($A$2,C740&amp;"d",$B741,"OAS","Swap",B740,"LMMSkew","","Model",100,"OAS")</f>
        <v>E</v>
      </c>
      <c r="E740" s="32" t="str">
        <f>[2]!YBHIST($A$2,B740,"LMMOAS","sec","")</f>
        <v>E</v>
      </c>
      <c r="F740">
        <v>175.641693</v>
      </c>
    </row>
    <row r="741" spans="2:6" ht="15" x14ac:dyDescent="0.25">
      <c r="B741" s="14">
        <v>41656</v>
      </c>
      <c r="C741" s="30" t="str">
        <f>[2]!YBHIST($A$2,$B741,"Price","sec","")</f>
        <v>E</v>
      </c>
      <c r="D741" t="str">
        <f>[2]!YBPRICE($A$2,C741&amp;"d",$B742,"OAS","Swap",B741,"LMMSkew","","Model",100,"OAS")</f>
        <v>E</v>
      </c>
      <c r="E741" s="32" t="str">
        <f>[2]!YBHIST($A$2,B741,"LMMOAS","sec","")</f>
        <v>E</v>
      </c>
      <c r="F741">
        <v>176.22110000000001</v>
      </c>
    </row>
    <row r="742" spans="2:6" ht="15" x14ac:dyDescent="0.25">
      <c r="B742" s="14">
        <v>41660</v>
      </c>
      <c r="C742" s="30" t="str">
        <f>[2]!YBHIST($A$2,$B742,"Price","sec","")</f>
        <v>E</v>
      </c>
      <c r="D742" t="str">
        <f>[2]!YBPRICE($A$2,C742&amp;"d",$B743,"OAS","Swap",B742,"LMMSkew","","Model",100,"OAS")</f>
        <v>E</v>
      </c>
      <c r="E742" s="32" t="str">
        <f>[2]!YBHIST($A$2,B742,"LMMOAS","sec","")</f>
        <v>E</v>
      </c>
      <c r="F742">
        <v>178.003693</v>
      </c>
    </row>
    <row r="743" spans="2:6" ht="15" x14ac:dyDescent="0.25">
      <c r="B743" s="14">
        <v>41661</v>
      </c>
      <c r="C743" s="30" t="str">
        <f>[2]!YBHIST($A$2,$B743,"Price","sec","")</f>
        <v>E</v>
      </c>
      <c r="D743" t="str">
        <f>[2]!YBPRICE($A$2,C743&amp;"d",$B744,"OAS","Swap",B743,"LMMSkew","","Model",100,"OAS")</f>
        <v>E</v>
      </c>
      <c r="E743" s="32" t="str">
        <f>[2]!YBHIST($A$2,B743,"LMMOAS","sec","")</f>
        <v>E</v>
      </c>
      <c r="F743">
        <v>155.98919699999999</v>
      </c>
    </row>
    <row r="744" spans="2:6" ht="15" x14ac:dyDescent="0.25">
      <c r="B744" s="14">
        <v>41662</v>
      </c>
      <c r="C744" s="30" t="str">
        <f>[2]!YBHIST($A$2,$B744,"Price","sec","")</f>
        <v>E</v>
      </c>
      <c r="D744" t="str">
        <f>[2]!YBPRICE($A$2,C744&amp;"d",$B745,"OAS","Swap",B744,"LMMSkew","","Model",100,"OAS")</f>
        <v>E</v>
      </c>
      <c r="E744" s="32" t="str">
        <f>[2]!YBHIST($A$2,B744,"LMMOAS","sec","")</f>
        <v>E</v>
      </c>
      <c r="F744">
        <v>163.890503</v>
      </c>
    </row>
    <row r="745" spans="2:6" ht="15" x14ac:dyDescent="0.25">
      <c r="B745" s="14">
        <v>41663</v>
      </c>
      <c r="C745" s="30" t="str">
        <f>[2]!YBHIST($A$2,$B745,"Price","sec","")</f>
        <v>E</v>
      </c>
      <c r="D745" t="str">
        <f>[2]!YBPRICE($A$2,C745&amp;"d",$B746,"OAS","Swap",B745,"LMMSkew","","Model",100,"OAS")</f>
        <v>E</v>
      </c>
      <c r="E745" s="32" t="str">
        <f>[2]!YBHIST($A$2,B745,"LMMOAS","sec","")</f>
        <v>E</v>
      </c>
      <c r="F745">
        <v>177.78770399999999</v>
      </c>
    </row>
    <row r="746" spans="2:6" ht="15" x14ac:dyDescent="0.25">
      <c r="B746" s="14">
        <v>41666</v>
      </c>
      <c r="C746" s="30" t="str">
        <f>[2]!YBHIST($A$2,$B746,"Price","sec","")</f>
        <v>E</v>
      </c>
      <c r="D746" t="str">
        <f>[2]!YBPRICE($A$2,C746&amp;"d",$B747,"OAS","Swap",B746,"LMMSkew","","Model",100,"OAS")</f>
        <v>E</v>
      </c>
      <c r="E746" s="32" t="str">
        <f>[2]!YBHIST($A$2,B746,"LMMOAS","sec","")</f>
        <v>E</v>
      </c>
      <c r="F746">
        <v>168.842499</v>
      </c>
    </row>
    <row r="747" spans="2:6" ht="15" x14ac:dyDescent="0.25">
      <c r="B747" s="14">
        <v>41667</v>
      </c>
      <c r="C747" s="30" t="str">
        <f>[2]!YBHIST($A$2,$B747,"Price","sec","")</f>
        <v>E</v>
      </c>
      <c r="D747" t="str">
        <f>[2]!YBPRICE($A$2,C747&amp;"d",$B748,"OAS","Swap",B747,"LMMSkew","","Model",100,"OAS")</f>
        <v>E</v>
      </c>
      <c r="E747" s="32" t="str">
        <f>[2]!YBHIST($A$2,B747,"LMMOAS","sec","")</f>
        <v>E</v>
      </c>
      <c r="F747">
        <v>170.744598</v>
      </c>
    </row>
    <row r="748" spans="2:6" ht="15" x14ac:dyDescent="0.25">
      <c r="B748" s="14">
        <v>41668</v>
      </c>
      <c r="C748" s="30" t="str">
        <f>[2]!YBHIST($A$2,$B748,"Price","sec","")</f>
        <v>E</v>
      </c>
      <c r="D748" t="str">
        <f>[2]!YBPRICE($A$2,C748&amp;"d",$B749,"OAS","Swap",B748,"LMMSkew","","Model",100,"OAS")</f>
        <v>E</v>
      </c>
      <c r="E748" s="32" t="str">
        <f>[2]!YBHIST($A$2,B748,"LMMOAS","sec","")</f>
        <v>E</v>
      </c>
      <c r="F748">
        <v>185.529495</v>
      </c>
    </row>
    <row r="749" spans="2:6" ht="15" x14ac:dyDescent="0.25">
      <c r="B749" s="14">
        <v>41669</v>
      </c>
      <c r="C749" s="30" t="str">
        <f>[2]!YBHIST($A$2,$B749,"Price","sec","")</f>
        <v>E</v>
      </c>
      <c r="D749" t="str">
        <f>[2]!YBPRICE($A$2,C749&amp;"d",$B750,"OAS","Swap",B749,"LMMSkew","","Model",100,"OAS")</f>
        <v>E</v>
      </c>
      <c r="E749" s="32" t="str">
        <f>[2]!YBHIST($A$2,B749,"LMMOAS","sec","")</f>
        <v>E</v>
      </c>
      <c r="F749">
        <v>183.409302</v>
      </c>
    </row>
    <row r="750" spans="2:6" ht="15" x14ac:dyDescent="0.25">
      <c r="B750" s="14">
        <v>41670</v>
      </c>
      <c r="C750" s="30" t="str">
        <f>[2]!YBHIST($A$2,$B750,"Price","sec","")</f>
        <v>E</v>
      </c>
      <c r="D750" t="str">
        <f>[2]!YBPRICE($A$2,C750&amp;"d",$B751,"OAS","Swap",B750,"LMMSkew","","Model",100,"OAS")</f>
        <v>E</v>
      </c>
      <c r="E750" s="32" t="str">
        <f>[2]!YBHIST($A$2,B750,"LMMOAS","sec","")</f>
        <v>E</v>
      </c>
      <c r="F750">
        <v>201.06680299999999</v>
      </c>
    </row>
    <row r="751" spans="2:6" ht="15" x14ac:dyDescent="0.25">
      <c r="B751" s="14">
        <v>41673</v>
      </c>
      <c r="C751" s="30" t="str">
        <f>[2]!YBHIST($A$2,$B751,"Price","sec","")</f>
        <v>E</v>
      </c>
      <c r="D751" t="str">
        <f>[2]!YBPRICE($A$2,C751&amp;"d",$B752,"OAS","Swap",B751,"LMMSkew","","Model",100,"OAS")</f>
        <v>E</v>
      </c>
      <c r="E751" s="32" t="str">
        <f>[2]!YBHIST($A$2,B751,"LMMOAS","sec","")</f>
        <v>E</v>
      </c>
      <c r="F751">
        <v>231.657104</v>
      </c>
    </row>
    <row r="752" spans="2:6" ht="15" x14ac:dyDescent="0.25">
      <c r="B752" s="14">
        <v>41674</v>
      </c>
      <c r="C752" s="30" t="str">
        <f>[2]!YBHIST($A$2,$B752,"Price","sec","")</f>
        <v>E</v>
      </c>
      <c r="D752" t="str">
        <f>[2]!YBPRICE($A$2,C752&amp;"d",$B753,"OAS","Swap",B752,"LMMSkew","","Model",100,"OAS")</f>
        <v>E</v>
      </c>
      <c r="E752" s="32" t="str">
        <f>[2]!YBHIST($A$2,B752,"LMMOAS","sec","")</f>
        <v>E</v>
      </c>
      <c r="F752">
        <v>223.265198</v>
      </c>
    </row>
    <row r="753" spans="2:6" ht="15" x14ac:dyDescent="0.25">
      <c r="B753" s="14">
        <v>41675</v>
      </c>
      <c r="C753" s="30" t="str">
        <f>[2]!YBHIST($A$2,$B753,"Price","sec","")</f>
        <v>E</v>
      </c>
      <c r="D753" t="str">
        <f>[2]!YBPRICE($A$2,C753&amp;"d",$B754,"OAS","Swap",B753,"LMMSkew","","Model",100,"OAS")</f>
        <v>E</v>
      </c>
      <c r="E753" s="32" t="str">
        <f>[2]!YBHIST($A$2,B753,"LMMOAS","sec","")</f>
        <v>E</v>
      </c>
      <c r="F753">
        <v>212.134705</v>
      </c>
    </row>
    <row r="754" spans="2:6" ht="15" x14ac:dyDescent="0.25">
      <c r="B754" s="14">
        <v>41676</v>
      </c>
      <c r="C754" s="30" t="str">
        <f>[2]!YBHIST($A$2,$B754,"Price","sec","")</f>
        <v>E</v>
      </c>
      <c r="D754" t="str">
        <f>[2]!YBPRICE($A$2,C754&amp;"d",$B755,"OAS","Swap",B754,"LMMSkew","","Model",100,"OAS")</f>
        <v>E</v>
      </c>
      <c r="E754" s="32" t="str">
        <f>[2]!YBHIST($A$2,B754,"LMMOAS","sec","")</f>
        <v>E</v>
      </c>
      <c r="F754">
        <v>199.070099</v>
      </c>
    </row>
    <row r="755" spans="2:6" ht="15" x14ac:dyDescent="0.25">
      <c r="B755" s="14">
        <v>41677</v>
      </c>
      <c r="C755" s="30" t="str">
        <f>[2]!YBHIST($A$2,$B755,"Price","sec","")</f>
        <v>E</v>
      </c>
      <c r="D755" t="str">
        <f>[2]!YBPRICE($A$2,C755&amp;"d",$B756,"OAS","Swap",B755,"LMMSkew","","Model",100,"OAS")</f>
        <v>E</v>
      </c>
      <c r="E755" s="32" t="str">
        <f>[2]!YBHIST($A$2,B755,"LMMOAS","sec","")</f>
        <v>E</v>
      </c>
      <c r="F755">
        <v>185.89840699999999</v>
      </c>
    </row>
    <row r="756" spans="2:6" ht="15" x14ac:dyDescent="0.25">
      <c r="B756" s="14">
        <v>41680</v>
      </c>
      <c r="C756" s="30" t="str">
        <f>[2]!YBHIST($A$2,$B756,"Price","sec","")</f>
        <v>E</v>
      </c>
      <c r="D756" t="str">
        <f>[2]!YBPRICE($A$2,C756&amp;"d",$B757,"OAS","Swap",B756,"LMMSkew","","Model",100,"OAS")</f>
        <v>E</v>
      </c>
      <c r="E756" s="32" t="str">
        <f>[2]!YBHIST($A$2,B756,"LMMOAS","sec","")</f>
        <v>E</v>
      </c>
      <c r="F756">
        <v>186.22120699999999</v>
      </c>
    </row>
    <row r="757" spans="2:6" ht="15" x14ac:dyDescent="0.25">
      <c r="B757" s="14">
        <v>41681</v>
      </c>
      <c r="C757" s="30" t="str">
        <f>[2]!YBHIST($A$2,$B757,"Price","sec","")</f>
        <v>E</v>
      </c>
      <c r="D757" t="str">
        <f>[2]!YBPRICE($A$2,C757&amp;"d",$B758,"OAS","Swap",B757,"LMMSkew","","Model",100,"OAS")</f>
        <v>E</v>
      </c>
      <c r="E757" s="32" t="str">
        <f>[2]!YBHIST($A$2,B757,"LMMOAS","sec","")</f>
        <v>E</v>
      </c>
      <c r="F757">
        <v>178.19700599999999</v>
      </c>
    </row>
    <row r="758" spans="2:6" ht="15" x14ac:dyDescent="0.25">
      <c r="B758" s="14">
        <v>41682</v>
      </c>
      <c r="C758" s="30" t="str">
        <f>[2]!YBHIST($A$2,$B758,"Price","sec","")</f>
        <v>E</v>
      </c>
      <c r="D758" t="str">
        <f>[2]!YBPRICE($A$2,C758&amp;"d",$B759,"OAS","Swap",B758,"LMMSkew","","Model",100,"OAS")</f>
        <v>E</v>
      </c>
      <c r="E758" s="32" t="str">
        <f>[2]!YBHIST($A$2,B758,"LMMOAS","sec","")</f>
        <v>E</v>
      </c>
      <c r="F758">
        <v>152.1353</v>
      </c>
    </row>
    <row r="759" spans="2:6" ht="15" x14ac:dyDescent="0.25">
      <c r="B759" s="14">
        <v>41683</v>
      </c>
      <c r="C759" s="30" t="str">
        <f>[2]!YBHIST($A$2,$B759,"Price","sec","")</f>
        <v>E</v>
      </c>
      <c r="D759" t="str">
        <f>[2]!YBPRICE($A$2,C759&amp;"d",$B760,"OAS","Swap",B759,"LMMSkew","","Model",100,"OAS")</f>
        <v>E</v>
      </c>
      <c r="E759" s="32" t="str">
        <f>[2]!YBHIST($A$2,B759,"LMMOAS","sec","")</f>
        <v>E</v>
      </c>
      <c r="F759">
        <v>170.33059700000001</v>
      </c>
    </row>
    <row r="760" spans="2:6" ht="15" x14ac:dyDescent="0.25">
      <c r="B760" s="14">
        <v>41684</v>
      </c>
      <c r="C760" s="30" t="str">
        <f>[2]!YBHIST($A$2,$B760,"Price","sec","")</f>
        <v>E</v>
      </c>
      <c r="D760" t="str">
        <f>[2]!YBPRICE($A$2,C760&amp;"d",$B761,"OAS","Swap",B760,"LMMSkew","","Model",100,"OAS")</f>
        <v>E</v>
      </c>
      <c r="E760" s="32" t="str">
        <f>[2]!YBHIST($A$2,B760,"LMMOAS","sec","")</f>
        <v>E</v>
      </c>
      <c r="F760">
        <v>166.87579299999999</v>
      </c>
    </row>
    <row r="761" spans="2:6" ht="15" x14ac:dyDescent="0.25">
      <c r="B761" s="14">
        <v>41688</v>
      </c>
      <c r="C761" s="30" t="str">
        <f>[2]!YBHIST($A$2,$B761,"Price","sec","")</f>
        <v>E</v>
      </c>
      <c r="D761" t="str">
        <f>[2]!YBPRICE($A$2,C761&amp;"d",$B762,"OAS","Swap",B761,"LMMSkew","","Model",100,"OAS")</f>
        <v>E</v>
      </c>
      <c r="E761" s="32" t="str">
        <f>[2]!YBHIST($A$2,B761,"LMMOAS","sec","")</f>
        <v>E</v>
      </c>
      <c r="F761">
        <v>174.818893</v>
      </c>
    </row>
    <row r="762" spans="2:6" ht="15" x14ac:dyDescent="0.25">
      <c r="B762" s="14">
        <v>41689</v>
      </c>
      <c r="C762" s="30" t="str">
        <f>[2]!YBHIST($A$2,$B762,"Price","sec","")</f>
        <v>E</v>
      </c>
      <c r="D762" t="str">
        <f>[2]!YBPRICE($A$2,C762&amp;"d",$B763,"OAS","Swap",B762,"LMMSkew","","Model",100,"OAS")</f>
        <v>E</v>
      </c>
      <c r="E762" s="32" t="str">
        <f>[2]!YBHIST($A$2,B762,"LMMOAS","sec","")</f>
        <v>E</v>
      </c>
      <c r="F762">
        <v>169.372894</v>
      </c>
    </row>
    <row r="763" spans="2:6" ht="15" x14ac:dyDescent="0.25">
      <c r="B763" s="14">
        <v>41690</v>
      </c>
      <c r="C763" s="30" t="str">
        <f>[2]!YBHIST($A$2,$B763,"Price","sec","")</f>
        <v>E</v>
      </c>
      <c r="D763" t="str">
        <f>[2]!YBPRICE($A$2,C763&amp;"d",$B764,"OAS","Swap",B763,"LMMSkew","","Model",100,"OAS")</f>
        <v>E</v>
      </c>
      <c r="E763" s="32" t="str">
        <f>[2]!YBHIST($A$2,B763,"LMMOAS","sec","")</f>
        <v>E</v>
      </c>
      <c r="F763">
        <v>165.599197</v>
      </c>
    </row>
    <row r="764" spans="2:6" ht="15" x14ac:dyDescent="0.25">
      <c r="B764" s="14">
        <v>41691</v>
      </c>
      <c r="C764" s="30" t="str">
        <f>[2]!YBHIST($A$2,$B764,"Price","sec","")</f>
        <v>E</v>
      </c>
      <c r="D764" t="str">
        <f>[2]!YBPRICE($A$2,C764&amp;"d",$B765,"OAS","Swap",B764,"LMMSkew","","Model",100,"OAS")</f>
        <v>E</v>
      </c>
      <c r="E764" s="32" t="str">
        <f>[2]!YBHIST($A$2,B764,"LMMOAS","sec","")</f>
        <v>E</v>
      </c>
      <c r="F764">
        <v>167.013306</v>
      </c>
    </row>
    <row r="765" spans="2:6" ht="15" x14ac:dyDescent="0.25">
      <c r="B765" s="14">
        <v>41694</v>
      </c>
      <c r="C765" s="30" t="str">
        <f>[2]!YBHIST($A$2,$B765,"Price","sec","")</f>
        <v>E</v>
      </c>
      <c r="D765" t="str">
        <f>[2]!YBPRICE($A$2,C765&amp;"d",$B766,"OAS","Swap",B765,"LMMSkew","","Model",100,"OAS")</f>
        <v>E</v>
      </c>
      <c r="E765" s="32" t="str">
        <f>[2]!YBHIST($A$2,B765,"LMMOAS","sec","")</f>
        <v>E</v>
      </c>
      <c r="F765">
        <v>168.19639599999999</v>
      </c>
    </row>
    <row r="766" spans="2:6" ht="15" x14ac:dyDescent="0.25">
      <c r="B766" s="14">
        <v>41695</v>
      </c>
      <c r="C766" s="30" t="str">
        <f>[2]!YBHIST($A$2,$B766,"Price","sec","")</f>
        <v>E</v>
      </c>
      <c r="D766" t="str">
        <f>[2]!YBPRICE($A$2,C766&amp;"d",$B767,"OAS","Swap",B766,"LMMSkew","","Model",100,"OAS")</f>
        <v>E</v>
      </c>
      <c r="E766" s="32" t="str">
        <f>[2]!YBHIST($A$2,B766,"LMMOAS","sec","")</f>
        <v>E</v>
      </c>
      <c r="F766">
        <v>179.68130500000001</v>
      </c>
    </row>
    <row r="767" spans="2:6" ht="15" x14ac:dyDescent="0.25">
      <c r="B767" s="14">
        <v>41696</v>
      </c>
      <c r="C767" s="30" t="str">
        <f>[2]!YBHIST($A$2,$B767,"Price","sec","")</f>
        <v>E</v>
      </c>
      <c r="D767" t="str">
        <f>[2]!YBPRICE($A$2,C767&amp;"d",$B768,"OAS","Swap",B767,"LMMSkew","","Model",100,"OAS")</f>
        <v>E</v>
      </c>
      <c r="E767" s="32" t="str">
        <f>[2]!YBHIST($A$2,B767,"LMMOAS","sec","")</f>
        <v>E</v>
      </c>
      <c r="F767">
        <v>183.130402</v>
      </c>
    </row>
    <row r="768" spans="2:6" ht="15" x14ac:dyDescent="0.25">
      <c r="B768" s="14">
        <v>41697</v>
      </c>
      <c r="C768" s="30" t="str">
        <f>[2]!YBHIST($A$2,$B768,"Price","sec","")</f>
        <v>E</v>
      </c>
      <c r="D768" t="str">
        <f>[2]!YBPRICE($A$2,C768&amp;"d",$B769,"OAS","Swap",B768,"LMMSkew","","Model",100,"OAS")</f>
        <v>E</v>
      </c>
      <c r="E768" s="32" t="str">
        <f>[2]!YBHIST($A$2,B768,"LMMOAS","sec","")</f>
        <v>E</v>
      </c>
      <c r="F768">
        <v>185.023605</v>
      </c>
    </row>
    <row r="769" spans="2:6" ht="15" x14ac:dyDescent="0.25">
      <c r="B769" s="14">
        <v>41698</v>
      </c>
      <c r="C769" s="30" t="str">
        <f>[2]!YBHIST($A$2,$B769,"Price","sec","")</f>
        <v>E</v>
      </c>
      <c r="D769" t="str">
        <f>[2]!YBPRICE($A$2,C769&amp;"d",$B770,"OAS","Swap",B769,"LMMSkew","","Model",100,"OAS")</f>
        <v>E</v>
      </c>
      <c r="E769" s="32" t="str">
        <f>[2]!YBHIST($A$2,B769,"LMMOAS","sec","")</f>
        <v>E</v>
      </c>
      <c r="F769">
        <v>172.246094</v>
      </c>
    </row>
    <row r="770" spans="2:6" ht="15" x14ac:dyDescent="0.25">
      <c r="B770" s="14">
        <v>41701</v>
      </c>
      <c r="C770" s="30" t="str">
        <f>[2]!YBHIST($A$2,$B770,"Price","sec","")</f>
        <v>E</v>
      </c>
      <c r="D770" t="str">
        <f>[2]!YBPRICE($A$2,C770&amp;"d",$B771,"OAS","Swap",B770,"LMMSkew","","Model",100,"OAS")</f>
        <v>E</v>
      </c>
      <c r="E770" s="32" t="str">
        <f>[2]!YBHIST($A$2,B770,"LMMOAS","sec","")</f>
        <v>E</v>
      </c>
      <c r="F770">
        <v>181.33389299999999</v>
      </c>
    </row>
    <row r="771" spans="2:6" ht="15" x14ac:dyDescent="0.25">
      <c r="B771" s="14">
        <v>41702</v>
      </c>
      <c r="C771" s="30" t="str">
        <f>[2]!YBHIST($A$2,$B771,"Price","sec","")</f>
        <v>E</v>
      </c>
      <c r="D771" t="str">
        <f>[2]!YBPRICE($A$2,C771&amp;"d",$B772,"OAS","Swap",B771,"LMMSkew","","Model",100,"OAS")</f>
        <v>E</v>
      </c>
      <c r="E771" s="32" t="str">
        <f>[2]!YBHIST($A$2,B771,"LMMOAS","sec","")</f>
        <v>E</v>
      </c>
      <c r="F771">
        <v>160.95370500000001</v>
      </c>
    </row>
    <row r="772" spans="2:6" ht="15" x14ac:dyDescent="0.25">
      <c r="B772" s="14">
        <v>41703</v>
      </c>
      <c r="C772" s="30" t="str">
        <f>[2]!YBHIST($A$2,$B772,"Price","sec","")</f>
        <v>E</v>
      </c>
      <c r="D772" t="str">
        <f>[2]!YBPRICE($A$2,C772&amp;"d",$B773,"OAS","Swap",B772,"LMMSkew","","Model",100,"OAS")</f>
        <v>E</v>
      </c>
      <c r="E772" s="32" t="str">
        <f>[2]!YBHIST($A$2,B772,"LMMOAS","sec","")</f>
        <v>E</v>
      </c>
      <c r="F772">
        <v>158.94639599999999</v>
      </c>
    </row>
    <row r="773" spans="2:6" ht="15" x14ac:dyDescent="0.25">
      <c r="B773" s="14">
        <v>41704</v>
      </c>
      <c r="C773" s="30" t="str">
        <f>[2]!YBHIST($A$2,$B773,"Price","sec","")</f>
        <v>E</v>
      </c>
      <c r="D773" t="str">
        <f>[2]!YBPRICE($A$2,C773&amp;"d",$B774,"OAS","Swap",B773,"LMMSkew","","Model",100,"OAS")</f>
        <v>E</v>
      </c>
      <c r="E773" s="32" t="str">
        <f>[2]!YBHIST($A$2,B773,"LMMOAS","sec","")</f>
        <v>E</v>
      </c>
      <c r="F773">
        <v>148.15559400000001</v>
      </c>
    </row>
    <row r="774" spans="2:6" ht="15" x14ac:dyDescent="0.25">
      <c r="B774" s="14">
        <v>41705</v>
      </c>
      <c r="C774" s="30" t="str">
        <f>[2]!YBHIST($A$2,$B774,"Price","sec","")</f>
        <v>E</v>
      </c>
      <c r="D774" t="str">
        <f>[2]!YBPRICE($A$2,C774&amp;"d",$B775,"OAS","Swap",B774,"LMMSkew","","Model",100,"OAS")</f>
        <v>E</v>
      </c>
      <c r="E774" s="32" t="str">
        <f>[2]!YBHIST($A$2,B774,"LMMOAS","sec","")</f>
        <v>E</v>
      </c>
      <c r="F774">
        <v>126.5989</v>
      </c>
    </row>
    <row r="775" spans="2:6" ht="15" x14ac:dyDescent="0.25">
      <c r="B775" s="14">
        <v>41708</v>
      </c>
      <c r="C775" s="30" t="str">
        <f>[2]!YBHIST($A$2,$B775,"Price","sec","")</f>
        <v>E</v>
      </c>
      <c r="D775" t="str">
        <f>[2]!YBPRICE($A$2,C775&amp;"d",$B776,"OAS","Swap",B775,"LMMSkew","","Model",100,"OAS")</f>
        <v>E</v>
      </c>
      <c r="E775" s="32" t="str">
        <f>[2]!YBHIST($A$2,B775,"LMMOAS","sec","")</f>
        <v>E</v>
      </c>
      <c r="F775">
        <v>127.758301</v>
      </c>
    </row>
    <row r="776" spans="2:6" ht="15" x14ac:dyDescent="0.25">
      <c r="B776" s="14">
        <v>41709</v>
      </c>
      <c r="C776" s="30" t="str">
        <f>[2]!YBHIST($A$2,$B776,"Price","sec","")</f>
        <v>E</v>
      </c>
      <c r="D776" t="str">
        <f>[2]!YBPRICE($A$2,C776&amp;"d",$B777,"OAS","Swap",B776,"LMMSkew","","Model",100,"OAS")</f>
        <v>E</v>
      </c>
      <c r="E776" s="32" t="str">
        <f>[2]!YBHIST($A$2,B776,"LMMOAS","sec","")</f>
        <v>E</v>
      </c>
      <c r="F776">
        <v>133.98249799999999</v>
      </c>
    </row>
    <row r="777" spans="2:6" ht="15" x14ac:dyDescent="0.25">
      <c r="B777" s="14">
        <v>41710</v>
      </c>
      <c r="C777" s="30" t="str">
        <f>[2]!YBHIST($A$2,$B777,"Price","sec","")</f>
        <v>E</v>
      </c>
      <c r="D777" t="str">
        <f>[2]!YBPRICE($A$2,C777&amp;"d",$B778,"OAS","Swap",B777,"LMMSkew","","Model",100,"OAS")</f>
        <v>E</v>
      </c>
      <c r="E777" s="32" t="str">
        <f>[2]!YBHIST($A$2,B777,"LMMOAS","sec","")</f>
        <v>E</v>
      </c>
      <c r="F777">
        <v>141.444107</v>
      </c>
    </row>
    <row r="778" spans="2:6" ht="15" x14ac:dyDescent="0.25">
      <c r="B778" s="14">
        <v>41711</v>
      </c>
      <c r="C778" s="30" t="str">
        <f>[2]!YBHIST($A$2,$B778,"Price","sec","")</f>
        <v>E</v>
      </c>
      <c r="D778" t="str">
        <f>[2]!YBPRICE($A$2,C778&amp;"d",$B779,"OAS","Swap",B778,"LMMSkew","","Model",100,"OAS")</f>
        <v>E</v>
      </c>
      <c r="E778" s="32" t="str">
        <f>[2]!YBHIST($A$2,B778,"LMMOAS","sec","")</f>
        <v>E</v>
      </c>
      <c r="F778">
        <v>160.327698</v>
      </c>
    </row>
    <row r="779" spans="2:6" ht="15" x14ac:dyDescent="0.25">
      <c r="B779" s="14">
        <v>41712</v>
      </c>
      <c r="C779" s="30" t="str">
        <f>[2]!YBHIST($A$2,$B779,"Price","sec","")</f>
        <v>E</v>
      </c>
      <c r="D779" t="str">
        <f>[2]!YBPRICE($A$2,C779&amp;"d",$B780,"OAS","Swap",B779,"LMMSkew","","Model",100,"OAS")</f>
        <v>E</v>
      </c>
      <c r="E779" s="32" t="str">
        <f>[2]!YBHIST($A$2,B779,"LMMOAS","sec","")</f>
        <v>E</v>
      </c>
      <c r="F779">
        <v>154.445404</v>
      </c>
    </row>
    <row r="780" spans="2:6" ht="15" x14ac:dyDescent="0.25">
      <c r="B780" s="14">
        <v>41715</v>
      </c>
      <c r="C780" s="30" t="str">
        <f>[2]!YBHIST($A$2,$B780,"Price","sec","")</f>
        <v>E</v>
      </c>
      <c r="D780" t="str">
        <f>[2]!YBPRICE($A$2,C780&amp;"d",$B781,"OAS","Swap",B780,"LMMSkew","","Model",100,"OAS")</f>
        <v>E</v>
      </c>
      <c r="E780" s="32" t="str">
        <f>[2]!YBHIST($A$2,B780,"LMMOAS","sec","")</f>
        <v>E</v>
      </c>
      <c r="F780">
        <v>144.138397</v>
      </c>
    </row>
    <row r="781" spans="2:6" ht="15" x14ac:dyDescent="0.25">
      <c r="B781" s="14">
        <v>41716</v>
      </c>
      <c r="C781" s="30" t="str">
        <f>[2]!YBHIST($A$2,$B781,"Price","sec","")</f>
        <v>E</v>
      </c>
      <c r="D781" t="str">
        <f>[2]!YBPRICE($A$2,C781&amp;"d",$B782,"OAS","Swap",B781,"LMMSkew","","Model",100,"OAS")</f>
        <v>E</v>
      </c>
      <c r="E781" s="32" t="str">
        <f>[2]!YBHIST($A$2,B781,"LMMOAS","sec","")</f>
        <v>E</v>
      </c>
      <c r="F781">
        <v>149.160202</v>
      </c>
    </row>
    <row r="782" spans="2:6" ht="15" x14ac:dyDescent="0.25">
      <c r="B782" s="14">
        <v>41717</v>
      </c>
      <c r="C782" s="30" t="str">
        <f>[2]!YBHIST($A$2,$B782,"Price","sec","")</f>
        <v>E</v>
      </c>
      <c r="D782" t="str">
        <f>[2]!YBPRICE($A$2,C782&amp;"d",$B783,"OAS","Swap",B782,"LMMSkew","","Model",100,"OAS")</f>
        <v>E</v>
      </c>
      <c r="E782" s="32" t="str">
        <f>[2]!YBHIST($A$2,B782,"LMMOAS","sec","")</f>
        <v>E</v>
      </c>
      <c r="F782">
        <v>112.370499</v>
      </c>
    </row>
    <row r="783" spans="2:6" ht="15" x14ac:dyDescent="0.25">
      <c r="B783" s="14">
        <v>41718</v>
      </c>
      <c r="C783" s="30" t="str">
        <f>[2]!YBHIST($A$2,$B783,"Price","sec","")</f>
        <v>E</v>
      </c>
      <c r="D783" t="str">
        <f>[2]!YBPRICE($A$2,C783&amp;"d",$B784,"OAS","Swap",B783,"LMMSkew","","Model",100,"OAS")</f>
        <v>E</v>
      </c>
      <c r="E783" s="32" t="str">
        <f>[2]!YBHIST($A$2,B783,"LMMOAS","sec","")</f>
        <v>E</v>
      </c>
      <c r="F783">
        <v>113.492699</v>
      </c>
    </row>
    <row r="784" spans="2:6" ht="15" x14ac:dyDescent="0.25">
      <c r="B784" s="14">
        <v>41719</v>
      </c>
      <c r="C784" s="30" t="str">
        <f>[2]!YBHIST($A$2,$B784,"Price","sec","")</f>
        <v>E</v>
      </c>
      <c r="D784" t="str">
        <f>[2]!YBPRICE($A$2,C784&amp;"d",$B785,"OAS","Swap",B784,"LMMSkew","","Model",100,"OAS")</f>
        <v>E</v>
      </c>
      <c r="E784" s="32" t="str">
        <f>[2]!YBHIST($A$2,B784,"LMMOAS","sec","")</f>
        <v>E</v>
      </c>
      <c r="F784">
        <v>119.095901</v>
      </c>
    </row>
    <row r="785" spans="2:6" ht="15" x14ac:dyDescent="0.25">
      <c r="B785" s="14">
        <v>41722</v>
      </c>
      <c r="C785" s="30" t="str">
        <f>[2]!YBHIST($A$2,$B785,"Price","sec","")</f>
        <v>E</v>
      </c>
      <c r="D785" t="str">
        <f>[2]!YBPRICE($A$2,C785&amp;"d",$B786,"OAS","Swap",B785,"LMMSkew","","Model",100,"OAS")</f>
        <v>E</v>
      </c>
      <c r="E785" s="32" t="str">
        <f>[2]!YBHIST($A$2,B785,"LMMOAS","sec","")</f>
        <v>E</v>
      </c>
      <c r="F785">
        <v>115.954498</v>
      </c>
    </row>
    <row r="786" spans="2:6" ht="15" x14ac:dyDescent="0.25">
      <c r="B786" s="14">
        <v>41723</v>
      </c>
      <c r="C786" s="30" t="str">
        <f>[2]!YBHIST($A$2,$B786,"Price","sec","")</f>
        <v>E</v>
      </c>
      <c r="D786" t="str">
        <f>[2]!YBPRICE($A$2,C786&amp;"d",$B787,"OAS","Swap",B786,"LMMSkew","","Model",100,"OAS")</f>
        <v>E</v>
      </c>
      <c r="E786" s="32" t="str">
        <f>[2]!YBHIST($A$2,B786,"LMMOAS","sec","")</f>
        <v>E</v>
      </c>
      <c r="F786">
        <v>117.04679899999999</v>
      </c>
    </row>
    <row r="787" spans="2:6" ht="15" x14ac:dyDescent="0.25">
      <c r="B787" s="14">
        <v>41724</v>
      </c>
      <c r="C787" s="30" t="str">
        <f>[2]!YBHIST($A$2,$B787,"Price","sec","")</f>
        <v>E</v>
      </c>
      <c r="D787" t="str">
        <f>[2]!YBPRICE($A$2,C787&amp;"d",$B788,"OAS","Swap",B787,"LMMSkew","","Model",100,"OAS")</f>
        <v>E</v>
      </c>
      <c r="E787" s="32" t="str">
        <f>[2]!YBHIST($A$2,B787,"LMMOAS","sec","")</f>
        <v>E</v>
      </c>
      <c r="F787">
        <v>128.91890000000001</v>
      </c>
    </row>
    <row r="788" spans="2:6" ht="15" x14ac:dyDescent="0.25">
      <c r="B788" s="14">
        <v>41725</v>
      </c>
      <c r="C788" s="30" t="str">
        <f>[2]!YBHIST($A$2,$B788,"Price","sec","")</f>
        <v>E</v>
      </c>
      <c r="D788" t="str">
        <f>[2]!YBPRICE($A$2,C788&amp;"d",$B789,"OAS","Swap",B788,"LMMSkew","","Model",100,"OAS")</f>
        <v>E</v>
      </c>
      <c r="E788" s="32" t="str">
        <f>[2]!YBHIST($A$2,B788,"LMMOAS","sec","")</f>
        <v>E</v>
      </c>
      <c r="F788">
        <v>137.85189800000001</v>
      </c>
    </row>
    <row r="789" spans="2:6" ht="15" x14ac:dyDescent="0.25">
      <c r="B789" s="14">
        <v>41726</v>
      </c>
      <c r="C789" s="30" t="str">
        <f>[2]!YBHIST($A$2,$B789,"Price","sec","")</f>
        <v>E</v>
      </c>
      <c r="D789" t="str">
        <f>[2]!YBPRICE($A$2,C789&amp;"d",$B790,"OAS","Swap",B789,"LMMSkew","","Model",100,"OAS")</f>
        <v>E</v>
      </c>
      <c r="E789" s="32" t="str">
        <f>[2]!YBHIST($A$2,B789,"LMMOAS","sec","")</f>
        <v>E</v>
      </c>
      <c r="F789">
        <v>127.299797</v>
      </c>
    </row>
    <row r="790" spans="2:6" ht="15" x14ac:dyDescent="0.25">
      <c r="B790" s="14">
        <v>41729</v>
      </c>
      <c r="C790" s="30" t="str">
        <f>[2]!YBHIST($A$2,$B790,"Price","sec","")</f>
        <v>E</v>
      </c>
      <c r="D790" t="str">
        <f>[2]!YBPRICE($A$2,C790&amp;"d",$B791,"OAS","Swap",B790,"LMMSkew","","Model",100,"OAS")</f>
        <v>E</v>
      </c>
      <c r="E790" s="32" t="str">
        <f>[2]!YBHIST($A$2,B790,"LMMOAS","sec","")</f>
        <v>E</v>
      </c>
      <c r="F790">
        <v>130.84669500000001</v>
      </c>
    </row>
    <row r="791" spans="2:6" ht="15" x14ac:dyDescent="0.25">
      <c r="B791" s="14">
        <v>41730</v>
      </c>
      <c r="C791" s="30" t="str">
        <f>[2]!YBHIST($A$2,$B791,"Price","sec","")</f>
        <v>E</v>
      </c>
      <c r="D791" t="str">
        <f>[2]!YBPRICE($A$2,C791&amp;"d",$B792,"OAS","Swap",B791,"LMMSkew","","Model",100,"OAS")</f>
        <v>E</v>
      </c>
      <c r="E791" s="32" t="str">
        <f>[2]!YBHIST($A$2,B791,"LMMOAS","sec","")</f>
        <v>E</v>
      </c>
      <c r="F791">
        <v>125.02069899999999</v>
      </c>
    </row>
    <row r="792" spans="2:6" ht="15" x14ac:dyDescent="0.25">
      <c r="B792" s="14">
        <v>41731</v>
      </c>
      <c r="C792" s="30" t="str">
        <f>[2]!YBHIST($A$2,$B792,"Price","sec","")</f>
        <v>E</v>
      </c>
      <c r="D792" t="str">
        <f>[2]!YBPRICE($A$2,C792&amp;"d",$B793,"OAS","Swap",B792,"LMMSkew","","Model",100,"OAS")</f>
        <v>E</v>
      </c>
      <c r="E792" s="32" t="str">
        <f>[2]!YBHIST($A$2,B792,"LMMOAS","sec","")</f>
        <v>E</v>
      </c>
      <c r="F792">
        <v>115.83200100000001</v>
      </c>
    </row>
    <row r="793" spans="2:6" ht="15" x14ac:dyDescent="0.25">
      <c r="B793" s="14">
        <v>41732</v>
      </c>
      <c r="C793" s="30" t="str">
        <f>[2]!YBHIST($A$2,$B793,"Price","sec","")</f>
        <v>E</v>
      </c>
      <c r="D793" t="str">
        <f>[2]!YBPRICE($A$2,C793&amp;"d",$B794,"OAS","Swap",B793,"LMMSkew","","Model",100,"OAS")</f>
        <v>E</v>
      </c>
      <c r="E793" s="32" t="str">
        <f>[2]!YBHIST($A$2,B793,"LMMOAS","sec","")</f>
        <v>E</v>
      </c>
      <c r="F793">
        <v>119.153702</v>
      </c>
    </row>
    <row r="794" spans="2:6" ht="15" x14ac:dyDescent="0.25">
      <c r="B794" s="14">
        <v>41733</v>
      </c>
      <c r="C794" s="30" t="str">
        <f>[2]!YBHIST($A$2,$B794,"Price","sec","")</f>
        <v>E</v>
      </c>
      <c r="D794" t="str">
        <f>[2]!YBPRICE($A$2,C794&amp;"d",$B795,"OAS","Swap",B794,"LMMSkew","","Model",100,"OAS")</f>
        <v>E</v>
      </c>
      <c r="E794" s="32" t="str">
        <f>[2]!YBHIST($A$2,B794,"LMMOAS","sec","")</f>
        <v>E</v>
      </c>
      <c r="F794">
        <v>132.46760599999999</v>
      </c>
    </row>
    <row r="795" spans="2:6" ht="15" x14ac:dyDescent="0.25">
      <c r="B795" s="14">
        <v>41736</v>
      </c>
      <c r="C795" s="30" t="str">
        <f>[2]!YBHIST($A$2,$B795,"Price","sec","")</f>
        <v>E</v>
      </c>
      <c r="D795" t="str">
        <f>[2]!YBPRICE($A$2,C795&amp;"d",$B796,"OAS","Swap",B795,"LMMSkew","","Model",100,"OAS")</f>
        <v>E</v>
      </c>
      <c r="E795" s="32" t="str">
        <f>[2]!YBHIST($A$2,B795,"LMMOAS","sec","")</f>
        <v>E</v>
      </c>
      <c r="F795">
        <v>140.68910199999999</v>
      </c>
    </row>
    <row r="796" spans="2:6" ht="15" x14ac:dyDescent="0.25">
      <c r="B796" s="14">
        <v>41737</v>
      </c>
      <c r="C796" s="30" t="str">
        <f>[2]!YBHIST($A$2,$B796,"Price","sec","")</f>
        <v>E</v>
      </c>
      <c r="D796" t="str">
        <f>[2]!YBPRICE($A$2,C796&amp;"d",$B797,"OAS","Swap",B796,"LMMSkew","","Model",100,"OAS")</f>
        <v>E</v>
      </c>
      <c r="E796" s="32" t="str">
        <f>[2]!YBHIST($A$2,B796,"LMMOAS","sec","")</f>
        <v>E</v>
      </c>
      <c r="F796">
        <v>142.11779799999999</v>
      </c>
    </row>
    <row r="797" spans="2:6" ht="15" x14ac:dyDescent="0.25">
      <c r="B797" s="14">
        <v>41738</v>
      </c>
      <c r="C797" s="30" t="str">
        <f>[2]!YBHIST($A$2,$B797,"Price","sec","")</f>
        <v>E</v>
      </c>
      <c r="D797" t="str">
        <f>[2]!YBPRICE($A$2,C797&amp;"d",$B798,"OAS","Swap",B797,"LMMSkew","","Model",100,"OAS")</f>
        <v>E</v>
      </c>
      <c r="E797" s="32" t="str">
        <f>[2]!YBHIST($A$2,B797,"LMMOAS","sec","")</f>
        <v>E</v>
      </c>
      <c r="F797">
        <v>149.74670399999999</v>
      </c>
    </row>
    <row r="798" spans="2:6" ht="15" x14ac:dyDescent="0.25">
      <c r="B798" s="14">
        <v>41739</v>
      </c>
      <c r="C798" s="30" t="str">
        <f>[2]!YBHIST($A$2,$B798,"Price","sec","")</f>
        <v>E</v>
      </c>
      <c r="D798" t="str">
        <f>[2]!YBPRICE($A$2,C798&amp;"d",$B799,"OAS","Swap",B798,"LMMSkew","","Model",100,"OAS")</f>
        <v>E</v>
      </c>
      <c r="E798" s="32" t="str">
        <f>[2]!YBHIST($A$2,B798,"LMMOAS","sec","")</f>
        <v>E</v>
      </c>
      <c r="F798">
        <v>150.22169500000001</v>
      </c>
    </row>
    <row r="799" spans="2:6" ht="15" x14ac:dyDescent="0.25">
      <c r="B799" s="14">
        <v>41740</v>
      </c>
      <c r="C799" s="30" t="str">
        <f>[2]!YBHIST($A$2,$B799,"Price","sec","")</f>
        <v>E</v>
      </c>
      <c r="D799" t="str">
        <f>[2]!YBPRICE($A$2,C799&amp;"d",$B800,"OAS","Swap",B799,"LMMSkew","","Model",100,"OAS")</f>
        <v>E</v>
      </c>
      <c r="E799" s="32" t="str">
        <f>[2]!YBHIST($A$2,B799,"LMMOAS","sec","")</f>
        <v>E</v>
      </c>
      <c r="F799">
        <v>153.82470699999999</v>
      </c>
    </row>
    <row r="800" spans="2:6" ht="15" x14ac:dyDescent="0.25">
      <c r="B800" s="14">
        <v>41743</v>
      </c>
      <c r="C800" s="30" t="str">
        <f>[2]!YBHIST($A$2,$B800,"Price","sec","")</f>
        <v>E</v>
      </c>
      <c r="D800" t="str">
        <f>[2]!YBPRICE($A$2,C800&amp;"d",$B801,"OAS","Swap",B800,"LMMSkew","","Model",100,"OAS")</f>
        <v>E</v>
      </c>
      <c r="E800" s="32" t="str">
        <f>[2]!YBHIST($A$2,B800,"LMMOAS","sec","")</f>
        <v>E</v>
      </c>
      <c r="F800">
        <v>143.62930299999999</v>
      </c>
    </row>
    <row r="801" spans="2:6" ht="15" x14ac:dyDescent="0.25">
      <c r="B801" s="14">
        <v>41744</v>
      </c>
      <c r="C801" s="30" t="str">
        <f>[2]!YBHIST($A$2,$B801,"Price","sec","")</f>
        <v>E</v>
      </c>
      <c r="D801" t="str">
        <f>[2]!YBPRICE($A$2,C801&amp;"d",$B802,"OAS","Swap",B801,"LMMSkew","","Model",100,"OAS")</f>
        <v>E</v>
      </c>
      <c r="E801" s="32" t="str">
        <f>[2]!YBHIST($A$2,B801,"LMMOAS","sec","")</f>
        <v>E</v>
      </c>
      <c r="F801">
        <v>147.69670099999999</v>
      </c>
    </row>
    <row r="802" spans="2:6" ht="15" x14ac:dyDescent="0.25">
      <c r="B802" s="14">
        <v>41745</v>
      </c>
      <c r="C802" s="30" t="str">
        <f>[2]!YBHIST($A$2,$B802,"Price","sec","")</f>
        <v>E</v>
      </c>
      <c r="D802" t="str">
        <f>[2]!YBPRICE($A$2,C802&amp;"d",$B803,"OAS","Swap",B802,"LMMSkew","","Model",100,"OAS")</f>
        <v>E</v>
      </c>
      <c r="E802" s="32" t="str">
        <f>[2]!YBHIST($A$2,B802,"LMMOAS","sec","")</f>
        <v>E</v>
      </c>
      <c r="F802">
        <v>144.186905</v>
      </c>
    </row>
    <row r="803" spans="2:6" ht="15" x14ac:dyDescent="0.25">
      <c r="B803" s="14">
        <v>41746</v>
      </c>
      <c r="C803" s="30" t="str">
        <f>[2]!YBHIST($A$2,$B803,"Price","sec","")</f>
        <v>E</v>
      </c>
      <c r="D803" t="str">
        <f>[2]!YBPRICE($A$2,C803&amp;"d",$B804,"OAS","Swap",B803,"LMMSkew","","Model",100,"OAS")</f>
        <v>E</v>
      </c>
      <c r="E803" s="32" t="str">
        <f>[2]!YBHIST($A$2,B803,"LMMOAS","sec","")</f>
        <v>E</v>
      </c>
      <c r="F803">
        <v>128.823105</v>
      </c>
    </row>
    <row r="804" spans="2:6" ht="15" x14ac:dyDescent="0.25">
      <c r="B804" s="14">
        <v>41750</v>
      </c>
      <c r="C804" s="30" t="str">
        <f>[2]!YBHIST($A$2,$B804,"Price","sec","")</f>
        <v>E</v>
      </c>
      <c r="D804" t="str">
        <f>[2]!YBPRICE($A$2,C804&amp;"d",$B805,"OAS","Swap",B804,"LMMSkew","","Model",100,"OAS")</f>
        <v>E</v>
      </c>
      <c r="E804" s="32" t="str">
        <f>[2]!YBHIST($A$2,B804,"LMMOAS","sec","")</f>
        <v>E</v>
      </c>
      <c r="F804">
        <v>131.28990200000001</v>
      </c>
    </row>
    <row r="805" spans="2:6" ht="15" x14ac:dyDescent="0.25">
      <c r="B805" s="14">
        <v>41751</v>
      </c>
      <c r="C805" s="30" t="str">
        <f>[2]!YBHIST($A$2,$B805,"Price","sec","")</f>
        <v>E</v>
      </c>
      <c r="D805" t="str">
        <f>[2]!YBPRICE($A$2,C805&amp;"d",$B806,"OAS","Swap",B805,"LMMSkew","","Model",100,"OAS")</f>
        <v>E</v>
      </c>
      <c r="E805" s="32" t="str">
        <f>[2]!YBHIST($A$2,B805,"LMMOAS","sec","")</f>
        <v>E</v>
      </c>
      <c r="F805">
        <v>124.446602</v>
      </c>
    </row>
    <row r="806" spans="2:6" ht="15" x14ac:dyDescent="0.25">
      <c r="B806" s="14">
        <v>41752</v>
      </c>
      <c r="C806" s="30" t="str">
        <f>[2]!YBHIST($A$2,$B806,"Price","sec","")</f>
        <v>E</v>
      </c>
      <c r="D806" t="str">
        <f>[2]!YBPRICE($A$2,C806&amp;"d",$B807,"OAS","Swap",B806,"LMMSkew","","Model",100,"OAS")</f>
        <v>E</v>
      </c>
      <c r="E806" s="32" t="str">
        <f>[2]!YBHIST($A$2,B806,"LMMOAS","sec","")</f>
        <v>E</v>
      </c>
      <c r="F806">
        <v>133.062195</v>
      </c>
    </row>
    <row r="807" spans="2:6" ht="15" x14ac:dyDescent="0.25">
      <c r="B807" s="14">
        <v>41753</v>
      </c>
      <c r="C807" s="30" t="str">
        <f>[2]!YBHIST($A$2,$B807,"Price","sec","")</f>
        <v>E</v>
      </c>
      <c r="D807" t="str">
        <f>[2]!YBPRICE($A$2,C807&amp;"d",$B808,"OAS","Swap",B807,"LMMSkew","","Model",100,"OAS")</f>
        <v>E</v>
      </c>
      <c r="E807" s="32" t="str">
        <f>[2]!YBHIST($A$2,B807,"LMMOAS","sec","")</f>
        <v>E</v>
      </c>
      <c r="F807">
        <v>135.328903</v>
      </c>
    </row>
    <row r="808" spans="2:6" ht="15" x14ac:dyDescent="0.25">
      <c r="B808" s="14">
        <v>41754</v>
      </c>
      <c r="C808" s="30" t="str">
        <f>[2]!YBHIST($A$2,$B808,"Price","sec","")</f>
        <v>E</v>
      </c>
      <c r="D808" t="str">
        <f>[2]!YBPRICE($A$2,C808&amp;"d",$B809,"OAS","Swap",B808,"LMMSkew","","Model",100,"OAS")</f>
        <v>E</v>
      </c>
      <c r="E808" s="32" t="str">
        <f>[2]!YBHIST($A$2,B808,"LMMOAS","sec","")</f>
        <v>E</v>
      </c>
      <c r="F808">
        <v>134.81359900000001</v>
      </c>
    </row>
    <row r="809" spans="2:6" ht="15" x14ac:dyDescent="0.25">
      <c r="B809" s="14">
        <v>41757</v>
      </c>
      <c r="C809" s="30" t="str">
        <f>[2]!YBHIST($A$2,$B809,"Price","sec","")</f>
        <v>E</v>
      </c>
      <c r="D809" t="str">
        <f>[2]!YBPRICE($A$2,C809&amp;"d",$B810,"OAS","Swap",B809,"LMMSkew","","Model",100,"OAS")</f>
        <v>E</v>
      </c>
      <c r="E809" s="32" t="str">
        <f>[2]!YBHIST($A$2,B809,"LMMOAS","sec","")</f>
        <v>E</v>
      </c>
      <c r="F809">
        <v>130.26220699999999</v>
      </c>
    </row>
    <row r="810" spans="2:6" ht="15" x14ac:dyDescent="0.25">
      <c r="B810" s="14">
        <v>41758</v>
      </c>
      <c r="C810" s="30" t="str">
        <f>[2]!YBHIST($A$2,$B810,"Price","sec","")</f>
        <v>E</v>
      </c>
      <c r="D810" t="str">
        <f>[2]!YBPRICE($A$2,C810&amp;"d",$B811,"OAS","Swap",B810,"LMMSkew","","Model",100,"OAS")</f>
        <v>E</v>
      </c>
      <c r="E810" s="32" t="str">
        <f>[2]!YBHIST($A$2,B810,"LMMOAS","sec","")</f>
        <v>E</v>
      </c>
      <c r="F810">
        <v>125.434303</v>
      </c>
    </row>
    <row r="811" spans="2:6" ht="15" x14ac:dyDescent="0.25">
      <c r="B811" s="14">
        <v>41759</v>
      </c>
      <c r="C811" s="30" t="str">
        <f>[2]!YBHIST($A$2,$B811,"Price","sec","")</f>
        <v>E</v>
      </c>
      <c r="D811" t="str">
        <f>[2]!YBPRICE($A$2,C811&amp;"d",$B812,"OAS","Swap",B811,"LMMSkew","","Model",100,"OAS")</f>
        <v>E</v>
      </c>
      <c r="E811" s="32" t="str">
        <f>[2]!YBHIST($A$2,B811,"LMMOAS","sec","")</f>
        <v>E</v>
      </c>
      <c r="F811">
        <v>129.14549299999999</v>
      </c>
    </row>
    <row r="812" spans="2:6" ht="15" x14ac:dyDescent="0.25">
      <c r="B812" s="14">
        <v>41760</v>
      </c>
      <c r="C812" s="30" t="str">
        <f>[2]!YBHIST($A$2,$B812,"Price","sec","")</f>
        <v>E</v>
      </c>
      <c r="D812" t="str">
        <f>[2]!YBPRICE($A$2,C812&amp;"d",$B813,"OAS","Swap",B812,"LMMSkew","","Model",100,"OAS")</f>
        <v>E</v>
      </c>
      <c r="E812" s="32" t="str">
        <f>[2]!YBHIST($A$2,B812,"LMMOAS","sec","")</f>
        <v>E</v>
      </c>
      <c r="F812">
        <v>130.38459800000001</v>
      </c>
    </row>
    <row r="813" spans="2:6" ht="15" x14ac:dyDescent="0.25">
      <c r="B813" s="14">
        <v>41761</v>
      </c>
      <c r="C813" s="30" t="str">
        <f>[2]!YBHIST($A$2,$B813,"Price","sec","")</f>
        <v>E</v>
      </c>
      <c r="D813" t="str">
        <f>[2]!YBPRICE($A$2,C813&amp;"d",$B814,"OAS","Swap",B813,"LMMSkew","","Model",100,"OAS")</f>
        <v>E</v>
      </c>
      <c r="E813" s="32" t="str">
        <f>[2]!YBHIST($A$2,B813,"LMMOAS","sec","")</f>
        <v>E</v>
      </c>
      <c r="F813">
        <v>125.44589999999999</v>
      </c>
    </row>
    <row r="814" spans="2:6" ht="15" x14ac:dyDescent="0.25">
      <c r="B814" s="14">
        <v>41764</v>
      </c>
      <c r="C814" s="30" t="str">
        <f>[2]!YBHIST($A$2,$B814,"Price","sec","")</f>
        <v>E</v>
      </c>
      <c r="D814" t="str">
        <f>[2]!YBPRICE($A$2,C814&amp;"d",$B815,"OAS","Swap",B814,"LMMSkew","","Model",100,"OAS")</f>
        <v>E</v>
      </c>
      <c r="E814" s="32" t="str">
        <f>[2]!YBHIST($A$2,B814,"LMMOAS","sec","")</f>
        <v>E</v>
      </c>
      <c r="F814">
        <v>126.358597</v>
      </c>
    </row>
    <row r="815" spans="2:6" ht="15" x14ac:dyDescent="0.25">
      <c r="B815" s="14">
        <v>41765</v>
      </c>
      <c r="C815" s="30" t="str">
        <f>[2]!YBHIST($A$2,$B815,"Price","sec","")</f>
        <v>E</v>
      </c>
      <c r="D815" t="str">
        <f>[2]!YBPRICE($A$2,C815&amp;"d",$B816,"OAS","Swap",B815,"LMMSkew","","Model",100,"OAS")</f>
        <v>E</v>
      </c>
      <c r="E815" s="32" t="str">
        <f>[2]!YBHIST($A$2,B815,"LMMOAS","sec","")</f>
        <v>E</v>
      </c>
      <c r="F815">
        <v>129.080994</v>
      </c>
    </row>
    <row r="816" spans="2:6" ht="15" x14ac:dyDescent="0.25">
      <c r="B816" s="14">
        <v>41766</v>
      </c>
      <c r="C816" s="30" t="str">
        <f>[2]!YBHIST($A$2,$B816,"Price","sec","")</f>
        <v>E</v>
      </c>
      <c r="D816" t="str">
        <f>[2]!YBPRICE($A$2,C816&amp;"d",$B817,"OAS","Swap",B816,"LMMSkew","","Model",100,"OAS")</f>
        <v>E</v>
      </c>
      <c r="E816" s="32" t="str">
        <f>[2]!YBHIST($A$2,B816,"LMMOAS","sec","")</f>
        <v>E</v>
      </c>
      <c r="F816">
        <v>142.570999</v>
      </c>
    </row>
    <row r="817" spans="2:6" ht="15" x14ac:dyDescent="0.25">
      <c r="B817" s="14">
        <v>41767</v>
      </c>
      <c r="C817" s="30" t="str">
        <f>[2]!YBHIST($A$2,$B817,"Price","sec","")</f>
        <v>E</v>
      </c>
      <c r="D817" t="str">
        <f>[2]!YBPRICE($A$2,C817&amp;"d",$B818,"OAS","Swap",B817,"LMMSkew","","Model",100,"OAS")</f>
        <v>E</v>
      </c>
      <c r="E817" s="32" t="str">
        <f>[2]!YBHIST($A$2,B817,"LMMOAS","sec","")</f>
        <v>E</v>
      </c>
      <c r="F817">
        <v>147.39210499999999</v>
      </c>
    </row>
    <row r="818" spans="2:6" ht="15" x14ac:dyDescent="0.25">
      <c r="B818" s="14">
        <v>41768</v>
      </c>
      <c r="C818" s="30" t="str">
        <f>[2]!YBHIST($A$2,$B818,"Price","sec","")</f>
        <v>E</v>
      </c>
      <c r="D818" t="str">
        <f>[2]!YBPRICE($A$2,C818&amp;"d",$B819,"OAS","Swap",B818,"LMMSkew","","Model",100,"OAS")</f>
        <v>E</v>
      </c>
      <c r="E818" s="32" t="str">
        <f>[2]!YBHIST($A$2,B818,"LMMOAS","sec","")</f>
        <v>E</v>
      </c>
      <c r="F818">
        <v>136.36790500000001</v>
      </c>
    </row>
    <row r="819" spans="2:6" ht="15" x14ac:dyDescent="0.25">
      <c r="B819" s="14">
        <v>41771</v>
      </c>
      <c r="C819" s="30" t="str">
        <f>[2]!YBHIST($A$2,$B819,"Price","sec","")</f>
        <v>E</v>
      </c>
      <c r="D819" t="str">
        <f>[2]!YBPRICE($A$2,C819&amp;"d",$B820,"OAS","Swap",B819,"LMMSkew","","Model",100,"OAS")</f>
        <v>E</v>
      </c>
      <c r="E819" s="32" t="str">
        <f>[2]!YBHIST($A$2,B819,"LMMOAS","sec","")</f>
        <v>E</v>
      </c>
      <c r="F819">
        <v>127.2967</v>
      </c>
    </row>
    <row r="820" spans="2:6" ht="15" x14ac:dyDescent="0.25">
      <c r="B820" s="14">
        <v>41772</v>
      </c>
      <c r="C820" s="30" t="str">
        <f>[2]!YBHIST($A$2,$B820,"Price","sec","")</f>
        <v>E</v>
      </c>
      <c r="D820" t="str">
        <f>[2]!YBPRICE($A$2,C820&amp;"d",$B821,"OAS","Swap",B820,"LMMSkew","","Model",100,"OAS")</f>
        <v>E</v>
      </c>
      <c r="E820" s="32" t="str">
        <f>[2]!YBHIST($A$2,B820,"LMMOAS","sec","")</f>
        <v>E</v>
      </c>
      <c r="F820">
        <v>129.16589400000001</v>
      </c>
    </row>
    <row r="821" spans="2:6" ht="15" x14ac:dyDescent="0.25">
      <c r="B821" s="14">
        <v>41773</v>
      </c>
      <c r="C821" s="30" t="str">
        <f>[2]!YBHIST($A$2,$B821,"Price","sec","")</f>
        <v>E</v>
      </c>
      <c r="D821" t="str">
        <f>[2]!YBPRICE($A$2,C821&amp;"d",$B822,"OAS","Swap",B821,"LMMSkew","","Model",100,"OAS")</f>
        <v>E</v>
      </c>
      <c r="E821" s="32" t="str">
        <f>[2]!YBHIST($A$2,B821,"LMMOAS","sec","")</f>
        <v>E</v>
      </c>
      <c r="F821">
        <v>152.926895</v>
      </c>
    </row>
    <row r="822" spans="2:6" ht="15" x14ac:dyDescent="0.25">
      <c r="B822" s="14">
        <v>41774</v>
      </c>
      <c r="C822" s="30" t="str">
        <f>[2]!YBHIST($A$2,$B822,"Price","sec","")</f>
        <v>E</v>
      </c>
      <c r="D822" t="str">
        <f>[2]!YBPRICE($A$2,C822&amp;"d",$B823,"OAS","Swap",B822,"LMMSkew","","Model",100,"OAS")</f>
        <v>E</v>
      </c>
      <c r="E822" s="32" t="str">
        <f>[2]!YBHIST($A$2,B822,"LMMOAS","sec","")</f>
        <v>E</v>
      </c>
      <c r="F822">
        <v>156.529404</v>
      </c>
    </row>
    <row r="823" spans="2:6" ht="15" x14ac:dyDescent="0.25">
      <c r="B823" s="14">
        <v>41775</v>
      </c>
      <c r="C823" s="30" t="str">
        <f>[2]!YBHIST($A$2,$B823,"Price","sec","")</f>
        <v>E</v>
      </c>
      <c r="D823" t="str">
        <f>[2]!YBPRICE($A$2,C823&amp;"d",$B824,"OAS","Swap",B823,"LMMSkew","","Model",100,"OAS")</f>
        <v>E</v>
      </c>
      <c r="E823" s="32" t="str">
        <f>[2]!YBHIST($A$2,B823,"LMMOAS","sec","")</f>
        <v>E</v>
      </c>
      <c r="F823">
        <v>138.66949500000001</v>
      </c>
    </row>
    <row r="824" spans="2:6" ht="15" x14ac:dyDescent="0.25">
      <c r="B824" s="14">
        <v>41778</v>
      </c>
      <c r="C824" s="30" t="str">
        <f>[2]!YBHIST($A$2,$B824,"Price","sec","")</f>
        <v>E</v>
      </c>
      <c r="D824" t="str">
        <f>[2]!YBPRICE($A$2,C824&amp;"d",$B825,"OAS","Swap",B824,"LMMSkew","","Model",100,"OAS")</f>
        <v>E</v>
      </c>
      <c r="E824" s="32" t="str">
        <f>[2]!YBHIST($A$2,B824,"LMMOAS","sec","")</f>
        <v>E</v>
      </c>
      <c r="F824">
        <v>140.74079900000001</v>
      </c>
    </row>
    <row r="825" spans="2:6" ht="15" x14ac:dyDescent="0.25">
      <c r="B825" s="14">
        <v>41779</v>
      </c>
      <c r="C825" s="30" t="str">
        <f>[2]!YBHIST($A$2,$B825,"Price","sec","")</f>
        <v>E</v>
      </c>
      <c r="D825" t="str">
        <f>[2]!YBPRICE($A$2,C825&amp;"d",$B826,"OAS","Swap",B825,"LMMSkew","","Model",100,"OAS")</f>
        <v>E</v>
      </c>
      <c r="E825" s="32" t="str">
        <f>[2]!YBHIST($A$2,B825,"LMMOAS","sec","")</f>
        <v>E</v>
      </c>
      <c r="F825">
        <v>148.215103</v>
      </c>
    </row>
    <row r="826" spans="2:6" ht="15" x14ac:dyDescent="0.25">
      <c r="B826" s="14">
        <v>41780</v>
      </c>
      <c r="C826" s="30" t="str">
        <f>[2]!YBHIST($A$2,$B826,"Price","sec","")</f>
        <v>E</v>
      </c>
      <c r="D826" t="str">
        <f>[2]!YBPRICE($A$2,C826&amp;"d",$B827,"OAS","Swap",B826,"LMMSkew","","Model",100,"OAS")</f>
        <v>E</v>
      </c>
      <c r="E826" s="32" t="str">
        <f>[2]!YBHIST($A$2,B826,"LMMOAS","sec","")</f>
        <v>E</v>
      </c>
      <c r="F826">
        <v>137.44610599999999</v>
      </c>
    </row>
    <row r="827" spans="2:6" ht="15" x14ac:dyDescent="0.25">
      <c r="B827" s="14">
        <v>41781</v>
      </c>
      <c r="C827" s="30" t="str">
        <f>[2]!YBHIST($A$2,$B827,"Price","sec","")</f>
        <v>E</v>
      </c>
      <c r="D827" t="str">
        <f>[2]!YBPRICE($A$2,C827&amp;"d",$B828,"OAS","Swap",B827,"LMMSkew","","Model",100,"OAS")</f>
        <v>E</v>
      </c>
      <c r="E827" s="32" t="str">
        <f>[2]!YBHIST($A$2,B827,"LMMOAS","sec","")</f>
        <v>E</v>
      </c>
      <c r="F827">
        <v>128.88130200000001</v>
      </c>
    </row>
    <row r="828" spans="2:6" ht="15" x14ac:dyDescent="0.25">
      <c r="B828" s="14">
        <v>41782</v>
      </c>
      <c r="C828" s="30" t="str">
        <f>[2]!YBHIST($A$2,$B828,"Price","sec","")</f>
        <v>E</v>
      </c>
      <c r="D828" t="str">
        <f>[2]!YBPRICE($A$2,C828&amp;"d",$B829,"OAS","Swap",B828,"LMMSkew","","Model",100,"OAS")</f>
        <v>E</v>
      </c>
      <c r="E828" s="32" t="str">
        <f>[2]!YBHIST($A$2,B828,"LMMOAS","sec","")</f>
        <v>E</v>
      </c>
      <c r="F828">
        <v>128.22920199999999</v>
      </c>
    </row>
    <row r="829" spans="2:6" ht="15" x14ac:dyDescent="0.25">
      <c r="B829" s="14">
        <v>41786</v>
      </c>
      <c r="C829" s="30" t="str">
        <f>[2]!YBHIST($A$2,$B829,"Price","sec","")</f>
        <v>E</v>
      </c>
      <c r="D829" t="str">
        <f>[2]!YBPRICE($A$2,C829&amp;"d",$B830,"OAS","Swap",B829,"LMMSkew","","Model",100,"OAS")</f>
        <v>E</v>
      </c>
      <c r="E829" s="32" t="str">
        <f>[2]!YBHIST($A$2,B829,"LMMOAS","sec","")</f>
        <v>E</v>
      </c>
      <c r="F829">
        <v>132.97650100000001</v>
      </c>
    </row>
    <row r="830" spans="2:6" ht="15" x14ac:dyDescent="0.25">
      <c r="B830" s="14">
        <v>41787</v>
      </c>
      <c r="C830" s="30" t="str">
        <f>[2]!YBHIST($A$2,$B830,"Price","sec","")</f>
        <v>E</v>
      </c>
      <c r="D830" t="str">
        <f>[2]!YBPRICE($A$2,C830&amp;"d",$B831,"OAS","Swap",B830,"LMMSkew","","Model",100,"OAS")</f>
        <v>E</v>
      </c>
      <c r="E830" s="32" t="str">
        <f>[2]!YBHIST($A$2,B830,"LMMOAS","sec","")</f>
        <v>E</v>
      </c>
      <c r="F830">
        <v>151.01289399999999</v>
      </c>
    </row>
    <row r="831" spans="2:6" ht="15" x14ac:dyDescent="0.25">
      <c r="B831" s="14">
        <v>41788</v>
      </c>
      <c r="C831" s="30" t="str">
        <f>[2]!YBHIST($A$2,$B831,"Price","sec","")</f>
        <v>E</v>
      </c>
      <c r="D831" t="str">
        <f>[2]!YBPRICE($A$2,C831&amp;"d",$B832,"OAS","Swap",B831,"LMMSkew","","Model",100,"OAS")</f>
        <v>E</v>
      </c>
      <c r="E831" s="32" t="str">
        <f>[2]!YBHIST($A$2,B831,"LMMOAS","sec","")</f>
        <v>E</v>
      </c>
      <c r="F831">
        <v>143.794296</v>
      </c>
    </row>
    <row r="832" spans="2:6" ht="15" x14ac:dyDescent="0.25">
      <c r="B832" s="14">
        <v>41789</v>
      </c>
      <c r="C832" s="30" t="str">
        <f>[2]!YBHIST($A$2,$B832,"Price","sec","")</f>
        <v>E</v>
      </c>
      <c r="D832" t="str">
        <f>[2]!YBPRICE($A$2,C832&amp;"d",$B833,"OAS","Swap",B832,"LMMSkew","","Model",100,"OAS")</f>
        <v>E</v>
      </c>
      <c r="E832" s="32" t="str">
        <f>[2]!YBHIST($A$2,B832,"LMMOAS","sec","")</f>
        <v>E</v>
      </c>
      <c r="F832">
        <v>143.42219499999999</v>
      </c>
    </row>
    <row r="833" spans="2:6" ht="15" x14ac:dyDescent="0.25">
      <c r="B833" s="14">
        <v>41792</v>
      </c>
      <c r="C833" s="30" t="str">
        <f>[2]!YBHIST($A$2,$B833,"Price","sec","")</f>
        <v>E</v>
      </c>
      <c r="D833" t="str">
        <f>[2]!YBPRICE($A$2,C833&amp;"d",$B834,"OAS","Swap",B833,"LMMSkew","","Model",100,"OAS")</f>
        <v>E</v>
      </c>
      <c r="E833" s="32" t="str">
        <f>[2]!YBHIST($A$2,B833,"LMMOAS","sec","")</f>
        <v>E</v>
      </c>
      <c r="F833">
        <v>126.949303</v>
      </c>
    </row>
    <row r="834" spans="2:6" ht="15" x14ac:dyDescent="0.25">
      <c r="B834" s="14">
        <v>41793</v>
      </c>
      <c r="C834" s="30" t="str">
        <f>[2]!YBHIST($A$2,$B834,"Price","sec","")</f>
        <v>E</v>
      </c>
      <c r="D834" t="str">
        <f>[2]!YBPRICE($A$2,C834&amp;"d",$B835,"OAS","Swap",B834,"LMMSkew","","Model",100,"OAS")</f>
        <v>E</v>
      </c>
      <c r="E834" s="32" t="str">
        <f>[2]!YBHIST($A$2,B834,"LMMOAS","sec","")</f>
        <v>E</v>
      </c>
      <c r="F834">
        <v>111.876999</v>
      </c>
    </row>
    <row r="835" spans="2:6" ht="15" x14ac:dyDescent="0.25">
      <c r="B835" s="14">
        <v>41794</v>
      </c>
      <c r="C835" s="30" t="str">
        <f>[2]!YBHIST($A$2,$B835,"Price","sec","")</f>
        <v>E</v>
      </c>
      <c r="D835" t="str">
        <f>[2]!YBPRICE($A$2,C835&amp;"d",$B836,"OAS","Swap",B835,"LMMSkew","","Model",100,"OAS")</f>
        <v>E</v>
      </c>
      <c r="E835" s="32" t="str">
        <f>[2]!YBHIST($A$2,B835,"LMMOAS","sec","")</f>
        <v>E</v>
      </c>
      <c r="F835">
        <v>106.802803</v>
      </c>
    </row>
    <row r="836" spans="2:6" ht="15" x14ac:dyDescent="0.25">
      <c r="B836" s="14">
        <v>41795</v>
      </c>
      <c r="C836" s="30" t="str">
        <f>[2]!YBHIST($A$2,$B836,"Price","sec","")</f>
        <v>E</v>
      </c>
      <c r="D836" t="str">
        <f>[2]!YBPRICE($A$2,C836&amp;"d",$B837,"OAS","Swap",B836,"LMMSkew","","Model",100,"OAS")</f>
        <v>E</v>
      </c>
      <c r="E836" s="32" t="str">
        <f>[2]!YBHIST($A$2,B836,"LMMOAS","sec","")</f>
        <v>E</v>
      </c>
      <c r="F836">
        <v>106.527901</v>
      </c>
    </row>
    <row r="837" spans="2:6" ht="15" x14ac:dyDescent="0.25">
      <c r="B837" s="14">
        <v>41796</v>
      </c>
      <c r="C837" s="30" t="str">
        <f>[2]!YBHIST($A$2,$B837,"Price","sec","")</f>
        <v>E</v>
      </c>
      <c r="D837" t="str">
        <f>[2]!YBPRICE($A$2,C837&amp;"d",$B838,"OAS","Swap",B837,"LMMSkew","","Model",100,"OAS")</f>
        <v>E</v>
      </c>
      <c r="E837" s="32" t="str">
        <f>[2]!YBHIST($A$2,B837,"LMMOAS","sec","")</f>
        <v>E</v>
      </c>
      <c r="F837">
        <v>111.214302</v>
      </c>
    </row>
    <row r="838" spans="2:6" ht="15" x14ac:dyDescent="0.25">
      <c r="B838" s="14">
        <v>41799</v>
      </c>
      <c r="C838" s="30" t="str">
        <f>[2]!YBHIST($A$2,$B838,"Price","sec","")</f>
        <v>E</v>
      </c>
      <c r="D838" t="str">
        <f>[2]!YBPRICE($A$2,C838&amp;"d",$B839,"OAS","Swap",B838,"LMMSkew","","Model",100,"OAS")</f>
        <v>E</v>
      </c>
      <c r="E838" s="32" t="str">
        <f>[2]!YBHIST($A$2,B838,"LMMOAS","sec","")</f>
        <v>E</v>
      </c>
      <c r="F838">
        <v>103.688599</v>
      </c>
    </row>
    <row r="839" spans="2:6" ht="15" x14ac:dyDescent="0.25">
      <c r="B839" s="14">
        <v>41800</v>
      </c>
      <c r="C839" s="30" t="str">
        <f>[2]!YBHIST($A$2,$B839,"Price","sec","")</f>
        <v>E</v>
      </c>
      <c r="D839" t="str">
        <f>[2]!YBPRICE($A$2,C839&amp;"d",$B840,"OAS","Swap",B839,"LMMSkew","","Model",100,"OAS")</f>
        <v>E</v>
      </c>
      <c r="E839" s="32" t="str">
        <f>[2]!YBHIST($A$2,B839,"LMMOAS","sec","")</f>
        <v>E</v>
      </c>
      <c r="F839">
        <v>96.963402000000002</v>
      </c>
    </row>
    <row r="840" spans="2:6" ht="15" x14ac:dyDescent="0.25">
      <c r="B840" s="14">
        <v>41801</v>
      </c>
      <c r="C840" s="30" t="str">
        <f>[2]!YBHIST($A$2,$B840,"Price","sec","")</f>
        <v>E</v>
      </c>
      <c r="D840" t="str">
        <f>[2]!YBPRICE($A$2,C840&amp;"d",$B841,"OAS","Swap",B840,"LMMSkew","","Model",100,"OAS")</f>
        <v>E</v>
      </c>
      <c r="E840" s="32" t="str">
        <f>[2]!YBHIST($A$2,B840,"LMMOAS","sec","")</f>
        <v>E</v>
      </c>
      <c r="F840">
        <v>101.907799</v>
      </c>
    </row>
    <row r="841" spans="2:6" ht="15" x14ac:dyDescent="0.25">
      <c r="B841" s="14">
        <v>41802</v>
      </c>
      <c r="C841" s="30" t="str">
        <f>[2]!YBHIST($A$2,$B841,"Price","sec","")</f>
        <v>E</v>
      </c>
      <c r="D841" t="str">
        <f>[2]!YBPRICE($A$2,C841&amp;"d",$B842,"OAS","Swap",B841,"LMMSkew","","Model",100,"OAS")</f>
        <v>E</v>
      </c>
      <c r="E841" s="32" t="str">
        <f>[2]!YBHIST($A$2,B841,"LMMOAS","sec","")</f>
        <v>E</v>
      </c>
      <c r="F841">
        <v>96.199898000000005</v>
      </c>
    </row>
    <row r="842" spans="2:6" ht="15" x14ac:dyDescent="0.25">
      <c r="B842" s="14">
        <v>41803</v>
      </c>
      <c r="C842" s="30" t="str">
        <f>[2]!YBHIST($A$2,$B842,"Price","sec","")</f>
        <v>E</v>
      </c>
      <c r="D842" t="str">
        <f>[2]!YBPRICE($A$2,C842&amp;"d",$B843,"OAS","Swap",B842,"LMMSkew","","Model",100,"OAS")</f>
        <v>E</v>
      </c>
      <c r="E842" s="32" t="str">
        <f>[2]!YBHIST($A$2,B842,"LMMOAS","sec","")</f>
        <v>E</v>
      </c>
      <c r="F842">
        <v>86.405899000000005</v>
      </c>
    </row>
    <row r="843" spans="2:6" ht="15" x14ac:dyDescent="0.25">
      <c r="B843" s="14">
        <v>41806</v>
      </c>
      <c r="C843" s="30" t="str">
        <f>[2]!YBHIST($A$2,$B843,"Price","sec","")</f>
        <v>E</v>
      </c>
      <c r="D843" t="str">
        <f>[2]!YBPRICE($A$2,C843&amp;"d",$B844,"OAS","Swap",B843,"LMMSkew","","Model",100,"OAS")</f>
        <v>E</v>
      </c>
      <c r="E843" s="32" t="str">
        <f>[2]!YBHIST($A$2,B843,"LMMOAS","sec","")</f>
        <v>E</v>
      </c>
      <c r="F843">
        <v>85.383301000000003</v>
      </c>
    </row>
    <row r="844" spans="2:6" ht="15" x14ac:dyDescent="0.25">
      <c r="B844" s="14">
        <v>41807</v>
      </c>
      <c r="C844" s="30" t="str">
        <f>[2]!YBHIST($A$2,$B844,"Price","sec","")</f>
        <v>E</v>
      </c>
      <c r="D844" t="str">
        <f>[2]!YBPRICE($A$2,C844&amp;"d",$B845,"OAS","Swap",B844,"LMMSkew","","Model",100,"OAS")</f>
        <v>E</v>
      </c>
      <c r="E844" s="32" t="str">
        <f>[2]!YBHIST($A$2,B844,"LMMOAS","sec","")</f>
        <v>E</v>
      </c>
      <c r="F844">
        <v>70.268096999999997</v>
      </c>
    </row>
    <row r="845" spans="2:6" ht="15" x14ac:dyDescent="0.25">
      <c r="B845" s="14">
        <v>41808</v>
      </c>
      <c r="C845" s="30" t="str">
        <f>[2]!YBHIST($A$2,$B845,"Price","sec","")</f>
        <v>E</v>
      </c>
      <c r="D845" t="str">
        <f>[2]!YBPRICE($A$2,C845&amp;"d",$B846,"OAS","Swap",B845,"LMMSkew","","Model",100,"OAS")</f>
        <v>E</v>
      </c>
      <c r="E845" s="32" t="str">
        <f>[2]!YBHIST($A$2,B845,"LMMOAS","sec","")</f>
        <v>E</v>
      </c>
      <c r="F845">
        <v>73.155296000000007</v>
      </c>
    </row>
    <row r="846" spans="2:6" ht="15" x14ac:dyDescent="0.25">
      <c r="B846" s="14">
        <v>41809</v>
      </c>
      <c r="C846" s="30" t="str">
        <f>[2]!YBHIST($A$2,$B846,"Price","sec","")</f>
        <v>E</v>
      </c>
      <c r="D846" t="str">
        <f>[2]!YBPRICE($A$2,C846&amp;"d",$B847,"OAS","Swap",B846,"LMMSkew","","Model",100,"OAS")</f>
        <v>E</v>
      </c>
      <c r="E846" s="32" t="str">
        <f>[2]!YBHIST($A$2,B846,"LMMOAS","sec","")</f>
        <v>E</v>
      </c>
      <c r="F846">
        <v>72.048798000000005</v>
      </c>
    </row>
    <row r="847" spans="2:6" ht="15" x14ac:dyDescent="0.25">
      <c r="B847" s="14">
        <v>41810</v>
      </c>
      <c r="C847" s="30" t="str">
        <f>[2]!YBHIST($A$2,$B847,"Price","sec","")</f>
        <v>E</v>
      </c>
      <c r="D847" t="str">
        <f>[2]!YBPRICE($A$2,C847&amp;"d",$B848,"OAS","Swap",B847,"LMMSkew","","Model",100,"OAS")</f>
        <v>E</v>
      </c>
      <c r="E847" s="32" t="str">
        <f>[2]!YBHIST($A$2,B847,"LMMOAS","sec","")</f>
        <v>E</v>
      </c>
      <c r="F847">
        <v>63.601799</v>
      </c>
    </row>
    <row r="848" spans="2:6" ht="15" x14ac:dyDescent="0.25">
      <c r="B848" s="14">
        <v>41813</v>
      </c>
      <c r="C848" s="30" t="str">
        <f>[2]!YBHIST($A$2,$B848,"Price","sec","")</f>
        <v>E</v>
      </c>
      <c r="D848" t="str">
        <f>[2]!YBPRICE($A$2,C848&amp;"d",$B849,"OAS","Swap",B848,"LMMSkew","","Model",100,"OAS")</f>
        <v>E</v>
      </c>
      <c r="E848" s="32" t="str">
        <f>[2]!YBHIST($A$2,B848,"LMMOAS","sec","")</f>
        <v>E</v>
      </c>
      <c r="F848">
        <v>59.483100999999998</v>
      </c>
    </row>
    <row r="849" spans="2:6" ht="15" x14ac:dyDescent="0.25">
      <c r="B849" s="14">
        <v>41814</v>
      </c>
      <c r="C849" s="30" t="str">
        <f>[2]!YBHIST($A$2,$B849,"Price","sec","")</f>
        <v>E</v>
      </c>
      <c r="D849" t="str">
        <f>[2]!YBPRICE($A$2,C849&amp;"d",$B850,"OAS","Swap",B849,"LMMSkew","","Model",100,"OAS")</f>
        <v>E</v>
      </c>
      <c r="E849" s="32" t="str">
        <f>[2]!YBHIST($A$2,B849,"LMMOAS","sec","")</f>
        <v>E</v>
      </c>
      <c r="F849">
        <v>68.215598999999997</v>
      </c>
    </row>
    <row r="850" spans="2:6" ht="15" x14ac:dyDescent="0.25">
      <c r="B850" s="14">
        <v>41815</v>
      </c>
      <c r="C850" s="30" t="str">
        <f>[2]!YBHIST($A$2,$B850,"Price","sec","")</f>
        <v>E</v>
      </c>
      <c r="D850" t="str">
        <f>[2]!YBPRICE($A$2,C850&amp;"d",$B851,"OAS","Swap",B850,"LMMSkew","","Model",100,"OAS")</f>
        <v>E</v>
      </c>
      <c r="E850" s="32" t="str">
        <f>[2]!YBHIST($A$2,B850,"LMMOAS","sec","")</f>
        <v>E</v>
      </c>
      <c r="F850">
        <v>75.913803000000001</v>
      </c>
    </row>
    <row r="851" spans="2:6" ht="15" x14ac:dyDescent="0.25">
      <c r="B851" s="14">
        <v>41816</v>
      </c>
      <c r="C851" s="30" t="str">
        <f>[2]!YBHIST($A$2,$B851,"Price","sec","")</f>
        <v>E</v>
      </c>
      <c r="D851" t="str">
        <f>[2]!YBPRICE($A$2,C851&amp;"d",$B852,"OAS","Swap",B851,"LMMSkew","","Model",100,"OAS")</f>
        <v>E</v>
      </c>
      <c r="E851" s="32" t="str">
        <f>[2]!YBHIST($A$2,B851,"LMMOAS","sec","")</f>
        <v>E</v>
      </c>
      <c r="F851">
        <v>83.527298000000002</v>
      </c>
    </row>
    <row r="852" spans="2:6" ht="15" x14ac:dyDescent="0.25">
      <c r="B852" s="14">
        <v>41817</v>
      </c>
      <c r="C852" s="30" t="str">
        <f>[2]!YBHIST($A$2,$B852,"Price","sec","")</f>
        <v>E</v>
      </c>
      <c r="D852" t="str">
        <f>[2]!YBPRICE($A$2,C852&amp;"d",$B853,"OAS","Swap",B852,"LMMSkew","","Model",100,"OAS")</f>
        <v>E</v>
      </c>
      <c r="E852" s="32" t="str">
        <f>[2]!YBHIST($A$2,B852,"LMMOAS","sec","")</f>
        <v>E</v>
      </c>
      <c r="F852">
        <v>84.237701000000001</v>
      </c>
    </row>
    <row r="853" spans="2:6" ht="15" x14ac:dyDescent="0.25">
      <c r="B853" s="14">
        <v>41820</v>
      </c>
      <c r="C853" s="30" t="str">
        <f>[2]!YBHIST($A$2,$B853,"Price","sec","")</f>
        <v>E</v>
      </c>
      <c r="D853" t="str">
        <f>[2]!YBPRICE($A$2,C853&amp;"d",$B854,"OAS","Swap",B853,"LMMSkew","","Model",100,"OAS")</f>
        <v>E</v>
      </c>
      <c r="E853" s="32" t="str">
        <f>[2]!YBHIST($A$2,B853,"LMMOAS","sec","")</f>
        <v>E</v>
      </c>
      <c r="F853">
        <v>81.648803999999998</v>
      </c>
    </row>
    <row r="854" spans="2:6" ht="15" x14ac:dyDescent="0.25">
      <c r="B854" s="14">
        <v>41821</v>
      </c>
      <c r="C854" s="30" t="str">
        <f>[2]!YBHIST($A$2,$B854,"Price","sec","")</f>
        <v>E</v>
      </c>
      <c r="D854" t="str">
        <f>[2]!YBPRICE($A$2,C854&amp;"d",$B855,"OAS","Swap",B854,"LMMSkew","","Model",100,"OAS")</f>
        <v>E</v>
      </c>
      <c r="E854" s="32" t="str">
        <f>[2]!YBHIST($A$2,B854,"LMMOAS","sec","")</f>
        <v>E</v>
      </c>
      <c r="F854">
        <v>70.264503000000005</v>
      </c>
    </row>
    <row r="855" spans="2:6" ht="15" x14ac:dyDescent="0.25">
      <c r="B855" s="14">
        <v>41822</v>
      </c>
      <c r="C855" s="30" t="str">
        <f>[2]!YBHIST($A$2,$B855,"Price","sec","")</f>
        <v>E</v>
      </c>
      <c r="D855" t="str">
        <f>[2]!YBPRICE($A$2,C855&amp;"d",$B856,"OAS","Swap",B855,"LMMSkew","","Model",100,"OAS")</f>
        <v>E</v>
      </c>
      <c r="E855" s="32" t="str">
        <f>[2]!YBHIST($A$2,B855,"LMMOAS","sec","")</f>
        <v>E</v>
      </c>
      <c r="F855">
        <v>53.097698000000001</v>
      </c>
    </row>
    <row r="856" spans="2:6" ht="15" x14ac:dyDescent="0.25">
      <c r="B856" s="14">
        <v>41823</v>
      </c>
      <c r="C856" s="30" t="str">
        <f>[2]!YBHIST($A$2,$B856,"Price","sec","")</f>
        <v>E</v>
      </c>
      <c r="D856" t="str">
        <f>[2]!YBPRICE($A$2,C856&amp;"d",$B857,"OAS","Swap",B856,"LMMSkew","","Model",100,"OAS")</f>
        <v>E</v>
      </c>
      <c r="E856" s="32" t="str">
        <f>[2]!YBHIST($A$2,B856,"LMMOAS","sec","")</f>
        <v>E</v>
      </c>
      <c r="F856">
        <v>40.936599999999999</v>
      </c>
    </row>
    <row r="857" spans="2:6" ht="15" x14ac:dyDescent="0.25">
      <c r="B857" s="14">
        <v>41827</v>
      </c>
      <c r="C857" s="30" t="str">
        <f>[2]!YBHIST($A$2,$B857,"Price","sec","")</f>
        <v>E</v>
      </c>
      <c r="D857" t="str">
        <f>[2]!YBPRICE($A$2,C857&amp;"d",$B858,"OAS","Swap",B857,"LMMSkew","","Model",100,"OAS")</f>
        <v>E</v>
      </c>
      <c r="E857" s="32" t="str">
        <f>[2]!YBHIST($A$2,B857,"LMMOAS","sec","")</f>
        <v>E</v>
      </c>
      <c r="F857">
        <v>45.825499999999998</v>
      </c>
    </row>
    <row r="858" spans="2:6" ht="15" x14ac:dyDescent="0.25">
      <c r="B858" s="14">
        <v>41828</v>
      </c>
      <c r="C858" s="30" t="str">
        <f>[2]!YBHIST($A$2,$B858,"Price","sec","")</f>
        <v>E</v>
      </c>
      <c r="D858" t="str">
        <f>[2]!YBPRICE($A$2,C858&amp;"d",$B859,"OAS","Swap",B858,"LMMSkew","","Model",100,"OAS")</f>
        <v>E</v>
      </c>
      <c r="E858" s="32" t="str">
        <f>[2]!YBHIST($A$2,B858,"LMMOAS","sec","")</f>
        <v>E</v>
      </c>
      <c r="F858">
        <v>55.205399</v>
      </c>
    </row>
    <row r="859" spans="2:6" ht="15" x14ac:dyDescent="0.25">
      <c r="B859" s="14">
        <v>41829</v>
      </c>
      <c r="C859" s="30" t="str">
        <f>[2]!YBHIST($A$2,$B859,"Price","sec","")</f>
        <v>E</v>
      </c>
      <c r="D859" t="str">
        <f>[2]!YBPRICE($A$2,C859&amp;"d",$B860,"OAS","Swap",B859,"LMMSkew","","Model",100,"OAS")</f>
        <v>E</v>
      </c>
      <c r="E859" s="32" t="str">
        <f>[2]!YBHIST($A$2,B859,"LMMOAS","sec","")</f>
        <v>E</v>
      </c>
      <c r="F859">
        <v>56.018599999999999</v>
      </c>
    </row>
    <row r="860" spans="2:6" ht="15" x14ac:dyDescent="0.25">
      <c r="B860" s="14">
        <v>41830</v>
      </c>
      <c r="C860" s="30" t="str">
        <f>[2]!YBHIST($A$2,$B860,"Price","sec","")</f>
        <v>E</v>
      </c>
      <c r="D860" t="str">
        <f>[2]!YBPRICE($A$2,C860&amp;"d",$B861,"OAS","Swap",B860,"LMMSkew","","Model",100,"OAS")</f>
        <v>E</v>
      </c>
      <c r="E860" s="32" t="str">
        <f>[2]!YBHIST($A$2,B860,"LMMOAS","sec","")</f>
        <v>E</v>
      </c>
      <c r="F860">
        <v>63.434299000000003</v>
      </c>
    </row>
    <row r="861" spans="2:6" ht="15" x14ac:dyDescent="0.25">
      <c r="B861" s="14">
        <v>41831</v>
      </c>
      <c r="C861" s="30" t="str">
        <f>[2]!YBHIST($A$2,$B861,"Price","sec","")</f>
        <v>E</v>
      </c>
      <c r="D861" t="str">
        <f>[2]!YBPRICE($A$2,C861&amp;"d",$B862,"OAS","Swap",B861,"LMMSkew","","Model",100,"OAS")</f>
        <v>E</v>
      </c>
      <c r="E861" s="32" t="str">
        <f>[2]!YBHIST($A$2,B861,"LMMOAS","sec","")</f>
        <v>E</v>
      </c>
      <c r="F861">
        <v>66.454802999999998</v>
      </c>
    </row>
    <row r="862" spans="2:6" ht="15" x14ac:dyDescent="0.25">
      <c r="B862" s="14">
        <v>41834</v>
      </c>
      <c r="C862" s="30" t="str">
        <f>[2]!YBHIST($A$2,$B862,"Price","sec","")</f>
        <v>E</v>
      </c>
      <c r="D862" t="str">
        <f>[2]!YBPRICE($A$2,C862&amp;"d",$B863,"OAS","Swap",B862,"LMMSkew","","Model",100,"OAS")</f>
        <v>E</v>
      </c>
      <c r="E862" s="32" t="str">
        <f>[2]!YBHIST($A$2,B862,"LMMOAS","sec","")</f>
        <v>E</v>
      </c>
      <c r="F862">
        <v>61.287601000000002</v>
      </c>
    </row>
    <row r="863" spans="2:6" ht="15" x14ac:dyDescent="0.25">
      <c r="B863" s="14">
        <v>41835</v>
      </c>
      <c r="C863" s="30" t="str">
        <f>[2]!YBHIST($A$2,$B863,"Price","sec","")</f>
        <v>E</v>
      </c>
      <c r="D863" t="str">
        <f>[2]!YBPRICE($A$2,C863&amp;"d",$B864,"OAS","Swap",B863,"LMMSkew","","Model",100,"OAS")</f>
        <v>E</v>
      </c>
      <c r="E863" s="32" t="str">
        <f>[2]!YBHIST($A$2,B863,"LMMOAS","sec","")</f>
        <v>E</v>
      </c>
      <c r="F863">
        <v>56.322299999999998</v>
      </c>
    </row>
    <row r="864" spans="2:6" ht="15" x14ac:dyDescent="0.25">
      <c r="B864" s="14">
        <v>41836</v>
      </c>
      <c r="C864" s="30" t="str">
        <f>[2]!YBHIST($A$2,$B864,"Price","sec","")</f>
        <v>E</v>
      </c>
      <c r="D864" t="str">
        <f>[2]!YBPRICE($A$2,C864&amp;"d",$B865,"OAS","Swap",B864,"LMMSkew","","Model",100,"OAS")</f>
        <v>E</v>
      </c>
      <c r="E864" s="32" t="str">
        <f>[2]!YBHIST($A$2,B864,"LMMOAS","sec","")</f>
        <v>E</v>
      </c>
      <c r="F864">
        <v>58.832599999999999</v>
      </c>
    </row>
    <row r="865" spans="2:6" ht="15" x14ac:dyDescent="0.25">
      <c r="B865" s="14">
        <v>41837</v>
      </c>
      <c r="C865" s="30" t="str">
        <f>[2]!YBHIST($A$2,$B865,"Price","sec","")</f>
        <v>E</v>
      </c>
      <c r="D865" t="str">
        <f>[2]!YBPRICE($A$2,C865&amp;"d",$B866,"OAS","Swap",B865,"LMMSkew","","Model",100,"OAS")</f>
        <v>E</v>
      </c>
      <c r="E865" s="32" t="str">
        <f>[2]!YBHIST($A$2,B865,"LMMOAS","sec","")</f>
        <v>E</v>
      </c>
      <c r="F865">
        <v>70.839798000000002</v>
      </c>
    </row>
    <row r="866" spans="2:6" ht="15" x14ac:dyDescent="0.25">
      <c r="B866" s="14">
        <v>41838</v>
      </c>
      <c r="C866" s="30" t="str">
        <f>[2]!YBHIST($A$2,$B866,"Price","sec","")</f>
        <v>E</v>
      </c>
      <c r="D866" t="str">
        <f>[2]!YBPRICE($A$2,C866&amp;"d",$B867,"OAS","Swap",B866,"LMMSkew","","Model",100,"OAS")</f>
        <v>E</v>
      </c>
      <c r="E866" s="32" t="str">
        <f>[2]!YBHIST($A$2,B866,"LMMOAS","sec","")</f>
        <v>E</v>
      </c>
      <c r="F866">
        <v>74.985298</v>
      </c>
    </row>
    <row r="867" spans="2:6" ht="15" x14ac:dyDescent="0.25">
      <c r="B867" s="14">
        <v>41841</v>
      </c>
      <c r="C867" s="30" t="str">
        <f>[2]!YBHIST($A$2,$B867,"Price","sec","")</f>
        <v>E</v>
      </c>
      <c r="D867" t="str">
        <f>[2]!YBPRICE($A$2,C867&amp;"d",$B868,"OAS","Swap",B867,"LMMSkew","","Model",100,"OAS")</f>
        <v>E</v>
      </c>
      <c r="E867" s="32" t="str">
        <f>[2]!YBHIST($A$2,B867,"LMMOAS","sec","")</f>
        <v>E</v>
      </c>
      <c r="F867">
        <v>83.408203</v>
      </c>
    </row>
    <row r="868" spans="2:6" ht="15" x14ac:dyDescent="0.25">
      <c r="B868" s="14">
        <v>41842</v>
      </c>
      <c r="C868" s="30" t="str">
        <f>[2]!YBHIST($A$2,$B868,"Price","sec","")</f>
        <v>E</v>
      </c>
      <c r="D868" t="str">
        <f>[2]!YBPRICE($A$2,C868&amp;"d",$B869,"OAS","Swap",B868,"LMMSkew","","Model",100,"OAS")</f>
        <v>E</v>
      </c>
      <c r="E868" s="32" t="str">
        <f>[2]!YBHIST($A$2,B868,"LMMOAS","sec","")</f>
        <v>E</v>
      </c>
      <c r="F868">
        <v>92.479301000000007</v>
      </c>
    </row>
    <row r="869" spans="2:6" ht="15" x14ac:dyDescent="0.25">
      <c r="B869" s="14">
        <v>41843</v>
      </c>
      <c r="C869" s="30" t="str">
        <f>[2]!YBHIST($A$2,$B869,"Price","sec","")</f>
        <v>E</v>
      </c>
      <c r="D869" t="str">
        <f>[2]!YBPRICE($A$2,C869&amp;"d",$B870,"OAS","Swap",B869,"LMMSkew","","Model",100,"OAS")</f>
        <v>E</v>
      </c>
      <c r="E869" s="32" t="str">
        <f>[2]!YBHIST($A$2,B869,"LMMOAS","sec","")</f>
        <v>E</v>
      </c>
      <c r="F869">
        <v>92.267998000000006</v>
      </c>
    </row>
    <row r="870" spans="2:6" ht="15" x14ac:dyDescent="0.25">
      <c r="B870" s="14">
        <v>41844</v>
      </c>
      <c r="C870" s="30" t="str">
        <f>[2]!YBHIST($A$2,$B870,"Price","sec","")</f>
        <v>E</v>
      </c>
      <c r="D870" t="str">
        <f>[2]!YBPRICE($A$2,C870&amp;"d",$B871,"OAS","Swap",B870,"LMMSkew","","Model",100,"OAS")</f>
        <v>E</v>
      </c>
      <c r="E870" s="32" t="str">
        <f>[2]!YBHIST($A$2,B870,"LMMOAS","sec","")</f>
        <v>E</v>
      </c>
      <c r="F870">
        <v>76.558998000000003</v>
      </c>
    </row>
    <row r="871" spans="2:6" ht="15" x14ac:dyDescent="0.25">
      <c r="B871" s="14">
        <v>41845</v>
      </c>
      <c r="C871" s="30" t="str">
        <f>[2]!YBHIST($A$2,$B871,"Price","sec","")</f>
        <v>E</v>
      </c>
      <c r="D871" t="str">
        <f>[2]!YBPRICE($A$2,C871&amp;"d",$B872,"OAS","Swap",B871,"LMMSkew","","Model",100,"OAS")</f>
        <v>E</v>
      </c>
      <c r="E871" s="32" t="str">
        <f>[2]!YBHIST($A$2,B871,"LMMOAS","sec","")</f>
        <v>E</v>
      </c>
      <c r="F871">
        <v>82.251403999999994</v>
      </c>
    </row>
    <row r="872" spans="2:6" ht="15" x14ac:dyDescent="0.25">
      <c r="B872" s="14">
        <v>41848</v>
      </c>
      <c r="C872" s="30" t="str">
        <f>[2]!YBHIST($A$2,$B872,"Price","sec","")</f>
        <v>E</v>
      </c>
      <c r="D872" t="str">
        <f>[2]!YBPRICE($A$2,C872&amp;"d",$B873,"OAS","Swap",B872,"LMMSkew","","Model",100,"OAS")</f>
        <v>E</v>
      </c>
      <c r="E872" s="32" t="str">
        <f>[2]!YBHIST($A$2,B872,"LMMOAS","sec","")</f>
        <v>E</v>
      </c>
      <c r="F872">
        <v>84.445098999999999</v>
      </c>
    </row>
    <row r="873" spans="2:6" ht="15" x14ac:dyDescent="0.25">
      <c r="B873" s="14">
        <v>41849</v>
      </c>
      <c r="C873" s="30" t="str">
        <f>[2]!YBHIST($A$2,$B873,"Price","sec","")</f>
        <v>E</v>
      </c>
      <c r="D873" t="str">
        <f>[2]!YBPRICE($A$2,C873&amp;"d",$B874,"OAS","Swap",B873,"LMMSkew","","Model",100,"OAS")</f>
        <v>E</v>
      </c>
      <c r="E873" s="32" t="str">
        <f>[2]!YBHIST($A$2,B873,"LMMOAS","sec","")</f>
        <v>E</v>
      </c>
      <c r="F873">
        <v>92.762298999999999</v>
      </c>
    </row>
    <row r="874" spans="2:6" ht="15" x14ac:dyDescent="0.25">
      <c r="B874" s="14">
        <v>41850</v>
      </c>
      <c r="C874" s="30" t="str">
        <f>[2]!YBHIST($A$2,$B874,"Price","sec","")</f>
        <v>E</v>
      </c>
      <c r="D874" t="str">
        <f>[2]!YBPRICE($A$2,C874&amp;"d",$B875,"OAS","Swap",B874,"LMMSkew","","Model",100,"OAS")</f>
        <v>E</v>
      </c>
      <c r="E874" s="32" t="str">
        <f>[2]!YBHIST($A$2,B874,"LMMOAS","sec","")</f>
        <v>E</v>
      </c>
      <c r="F874">
        <v>67.263603000000003</v>
      </c>
    </row>
    <row r="875" spans="2:6" ht="15" x14ac:dyDescent="0.25">
      <c r="B875" s="14">
        <v>41851</v>
      </c>
      <c r="C875" s="30" t="str">
        <f>[2]!YBHIST($A$2,$B875,"Price","sec","")</f>
        <v>E</v>
      </c>
      <c r="D875" t="str">
        <f>[2]!YBPRICE($A$2,C875&amp;"d",$B876,"OAS","Swap",B875,"LMMSkew","","Model",100,"OAS")</f>
        <v>E</v>
      </c>
      <c r="E875" s="32" t="str">
        <f>[2]!YBHIST($A$2,B875,"LMMOAS","sec","")</f>
        <v>E</v>
      </c>
      <c r="F875">
        <v>66.714302000000004</v>
      </c>
    </row>
    <row r="876" spans="2:6" ht="15" x14ac:dyDescent="0.25">
      <c r="B876" s="14">
        <v>41852</v>
      </c>
      <c r="C876" s="30" t="str">
        <f>[2]!YBHIST($A$2,$B876,"Price","sec","")</f>
        <v>E</v>
      </c>
      <c r="D876" t="str">
        <f>[2]!YBPRICE($A$2,C876&amp;"d",$B877,"OAS","Swap",B876,"LMMSkew","","Model",100,"OAS")</f>
        <v>E</v>
      </c>
      <c r="E876" s="32" t="str">
        <f>[2]!YBHIST($A$2,B876,"LMMOAS","sec","")</f>
        <v>E</v>
      </c>
      <c r="F876">
        <v>79.619399999999999</v>
      </c>
    </row>
    <row r="877" spans="2:6" ht="15" x14ac:dyDescent="0.25">
      <c r="B877" s="14">
        <v>41855</v>
      </c>
      <c r="C877" s="30" t="str">
        <f>[2]!YBHIST($A$2,$B877,"Price","sec","")</f>
        <v>E</v>
      </c>
      <c r="D877" t="str">
        <f>[2]!YBPRICE($A$2,C877&amp;"d",$B878,"OAS","Swap",B877,"LMMSkew","","Model",100,"OAS")</f>
        <v>E</v>
      </c>
      <c r="E877" s="32" t="str">
        <f>[2]!YBHIST($A$2,B877,"LMMOAS","sec","")</f>
        <v>E</v>
      </c>
      <c r="F877">
        <v>87.449698999999995</v>
      </c>
    </row>
    <row r="878" spans="2:6" ht="15" x14ac:dyDescent="0.25">
      <c r="B878" s="14">
        <v>41856</v>
      </c>
      <c r="C878" s="30" t="str">
        <f>[2]!YBHIST($A$2,$B878,"Price","sec","")</f>
        <v>E</v>
      </c>
      <c r="D878" t="str">
        <f>[2]!YBPRICE($A$2,C878&amp;"d",$B879,"OAS","Swap",B878,"LMMSkew","","Model",100,"OAS")</f>
        <v>E</v>
      </c>
      <c r="E878" s="32" t="str">
        <f>[2]!YBHIST($A$2,B878,"LMMOAS","sec","")</f>
        <v>E</v>
      </c>
      <c r="F878">
        <v>90.461699999999993</v>
      </c>
    </row>
    <row r="879" spans="2:6" ht="15" x14ac:dyDescent="0.25">
      <c r="B879" s="14">
        <v>41857</v>
      </c>
      <c r="C879" s="30" t="str">
        <f>[2]!YBHIST($A$2,$B879,"Price","sec","")</f>
        <v>E</v>
      </c>
      <c r="D879" t="str">
        <f>[2]!YBPRICE($A$2,C879&amp;"d",$B880,"OAS","Swap",B879,"LMMSkew","","Model",100,"OAS")</f>
        <v>E</v>
      </c>
      <c r="E879" s="32" t="str">
        <f>[2]!YBHIST($A$2,B879,"LMMOAS","sec","")</f>
        <v>E</v>
      </c>
      <c r="F879">
        <v>99.266402999999997</v>
      </c>
    </row>
    <row r="880" spans="2:6" ht="15" x14ac:dyDescent="0.25">
      <c r="B880" s="14">
        <v>41858</v>
      </c>
      <c r="C880" s="30" t="str">
        <f>[2]!YBHIST($A$2,$B880,"Price","sec","")</f>
        <v>E</v>
      </c>
      <c r="D880" t="str">
        <f>[2]!YBPRICE($A$2,C880&amp;"d",$B881,"OAS","Swap",B880,"LMMSkew","","Model",100,"OAS")</f>
        <v>E</v>
      </c>
      <c r="E880" s="32" t="str">
        <f>[2]!YBHIST($A$2,B880,"LMMOAS","sec","")</f>
        <v>E</v>
      </c>
      <c r="F880">
        <v>99.705803000000003</v>
      </c>
    </row>
    <row r="881" spans="2:6" ht="15" x14ac:dyDescent="0.25">
      <c r="B881" s="14">
        <v>41859</v>
      </c>
      <c r="C881" s="30" t="str">
        <f>[2]!YBHIST($A$2,$B881,"Price","sec","")</f>
        <v>E</v>
      </c>
      <c r="D881" t="str">
        <f>[2]!YBPRICE($A$2,C881&amp;"d",$B882,"OAS","Swap",B881,"LMMSkew","","Model",100,"OAS")</f>
        <v>E</v>
      </c>
      <c r="E881" s="32" t="str">
        <f>[2]!YBHIST($A$2,B881,"LMMOAS","sec","")</f>
        <v>E</v>
      </c>
      <c r="F881">
        <v>100.34470399999999</v>
      </c>
    </row>
    <row r="882" spans="2:6" ht="15" x14ac:dyDescent="0.25">
      <c r="B882" s="14">
        <v>41862</v>
      </c>
      <c r="C882" s="30" t="str">
        <f>[2]!YBHIST($A$2,$B882,"Price","sec","")</f>
        <v>E</v>
      </c>
      <c r="D882" t="str">
        <f>[2]!YBPRICE($A$2,C882&amp;"d",$B883,"OAS","Swap",B882,"LMMSkew","","Model",100,"OAS")</f>
        <v>E</v>
      </c>
      <c r="E882" s="32" t="str">
        <f>[2]!YBHIST($A$2,B882,"LMMOAS","sec","")</f>
        <v>E</v>
      </c>
      <c r="F882">
        <v>100.058296</v>
      </c>
    </row>
    <row r="883" spans="2:6" ht="15" x14ac:dyDescent="0.25">
      <c r="B883" s="14">
        <v>41863</v>
      </c>
      <c r="C883" s="30" t="str">
        <f>[2]!YBHIST($A$2,$B883,"Price","sec","")</f>
        <v>E</v>
      </c>
      <c r="D883" t="str">
        <f>[2]!YBPRICE($A$2,C883&amp;"d",$B884,"OAS","Swap",B883,"LMMSkew","","Model",100,"OAS")</f>
        <v>E</v>
      </c>
      <c r="E883" s="32" t="str">
        <f>[2]!YBHIST($A$2,B883,"LMMOAS","sec","")</f>
        <v>E</v>
      </c>
      <c r="F883">
        <v>104.058403</v>
      </c>
    </row>
    <row r="884" spans="2:6" ht="15" x14ac:dyDescent="0.25">
      <c r="B884" s="14">
        <v>41864</v>
      </c>
      <c r="C884" s="30" t="str">
        <f>[2]!YBHIST($A$2,$B884,"Price","sec","")</f>
        <v>E</v>
      </c>
      <c r="D884" t="str">
        <f>[2]!YBPRICE($A$2,C884&amp;"d",$B885,"OAS","Swap",B884,"LMMSkew","","Model",100,"OAS")</f>
        <v>E</v>
      </c>
      <c r="E884" s="32" t="str">
        <f>[2]!YBHIST($A$2,B884,"LMMOAS","sec","")</f>
        <v>E</v>
      </c>
      <c r="F884">
        <v>109.106796</v>
      </c>
    </row>
    <row r="885" spans="2:6" ht="15" x14ac:dyDescent="0.25">
      <c r="B885" s="14">
        <v>41865</v>
      </c>
      <c r="C885" s="30" t="str">
        <f>[2]!YBHIST($A$2,$B885,"Price","sec","")</f>
        <v>E</v>
      </c>
      <c r="D885" t="str">
        <f>[2]!YBPRICE($A$2,C885&amp;"d",$B886,"OAS","Swap",B885,"LMMSkew","","Model",100,"OAS")</f>
        <v>E</v>
      </c>
      <c r="E885" s="32" t="str">
        <f>[2]!YBHIST($A$2,B885,"LMMOAS","sec","")</f>
        <v>E</v>
      </c>
      <c r="F885">
        <v>108.1576</v>
      </c>
    </row>
    <row r="886" spans="2:6" ht="15" x14ac:dyDescent="0.25">
      <c r="B886" s="14">
        <v>41866</v>
      </c>
      <c r="C886" s="30" t="str">
        <f>[2]!YBHIST($A$2,$B886,"Price","sec","")</f>
        <v>E</v>
      </c>
      <c r="D886" t="str">
        <f>[2]!YBPRICE($A$2,C886&amp;"d",$B887,"OAS","Swap",B886,"LMMSkew","","Model",100,"OAS")</f>
        <v>E</v>
      </c>
      <c r="E886" s="32" t="str">
        <f>[2]!YBHIST($A$2,B886,"LMMOAS","sec","")</f>
        <v>E</v>
      </c>
      <c r="F886">
        <v>116.62979900000001</v>
      </c>
    </row>
    <row r="887" spans="2:6" ht="15" x14ac:dyDescent="0.25">
      <c r="B887" s="14">
        <v>41869</v>
      </c>
      <c r="C887" s="30" t="str">
        <f>[2]!YBHIST($A$2,$B887,"Price","sec","")</f>
        <v>E</v>
      </c>
      <c r="D887" t="str">
        <f>[2]!YBPRICE($A$2,C887&amp;"d",$B888,"OAS","Swap",B887,"LMMSkew","","Model",100,"OAS")</f>
        <v>E</v>
      </c>
      <c r="E887" s="32" t="str">
        <f>[2]!YBHIST($A$2,B887,"LMMOAS","sec","")</f>
        <v>E</v>
      </c>
      <c r="F887">
        <v>110.25299800000001</v>
      </c>
    </row>
    <row r="888" spans="2:6" ht="15" x14ac:dyDescent="0.25">
      <c r="B888" s="14">
        <v>41870</v>
      </c>
      <c r="C888" s="30" t="str">
        <f>[2]!YBHIST($A$2,$B888,"Price","sec","")</f>
        <v>E</v>
      </c>
      <c r="D888" t="str">
        <f>[2]!YBPRICE($A$2,C888&amp;"d",$B889,"OAS","Swap",B888,"LMMSkew","","Model",100,"OAS")</f>
        <v>E</v>
      </c>
      <c r="E888" s="32" t="str">
        <f>[2]!YBHIST($A$2,B888,"LMMOAS","sec","")</f>
        <v>E</v>
      </c>
      <c r="F888">
        <v>105.605698</v>
      </c>
    </row>
    <row r="889" spans="2:6" ht="15" x14ac:dyDescent="0.25">
      <c r="B889" s="14">
        <v>41871</v>
      </c>
      <c r="C889" s="30" t="str">
        <f>[2]!YBHIST($A$2,$B889,"Price","sec","")</f>
        <v>E</v>
      </c>
      <c r="D889" t="str">
        <f>[2]!YBPRICE($A$2,C889&amp;"d",$B890,"OAS","Swap",B889,"LMMSkew","","Model",100,"OAS")</f>
        <v>E</v>
      </c>
      <c r="E889" s="32" t="str">
        <f>[2]!YBHIST($A$2,B889,"LMMOAS","sec","")</f>
        <v>E</v>
      </c>
      <c r="F889">
        <v>88.675597999999994</v>
      </c>
    </row>
    <row r="890" spans="2:6" ht="15" x14ac:dyDescent="0.25">
      <c r="B890" s="14">
        <v>41872</v>
      </c>
      <c r="C890" s="30" t="str">
        <f>[2]!YBHIST($A$2,$B890,"Price","sec","")</f>
        <v>E</v>
      </c>
      <c r="D890" t="str">
        <f>[2]!YBPRICE($A$2,C890&amp;"d",$B891,"OAS","Swap",B890,"LMMSkew","","Model",100,"OAS")</f>
        <v>E</v>
      </c>
      <c r="E890" s="32" t="str">
        <f>[2]!YBHIST($A$2,B890,"LMMOAS","sec","")</f>
        <v>E</v>
      </c>
      <c r="F890">
        <v>89.909401000000003</v>
      </c>
    </row>
    <row r="891" spans="2:6" ht="15" x14ac:dyDescent="0.25">
      <c r="B891" s="14">
        <v>41873</v>
      </c>
      <c r="C891" s="30" t="str">
        <f>[2]!YBHIST($A$2,$B891,"Price","sec","")</f>
        <v>E</v>
      </c>
      <c r="D891" t="str">
        <f>[2]!YBPRICE($A$2,C891&amp;"d",$B892,"OAS","Swap",B891,"LMMSkew","","Model",100,"OAS")</f>
        <v>E</v>
      </c>
      <c r="E891" s="32" t="str">
        <f>[2]!YBHIST($A$2,B891,"LMMOAS","sec","")</f>
        <v>E</v>
      </c>
      <c r="F891">
        <v>86.631798000000003</v>
      </c>
    </row>
    <row r="892" spans="2:6" ht="15" x14ac:dyDescent="0.25">
      <c r="B892" s="14">
        <v>41876</v>
      </c>
      <c r="C892" s="30" t="str">
        <f>[2]!YBHIST($A$2,$B892,"Price","sec","")</f>
        <v>E</v>
      </c>
      <c r="D892" t="str">
        <f>[2]!YBPRICE($A$2,C892&amp;"d",$B893,"OAS","Swap",B892,"LMMSkew","","Model",100,"OAS")</f>
        <v>E</v>
      </c>
      <c r="E892" s="32" t="str">
        <f>[2]!YBHIST($A$2,B892,"LMMOAS","sec","")</f>
        <v>E</v>
      </c>
      <c r="F892">
        <v>95.046599999999998</v>
      </c>
    </row>
    <row r="893" spans="2:6" ht="15" x14ac:dyDescent="0.25">
      <c r="B893" s="14">
        <v>41877</v>
      </c>
      <c r="C893" s="30" t="str">
        <f>[2]!YBHIST($A$2,$B893,"Price","sec","")</f>
        <v>E</v>
      </c>
      <c r="D893" t="str">
        <f>[2]!YBPRICE($A$2,C893&amp;"d",$B894,"OAS","Swap",B893,"LMMSkew","","Model",100,"OAS")</f>
        <v>E</v>
      </c>
      <c r="E893" s="32" t="str">
        <f>[2]!YBHIST($A$2,B893,"LMMOAS","sec","")</f>
        <v>E</v>
      </c>
      <c r="F893">
        <v>98.602097000000001</v>
      </c>
    </row>
    <row r="894" spans="2:6" ht="15" x14ac:dyDescent="0.25">
      <c r="B894" s="14">
        <v>41878</v>
      </c>
      <c r="C894" s="30" t="str">
        <f>[2]!YBHIST($A$2,$B894,"Price","sec","")</f>
        <v>E</v>
      </c>
      <c r="D894" t="str">
        <f>[2]!YBPRICE($A$2,C894&amp;"d",$B895,"OAS","Swap",B894,"LMMSkew","","Model",100,"OAS")</f>
        <v>E</v>
      </c>
      <c r="E894" s="32" t="str">
        <f>[2]!YBHIST($A$2,B894,"LMMOAS","sec","")</f>
        <v>E</v>
      </c>
      <c r="F894">
        <v>104.55940200000001</v>
      </c>
    </row>
    <row r="895" spans="2:6" ht="15" x14ac:dyDescent="0.25">
      <c r="B895" s="14">
        <v>41879</v>
      </c>
      <c r="C895" s="30" t="str">
        <f>[2]!YBHIST($A$2,$B895,"Price","sec","")</f>
        <v>E</v>
      </c>
      <c r="D895" t="str">
        <f>[2]!YBPRICE($A$2,C895&amp;"d",$B896,"OAS","Swap",B895,"LMMSkew","","Model",100,"OAS")</f>
        <v>E</v>
      </c>
      <c r="E895" s="32" t="str">
        <f>[2]!YBHIST($A$2,B895,"LMMOAS","sec","")</f>
        <v>E</v>
      </c>
      <c r="F895">
        <v>103.3377</v>
      </c>
    </row>
    <row r="896" spans="2:6" ht="15" x14ac:dyDescent="0.25">
      <c r="B896" s="14">
        <v>41880</v>
      </c>
      <c r="C896" s="30" t="str">
        <f>[2]!YBHIST($A$2,$B896,"Price","sec","")</f>
        <v>E</v>
      </c>
      <c r="D896" t="str">
        <f>[2]!YBPRICE($A$2,C896&amp;"d",$B897,"OAS","Swap",B896,"LMMSkew","","Model",100,"OAS")</f>
        <v>E</v>
      </c>
      <c r="E896" s="32" t="str">
        <f>[2]!YBHIST($A$2,B896,"LMMOAS","sec","")</f>
        <v>E</v>
      </c>
      <c r="F896">
        <v>103.197998</v>
      </c>
    </row>
    <row r="897" spans="2:6" ht="15" x14ac:dyDescent="0.25">
      <c r="B897" s="14">
        <v>41884</v>
      </c>
      <c r="C897" s="30" t="str">
        <f>[2]!YBHIST($A$2,$B897,"Price","sec","")</f>
        <v>E</v>
      </c>
      <c r="D897" t="str">
        <f>[2]!YBPRICE($A$2,C897&amp;"d",$B898,"OAS","Swap",B897,"LMMSkew","","Model",100,"OAS")</f>
        <v>E</v>
      </c>
      <c r="E897" s="32" t="str">
        <f>[2]!YBHIST($A$2,B897,"LMMOAS","sec","")</f>
        <v>E</v>
      </c>
      <c r="F897">
        <v>82.661300999999995</v>
      </c>
    </row>
    <row r="898" spans="2:6" ht="15" x14ac:dyDescent="0.25">
      <c r="B898" s="14">
        <v>41885</v>
      </c>
      <c r="C898" s="30" t="str">
        <f>[2]!YBHIST($A$2,$B898,"Price","sec","")</f>
        <v>E</v>
      </c>
      <c r="D898" t="str">
        <f>[2]!YBPRICE($A$2,C898&amp;"d",$B899,"OAS","Swap",B898,"LMMSkew","","Model",100,"OAS")</f>
        <v>E</v>
      </c>
      <c r="E898" s="32" t="str">
        <f>[2]!YBHIST($A$2,B898,"LMMOAS","sec","")</f>
        <v>E</v>
      </c>
      <c r="F898">
        <v>75.352303000000006</v>
      </c>
    </row>
    <row r="899" spans="2:6" ht="15" x14ac:dyDescent="0.25">
      <c r="B899" s="14">
        <v>41886</v>
      </c>
      <c r="C899" s="30" t="str">
        <f>[2]!YBHIST($A$2,$B899,"Price","sec","")</f>
        <v>E</v>
      </c>
      <c r="D899" t="str">
        <f>[2]!YBPRICE($A$2,C899&amp;"d",$B900,"OAS","Swap",B899,"LMMSkew","","Model",100,"OAS")</f>
        <v>E</v>
      </c>
      <c r="E899" s="32" t="str">
        <f>[2]!YBHIST($A$2,B899,"LMMOAS","sec","")</f>
        <v>E</v>
      </c>
      <c r="F899">
        <v>67.133101999999994</v>
      </c>
    </row>
    <row r="900" spans="2:6" ht="15" x14ac:dyDescent="0.25">
      <c r="B900" s="14">
        <v>41887</v>
      </c>
      <c r="C900" s="30" t="str">
        <f>[2]!YBHIST($A$2,$B900,"Price","sec","")</f>
        <v>E</v>
      </c>
      <c r="D900" t="str">
        <f>[2]!YBPRICE($A$2,C900&amp;"d",$B901,"OAS","Swap",B900,"LMMSkew","","Model",100,"OAS")</f>
        <v>E</v>
      </c>
      <c r="E900" s="32" t="str">
        <f>[2]!YBHIST($A$2,B900,"LMMOAS","sec","")</f>
        <v>E</v>
      </c>
      <c r="F900">
        <v>69.892196999999996</v>
      </c>
    </row>
    <row r="901" spans="2:6" ht="15" x14ac:dyDescent="0.25">
      <c r="B901" s="14">
        <v>41890</v>
      </c>
      <c r="C901" s="30" t="str">
        <f>[2]!YBHIST($A$2,$B901,"Price","sec","")</f>
        <v>E</v>
      </c>
      <c r="D901" t="str">
        <f>[2]!YBPRICE($A$2,C901&amp;"d",$B902,"OAS","Swap",B901,"LMMSkew","","Model",100,"OAS")</f>
        <v>E</v>
      </c>
      <c r="E901" s="32" t="str">
        <f>[2]!YBHIST($A$2,B901,"LMMOAS","sec","")</f>
        <v>E</v>
      </c>
      <c r="F901">
        <v>61.777000000000001</v>
      </c>
    </row>
    <row r="902" spans="2:6" ht="15" x14ac:dyDescent="0.25">
      <c r="B902" s="14">
        <v>41891</v>
      </c>
      <c r="C902" s="30" t="str">
        <f>[2]!YBHIST($A$2,$B902,"Price","sec","")</f>
        <v>E</v>
      </c>
      <c r="D902" t="str">
        <f>[2]!YBPRICE($A$2,C902&amp;"d",$B903,"OAS","Swap",B902,"LMMSkew","","Model",100,"OAS")</f>
        <v>E</v>
      </c>
      <c r="E902" s="32" t="str">
        <f>[2]!YBHIST($A$2,B902,"LMMOAS","sec","")</f>
        <v>E</v>
      </c>
      <c r="F902">
        <v>51.615600999999998</v>
      </c>
    </row>
    <row r="903" spans="2:6" ht="15" x14ac:dyDescent="0.25">
      <c r="B903" s="14">
        <v>41892</v>
      </c>
      <c r="C903" s="30" t="str">
        <f>[2]!YBHIST($A$2,$B903,"Price","sec","")</f>
        <v>E</v>
      </c>
      <c r="D903" t="str">
        <f>[2]!YBPRICE($A$2,C903&amp;"d",$B904,"OAS","Swap",B903,"LMMSkew","","Model",100,"OAS")</f>
        <v>E</v>
      </c>
      <c r="E903" s="32" t="str">
        <f>[2]!YBHIST($A$2,B903,"LMMOAS","sec","")</f>
        <v>E</v>
      </c>
      <c r="F903">
        <v>55.197701000000002</v>
      </c>
    </row>
    <row r="904" spans="2:6" ht="15" x14ac:dyDescent="0.25">
      <c r="B904" s="14">
        <v>41893</v>
      </c>
      <c r="C904" s="30" t="str">
        <f>[2]!YBHIST($A$2,$B904,"Price","sec","")</f>
        <v>E</v>
      </c>
      <c r="D904" t="str">
        <f>[2]!YBPRICE($A$2,C904&amp;"d",$B905,"OAS","Swap",B904,"LMMSkew","","Model",100,"OAS")</f>
        <v>E</v>
      </c>
      <c r="E904" s="32" t="str">
        <f>[2]!YBHIST($A$2,B904,"LMMOAS","sec","")</f>
        <v>E</v>
      </c>
      <c r="F904">
        <v>59.698002000000002</v>
      </c>
    </row>
    <row r="905" spans="2:6" ht="15" x14ac:dyDescent="0.25">
      <c r="B905" s="14">
        <v>41894</v>
      </c>
      <c r="C905" s="30" t="str">
        <f>[2]!YBHIST($A$2,$B905,"Price","sec","")</f>
        <v>E</v>
      </c>
      <c r="D905" t="str">
        <f>[2]!YBPRICE($A$2,C905&amp;"d",$B906,"OAS","Swap",B905,"LMMSkew","","Model",100,"OAS")</f>
        <v>E</v>
      </c>
      <c r="E905" s="32" t="str">
        <f>[2]!YBHIST($A$2,B905,"LMMOAS","sec","")</f>
        <v>E</v>
      </c>
      <c r="F905">
        <v>57.912998000000002</v>
      </c>
    </row>
    <row r="906" spans="2:6" ht="15" x14ac:dyDescent="0.25">
      <c r="B906" s="14">
        <v>41897</v>
      </c>
      <c r="C906" s="30" t="str">
        <f>[2]!YBHIST($A$2,$B906,"Price","sec","")</f>
        <v>E</v>
      </c>
      <c r="D906" t="str">
        <f>[2]!YBPRICE($A$2,C906&amp;"d",$B907,"OAS","Swap",B906,"LMMSkew","","Model",100,"OAS")</f>
        <v>E</v>
      </c>
      <c r="E906" s="32" t="str">
        <f>[2]!YBHIST($A$2,B906,"LMMOAS","sec","")</f>
        <v>E</v>
      </c>
      <c r="F906">
        <v>60.424702000000003</v>
      </c>
    </row>
    <row r="907" spans="2:6" ht="15" x14ac:dyDescent="0.25">
      <c r="B907" s="14">
        <v>41898</v>
      </c>
      <c r="C907" s="30" t="str">
        <f>[2]!YBHIST($A$2,$B907,"Price","sec","")</f>
        <v>E</v>
      </c>
      <c r="D907" t="str">
        <f>[2]!YBPRICE($A$2,C907&amp;"d",$B908,"OAS","Swap",B907,"LMMSkew","","Model",100,"OAS")</f>
        <v>E</v>
      </c>
      <c r="E907" s="32" t="str">
        <f>[2]!YBHIST($A$2,B907,"LMMOAS","sec","")</f>
        <v>E</v>
      </c>
      <c r="F907">
        <v>65.184402000000006</v>
      </c>
    </row>
    <row r="908" spans="2:6" ht="15" x14ac:dyDescent="0.25">
      <c r="B908" s="14">
        <v>41899</v>
      </c>
      <c r="C908" s="30" t="str">
        <f>[2]!YBHIST($A$2,$B908,"Price","sec","")</f>
        <v>E</v>
      </c>
      <c r="D908" t="str">
        <f>[2]!YBPRICE($A$2,C908&amp;"d",$B909,"OAS","Swap",B908,"LMMSkew","","Model",100,"OAS")</f>
        <v>E</v>
      </c>
      <c r="E908" s="32" t="str">
        <f>[2]!YBHIST($A$2,B908,"LMMOAS","sec","")</f>
        <v>E</v>
      </c>
      <c r="F908">
        <v>65.024497999999994</v>
      </c>
    </row>
    <row r="909" spans="2:6" ht="15" x14ac:dyDescent="0.25">
      <c r="B909" s="14">
        <v>41900</v>
      </c>
      <c r="C909" s="30" t="str">
        <f>[2]!YBHIST($A$2,$B909,"Price","sec","")</f>
        <v>E</v>
      </c>
      <c r="D909" t="str">
        <f>[2]!YBPRICE($A$2,C909&amp;"d",$B910,"OAS","Swap",B909,"LMMSkew","","Model",100,"OAS")</f>
        <v>E</v>
      </c>
      <c r="E909" s="32" t="str">
        <f>[2]!YBHIST($A$2,B909,"LMMOAS","sec","")</f>
        <v>E</v>
      </c>
      <c r="F909">
        <v>62.039299</v>
      </c>
    </row>
    <row r="910" spans="2:6" ht="15" x14ac:dyDescent="0.25">
      <c r="B910" s="14">
        <v>41901</v>
      </c>
      <c r="C910" s="30" t="str">
        <f>[2]!YBHIST($A$2,$B910,"Price","sec","")</f>
        <v>E</v>
      </c>
      <c r="D910" t="str">
        <f>[2]!YBPRICE($A$2,C910&amp;"d",$B911,"OAS","Swap",B910,"LMMSkew","","Model",100,"OAS")</f>
        <v>E</v>
      </c>
      <c r="E910" s="32" t="str">
        <f>[2]!YBHIST($A$2,B910,"LMMOAS","sec","")</f>
        <v>E</v>
      </c>
      <c r="F910">
        <v>61.303199999999997</v>
      </c>
    </row>
    <row r="911" spans="2:6" ht="15" x14ac:dyDescent="0.25">
      <c r="B911" s="14">
        <v>41904</v>
      </c>
      <c r="C911" s="30" t="str">
        <f>[2]!YBHIST($A$2,$B911,"Price","sec","")</f>
        <v>E</v>
      </c>
      <c r="D911" t="str">
        <f>[2]!YBPRICE($A$2,C911&amp;"d",$B912,"OAS","Swap",B911,"LMMSkew","","Model",100,"OAS")</f>
        <v>E</v>
      </c>
      <c r="E911" s="32" t="str">
        <f>[2]!YBHIST($A$2,B911,"LMMOAS","sec","")</f>
        <v>E</v>
      </c>
      <c r="F911">
        <v>66.966697999999994</v>
      </c>
    </row>
    <row r="912" spans="2:6" ht="15" x14ac:dyDescent="0.25">
      <c r="B912" s="14">
        <v>41905</v>
      </c>
      <c r="C912" s="30" t="str">
        <f>[2]!YBHIST($A$2,$B912,"Price","sec","")</f>
        <v>E</v>
      </c>
      <c r="D912" t="str">
        <f>[2]!YBPRICE($A$2,C912&amp;"d",$B913,"OAS","Swap",B912,"LMMSkew","","Model",100,"OAS")</f>
        <v>E</v>
      </c>
      <c r="E912" s="32" t="str">
        <f>[2]!YBHIST($A$2,B912,"LMMOAS","sec","")</f>
        <v>E</v>
      </c>
      <c r="F912">
        <v>67.309997999999993</v>
      </c>
    </row>
    <row r="913" spans="2:6" ht="15" x14ac:dyDescent="0.25">
      <c r="B913" s="14">
        <v>41906</v>
      </c>
      <c r="C913" s="30" t="str">
        <f>[2]!YBHIST($A$2,$B913,"Price","sec","")</f>
        <v>E</v>
      </c>
      <c r="D913" t="str">
        <f>[2]!YBPRICE($A$2,C913&amp;"d",$B914,"OAS","Swap",B913,"LMMSkew","","Model",100,"OAS")</f>
        <v>E</v>
      </c>
      <c r="E913" s="32" t="str">
        <f>[2]!YBHIST($A$2,B913,"LMMOAS","sec","")</f>
        <v>E</v>
      </c>
      <c r="F913">
        <v>55.375098999999999</v>
      </c>
    </row>
    <row r="914" spans="2:6" ht="15" x14ac:dyDescent="0.25">
      <c r="B914" s="14">
        <v>41907</v>
      </c>
      <c r="C914" s="30" t="str">
        <f>[2]!YBHIST($A$2,$B914,"Price","sec","")</f>
        <v>E</v>
      </c>
      <c r="D914" t="str">
        <f>[2]!YBPRICE($A$2,C914&amp;"d",$B915,"OAS","Swap",B914,"LMMSkew","","Model",100,"OAS")</f>
        <v>E</v>
      </c>
      <c r="E914" s="32" t="str">
        <f>[2]!YBHIST($A$2,B914,"LMMOAS","sec","")</f>
        <v>E</v>
      </c>
      <c r="F914">
        <v>57.530498999999999</v>
      </c>
    </row>
    <row r="915" spans="2:6" ht="15" x14ac:dyDescent="0.25">
      <c r="B915" s="14">
        <v>41908</v>
      </c>
      <c r="C915" s="30" t="str">
        <f>[2]!YBHIST($A$2,$B915,"Price","sec","")</f>
        <v>E</v>
      </c>
      <c r="D915" t="str">
        <f>[2]!YBPRICE($A$2,C915&amp;"d",$B916,"OAS","Swap",B915,"LMMSkew","","Model",100,"OAS")</f>
        <v>E</v>
      </c>
      <c r="E915" s="32" t="str">
        <f>[2]!YBHIST($A$2,B915,"LMMOAS","sec","")</f>
        <v>E</v>
      </c>
      <c r="F915">
        <v>52.395000000000003</v>
      </c>
    </row>
    <row r="916" spans="2:6" ht="15" x14ac:dyDescent="0.25">
      <c r="B916" s="14">
        <v>41911</v>
      </c>
      <c r="C916" s="30" t="str">
        <f>[2]!YBHIST($A$2,$B916,"Price","sec","")</f>
        <v>E</v>
      </c>
      <c r="D916" t="str">
        <f>[2]!YBPRICE($A$2,C916&amp;"d",$B917,"OAS","Swap",B916,"LMMSkew","","Model",100,"OAS")</f>
        <v>E</v>
      </c>
      <c r="E916" s="32" t="str">
        <f>[2]!YBHIST($A$2,B916,"LMMOAS","sec","")</f>
        <v>E</v>
      </c>
      <c r="F916">
        <v>54.091301000000001</v>
      </c>
    </row>
    <row r="917" spans="2:6" ht="15" x14ac:dyDescent="0.25">
      <c r="B917" s="14">
        <v>41912</v>
      </c>
      <c r="C917" s="30" t="str">
        <f>[2]!YBHIST($A$2,$B917,"Price","sec","")</f>
        <v>E</v>
      </c>
      <c r="D917" t="str">
        <f>[2]!YBPRICE($A$2,C917&amp;"d",$B918,"OAS","Swap",B917,"LMMSkew","","Model",100,"OAS")</f>
        <v>E</v>
      </c>
      <c r="E917" s="32" t="str">
        <f>[2]!YBHIST($A$2,B917,"LMMOAS","sec","")</f>
        <v>E</v>
      </c>
      <c r="F917">
        <v>57.844501000000001</v>
      </c>
    </row>
    <row r="918" spans="2:6" ht="15" x14ac:dyDescent="0.25">
      <c r="B918" s="14">
        <v>41913</v>
      </c>
      <c r="C918" s="30" t="str">
        <f>[2]!YBHIST($A$2,$B918,"Price","sec","")</f>
        <v>E</v>
      </c>
      <c r="D918" t="str">
        <f>[2]!YBPRICE($A$2,C918&amp;"d",$B919,"OAS","Swap",B918,"LMMSkew","","Model",100,"OAS")</f>
        <v>E</v>
      </c>
      <c r="E918" s="32" t="str">
        <f>[2]!YBHIST($A$2,B918,"LMMOAS","sec","")</f>
        <v>E</v>
      </c>
      <c r="F918">
        <v>60.775199999999998</v>
      </c>
    </row>
    <row r="919" spans="2:6" ht="15" x14ac:dyDescent="0.25">
      <c r="B919" s="14">
        <v>41914</v>
      </c>
      <c r="C919" s="30" t="str">
        <f>[2]!YBHIST($A$2,$B919,"Price","sec","")</f>
        <v>E</v>
      </c>
      <c r="D919" t="str">
        <f>[2]!YBPRICE($A$2,C919&amp;"d",$B920,"OAS","Swap",B919,"LMMSkew","","Model",100,"OAS")</f>
        <v>E</v>
      </c>
      <c r="E919" s="32" t="str">
        <f>[2]!YBHIST($A$2,B919,"LMMOAS","sec","")</f>
        <v>E</v>
      </c>
      <c r="F919">
        <v>57.563499</v>
      </c>
    </row>
    <row r="920" spans="2:6" ht="15" x14ac:dyDescent="0.25">
      <c r="B920" s="14">
        <v>41915</v>
      </c>
      <c r="C920" s="30" t="str">
        <f>[2]!YBHIST($A$2,$B920,"Price","sec","")</f>
        <v>E</v>
      </c>
      <c r="D920" t="str">
        <f>[2]!YBPRICE($A$2,C920&amp;"d",$B921,"OAS","Swap",B920,"LMMSkew","","Model",100,"OAS")</f>
        <v>E</v>
      </c>
      <c r="E920" s="32" t="str">
        <f>[2]!YBHIST($A$2,B920,"LMMOAS","sec","")</f>
        <v>E</v>
      </c>
      <c r="F920">
        <v>44.713402000000002</v>
      </c>
    </row>
    <row r="921" spans="2:6" ht="15" x14ac:dyDescent="0.25">
      <c r="B921" s="14">
        <v>41918</v>
      </c>
      <c r="C921" s="30" t="str">
        <f>[2]!YBHIST($A$2,$B921,"Price","sec","")</f>
        <v>E</v>
      </c>
      <c r="D921" t="str">
        <f>[2]!YBPRICE($A$2,C921&amp;"d",$B922,"OAS","Swap",B921,"LMMSkew","","Model",100,"OAS")</f>
        <v>E</v>
      </c>
      <c r="E921" s="32" t="str">
        <f>[2]!YBHIST($A$2,B921,"LMMOAS","sec","")</f>
        <v>E</v>
      </c>
      <c r="F921">
        <v>55.427399000000001</v>
      </c>
    </row>
    <row r="922" spans="2:6" ht="15" x14ac:dyDescent="0.25">
      <c r="B922" s="14">
        <v>41919</v>
      </c>
      <c r="C922" s="30" t="str">
        <f>[2]!YBHIST($A$2,$B922,"Price","sec","")</f>
        <v>E</v>
      </c>
      <c r="D922" t="str">
        <f>[2]!YBPRICE($A$2,C922&amp;"d",$B923,"OAS","Swap",B922,"LMMSkew","","Model",100,"OAS")</f>
        <v>E</v>
      </c>
      <c r="E922" s="32" t="str">
        <f>[2]!YBHIST($A$2,B922,"LMMOAS","sec","")</f>
        <v>E</v>
      </c>
      <c r="F922">
        <v>66.460601999999994</v>
      </c>
    </row>
    <row r="923" spans="2:6" ht="15" x14ac:dyDescent="0.25">
      <c r="B923" s="14">
        <v>41920</v>
      </c>
      <c r="C923" s="30" t="str">
        <f>[2]!YBHIST($A$2,$B923,"Price","sec","")</f>
        <v>E</v>
      </c>
      <c r="D923" t="str">
        <f>[2]!YBPRICE($A$2,C923&amp;"d",$B924,"OAS","Swap",B923,"LMMSkew","","Model",100,"OAS")</f>
        <v>E</v>
      </c>
      <c r="E923" s="32" t="str">
        <f>[2]!YBHIST($A$2,B923,"LMMOAS","sec","")</f>
        <v>E</v>
      </c>
      <c r="F923">
        <v>86.840401</v>
      </c>
    </row>
    <row r="924" spans="2:6" ht="15" x14ac:dyDescent="0.25">
      <c r="B924" s="14">
        <v>41921</v>
      </c>
      <c r="C924" s="30" t="str">
        <f>[2]!YBHIST($A$2,$B924,"Price","sec","")</f>
        <v>E</v>
      </c>
      <c r="D924" t="str">
        <f>[2]!YBPRICE($A$2,C924&amp;"d",$B925,"OAS","Swap",B924,"LMMSkew","","Model",100,"OAS")</f>
        <v>E</v>
      </c>
      <c r="E924" s="32" t="str">
        <f>[2]!YBHIST($A$2,B924,"LMMOAS","sec","")</f>
        <v>E</v>
      </c>
      <c r="F924">
        <v>83.510802999999996</v>
      </c>
    </row>
    <row r="925" spans="2:6" ht="15" x14ac:dyDescent="0.25">
      <c r="B925" s="14">
        <v>41922</v>
      </c>
      <c r="C925" s="30" t="str">
        <f>[2]!YBHIST($A$2,$B925,"Price","sec","")</f>
        <v>E</v>
      </c>
      <c r="D925" t="str">
        <f>[2]!YBPRICE($A$2,C925&amp;"d",$B926,"OAS","Swap",B925,"LMMSkew","","Model",100,"OAS")</f>
        <v>E</v>
      </c>
      <c r="E925" s="32" t="str">
        <f>[2]!YBHIST($A$2,B925,"LMMOAS","sec","")</f>
        <v>E</v>
      </c>
      <c r="F925">
        <v>91.129897999999997</v>
      </c>
    </row>
    <row r="926" spans="2:6" ht="15" x14ac:dyDescent="0.25">
      <c r="B926" s="14">
        <v>41926</v>
      </c>
      <c r="C926" s="30" t="str">
        <f>[2]!YBHIST($A$2,$B926,"Price","sec","")</f>
        <v>E</v>
      </c>
      <c r="D926" t="str">
        <f>[2]!YBPRICE($A$2,C926&amp;"d",$B927,"OAS","Swap",B926,"LMMSkew","","Model",100,"OAS")</f>
        <v>E</v>
      </c>
      <c r="E926" s="32" t="str">
        <f>[2]!YBHIST($A$2,B926,"LMMOAS","sec","")</f>
        <v>E</v>
      </c>
      <c r="F926">
        <v>117.275902</v>
      </c>
    </row>
    <row r="927" spans="2:6" ht="15" x14ac:dyDescent="0.25">
      <c r="B927" s="14">
        <v>41927</v>
      </c>
      <c r="C927" s="30" t="str">
        <f>[2]!YBHIST($A$2,$B927,"Price","sec","")</f>
        <v>E</v>
      </c>
      <c r="D927" t="str">
        <f>[2]!YBPRICE($A$2,C927&amp;"d",$B928,"OAS","Swap",B927,"LMMSkew","","Model",100,"OAS")</f>
        <v>E</v>
      </c>
      <c r="E927" s="32" t="str">
        <f>[2]!YBHIST($A$2,B927,"LMMOAS","sec","")</f>
        <v>E</v>
      </c>
      <c r="F927">
        <v>132.67210399999999</v>
      </c>
    </row>
    <row r="928" spans="2:6" ht="15" x14ac:dyDescent="0.25">
      <c r="B928" s="14">
        <v>41928</v>
      </c>
      <c r="C928" s="30" t="str">
        <f>[2]!YBHIST($A$2,$B928,"Price","sec","")</f>
        <v>E</v>
      </c>
      <c r="D928" t="str">
        <f>[2]!YBPRICE($A$2,C928&amp;"d",$B929,"OAS","Swap",B928,"LMMSkew","","Model",100,"OAS")</f>
        <v>E</v>
      </c>
      <c r="E928" s="32" t="str">
        <f>[2]!YBHIST($A$2,B928,"LMMOAS","sec","")</f>
        <v>E</v>
      </c>
      <c r="F928">
        <v>136.15679900000001</v>
      </c>
    </row>
    <row r="929" spans="2:6" ht="15" x14ac:dyDescent="0.25">
      <c r="B929" s="14">
        <v>41929</v>
      </c>
      <c r="C929" s="30" t="str">
        <f>[2]!YBHIST($A$2,$B929,"Price","sec","")</f>
        <v>E</v>
      </c>
      <c r="D929" t="str">
        <f>[2]!YBPRICE($A$2,C929&amp;"d",$B930,"OAS","Swap",B929,"LMMSkew","","Model",100,"OAS")</f>
        <v>E</v>
      </c>
      <c r="E929" s="32" t="str">
        <f>[2]!YBHIST($A$2,B929,"LMMOAS","sec","")</f>
        <v>E</v>
      </c>
      <c r="F929">
        <v>136.03630100000001</v>
      </c>
    </row>
    <row r="930" spans="2:6" ht="15" x14ac:dyDescent="0.25">
      <c r="B930" s="14">
        <v>41932</v>
      </c>
      <c r="C930" s="30" t="str">
        <f>[2]!YBHIST($A$2,$B930,"Price","sec","")</f>
        <v>E</v>
      </c>
      <c r="D930" t="str">
        <f>[2]!YBPRICE($A$2,C930&amp;"d",$B931,"OAS","Swap",B930,"LMMSkew","","Model",100,"OAS")</f>
        <v>E</v>
      </c>
      <c r="E930" s="32" t="str">
        <f>[2]!YBHIST($A$2,B930,"LMMOAS","sec","")</f>
        <v>E</v>
      </c>
      <c r="F930">
        <v>146.83329800000001</v>
      </c>
    </row>
    <row r="931" spans="2:6" ht="15" x14ac:dyDescent="0.25">
      <c r="B931" s="14">
        <v>41933</v>
      </c>
      <c r="C931" s="30" t="str">
        <f>[2]!YBHIST($A$2,$B931,"Price","sec","")</f>
        <v>E</v>
      </c>
      <c r="D931" t="str">
        <f>[2]!YBPRICE($A$2,C931&amp;"d",$B932,"OAS","Swap",B931,"LMMSkew","","Model",100,"OAS")</f>
        <v>E</v>
      </c>
      <c r="E931" s="32" t="str">
        <f>[2]!YBHIST($A$2,B931,"LMMOAS","sec","")</f>
        <v>E</v>
      </c>
      <c r="F931">
        <v>151.90010100000001</v>
      </c>
    </row>
    <row r="932" spans="2:6" ht="15" x14ac:dyDescent="0.25">
      <c r="B932" s="14">
        <v>41934</v>
      </c>
      <c r="C932" s="30" t="str">
        <f>[2]!YBHIST($A$2,$B932,"Price","sec","")</f>
        <v>E</v>
      </c>
      <c r="D932" t="str">
        <f>[2]!YBPRICE($A$2,C932&amp;"d",$B933,"OAS","Swap",B932,"LMMSkew","","Model",100,"OAS")</f>
        <v>E</v>
      </c>
      <c r="E932" s="32" t="str">
        <f>[2]!YBHIST($A$2,B932,"LMMOAS","sec","")</f>
        <v>E</v>
      </c>
      <c r="F932">
        <v>150.26139800000001</v>
      </c>
    </row>
    <row r="933" spans="2:6" ht="15" x14ac:dyDescent="0.25">
      <c r="B933" s="14">
        <v>41935</v>
      </c>
      <c r="C933" s="30" t="str">
        <f>[2]!YBHIST($A$2,$B933,"Price","sec","")</f>
        <v>E</v>
      </c>
      <c r="D933" t="str">
        <f>[2]!YBPRICE($A$2,C933&amp;"d",$B934,"OAS","Swap",B933,"LMMSkew","","Model",100,"OAS")</f>
        <v>E</v>
      </c>
      <c r="E933" s="32" t="str">
        <f>[2]!YBHIST($A$2,B933,"LMMOAS","sec","")</f>
        <v>E</v>
      </c>
      <c r="F933">
        <v>126.772903</v>
      </c>
    </row>
    <row r="934" spans="2:6" ht="15" x14ac:dyDescent="0.25">
      <c r="B934" s="14">
        <v>41936</v>
      </c>
      <c r="C934" s="30" t="str">
        <f>[2]!YBHIST($A$2,$B934,"Price","sec","")</f>
        <v>E</v>
      </c>
      <c r="D934" t="str">
        <f>[2]!YBPRICE($A$2,C934&amp;"d",$B935,"OAS","Swap",B934,"LMMSkew","","Model",100,"OAS")</f>
        <v>E</v>
      </c>
      <c r="E934" s="32" t="str">
        <f>[2]!YBHIST($A$2,B934,"LMMOAS","sec","")</f>
        <v>E</v>
      </c>
      <c r="F934">
        <v>113.99430099999999</v>
      </c>
    </row>
    <row r="935" spans="2:6" ht="15" x14ac:dyDescent="0.25">
      <c r="B935" s="14">
        <v>41939</v>
      </c>
      <c r="C935" s="30" t="str">
        <f>[2]!YBHIST($A$2,$B935,"Price","sec","")</f>
        <v>E</v>
      </c>
      <c r="D935" t="str">
        <f>[2]!YBPRICE($A$2,C935&amp;"d",$B936,"OAS","Swap",B935,"LMMSkew","","Model",100,"OAS")</f>
        <v>E</v>
      </c>
      <c r="E935" s="32" t="str">
        <f>[2]!YBHIST($A$2,B935,"LMMOAS","sec","")</f>
        <v>E</v>
      </c>
      <c r="F935">
        <v>112.231697</v>
      </c>
    </row>
    <row r="936" spans="2:6" ht="15" x14ac:dyDescent="0.25">
      <c r="B936" s="14">
        <v>41940</v>
      </c>
      <c r="C936" s="30" t="str">
        <f>[2]!YBHIST($A$2,$B936,"Price","sec","")</f>
        <v>E</v>
      </c>
      <c r="D936" t="str">
        <f>[2]!YBPRICE($A$2,C936&amp;"d",$B937,"OAS","Swap",B936,"LMMSkew","","Model",100,"OAS")</f>
        <v>E</v>
      </c>
      <c r="E936" s="32" t="str">
        <f>[2]!YBHIST($A$2,B936,"LMMOAS","sec","")</f>
        <v>E</v>
      </c>
      <c r="F936">
        <v>104.47489899999999</v>
      </c>
    </row>
    <row r="937" spans="2:6" ht="15" x14ac:dyDescent="0.25">
      <c r="B937" s="14">
        <v>41941</v>
      </c>
      <c r="C937" s="30" t="str">
        <f>[2]!YBHIST($A$2,$B937,"Price","sec","")</f>
        <v>E</v>
      </c>
      <c r="D937" t="str">
        <f>[2]!YBPRICE($A$2,C937&amp;"d",$B938,"OAS","Swap",B937,"LMMSkew","","Model",100,"OAS")</f>
        <v>E</v>
      </c>
      <c r="E937" s="32" t="str">
        <f>[2]!YBHIST($A$2,B937,"LMMOAS","sec","")</f>
        <v>E</v>
      </c>
      <c r="F937">
        <v>87.403503000000001</v>
      </c>
    </row>
    <row r="938" spans="2:6" ht="15" x14ac:dyDescent="0.25">
      <c r="B938" s="14">
        <v>41942</v>
      </c>
      <c r="C938" s="30" t="str">
        <f>[2]!YBHIST($A$2,$B938,"Price","sec","")</f>
        <v>E</v>
      </c>
      <c r="D938" t="str">
        <f>[2]!YBPRICE($A$2,C938&amp;"d",$B939,"OAS","Swap",B938,"LMMSkew","","Model",100,"OAS")</f>
        <v>E</v>
      </c>
      <c r="E938" s="32" t="str">
        <f>[2]!YBHIST($A$2,B938,"LMMOAS","sec","")</f>
        <v>E</v>
      </c>
      <c r="F938">
        <v>95.142700000000005</v>
      </c>
    </row>
    <row r="939" spans="2:6" ht="15" x14ac:dyDescent="0.25">
      <c r="B939" s="14">
        <v>41943</v>
      </c>
      <c r="C939" s="30" t="str">
        <f>[2]!YBHIST($A$2,$B939,"Price","sec","")</f>
        <v>E</v>
      </c>
      <c r="D939" t="str">
        <f>[2]!YBPRICE($A$2,C939&amp;"d",$B940,"OAS","Swap",B939,"LMMSkew","","Model",100,"OAS")</f>
        <v>E</v>
      </c>
      <c r="E939" s="32" t="str">
        <f>[2]!YBHIST($A$2,B939,"LMMOAS","sec","")</f>
        <v>E</v>
      </c>
      <c r="F939">
        <v>82.929603999999998</v>
      </c>
    </row>
    <row r="940" spans="2:6" ht="15" x14ac:dyDescent="0.25">
      <c r="B940" s="14">
        <v>41946</v>
      </c>
      <c r="C940" s="30" t="str">
        <f>[2]!YBHIST($A$2,$B940,"Price","sec","")</f>
        <v>E</v>
      </c>
      <c r="D940" t="str">
        <f>[2]!YBPRICE($A$2,C940&amp;"d",$B941,"OAS","Swap",B940,"LMMSkew","","Model",100,"OAS")</f>
        <v>E</v>
      </c>
      <c r="E940" s="32" t="str">
        <f>[2]!YBHIST($A$2,B940,"LMMOAS","sec","")</f>
        <v>E</v>
      </c>
      <c r="F940">
        <v>74.101898000000006</v>
      </c>
    </row>
    <row r="941" spans="2:6" ht="15" x14ac:dyDescent="0.25">
      <c r="B941" s="14">
        <v>41947</v>
      </c>
      <c r="C941" s="30" t="str">
        <f>[2]!YBHIST($A$2,$B941,"Price","sec","")</f>
        <v>E</v>
      </c>
      <c r="D941" t="str">
        <f>[2]!YBPRICE($A$2,C941&amp;"d",$B942,"OAS","Swap",B941,"LMMSkew","","Model",100,"OAS")</f>
        <v>E</v>
      </c>
      <c r="E941" s="32" t="str">
        <f>[2]!YBHIST($A$2,B941,"LMMOAS","sec","")</f>
        <v>E</v>
      </c>
      <c r="F941">
        <v>69.754897999999997</v>
      </c>
    </row>
    <row r="942" spans="2:6" ht="15" x14ac:dyDescent="0.25">
      <c r="B942" s="14">
        <v>41948</v>
      </c>
      <c r="C942" s="30" t="str">
        <f>[2]!YBHIST($A$2,$B942,"Price","sec","")</f>
        <v>E</v>
      </c>
      <c r="D942" t="str">
        <f>[2]!YBPRICE($A$2,C942&amp;"d",$B943,"OAS","Swap",B942,"LMMSkew","","Model",100,"OAS")</f>
        <v>E</v>
      </c>
      <c r="E942" s="32" t="str">
        <f>[2]!YBHIST($A$2,B942,"LMMOAS","sec","")</f>
        <v>E</v>
      </c>
      <c r="F942">
        <v>67.191497999999996</v>
      </c>
    </row>
    <row r="943" spans="2:6" ht="15" x14ac:dyDescent="0.25">
      <c r="B943" s="14">
        <v>41949</v>
      </c>
      <c r="C943" s="30" t="str">
        <f>[2]!YBHIST($A$2,$B943,"Price","sec","")</f>
        <v>E</v>
      </c>
      <c r="D943" t="str">
        <f>[2]!YBPRICE($A$2,C943&amp;"d",$B944,"OAS","Swap",B943,"LMMSkew","","Model",100,"OAS")</f>
        <v>E</v>
      </c>
      <c r="E943" s="32" t="str">
        <f>[2]!YBHIST($A$2,B943,"LMMOAS","sec","")</f>
        <v>E</v>
      </c>
      <c r="F943">
        <v>65.447800000000001</v>
      </c>
    </row>
    <row r="944" spans="2:6" ht="15" x14ac:dyDescent="0.25">
      <c r="B944" s="14">
        <v>41950</v>
      </c>
      <c r="C944" s="30" t="str">
        <f>[2]!YBHIST($A$2,$B944,"Price","sec","")</f>
        <v>E</v>
      </c>
      <c r="D944" t="str">
        <f>[2]!YBPRICE($A$2,C944&amp;"d",$B945,"OAS","Swap",B944,"LMMSkew","","Model",100,"OAS")</f>
        <v>E</v>
      </c>
      <c r="E944" s="32" t="str">
        <f>[2]!YBHIST($A$2,B944,"LMMOAS","sec","")</f>
        <v>E</v>
      </c>
      <c r="F944">
        <v>71.225196999999994</v>
      </c>
    </row>
    <row r="945" spans="2:6" ht="15" x14ac:dyDescent="0.25">
      <c r="B945" s="14">
        <v>41953</v>
      </c>
      <c r="C945" s="30" t="str">
        <f>[2]!YBHIST($A$2,$B945,"Price","sec","")</f>
        <v>E</v>
      </c>
      <c r="D945" t="str">
        <f>[2]!YBPRICE($A$2,C945&amp;"d",$B946,"OAS","Swap",B945,"LMMSkew","","Model",100,"OAS")</f>
        <v>E</v>
      </c>
      <c r="E945" s="32" t="str">
        <f>[2]!YBHIST($A$2,B945,"LMMOAS","sec","")</f>
        <v>E</v>
      </c>
      <c r="F945">
        <v>72.290397999999996</v>
      </c>
    </row>
    <row r="946" spans="2:6" ht="15" x14ac:dyDescent="0.25">
      <c r="B946" s="14">
        <v>41955</v>
      </c>
      <c r="C946" s="30" t="str">
        <f>[2]!YBHIST($A$2,$B946,"Price","sec","")</f>
        <v>E</v>
      </c>
      <c r="D946" t="str">
        <f>[2]!YBPRICE($A$2,C946&amp;"d",$B947,"OAS","Swap",B946,"LMMSkew","","Model",100,"OAS")</f>
        <v>E</v>
      </c>
      <c r="E946" s="32" t="str">
        <f>[2]!YBHIST($A$2,B946,"LMMOAS","sec","")</f>
        <v>E</v>
      </c>
      <c r="F946">
        <v>72.968802999999994</v>
      </c>
    </row>
    <row r="947" spans="2:6" ht="15" x14ac:dyDescent="0.25">
      <c r="B947" s="14">
        <v>41956</v>
      </c>
      <c r="C947" s="30" t="str">
        <f>[2]!YBHIST($A$2,$B947,"Price","sec","")</f>
        <v>E</v>
      </c>
      <c r="D947" t="str">
        <f>[2]!YBPRICE($A$2,C947&amp;"d",$B948,"OAS","Swap",B947,"LMMSkew","","Model",100,"OAS")</f>
        <v>E</v>
      </c>
      <c r="E947" s="32" t="str">
        <f>[2]!YBHIST($A$2,B947,"LMMOAS","sec","")</f>
        <v>E</v>
      </c>
      <c r="F947">
        <v>75.784698000000006</v>
      </c>
    </row>
    <row r="948" spans="2:6" ht="15" x14ac:dyDescent="0.25">
      <c r="B948" s="14">
        <v>41957</v>
      </c>
      <c r="C948" s="30" t="str">
        <f>[2]!YBHIST($A$2,$B948,"Price","sec","")</f>
        <v>E</v>
      </c>
      <c r="D948" t="str">
        <f>[2]!YBPRICE($A$2,C948&amp;"d",$B949,"OAS","Swap",B948,"LMMSkew","","Model",100,"OAS")</f>
        <v>E</v>
      </c>
      <c r="E948" s="32" t="str">
        <f>[2]!YBHIST($A$2,B948,"LMMOAS","sec","")</f>
        <v>E</v>
      </c>
      <c r="F948">
        <v>76.861298000000005</v>
      </c>
    </row>
    <row r="949" spans="2:6" ht="15" x14ac:dyDescent="0.25">
      <c r="B949" s="14">
        <v>41960</v>
      </c>
      <c r="C949" s="30" t="str">
        <f>[2]!YBHIST($A$2,$B949,"Price","sec","")</f>
        <v>E</v>
      </c>
      <c r="D949" t="str">
        <f>[2]!YBPRICE($A$2,C949&amp;"d",$B950,"OAS","Swap",B949,"LMMSkew","","Model",100,"OAS")</f>
        <v>E</v>
      </c>
      <c r="E949" s="32" t="str">
        <f>[2]!YBHIST($A$2,B949,"LMMOAS","sec","")</f>
        <v>E</v>
      </c>
      <c r="F949">
        <v>78.726799</v>
      </c>
    </row>
    <row r="950" spans="2:6" ht="15" x14ac:dyDescent="0.25">
      <c r="B950" s="14">
        <v>41961</v>
      </c>
      <c r="C950" s="30" t="str">
        <f>[2]!YBHIST($A$2,$B950,"Price","sec","")</f>
        <v>E</v>
      </c>
      <c r="D950" t="str">
        <f>[2]!YBPRICE($A$2,C950&amp;"d",$B951,"OAS","Swap",B950,"LMMSkew","","Model",100,"OAS")</f>
        <v>E</v>
      </c>
      <c r="E950" s="32" t="str">
        <f>[2]!YBHIST($A$2,B950,"LMMOAS","sec","")</f>
        <v>E</v>
      </c>
      <c r="F950">
        <v>77.652901</v>
      </c>
    </row>
    <row r="951" spans="2:6" ht="15" x14ac:dyDescent="0.25">
      <c r="B951" s="14">
        <v>41962</v>
      </c>
      <c r="C951" s="30" t="str">
        <f>[2]!YBHIST($A$2,$B951,"Price","sec","")</f>
        <v>E</v>
      </c>
      <c r="D951" t="str">
        <f>[2]!YBPRICE($A$2,C951&amp;"d",$B952,"OAS","Swap",B951,"LMMSkew","","Model",100,"OAS")</f>
        <v>E</v>
      </c>
      <c r="E951" s="32" t="str">
        <f>[2]!YBHIST($A$2,B951,"LMMOAS","sec","")</f>
        <v>E</v>
      </c>
      <c r="F951">
        <v>70.147300999999999</v>
      </c>
    </row>
    <row r="952" spans="2:6" ht="15" x14ac:dyDescent="0.25">
      <c r="B952" s="14">
        <v>41963</v>
      </c>
      <c r="C952" s="30" t="str">
        <f>[2]!YBHIST($A$2,$B952,"Price","sec","")</f>
        <v>E</v>
      </c>
      <c r="D952" t="str">
        <f>[2]!YBPRICE($A$2,C952&amp;"d",$B953,"OAS","Swap",B952,"LMMSkew","","Model",100,"OAS")</f>
        <v>E</v>
      </c>
      <c r="E952" s="32" t="str">
        <f>[2]!YBHIST($A$2,B952,"LMMOAS","sec","")</f>
        <v>E</v>
      </c>
      <c r="F952">
        <v>75.146202000000002</v>
      </c>
    </row>
    <row r="953" spans="2:6" ht="15" x14ac:dyDescent="0.25">
      <c r="B953" s="14">
        <v>41964</v>
      </c>
      <c r="C953" s="30" t="str">
        <f>[2]!YBHIST($A$2,$B953,"Price","sec","")</f>
        <v>E</v>
      </c>
      <c r="D953" t="str">
        <f>[2]!YBPRICE($A$2,C953&amp;"d",$B954,"OAS","Swap",B953,"LMMSkew","","Model",100,"OAS")</f>
        <v>E</v>
      </c>
      <c r="E953" s="32" t="str">
        <f>[2]!YBHIST($A$2,B953,"LMMOAS","sec","")</f>
        <v>E</v>
      </c>
      <c r="F953">
        <v>75.839400999999995</v>
      </c>
    </row>
    <row r="954" spans="2:6" ht="15" x14ac:dyDescent="0.25">
      <c r="B954" s="14">
        <v>41967</v>
      </c>
      <c r="C954" s="30" t="str">
        <f>[2]!YBHIST($A$2,$B954,"Price","sec","")</f>
        <v>E</v>
      </c>
      <c r="D954" t="str">
        <f>[2]!YBPRICE($A$2,C954&amp;"d",$B955,"OAS","Swap",B954,"LMMSkew","","Model",100,"OAS")</f>
        <v>E</v>
      </c>
      <c r="E954" s="32" t="str">
        <f>[2]!YBHIST($A$2,B954,"LMMOAS","sec","")</f>
        <v>E</v>
      </c>
      <c r="F954">
        <v>72.952797000000004</v>
      </c>
    </row>
    <row r="955" spans="2:6" ht="15" x14ac:dyDescent="0.25">
      <c r="B955" s="14">
        <v>41968</v>
      </c>
      <c r="C955" s="30" t="str">
        <f>[2]!YBHIST($A$2,$B955,"Price","sec","")</f>
        <v>E</v>
      </c>
      <c r="D955" t="str">
        <f>[2]!YBPRICE($A$2,C955&amp;"d",$B956,"OAS","Swap",B955,"LMMSkew","","Model",100,"OAS")</f>
        <v>E</v>
      </c>
      <c r="E955" s="32" t="str">
        <f>[2]!YBHIST($A$2,B955,"LMMOAS","sec","")</f>
        <v>E</v>
      </c>
      <c r="F955">
        <v>77.578299999999999</v>
      </c>
    </row>
    <row r="956" spans="2:6" ht="15" x14ac:dyDescent="0.25">
      <c r="B956" s="14">
        <v>41969</v>
      </c>
      <c r="C956" s="30" t="str">
        <f>[2]!YBHIST($A$2,$B956,"Price","sec","")</f>
        <v>E</v>
      </c>
      <c r="D956" t="str">
        <f>[2]!YBPRICE($A$2,C956&amp;"d",$B957,"OAS","Swap",B956,"LMMSkew","","Model",100,"OAS")</f>
        <v>E</v>
      </c>
      <c r="E956" s="32" t="str">
        <f>[2]!YBHIST($A$2,B956,"LMMOAS","sec","")</f>
        <v>E</v>
      </c>
      <c r="F956">
        <v>76.941901999999999</v>
      </c>
    </row>
    <row r="957" spans="2:6" ht="15" x14ac:dyDescent="0.25">
      <c r="B957" s="14">
        <v>41971</v>
      </c>
      <c r="C957" s="30" t="str">
        <f>[2]!YBHIST($A$2,$B957,"Price","sec","")</f>
        <v>E</v>
      </c>
      <c r="D957" t="str">
        <f>[2]!YBPRICE($A$2,C957&amp;"d",$B958,"OAS","Swap",B957,"LMMSkew","","Model",100,"OAS")</f>
        <v>E</v>
      </c>
      <c r="E957" s="32" t="str">
        <f>[2]!YBHIST($A$2,B957,"LMMOAS","sec","")</f>
        <v>E</v>
      </c>
      <c r="F957">
        <v>89.065101999999996</v>
      </c>
    </row>
    <row r="958" spans="2:6" ht="15" x14ac:dyDescent="0.25">
      <c r="B958" s="14">
        <v>41974</v>
      </c>
      <c r="C958" s="30" t="str">
        <f>[2]!YBHIST($A$2,$B958,"Price","sec","")</f>
        <v>E</v>
      </c>
      <c r="D958" t="str">
        <f>[2]!YBPRICE($A$2,C958&amp;"d",$B959,"OAS","Swap",B958,"LMMSkew","","Model",100,"OAS")</f>
        <v>E</v>
      </c>
      <c r="E958" s="32" t="str">
        <f>[2]!YBHIST($A$2,B958,"LMMOAS","sec","")</f>
        <v>E</v>
      </c>
      <c r="F958">
        <v>94.243401000000006</v>
      </c>
    </row>
    <row r="959" spans="2:6" ht="15" x14ac:dyDescent="0.25">
      <c r="B959" s="14">
        <v>41975</v>
      </c>
      <c r="C959" s="30" t="str">
        <f>[2]!YBHIST($A$2,$B959,"Price","sec","")</f>
        <v>E</v>
      </c>
      <c r="D959" t="str">
        <f>[2]!YBPRICE($A$2,C959&amp;"d",$B960,"OAS","Swap",B959,"LMMSkew","","Model",100,"OAS")</f>
        <v>E</v>
      </c>
      <c r="E959" s="32" t="str">
        <f>[2]!YBHIST($A$2,B959,"LMMOAS","sec","")</f>
        <v>E</v>
      </c>
      <c r="F959">
        <v>81.714995999999999</v>
      </c>
    </row>
    <row r="960" spans="2:6" ht="15" x14ac:dyDescent="0.25">
      <c r="B960" s="14">
        <v>41976</v>
      </c>
      <c r="C960" s="30" t="str">
        <f>[2]!YBHIST($A$2,$B960,"Price","sec","")</f>
        <v>E</v>
      </c>
      <c r="D960" t="str">
        <f>[2]!YBPRICE($A$2,C960&amp;"d",$B961,"OAS","Swap",B960,"LMMSkew","","Model",100,"OAS")</f>
        <v>E</v>
      </c>
      <c r="E960" s="32" t="str">
        <f>[2]!YBHIST($A$2,B960,"LMMOAS","sec","")</f>
        <v>E</v>
      </c>
      <c r="F960">
        <v>73.395897000000005</v>
      </c>
    </row>
    <row r="961" spans="2:6" ht="15" x14ac:dyDescent="0.25">
      <c r="B961" s="14">
        <v>41977</v>
      </c>
      <c r="C961" s="30" t="str">
        <f>[2]!YBHIST($A$2,$B961,"Price","sec","")</f>
        <v>E</v>
      </c>
      <c r="D961" t="str">
        <f>[2]!YBPRICE($A$2,C961&amp;"d",$B962,"OAS","Swap",B961,"LMMSkew","","Model",100,"OAS")</f>
        <v>E</v>
      </c>
      <c r="E961" s="32" t="str">
        <f>[2]!YBHIST($A$2,B961,"LMMOAS","sec","")</f>
        <v>E</v>
      </c>
      <c r="F961">
        <v>72.556702000000001</v>
      </c>
    </row>
    <row r="962" spans="2:6" ht="15" x14ac:dyDescent="0.25">
      <c r="B962" s="14">
        <v>41978</v>
      </c>
      <c r="C962" s="30" t="str">
        <f>[2]!YBHIST($A$2,$B962,"Price","sec","")</f>
        <v>E</v>
      </c>
      <c r="D962" t="str">
        <f>[2]!YBPRICE($A$2,C962&amp;"d",$B963,"OAS","Swap",B962,"LMMSkew","","Model",100,"OAS")</f>
        <v>E</v>
      </c>
      <c r="E962" s="32" t="str">
        <f>[2]!YBHIST($A$2,B962,"LMMOAS","sec","")</f>
        <v>E</v>
      </c>
      <c r="F962">
        <v>39.470798000000002</v>
      </c>
    </row>
    <row r="963" spans="2:6" ht="15" x14ac:dyDescent="0.25">
      <c r="B963" s="14">
        <v>41981</v>
      </c>
      <c r="C963" s="30" t="str">
        <f>[2]!YBHIST($A$2,$B963,"Price","sec","")</f>
        <v>E</v>
      </c>
      <c r="D963" t="str">
        <f>[2]!YBPRICE($A$2,C963&amp;"d",$B964,"OAS","Swap",B963,"LMMSkew","","Model",100,"OAS")</f>
        <v>E</v>
      </c>
      <c r="E963" s="32" t="str">
        <f>[2]!YBHIST($A$2,B963,"LMMOAS","sec","")</f>
        <v>E</v>
      </c>
      <c r="F963">
        <v>42.537601000000002</v>
      </c>
    </row>
    <row r="964" spans="2:6" ht="15" x14ac:dyDescent="0.25">
      <c r="B964" s="14">
        <v>41982</v>
      </c>
      <c r="C964" s="30" t="str">
        <f>[2]!YBHIST($A$2,$B964,"Price","sec","")</f>
        <v>E</v>
      </c>
      <c r="D964" t="str">
        <f>[2]!YBPRICE($A$2,C964&amp;"d",$B965,"OAS","Swap",B964,"LMMSkew","","Model",100,"OAS")</f>
        <v>E</v>
      </c>
      <c r="E964" s="32" t="str">
        <f>[2]!YBHIST($A$2,B964,"LMMOAS","sec","")</f>
        <v>E</v>
      </c>
      <c r="F964">
        <v>54.443699000000002</v>
      </c>
    </row>
    <row r="965" spans="2:6" ht="15" x14ac:dyDescent="0.25">
      <c r="B965" s="14">
        <v>41983</v>
      </c>
      <c r="C965" s="30" t="str">
        <f>[2]!YBHIST($A$2,$B965,"Price","sec","")</f>
        <v>E</v>
      </c>
      <c r="D965" t="str">
        <f>[2]!YBPRICE($A$2,C965&amp;"d",$B966,"OAS","Swap",B965,"LMMSkew","","Model",100,"OAS")</f>
        <v>E</v>
      </c>
      <c r="E965" s="32" t="str">
        <f>[2]!YBHIST($A$2,B965,"LMMOAS","sec","")</f>
        <v>E</v>
      </c>
      <c r="F965">
        <v>63.375301</v>
      </c>
    </row>
    <row r="966" spans="2:6" ht="15" x14ac:dyDescent="0.25">
      <c r="B966" s="14">
        <v>41984</v>
      </c>
      <c r="C966" s="30" t="str">
        <f>[2]!YBHIST($A$2,$B966,"Price","sec","")</f>
        <v>E</v>
      </c>
      <c r="D966" t="str">
        <f>[2]!YBPRICE($A$2,C966&amp;"d",$B967,"OAS","Swap",B966,"LMMSkew","","Model",100,"OAS")</f>
        <v>E</v>
      </c>
      <c r="E966" s="32" t="str">
        <f>[2]!YBHIST($A$2,B966,"LMMOAS","sec","")</f>
        <v>E</v>
      </c>
      <c r="F966">
        <v>62.807098000000003</v>
      </c>
    </row>
    <row r="967" spans="2:6" ht="15" x14ac:dyDescent="0.25">
      <c r="B967" s="14">
        <v>41985</v>
      </c>
      <c r="C967" s="30" t="str">
        <f>[2]!YBHIST($A$2,$B967,"Price","sec","")</f>
        <v>E</v>
      </c>
      <c r="D967" t="str">
        <f>[2]!YBPRICE($A$2,C967&amp;"d",$B968,"OAS","Swap",B967,"LMMSkew","","Model",100,"OAS")</f>
        <v>E</v>
      </c>
      <c r="E967" s="32" t="str">
        <f>[2]!YBHIST($A$2,B967,"LMMOAS","sec","")</f>
        <v>E</v>
      </c>
      <c r="F967">
        <v>72.946701000000004</v>
      </c>
    </row>
    <row r="968" spans="2:6" ht="15" x14ac:dyDescent="0.25">
      <c r="B968" s="14">
        <v>41988</v>
      </c>
      <c r="C968" s="30" t="str">
        <f>[2]!YBHIST($A$2,$B968,"Price","sec","")</f>
        <v>E</v>
      </c>
      <c r="D968" t="str">
        <f>[2]!YBPRICE($A$2,C968&amp;"d",$B969,"OAS","Swap",B968,"LMMSkew","","Model",100,"OAS")</f>
        <v>E</v>
      </c>
      <c r="E968" s="32" t="str">
        <f>[2]!YBHIST($A$2,B968,"LMMOAS","sec","")</f>
        <v>E</v>
      </c>
      <c r="F968">
        <v>74.986298000000005</v>
      </c>
    </row>
    <row r="969" spans="2:6" ht="15" x14ac:dyDescent="0.25">
      <c r="B969" s="14">
        <v>41989</v>
      </c>
      <c r="C969" s="30" t="str">
        <f>[2]!YBHIST($A$2,$B969,"Price","sec","")</f>
        <v>E</v>
      </c>
      <c r="D969" t="str">
        <f>[2]!YBPRICE($A$2,C969&amp;"d",$B970,"OAS","Swap",B969,"LMMSkew","","Model",100,"OAS")</f>
        <v>E</v>
      </c>
      <c r="E969" s="32" t="str">
        <f>[2]!YBHIST($A$2,B969,"LMMOAS","sec","")</f>
        <v>E</v>
      </c>
      <c r="F969">
        <v>88.887100000000004</v>
      </c>
    </row>
    <row r="970" spans="2:6" ht="15" x14ac:dyDescent="0.25">
      <c r="B970" s="14">
        <v>41990</v>
      </c>
      <c r="C970" s="30" t="str">
        <f>[2]!YBHIST($A$2,$B970,"Price","sec","")</f>
        <v>E</v>
      </c>
      <c r="D970" t="str">
        <f>[2]!YBPRICE($A$2,C970&amp;"d",$B971,"OAS","Swap",B970,"LMMSkew","","Model",100,"OAS")</f>
        <v>E</v>
      </c>
      <c r="E970" s="32" t="str">
        <f>[2]!YBHIST($A$2,B970,"LMMOAS","sec","")</f>
        <v>E</v>
      </c>
      <c r="F970">
        <v>88.132103000000001</v>
      </c>
    </row>
    <row r="971" spans="2:6" ht="15" x14ac:dyDescent="0.25">
      <c r="B971" s="14">
        <v>41991</v>
      </c>
      <c r="C971" s="30" t="str">
        <f>[2]!YBHIST($A$2,$B971,"Price","sec","")</f>
        <v>E</v>
      </c>
      <c r="D971" t="str">
        <f>[2]!YBPRICE($A$2,C971&amp;"d",$B972,"OAS","Swap",B971,"LMMSkew","","Model",100,"OAS")</f>
        <v>E</v>
      </c>
      <c r="E971" s="32" t="str">
        <f>[2]!YBHIST($A$2,B971,"LMMOAS","sec","")</f>
        <v>E</v>
      </c>
      <c r="F971">
        <v>70.679603999999998</v>
      </c>
    </row>
    <row r="972" spans="2:6" ht="15" x14ac:dyDescent="0.25">
      <c r="B972" s="14">
        <v>41992</v>
      </c>
      <c r="C972" s="30" t="str">
        <f>[2]!YBHIST($A$2,$B972,"Price","sec","")</f>
        <v>E</v>
      </c>
      <c r="D972" t="str">
        <f>[2]!YBPRICE($A$2,C972&amp;"d",$B973,"OAS","Swap",B972,"LMMSkew","","Model",100,"OAS")</f>
        <v>E</v>
      </c>
      <c r="E972" s="32" t="str">
        <f>[2]!YBHIST($A$2,B972,"LMMOAS","sec","")</f>
        <v>E</v>
      </c>
      <c r="F972">
        <v>60.971499999999999</v>
      </c>
    </row>
    <row r="973" spans="2:6" ht="15" x14ac:dyDescent="0.25">
      <c r="B973" s="14">
        <v>41995</v>
      </c>
      <c r="C973" s="30" t="str">
        <f>[2]!YBHIST($A$2,$B973,"Price","sec","")</f>
        <v>E</v>
      </c>
      <c r="D973" t="str">
        <f>[2]!YBPRICE($A$2,C973&amp;"d",$B974,"OAS","Swap",B973,"LMMSkew","","Model",100,"OAS")</f>
        <v>E</v>
      </c>
      <c r="E973" s="32" t="str">
        <f>[2]!YBHIST($A$2,B973,"LMMOAS","sec","")</f>
        <v>E</v>
      </c>
      <c r="F973">
        <v>58.037998000000002</v>
      </c>
    </row>
    <row r="974" spans="2:6" ht="15" x14ac:dyDescent="0.25">
      <c r="B974" s="14">
        <v>41996</v>
      </c>
      <c r="C974" s="30" t="str">
        <f>[2]!YBHIST($A$2,$B974,"Price","sec","")</f>
        <v>E</v>
      </c>
      <c r="D974" t="str">
        <f>[2]!YBPRICE($A$2,C974&amp;"d",$B975,"OAS","Swap",B974,"LMMSkew","","Model",100,"OAS")</f>
        <v>E</v>
      </c>
      <c r="E974" s="32" t="str">
        <f>[2]!YBHIST($A$2,B974,"LMMOAS","sec","")</f>
        <v>E</v>
      </c>
      <c r="F974">
        <v>65.367103999999998</v>
      </c>
    </row>
    <row r="975" spans="2:6" ht="15" x14ac:dyDescent="0.25">
      <c r="B975" s="14">
        <v>41997</v>
      </c>
      <c r="C975" s="30" t="str">
        <f>[2]!YBHIST($A$2,$B975,"Price","sec","")</f>
        <v>E</v>
      </c>
      <c r="D975" t="str">
        <f>[2]!YBPRICE($A$2,C975&amp;"d",$B976,"OAS","Swap",B975,"LMMSkew","","Model",100,"OAS")</f>
        <v>E</v>
      </c>
      <c r="E975" s="32" t="str">
        <f>[2]!YBHIST($A$2,B975,"LMMOAS","sec","")</f>
        <v>E</v>
      </c>
      <c r="F975">
        <v>54.571399999999997</v>
      </c>
    </row>
    <row r="976" spans="2:6" ht="15" x14ac:dyDescent="0.25">
      <c r="B976" s="14">
        <v>41999</v>
      </c>
      <c r="C976" s="30" t="str">
        <f>[2]!YBHIST($A$2,$B976,"Price","sec","")</f>
        <v>E</v>
      </c>
      <c r="D976" t="str">
        <f>[2]!YBPRICE($A$2,C976&amp;"d",$B977,"OAS","Swap",B976,"LMMSkew","","Model",100,"OAS")</f>
        <v>E</v>
      </c>
      <c r="E976" s="32" t="str">
        <f>[2]!YBHIST($A$2,B976,"LMMOAS","sec","")</f>
        <v>E</v>
      </c>
      <c r="F976">
        <v>51.006802</v>
      </c>
    </row>
    <row r="977" spans="2:6" ht="15" x14ac:dyDescent="0.25">
      <c r="B977" s="14">
        <v>42002</v>
      </c>
      <c r="C977" s="30" t="str">
        <f>[2]!YBHIST($A$2,$B977,"Price","sec","")</f>
        <v>E</v>
      </c>
      <c r="D977" t="str">
        <f>[2]!YBPRICE($A$2,C977&amp;"d",$B978,"OAS","Swap",B977,"LMMSkew","","Model",100,"OAS")</f>
        <v>E</v>
      </c>
      <c r="E977" s="32" t="str">
        <f>[2]!YBHIST($A$2,B977,"LMMOAS","sec","")</f>
        <v>E</v>
      </c>
      <c r="F977">
        <v>51.181099000000003</v>
      </c>
    </row>
    <row r="978" spans="2:6" ht="15" x14ac:dyDescent="0.25">
      <c r="B978" s="14">
        <v>42003</v>
      </c>
      <c r="C978" s="30" t="str">
        <f>[2]!YBHIST($A$2,$B978,"Price","sec","")</f>
        <v>E</v>
      </c>
      <c r="D978" t="str">
        <f>[2]!YBPRICE($A$2,C978&amp;"d",$B979,"OAS","Swap",B978,"LMMSkew","","Model",100,"OAS")</f>
        <v>E</v>
      </c>
      <c r="E978" s="32" t="str">
        <f>[2]!YBHIST($A$2,B978,"LMMOAS","sec","")</f>
        <v>E</v>
      </c>
      <c r="F978">
        <v>56.730801</v>
      </c>
    </row>
    <row r="979" spans="2:6" ht="15" x14ac:dyDescent="0.25">
      <c r="B979" s="14">
        <v>42004</v>
      </c>
      <c r="C979" s="30" t="str">
        <f>[2]!YBHIST($A$2,$B979,"Price","sec","")</f>
        <v>E</v>
      </c>
      <c r="D979" t="str">
        <f>[2]!YBPRICE($A$2,C979&amp;"d",$B980,"OAS","Swap",B979,"LMMSkew","","Model",100,"OAS")</f>
        <v>E</v>
      </c>
      <c r="E979" s="32" t="str">
        <f>[2]!YBHIST($A$2,B979,"LMMOAS","sec","")</f>
        <v>E</v>
      </c>
      <c r="F979">
        <v>60.460299999999997</v>
      </c>
    </row>
    <row r="980" spans="2:6" ht="15" x14ac:dyDescent="0.25">
      <c r="B980" s="14">
        <v>42006</v>
      </c>
      <c r="C980" s="30" t="str">
        <f>[2]!YBHIST($A$2,$B980,"Price","sec","")</f>
        <v>E</v>
      </c>
      <c r="D980" t="str">
        <f>[2]!YBPRICE($A$2,C980&amp;"d",$B981,"OAS","Swap",B980,"LMMSkew","","Model",100,"OAS")</f>
        <v>E</v>
      </c>
      <c r="E980" s="32" t="str">
        <f>[2]!YBHIST($A$2,B980,"LMMOAS","sec","")</f>
        <v>E</v>
      </c>
      <c r="F980">
        <v>55.322102000000001</v>
      </c>
    </row>
    <row r="981" spans="2:6" ht="15" x14ac:dyDescent="0.25">
      <c r="B981" s="14">
        <v>42009</v>
      </c>
      <c r="C981" s="30" t="str">
        <f>[2]!YBHIST($A$2,$B981,"Price","sec","")</f>
        <v>E</v>
      </c>
      <c r="D981" t="str">
        <f>[2]!YBPRICE($A$2,C981&amp;"d",$B982,"OAS","Swap",B981,"LMMSkew","","Model",100,"OAS")</f>
        <v>E</v>
      </c>
      <c r="E981" s="32" t="str">
        <f>[2]!YBHIST($A$2,B981,"LMMOAS","sec","")</f>
        <v>E</v>
      </c>
      <c r="F981">
        <v>59.036498999999999</v>
      </c>
    </row>
    <row r="982" spans="2:6" ht="15" x14ac:dyDescent="0.25">
      <c r="B982" s="14">
        <v>42010</v>
      </c>
      <c r="C982" s="30" t="str">
        <f>[2]!YBHIST($A$2,$B982,"Price","sec","")</f>
        <v>E</v>
      </c>
      <c r="D982" t="str">
        <f>[2]!YBPRICE($A$2,C982&amp;"d",$B983,"OAS","Swap",B982,"LMMSkew","","Model",100,"OAS")</f>
        <v>E</v>
      </c>
      <c r="E982" s="32" t="str">
        <f>[2]!YBHIST($A$2,B982,"LMMOAS","sec","")</f>
        <v>E</v>
      </c>
      <c r="F982">
        <v>72.939400000000006</v>
      </c>
    </row>
    <row r="983" spans="2:6" ht="15" x14ac:dyDescent="0.25">
      <c r="B983" s="14">
        <v>42011</v>
      </c>
      <c r="C983" s="30" t="str">
        <f>[2]!YBHIST($A$2,$B983,"Price","sec","")</f>
        <v>E</v>
      </c>
      <c r="D983" t="str">
        <f>[2]!YBPRICE($A$2,C983&amp;"d",$B984,"OAS","Swap",B983,"LMMSkew","","Model",100,"OAS")</f>
        <v>E</v>
      </c>
      <c r="E983" s="32" t="str">
        <f>[2]!YBHIST($A$2,B983,"LMMOAS","sec","")</f>
        <v>E</v>
      </c>
      <c r="F983">
        <v>83.752296000000001</v>
      </c>
    </row>
    <row r="984" spans="2:6" ht="15" x14ac:dyDescent="0.25">
      <c r="B984" s="14">
        <v>42012</v>
      </c>
      <c r="C984" s="30" t="str">
        <f>[2]!YBHIST($A$2,$B984,"Price","sec","")</f>
        <v>E</v>
      </c>
      <c r="D984" t="str">
        <f>[2]!YBPRICE($A$2,C984&amp;"d",$B985,"OAS","Swap",B984,"LMMSkew","","Model",100,"OAS")</f>
        <v>E</v>
      </c>
      <c r="E984" s="32" t="str">
        <f>[2]!YBHIST($A$2,B984,"LMMOAS","sec","")</f>
        <v>E</v>
      </c>
      <c r="F984">
        <v>96.111999999999995</v>
      </c>
    </row>
    <row r="985" spans="2:6" ht="15" x14ac:dyDescent="0.25">
      <c r="B985" s="14">
        <v>42013</v>
      </c>
      <c r="C985" s="30" t="str">
        <f>[2]!YBHIST($A$2,$B985,"Price","sec","")</f>
        <v>E</v>
      </c>
      <c r="D985" t="str">
        <f>[2]!YBPRICE($A$2,C985&amp;"d",$B986,"OAS","Swap",B985,"LMMSkew","","Model",100,"OAS")</f>
        <v>E</v>
      </c>
      <c r="E985" s="32" t="str">
        <f>[2]!YBHIST($A$2,B985,"LMMOAS","sec","")</f>
        <v>E</v>
      </c>
      <c r="F985">
        <v>113.276802</v>
      </c>
    </row>
    <row r="986" spans="2:6" ht="15" x14ac:dyDescent="0.25">
      <c r="B986" s="14">
        <v>42016</v>
      </c>
      <c r="C986" s="30" t="str">
        <f>[2]!YBHIST($A$2,$B986,"Price","sec","")</f>
        <v>E</v>
      </c>
      <c r="D986" t="str">
        <f>[2]!YBPRICE($A$2,C986&amp;"d",$B987,"OAS","Swap",B986,"LMMSkew","","Model",100,"OAS")</f>
        <v>E</v>
      </c>
      <c r="E986" s="32" t="str">
        <f>[2]!YBHIST($A$2,B986,"LMMOAS","sec","")</f>
        <v>E</v>
      </c>
      <c r="F986">
        <v>146.342804</v>
      </c>
    </row>
    <row r="987" spans="2:6" ht="15" x14ac:dyDescent="0.25">
      <c r="B987" s="14">
        <v>42017</v>
      </c>
      <c r="C987" s="30" t="str">
        <f>[2]!YBHIST($A$2,$B987,"Price","sec","")</f>
        <v>E</v>
      </c>
      <c r="D987" t="str">
        <f>[2]!YBPRICE($A$2,C987&amp;"d",$B988,"OAS","Swap",B987,"LMMSkew","","Model",100,"OAS")</f>
        <v>E</v>
      </c>
      <c r="E987" s="32" t="str">
        <f>[2]!YBHIST($A$2,B987,"LMMOAS","sec","")</f>
        <v>E</v>
      </c>
      <c r="F987">
        <v>174.15280200000001</v>
      </c>
    </row>
    <row r="988" spans="2:6" ht="15" x14ac:dyDescent="0.25">
      <c r="B988" s="14">
        <v>42018</v>
      </c>
      <c r="C988" s="30" t="str">
        <f>[2]!YBHIST($A$2,$B988,"Price","sec","")</f>
        <v>E</v>
      </c>
      <c r="D988" t="str">
        <f>[2]!YBPRICE($A$2,C988&amp;"d",$B989,"OAS","Swap",B988,"LMMSkew","","Model",100,"OAS")</f>
        <v>E</v>
      </c>
      <c r="E988" s="32" t="str">
        <f>[2]!YBHIST($A$2,B988,"LMMOAS","sec","")</f>
        <v>E</v>
      </c>
      <c r="F988">
        <v>184.27740499999999</v>
      </c>
    </row>
    <row r="989" spans="2:6" ht="15" x14ac:dyDescent="0.25">
      <c r="B989" s="14">
        <v>42019</v>
      </c>
      <c r="C989" s="30" t="str">
        <f>[2]!YBHIST($A$2,$B989,"Price","sec","")</f>
        <v>E</v>
      </c>
      <c r="D989" t="str">
        <f>[2]!YBPRICE($A$2,C989&amp;"d",$B990,"OAS","Swap",B989,"LMMSkew","","Model",100,"OAS")</f>
        <v>E</v>
      </c>
      <c r="E989" s="32" t="str">
        <f>[2]!YBHIST($A$2,B989,"LMMOAS","sec","")</f>
        <v>E</v>
      </c>
      <c r="F989">
        <v>215.29179400000001</v>
      </c>
    </row>
    <row r="990" spans="2:6" ht="15" x14ac:dyDescent="0.25">
      <c r="B990" s="14">
        <v>42020</v>
      </c>
      <c r="C990" s="30" t="str">
        <f>[2]!YBHIST($A$2,$B990,"Price","sec","")</f>
        <v>E</v>
      </c>
      <c r="D990" t="str">
        <f>[2]!YBPRICE($A$2,C990&amp;"d",$B991,"OAS","Swap",B990,"LMMSkew","","Model",100,"OAS")</f>
        <v>E</v>
      </c>
      <c r="E990" s="32" t="str">
        <f>[2]!YBHIST($A$2,B990,"LMMOAS","sec","")</f>
        <v>E</v>
      </c>
      <c r="F990">
        <v>187.47669999999999</v>
      </c>
    </row>
    <row r="991" spans="2:6" ht="15" x14ac:dyDescent="0.25">
      <c r="B991" s="14">
        <v>42024</v>
      </c>
      <c r="C991" s="30" t="str">
        <f>[2]!YBHIST($A$2,$B991,"Price","sec","")</f>
        <v>E</v>
      </c>
      <c r="D991" t="str">
        <f>[2]!YBPRICE($A$2,C991&amp;"d",$B992,"OAS","Swap",B991,"LMMSkew","","Model",100,"OAS")</f>
        <v>E</v>
      </c>
      <c r="E991" s="32" t="str">
        <f>[2]!YBHIST($A$2,B991,"LMMOAS","sec","")</f>
        <v>E</v>
      </c>
      <c r="F991">
        <v>200.56449900000001</v>
      </c>
    </row>
    <row r="992" spans="2:6" ht="15" x14ac:dyDescent="0.25">
      <c r="B992" s="14">
        <v>42025</v>
      </c>
      <c r="C992" s="30" t="str">
        <f>[2]!YBHIST($A$2,$B992,"Price","sec","")</f>
        <v>E</v>
      </c>
      <c r="D992" t="str">
        <f>[2]!YBPRICE($A$2,C992&amp;"d",$B993,"OAS","Swap",B992,"LMMSkew","","Model",100,"OAS")</f>
        <v>E</v>
      </c>
      <c r="E992" s="32" t="str">
        <f>[2]!YBHIST($A$2,B992,"LMMOAS","sec","")</f>
        <v>E</v>
      </c>
      <c r="F992">
        <v>218.52499399999999</v>
      </c>
    </row>
    <row r="993" spans="2:6" ht="15" x14ac:dyDescent="0.25">
      <c r="B993" s="14">
        <v>42026</v>
      </c>
      <c r="C993" s="30" t="str">
        <f>[2]!YBHIST($A$2,$B993,"Price","sec","")</f>
        <v>E</v>
      </c>
      <c r="D993" t="str">
        <f>[2]!YBPRICE($A$2,C993&amp;"d",$B994,"OAS","Swap",B993,"LMMSkew","","Model",100,"OAS")</f>
        <v>E</v>
      </c>
      <c r="E993" s="32" t="str">
        <f>[2]!YBHIST($A$2,B993,"LMMOAS","sec","")</f>
        <v>E</v>
      </c>
      <c r="F993">
        <v>213.32179300000001</v>
      </c>
    </row>
    <row r="994" spans="2:6" ht="15" x14ac:dyDescent="0.25">
      <c r="B994" s="14">
        <v>42027</v>
      </c>
      <c r="C994" s="30" t="str">
        <f>[2]!YBHIST($A$2,$B994,"Price","sec","")</f>
        <v>E</v>
      </c>
      <c r="D994" t="str">
        <f>[2]!YBPRICE($A$2,C994&amp;"d",$B995,"OAS","Swap",B994,"LMMSkew","","Model",100,"OAS")</f>
        <v>E</v>
      </c>
      <c r="E994" s="32" t="str">
        <f>[2]!YBHIST($A$2,B994,"LMMOAS","sec","")</f>
        <v>E</v>
      </c>
      <c r="F994">
        <v>236.92919900000001</v>
      </c>
    </row>
    <row r="995" spans="2:6" ht="15" x14ac:dyDescent="0.25">
      <c r="B995" s="14">
        <v>42030</v>
      </c>
      <c r="C995" s="30" t="str">
        <f>[2]!YBHIST($A$2,$B995,"Price","sec","")</f>
        <v>E</v>
      </c>
      <c r="D995" t="str">
        <f>[2]!YBPRICE($A$2,C995&amp;"d",$B996,"OAS","Swap",B995,"LMMSkew","","Model",100,"OAS")</f>
        <v>E</v>
      </c>
      <c r="E995" s="32" t="str">
        <f>[2]!YBHIST($A$2,B995,"LMMOAS","sec","")</f>
        <v>E</v>
      </c>
      <c r="F995">
        <v>244.51870700000001</v>
      </c>
    </row>
    <row r="996" spans="2:6" ht="15" x14ac:dyDescent="0.25">
      <c r="B996" s="14">
        <v>42031</v>
      </c>
      <c r="C996" s="30" t="str">
        <f>[2]!YBHIST($A$2,$B996,"Price","sec","")</f>
        <v>E</v>
      </c>
      <c r="D996" t="str">
        <f>[2]!YBPRICE($A$2,C996&amp;"d",$B997,"OAS","Swap",B996,"LMMSkew","","Model",100,"OAS")</f>
        <v>E</v>
      </c>
      <c r="E996" s="32" t="str">
        <f>[2]!YBHIST($A$2,B996,"LMMOAS","sec","")</f>
        <v>E</v>
      </c>
      <c r="F996">
        <v>251.349197</v>
      </c>
    </row>
    <row r="997" spans="2:6" ht="15" x14ac:dyDescent="0.25">
      <c r="B997" s="14">
        <v>42032</v>
      </c>
      <c r="C997" s="30" t="str">
        <f>[2]!YBHIST($A$2,$B997,"Price","sec","")</f>
        <v>E</v>
      </c>
      <c r="D997" t="str">
        <f>[2]!YBPRICE($A$2,C997&amp;"d",$B998,"OAS","Swap",B997,"LMMSkew","","Model",100,"OAS")</f>
        <v>E</v>
      </c>
      <c r="E997" s="32" t="str">
        <f>[2]!YBHIST($A$2,B997,"LMMOAS","sec","")</f>
        <v>E</v>
      </c>
      <c r="F997">
        <v>279.388306</v>
      </c>
    </row>
    <row r="998" spans="2:6" ht="15" x14ac:dyDescent="0.25">
      <c r="B998" s="14">
        <v>42033</v>
      </c>
      <c r="C998" s="30" t="str">
        <f>[2]!YBHIST($A$2,$B998,"Price","sec","")</f>
        <v>E</v>
      </c>
      <c r="D998" t="str">
        <f>[2]!YBPRICE($A$2,C998&amp;"d",$B999,"OAS","Swap",B998,"LMMSkew","","Model",100,"OAS")</f>
        <v>E</v>
      </c>
      <c r="E998" s="32" t="str">
        <f>[2]!YBHIST($A$2,B998,"LMMOAS","sec","")</f>
        <v>E</v>
      </c>
      <c r="F998">
        <v>256.26721199999997</v>
      </c>
    </row>
    <row r="999" spans="2:6" ht="15" x14ac:dyDescent="0.25">
      <c r="B999" s="14">
        <v>42034</v>
      </c>
      <c r="C999" s="30" t="str">
        <f>[2]!YBHIST($A$2,$B999,"Price","sec","")</f>
        <v>E</v>
      </c>
      <c r="D999" t="str">
        <f>[2]!YBPRICE($A$2,C999&amp;"d",$B1000,"OAS","Swap",B999,"LMMSkew","","Model",100,"OAS")</f>
        <v>E</v>
      </c>
      <c r="E999" s="32" t="str">
        <f>[2]!YBHIST($A$2,B999,"LMMOAS","sec","")</f>
        <v>E</v>
      </c>
      <c r="F999">
        <v>278.56900000000002</v>
      </c>
    </row>
    <row r="1000" spans="2:6" ht="15" x14ac:dyDescent="0.25">
      <c r="B1000" s="14">
        <v>42037</v>
      </c>
      <c r="C1000" s="30" t="str">
        <f>[2]!YBHIST($A$2,$B1000,"Price","sec","")</f>
        <v>E</v>
      </c>
      <c r="D1000" t="str">
        <f>[2]!YBPRICE($A$2,C1000&amp;"d",$B1001,"OAS","Swap",B1000,"LMMSkew","","Model",100,"OAS")</f>
        <v>E</v>
      </c>
      <c r="E1000" s="32" t="str">
        <f>[2]!YBHIST($A$2,B1000,"LMMOAS","sec","")</f>
        <v>E</v>
      </c>
      <c r="F1000">
        <v>267.829407</v>
      </c>
    </row>
    <row r="1001" spans="2:6" ht="15" x14ac:dyDescent="0.25">
      <c r="B1001" s="14">
        <v>42038</v>
      </c>
      <c r="C1001" s="30" t="str">
        <f>[2]!YBHIST($A$2,$B1001,"Price","sec","")</f>
        <v>E</v>
      </c>
      <c r="D1001" t="str">
        <f>[2]!YBPRICE($A$2,C1001&amp;"d",$B1002,"OAS","Swap",B1001,"LMMSkew","","Model",100,"OAS")</f>
        <v>E</v>
      </c>
      <c r="E1001" s="32" t="str">
        <f>[2]!YBHIST($A$2,B1001,"LMMOAS","sec","")</f>
        <v>E</v>
      </c>
      <c r="F1001">
        <v>207.76040599999999</v>
      </c>
    </row>
    <row r="1002" spans="2:6" ht="15" x14ac:dyDescent="0.25">
      <c r="B1002" s="14">
        <v>42039</v>
      </c>
      <c r="C1002" s="30" t="str">
        <f>[2]!YBHIST($A$2,$B1002,"Price","sec","")</f>
        <v>E</v>
      </c>
      <c r="D1002" t="str">
        <f>[2]!YBPRICE($A$2,C1002&amp;"d",$B1003,"OAS","Swap",B1002,"LMMSkew","","Model",100,"OAS")</f>
        <v>E</v>
      </c>
      <c r="E1002" s="32" t="str">
        <f>[2]!YBHIST($A$2,B1002,"LMMOAS","sec","")</f>
        <v>E</v>
      </c>
      <c r="F1002">
        <v>189.963593</v>
      </c>
    </row>
    <row r="1003" spans="2:6" ht="15" x14ac:dyDescent="0.25">
      <c r="B1003" s="14">
        <v>42040</v>
      </c>
      <c r="C1003" s="30" t="str">
        <f>[2]!YBHIST($A$2,$B1003,"Price","sec","")</f>
        <v>E</v>
      </c>
      <c r="D1003" t="str">
        <f>[2]!YBPRICE($A$2,C1003&amp;"d",$B1004,"OAS","Swap",B1003,"LMMSkew","","Model",100,"OAS")</f>
        <v>E</v>
      </c>
      <c r="E1003" s="32" t="str">
        <f>[2]!YBHIST($A$2,B1003,"LMMOAS","sec","")</f>
        <v>E</v>
      </c>
      <c r="F1003">
        <v>171.50309799999999</v>
      </c>
    </row>
    <row r="1004" spans="2:6" ht="15" x14ac:dyDescent="0.25">
      <c r="B1004" s="14">
        <v>42041</v>
      </c>
      <c r="C1004" s="30" t="str">
        <f>[2]!YBHIST($A$2,$B1004,"Price","sec","")</f>
        <v>E</v>
      </c>
      <c r="D1004" t="str">
        <f>[2]!YBPRICE($A$2,C1004&amp;"d",$B1005,"OAS","Swap",B1004,"LMMSkew","","Model",100,"OAS")</f>
        <v>E</v>
      </c>
      <c r="E1004" s="32" t="str">
        <f>[2]!YBHIST($A$2,B1004,"LMMOAS","sec","")</f>
        <v>E</v>
      </c>
      <c r="F1004">
        <v>102.80239899999999</v>
      </c>
    </row>
    <row r="1005" spans="2:6" ht="15" x14ac:dyDescent="0.25">
      <c r="B1005" s="14">
        <v>42044</v>
      </c>
      <c r="C1005" s="30" t="str">
        <f>[2]!YBHIST($A$2,$B1005,"Price","sec","")</f>
        <v>E</v>
      </c>
      <c r="D1005" t="str">
        <f>[2]!YBPRICE($A$2,C1005&amp;"d",$B1006,"OAS","Swap",B1005,"LMMSkew","","Model",100,"OAS")</f>
        <v>E</v>
      </c>
      <c r="E1005" s="32" t="str">
        <f>[2]!YBHIST($A$2,B1005,"LMMOAS","sec","")</f>
        <v>E</v>
      </c>
      <c r="F1005">
        <v>106.9328</v>
      </c>
    </row>
    <row r="1006" spans="2:6" ht="15" x14ac:dyDescent="0.25">
      <c r="B1006" s="14">
        <v>42045</v>
      </c>
      <c r="C1006" s="30" t="str">
        <f>[2]!YBHIST($A$2,$B1006,"Price","sec","")</f>
        <v>E</v>
      </c>
      <c r="D1006" t="str">
        <f>[2]!YBPRICE($A$2,C1006&amp;"d",$B1007,"OAS","Swap",B1006,"LMMSkew","","Model",100,"OAS")</f>
        <v>E</v>
      </c>
      <c r="E1006" s="32" t="str">
        <f>[2]!YBHIST($A$2,B1006,"LMMOAS","sec","")</f>
        <v>E</v>
      </c>
      <c r="F1006">
        <v>99.339202999999998</v>
      </c>
    </row>
    <row r="1007" spans="2:6" ht="15" x14ac:dyDescent="0.25">
      <c r="B1007" s="14">
        <v>42046</v>
      </c>
      <c r="C1007" s="30" t="str">
        <f>[2]!YBHIST($A$2,$B1007,"Price","sec","")</f>
        <v>E</v>
      </c>
      <c r="D1007" t="str">
        <f>[2]!YBPRICE($A$2,C1007&amp;"d",$B1008,"OAS","Swap",B1007,"LMMSkew","","Model",100,"OAS")</f>
        <v>E</v>
      </c>
      <c r="E1007" s="32" t="str">
        <f>[2]!YBHIST($A$2,B1007,"LMMOAS","sec","")</f>
        <v>E</v>
      </c>
      <c r="F1007">
        <v>100.193298</v>
      </c>
    </row>
    <row r="1008" spans="2:6" ht="15" x14ac:dyDescent="0.25">
      <c r="B1008" s="14">
        <v>42047</v>
      </c>
      <c r="C1008" s="30" t="str">
        <f>[2]!YBHIST($A$2,$B1008,"Price","sec","")</f>
        <v>E</v>
      </c>
      <c r="D1008" t="str">
        <f>[2]!YBPRICE($A$2,C1008&amp;"d",$B1009,"OAS","Swap",B1008,"LMMSkew","","Model",100,"OAS")</f>
        <v>E</v>
      </c>
      <c r="E1008" s="32" t="str">
        <f>[2]!YBHIST($A$2,B1008,"LMMOAS","sec","")</f>
        <v>E</v>
      </c>
      <c r="F1008">
        <v>121.028702</v>
      </c>
    </row>
    <row r="1009" spans="2:6" ht="15" x14ac:dyDescent="0.25">
      <c r="B1009" s="14">
        <v>42048</v>
      </c>
      <c r="C1009" s="30" t="str">
        <f>[2]!YBHIST($A$2,$B1009,"Price","sec","")</f>
        <v>E</v>
      </c>
      <c r="D1009" t="str">
        <f>[2]!YBPRICE($A$2,C1009&amp;"d",$B1010,"OAS","Swap",B1009,"LMMSkew","","Model",100,"OAS")</f>
        <v>E</v>
      </c>
      <c r="E1009" s="32" t="str">
        <f>[2]!YBHIST($A$2,B1009,"LMMOAS","sec","")</f>
        <v>E</v>
      </c>
      <c r="F1009">
        <v>110.01460299999999</v>
      </c>
    </row>
    <row r="1010" spans="2:6" ht="15" x14ac:dyDescent="0.25">
      <c r="B1010" s="14">
        <v>42052</v>
      </c>
      <c r="C1010" s="30" t="str">
        <f>[2]!YBHIST($A$2,$B1010,"Price","sec","")</f>
        <v>E</v>
      </c>
      <c r="D1010" t="str">
        <f>[2]!YBPRICE($A$2,C1010&amp;"d",$B1011,"OAS","Swap",B1010,"LMMSkew","","Model",100,"OAS")</f>
        <v>E</v>
      </c>
      <c r="E1010" s="32" t="str">
        <f>[2]!YBHIST($A$2,B1010,"LMMOAS","sec","")</f>
        <v>E</v>
      </c>
      <c r="F1010">
        <v>65.315804</v>
      </c>
    </row>
    <row r="1011" spans="2:6" ht="15" x14ac:dyDescent="0.25">
      <c r="B1011" s="14">
        <v>42053</v>
      </c>
      <c r="C1011" s="30" t="str">
        <f>[2]!YBHIST($A$2,$B1011,"Price","sec","")</f>
        <v>E</v>
      </c>
      <c r="D1011" t="str">
        <f>[2]!YBPRICE($A$2,C1011&amp;"d",$B1012,"OAS","Swap",B1011,"LMMSkew","","Model",100,"OAS")</f>
        <v>E</v>
      </c>
      <c r="E1011" s="32" t="str">
        <f>[2]!YBHIST($A$2,B1011,"LMMOAS","sec","")</f>
        <v>E</v>
      </c>
      <c r="F1011">
        <v>88.631302000000005</v>
      </c>
    </row>
    <row r="1012" spans="2:6" ht="15" x14ac:dyDescent="0.25">
      <c r="B1012" s="14">
        <v>42054</v>
      </c>
      <c r="C1012" s="30" t="str">
        <f>[2]!YBHIST($A$2,$B1012,"Price","sec","")</f>
        <v>E</v>
      </c>
      <c r="D1012" t="str">
        <f>[2]!YBPRICE($A$2,C1012&amp;"d",$B1013,"OAS","Swap",B1012,"LMMSkew","","Model",100,"OAS")</f>
        <v>E</v>
      </c>
      <c r="E1012" s="32" t="str">
        <f>[2]!YBHIST($A$2,B1012,"LMMOAS","sec","")</f>
        <v>E</v>
      </c>
      <c r="F1012">
        <v>64.126700999999997</v>
      </c>
    </row>
    <row r="1013" spans="2:6" ht="15" x14ac:dyDescent="0.25">
      <c r="B1013" s="14">
        <v>42055</v>
      </c>
      <c r="C1013" s="30" t="str">
        <f>[2]!YBHIST($A$2,$B1013,"Price","sec","")</f>
        <v>E</v>
      </c>
      <c r="D1013" t="str">
        <f>[2]!YBPRICE($A$2,C1013&amp;"d",$B1014,"OAS","Swap",B1013,"LMMSkew","","Model",100,"OAS")</f>
        <v>E</v>
      </c>
      <c r="E1013" s="32" t="str">
        <f>[2]!YBHIST($A$2,B1013,"LMMOAS","sec","")</f>
        <v>E</v>
      </c>
      <c r="F1013">
        <v>59.553500999999997</v>
      </c>
    </row>
    <row r="1014" spans="2:6" ht="15" x14ac:dyDescent="0.25">
      <c r="B1014" s="14">
        <v>42058</v>
      </c>
      <c r="C1014" s="30" t="str">
        <f>[2]!YBHIST($A$2,$B1014,"Price","sec","")</f>
        <v>E</v>
      </c>
      <c r="D1014" t="str">
        <f>[2]!YBPRICE($A$2,C1014&amp;"d",$B1015,"OAS","Swap",B1014,"LMMSkew","","Model",100,"OAS")</f>
        <v>E</v>
      </c>
      <c r="E1014" s="32" t="str">
        <f>[2]!YBHIST($A$2,B1014,"LMMOAS","sec","")</f>
        <v>E</v>
      </c>
      <c r="F1014">
        <v>69.043700999999999</v>
      </c>
    </row>
    <row r="1015" spans="2:6" ht="15" x14ac:dyDescent="0.25">
      <c r="B1015" s="14">
        <v>42059</v>
      </c>
      <c r="C1015" s="30" t="str">
        <f>[2]!YBHIST($A$2,$B1015,"Price","sec","")</f>
        <v>E</v>
      </c>
      <c r="D1015" t="str">
        <f>[2]!YBPRICE($A$2,C1015&amp;"d",$B1016,"OAS","Swap",B1015,"LMMSkew","","Model",100,"OAS")</f>
        <v>E</v>
      </c>
      <c r="E1015" s="32" t="str">
        <f>[2]!YBHIST($A$2,B1015,"LMMOAS","sec","")</f>
        <v>E</v>
      </c>
      <c r="F1015">
        <v>97.909301999999997</v>
      </c>
    </row>
    <row r="1016" spans="2:6" ht="15" x14ac:dyDescent="0.25">
      <c r="B1016" s="14">
        <v>42060</v>
      </c>
      <c r="C1016" s="30" t="str">
        <f>[2]!YBHIST($A$2,$B1016,"Price","sec","")</f>
        <v>E</v>
      </c>
      <c r="D1016" t="str">
        <f>[2]!YBPRICE($A$2,C1016&amp;"d",$B1017,"OAS","Swap",B1016,"LMMSkew","","Model",100,"OAS")</f>
        <v>E</v>
      </c>
      <c r="E1016" s="32" t="str">
        <f>[2]!YBHIST($A$2,B1016,"LMMOAS","sec","")</f>
        <v>E</v>
      </c>
      <c r="F1016">
        <v>92.138603000000003</v>
      </c>
    </row>
    <row r="1017" spans="2:6" ht="15" x14ac:dyDescent="0.25">
      <c r="B1017" s="14">
        <v>42061</v>
      </c>
      <c r="C1017" s="30" t="str">
        <f>[2]!YBHIST($A$2,$B1017,"Price","sec","")</f>
        <v>E</v>
      </c>
      <c r="D1017" t="str">
        <f>[2]!YBPRICE($A$2,C1017&amp;"d",$B1018,"OAS","Swap",B1017,"LMMSkew","","Model",100,"OAS")</f>
        <v>E</v>
      </c>
      <c r="E1017" s="32" t="str">
        <f>[2]!YBHIST($A$2,B1017,"LMMOAS","sec","")</f>
        <v>E</v>
      </c>
      <c r="F1017">
        <v>73.909103000000002</v>
      </c>
    </row>
    <row r="1018" spans="2:6" ht="15" x14ac:dyDescent="0.25">
      <c r="B1018" s="14">
        <v>42062</v>
      </c>
      <c r="C1018" s="30" t="str">
        <f>[2]!YBHIST($A$2,$B1018,"Price","sec","")</f>
        <v>E</v>
      </c>
      <c r="D1018" t="str">
        <f>[2]!YBPRICE($A$2,C1018&amp;"d",$B1019,"OAS","Swap",B1018,"LMMSkew","","Model",100,"OAS")</f>
        <v>E</v>
      </c>
      <c r="E1018" s="32" t="str">
        <f>[2]!YBHIST($A$2,B1018,"LMMOAS","sec","")</f>
        <v>E</v>
      </c>
      <c r="F1018">
        <v>68.107399000000001</v>
      </c>
    </row>
    <row r="1019" spans="2:6" ht="15" x14ac:dyDescent="0.25">
      <c r="B1019" s="14">
        <v>42065</v>
      </c>
      <c r="C1019" s="30" t="str">
        <f>[2]!YBHIST($A$2,$B1019,"Price","sec","")</f>
        <v>E</v>
      </c>
      <c r="D1019" t="str">
        <f>[2]!YBPRICE($A$2,C1019&amp;"d",$B1020,"OAS","Swap",B1019,"LMMSkew","","Model",100,"OAS")</f>
        <v>E</v>
      </c>
      <c r="E1019" s="32" t="str">
        <f>[2]!YBHIST($A$2,B1019,"LMMOAS","sec","")</f>
        <v>E</v>
      </c>
      <c r="F1019">
        <v>53.752200999999999</v>
      </c>
    </row>
    <row r="1020" spans="2:6" ht="15" x14ac:dyDescent="0.25">
      <c r="B1020" s="14">
        <v>42066</v>
      </c>
      <c r="C1020" s="30" t="str">
        <f>[2]!YBHIST($A$2,$B1020,"Price","sec","")</f>
        <v>E</v>
      </c>
      <c r="D1020" t="str">
        <f>[2]!YBPRICE($A$2,C1020&amp;"d",$B1021,"OAS","Swap",B1020,"LMMSkew","","Model",100,"OAS")</f>
        <v>E</v>
      </c>
      <c r="E1020" s="32" t="str">
        <f>[2]!YBHIST($A$2,B1020,"LMMOAS","sec","")</f>
        <v>E</v>
      </c>
      <c r="F1020">
        <v>53.718899</v>
      </c>
    </row>
    <row r="1021" spans="2:6" ht="15" x14ac:dyDescent="0.25">
      <c r="B1021" s="14">
        <v>42067</v>
      </c>
      <c r="C1021" s="30" t="str">
        <f>[2]!YBHIST($A$2,$B1021,"Price","sec","")</f>
        <v>E</v>
      </c>
      <c r="D1021" t="str">
        <f>[2]!YBPRICE($A$2,C1021&amp;"d",$B1022,"OAS","Swap",B1021,"LMMSkew","","Model",100,"OAS")</f>
        <v>E</v>
      </c>
      <c r="E1021" s="32" t="str">
        <f>[2]!YBHIST($A$2,B1021,"LMMOAS","sec","")</f>
        <v>E</v>
      </c>
      <c r="F1021">
        <v>58.178398000000001</v>
      </c>
    </row>
    <row r="1022" spans="2:6" ht="15" x14ac:dyDescent="0.25">
      <c r="B1022" s="14">
        <v>42068</v>
      </c>
      <c r="C1022" s="30" t="str">
        <f>[2]!YBHIST($A$2,$B1022,"Price","sec","")</f>
        <v>E</v>
      </c>
      <c r="D1022" t="str">
        <f>[2]!YBPRICE($A$2,C1022&amp;"d",$B1023,"OAS","Swap",B1022,"LMMSkew","","Model",100,"OAS")</f>
        <v>E</v>
      </c>
      <c r="E1022" s="32" t="str">
        <f>[2]!YBHIST($A$2,B1022,"LMMOAS","sec","")</f>
        <v>E</v>
      </c>
      <c r="F1022">
        <v>64.478202999999993</v>
      </c>
    </row>
    <row r="1023" spans="2:6" ht="15" x14ac:dyDescent="0.25">
      <c r="B1023" s="14">
        <v>42069</v>
      </c>
      <c r="C1023" s="30" t="str">
        <f>[2]!YBHIST($A$2,$B1023,"Price","sec","")</f>
        <v>E</v>
      </c>
      <c r="D1023" t="str">
        <f>[2]!YBPRICE($A$2,C1023&amp;"d",$B1024,"OAS","Swap",B1023,"LMMSkew","","Model",100,"OAS")</f>
        <v>E</v>
      </c>
      <c r="E1023" s="32" t="str">
        <f>[2]!YBHIST($A$2,B1023,"LMMOAS","sec","")</f>
        <v>E</v>
      </c>
      <c r="F1023">
        <v>49.298800999999997</v>
      </c>
    </row>
    <row r="1024" spans="2:6" ht="15" x14ac:dyDescent="0.25">
      <c r="B1024" s="14">
        <v>42072</v>
      </c>
      <c r="C1024" s="30" t="str">
        <f>[2]!YBHIST($A$2,$B1024,"Price","sec","")</f>
        <v>E</v>
      </c>
      <c r="D1024" t="str">
        <f>[2]!YBPRICE($A$2,C1024&amp;"d",$B1025,"OAS","Swap",B1024,"LMMSkew","","Model",100,"OAS")</f>
        <v>E</v>
      </c>
      <c r="E1024" s="32" t="str">
        <f>[2]!YBHIST($A$2,B1024,"LMMOAS","sec","")</f>
        <v>E</v>
      </c>
      <c r="F1024">
        <v>45.909301999999997</v>
      </c>
    </row>
    <row r="1025" spans="2:6" ht="15" x14ac:dyDescent="0.25">
      <c r="B1025" s="14">
        <v>42073</v>
      </c>
      <c r="C1025" s="30" t="str">
        <f>[2]!YBHIST($A$2,$B1025,"Price","sec","")</f>
        <v>E</v>
      </c>
      <c r="D1025" t="str">
        <f>[2]!YBPRICE($A$2,C1025&amp;"d",$B1026,"OAS","Swap",B1025,"LMMSkew","","Model",100,"OAS")</f>
        <v>E</v>
      </c>
      <c r="E1025" s="32" t="str">
        <f>[2]!YBHIST($A$2,B1025,"LMMOAS","sec","")</f>
        <v>E</v>
      </c>
      <c r="F1025">
        <v>51.913502000000001</v>
      </c>
    </row>
    <row r="1026" spans="2:6" ht="15" x14ac:dyDescent="0.25">
      <c r="B1026" s="14">
        <v>42074</v>
      </c>
      <c r="C1026" s="30" t="str">
        <f>[2]!YBHIST($A$2,$B1026,"Price","sec","")</f>
        <v>E</v>
      </c>
      <c r="D1026" t="str">
        <f>[2]!YBPRICE($A$2,C1026&amp;"d",$B1027,"OAS","Swap",B1026,"LMMSkew","","Model",100,"OAS")</f>
        <v>E</v>
      </c>
      <c r="E1026" s="32" t="str">
        <f>[2]!YBHIST($A$2,B1026,"LMMOAS","sec","")</f>
        <v>E</v>
      </c>
      <c r="F1026">
        <v>52.766201000000002</v>
      </c>
    </row>
    <row r="1027" spans="2:6" ht="15" x14ac:dyDescent="0.25">
      <c r="B1027" s="14">
        <v>42075</v>
      </c>
      <c r="C1027" s="30" t="str">
        <f>[2]!YBHIST($A$2,$B1027,"Price","sec","")</f>
        <v>E</v>
      </c>
      <c r="D1027" t="str">
        <f>[2]!YBPRICE($A$2,C1027&amp;"d",$B1028,"OAS","Swap",B1027,"LMMSkew","","Model",100,"OAS")</f>
        <v>E</v>
      </c>
      <c r="E1027" s="32" t="str">
        <f>[2]!YBHIST($A$2,B1027,"LMMOAS","sec","")</f>
        <v>E</v>
      </c>
      <c r="F1027">
        <v>50.824798999999999</v>
      </c>
    </row>
    <row r="1028" spans="2:6" ht="15" x14ac:dyDescent="0.25">
      <c r="B1028" s="14">
        <v>42076</v>
      </c>
      <c r="C1028" s="30" t="str">
        <f>[2]!YBHIST($A$2,$B1028,"Price","sec","")</f>
        <v>E</v>
      </c>
      <c r="D1028" t="str">
        <f>[2]!YBPRICE($A$2,C1028&amp;"d",$B1029,"OAS","Swap",B1028,"LMMSkew","","Model",100,"OAS")</f>
        <v>E</v>
      </c>
      <c r="E1028" s="32" t="str">
        <f>[2]!YBHIST($A$2,B1028,"LMMOAS","sec","")</f>
        <v>E</v>
      </c>
      <c r="F1028">
        <v>48.744498999999998</v>
      </c>
    </row>
    <row r="1029" spans="2:6" ht="15" x14ac:dyDescent="0.25">
      <c r="B1029" s="14">
        <v>42079</v>
      </c>
      <c r="C1029" s="30" t="str">
        <f>[2]!YBHIST($A$2,$B1029,"Price","sec","")</f>
        <v>E</v>
      </c>
      <c r="D1029" t="str">
        <f>[2]!YBPRICE($A$2,C1029&amp;"d",$B1030,"OAS","Swap",B1029,"LMMSkew","","Model",100,"OAS")</f>
        <v>E</v>
      </c>
      <c r="E1029" s="32" t="str">
        <f>[2]!YBHIST($A$2,B1029,"LMMOAS","sec","")</f>
        <v>E</v>
      </c>
      <c r="F1029">
        <v>57.888598999999999</v>
      </c>
    </row>
    <row r="1030" spans="2:6" ht="15" x14ac:dyDescent="0.25">
      <c r="B1030" s="14">
        <v>42080</v>
      </c>
      <c r="C1030" s="30" t="str">
        <f>[2]!YBHIST($A$2,$B1030,"Price","sec","")</f>
        <v>E</v>
      </c>
      <c r="D1030" t="str">
        <f>[2]!YBPRICE($A$2,C1030&amp;"d",$B1031,"OAS","Swap",B1030,"LMMSkew","","Model",100,"OAS")</f>
        <v>E</v>
      </c>
      <c r="E1030" s="32" t="str">
        <f>[2]!YBHIST($A$2,B1030,"LMMOAS","sec","")</f>
        <v>E</v>
      </c>
      <c r="F1030">
        <v>52.278998999999999</v>
      </c>
    </row>
    <row r="1031" spans="2:6" ht="15" x14ac:dyDescent="0.25">
      <c r="B1031" s="14">
        <v>42081</v>
      </c>
      <c r="C1031" s="30" t="str">
        <f>[2]!YBHIST($A$2,$B1031,"Price","sec","")</f>
        <v>E</v>
      </c>
      <c r="D1031" t="str">
        <f>[2]!YBPRICE($A$2,C1031&amp;"d",$B1032,"OAS","Swap",B1031,"LMMSkew","","Model",100,"OAS")</f>
        <v>E</v>
      </c>
      <c r="E1031" s="32" t="str">
        <f>[2]!YBHIST($A$2,B1031,"LMMOAS","sec","")</f>
        <v>E</v>
      </c>
      <c r="F1031">
        <v>103.45320100000001</v>
      </c>
    </row>
    <row r="1032" spans="2:6" ht="15" x14ac:dyDescent="0.25">
      <c r="B1032" s="14">
        <v>42082</v>
      </c>
      <c r="C1032" s="30" t="str">
        <f>[2]!YBHIST($A$2,$B1032,"Price","sec","")</f>
        <v>E</v>
      </c>
      <c r="D1032" t="str">
        <f>[2]!YBPRICE($A$2,C1032&amp;"d",$B1033,"OAS","Swap",B1032,"LMMSkew","","Model",100,"OAS")</f>
        <v>E</v>
      </c>
      <c r="E1032" s="32" t="str">
        <f>[2]!YBHIST($A$2,B1032,"LMMOAS","sec","")</f>
        <v>E</v>
      </c>
      <c r="F1032">
        <v>82.913596999999996</v>
      </c>
    </row>
    <row r="1033" spans="2:6" ht="15" x14ac:dyDescent="0.25">
      <c r="B1033" s="14">
        <v>42083</v>
      </c>
      <c r="C1033" s="30" t="str">
        <f>[2]!YBHIST($A$2,$B1033,"Price","sec","")</f>
        <v>E</v>
      </c>
      <c r="D1033" t="str">
        <f>[2]!YBPRICE($A$2,C1033&amp;"d",$B1034,"OAS","Swap",B1033,"LMMSkew","","Model",100,"OAS")</f>
        <v>E</v>
      </c>
      <c r="E1033" s="32" t="str">
        <f>[2]!YBHIST($A$2,B1033,"LMMOAS","sec","")</f>
        <v>E</v>
      </c>
      <c r="F1033">
        <v>85.858704000000003</v>
      </c>
    </row>
    <row r="1034" spans="2:6" ht="15" x14ac:dyDescent="0.25">
      <c r="B1034" s="14">
        <v>42086</v>
      </c>
      <c r="C1034" s="30" t="str">
        <f>[2]!YBHIST($A$2,$B1034,"Price","sec","")</f>
        <v>E</v>
      </c>
      <c r="D1034" t="str">
        <f>[2]!YBPRICE($A$2,C1034&amp;"d",$B1035,"OAS","Swap",B1034,"LMMSkew","","Model",100,"OAS")</f>
        <v>E</v>
      </c>
      <c r="E1034" s="32" t="str">
        <f>[2]!YBHIST($A$2,B1034,"LMMOAS","sec","")</f>
        <v>E</v>
      </c>
      <c r="F1034">
        <v>89.513496000000004</v>
      </c>
    </row>
    <row r="1035" spans="2:6" ht="15" x14ac:dyDescent="0.25">
      <c r="B1035" s="14">
        <v>42087</v>
      </c>
      <c r="C1035" s="30" t="str">
        <f>[2]!YBHIST($A$2,$B1035,"Price","sec","")</f>
        <v>E</v>
      </c>
      <c r="D1035" t="str">
        <f>[2]!YBPRICE($A$2,C1035&amp;"d",$B1036,"OAS","Swap",B1035,"LMMSkew","","Model",100,"OAS")</f>
        <v>E</v>
      </c>
      <c r="E1035" s="32" t="str">
        <f>[2]!YBHIST($A$2,B1035,"LMMOAS","sec","")</f>
        <v>E</v>
      </c>
      <c r="F1035">
        <v>88.927100999999993</v>
      </c>
    </row>
    <row r="1036" spans="2:6" ht="15" x14ac:dyDescent="0.25">
      <c r="B1036" s="14">
        <v>42088</v>
      </c>
      <c r="C1036" s="30" t="str">
        <f>[2]!YBHIST($A$2,$B1036,"Price","sec","")</f>
        <v>E</v>
      </c>
      <c r="D1036" t="str">
        <f>[2]!YBPRICE($A$2,C1036&amp;"d",$B1037,"OAS","Swap",B1036,"LMMSkew","","Model",100,"OAS")</f>
        <v>E</v>
      </c>
      <c r="E1036" s="32" t="str">
        <f>[2]!YBHIST($A$2,B1036,"LMMOAS","sec","")</f>
        <v>E</v>
      </c>
      <c r="F1036">
        <v>85.953902999999997</v>
      </c>
    </row>
    <row r="1037" spans="2:6" ht="15" x14ac:dyDescent="0.25">
      <c r="B1037" s="14">
        <v>42089</v>
      </c>
      <c r="C1037" s="30" t="str">
        <f>[2]!YBHIST($A$2,$B1037,"Price","sec","")</f>
        <v>E</v>
      </c>
      <c r="D1037" t="str">
        <f>[2]!YBPRICE($A$2,C1037&amp;"d",$B1038,"OAS","Swap",B1037,"LMMSkew","","Model",100,"OAS")</f>
        <v>E</v>
      </c>
      <c r="E1037" s="32" t="str">
        <f>[2]!YBHIST($A$2,B1037,"LMMOAS","sec","")</f>
        <v>E</v>
      </c>
      <c r="F1037">
        <v>80.209198000000001</v>
      </c>
    </row>
    <row r="1038" spans="2:6" ht="15" x14ac:dyDescent="0.25">
      <c r="B1038" s="14">
        <v>42090</v>
      </c>
      <c r="C1038" s="30" t="str">
        <f>[2]!YBHIST($A$2,$B1038,"Price","sec","")</f>
        <v>E</v>
      </c>
      <c r="D1038" t="str">
        <f>[2]!YBPRICE($A$2,C1038&amp;"d",$B1039,"OAS","Swap",B1038,"LMMSkew","","Model",100,"OAS")</f>
        <v>E</v>
      </c>
      <c r="E1038" s="32" t="str">
        <f>[2]!YBHIST($A$2,B1038,"LMMOAS","sec","")</f>
        <v>E</v>
      </c>
      <c r="F1038">
        <v>71.301201000000006</v>
      </c>
    </row>
    <row r="1039" spans="2:6" ht="15" x14ac:dyDescent="0.25">
      <c r="B1039" s="14">
        <v>42093</v>
      </c>
      <c r="C1039" s="30" t="str">
        <f>[2]!YBHIST($A$2,$B1039,"Price","sec","")</f>
        <v>E</v>
      </c>
      <c r="D1039" t="str">
        <f>[2]!YBPRICE($A$2,C1039&amp;"d",$B1040,"OAS","Swap",B1039,"LMMSkew","","Model",100,"OAS")</f>
        <v>E</v>
      </c>
      <c r="E1039" s="32" t="str">
        <f>[2]!YBHIST($A$2,B1039,"LMMOAS","sec","")</f>
        <v>E</v>
      </c>
      <c r="F1039">
        <v>76.362899999999996</v>
      </c>
    </row>
    <row r="1040" spans="2:6" ht="15" x14ac:dyDescent="0.25">
      <c r="B1040" s="14">
        <v>42094</v>
      </c>
      <c r="C1040" s="30" t="str">
        <f>[2]!YBHIST($A$2,$B1040,"Price","sec","")</f>
        <v>E</v>
      </c>
      <c r="D1040" t="str">
        <f>[2]!YBPRICE($A$2,C1040&amp;"d",$B1041,"OAS","Swap",B1040,"LMMSkew","","Model",100,"OAS")</f>
        <v>E</v>
      </c>
      <c r="E1040" s="32" t="str">
        <f>[2]!YBHIST($A$2,B1040,"LMMOAS","sec","")</f>
        <v>E</v>
      </c>
      <c r="F1040">
        <v>90.348999000000006</v>
      </c>
    </row>
    <row r="1041" spans="2:6" ht="15" x14ac:dyDescent="0.25">
      <c r="B1041" s="14">
        <v>42095</v>
      </c>
      <c r="C1041" s="30" t="str">
        <f>[2]!YBHIST($A$2,$B1041,"Price","sec","")</f>
        <v>E</v>
      </c>
      <c r="D1041" t="str">
        <f>[2]!YBPRICE($A$2,C1041&amp;"d",$B1042,"OAS","Swap",B1041,"LMMSkew","","Model",100,"OAS")</f>
        <v>E</v>
      </c>
      <c r="E1041" s="32" t="str">
        <f>[2]!YBHIST($A$2,B1041,"LMMOAS","sec","")</f>
        <v>E</v>
      </c>
      <c r="F1041">
        <v>92.643600000000006</v>
      </c>
    </row>
    <row r="1042" spans="2:6" ht="15" x14ac:dyDescent="0.25">
      <c r="B1042" s="14">
        <v>42096</v>
      </c>
      <c r="C1042" s="30" t="str">
        <f>[2]!YBHIST($A$2,$B1042,"Price","sec","")</f>
        <v>E</v>
      </c>
      <c r="D1042" t="str">
        <f>[2]!YBPRICE($A$2,C1042&amp;"d",$B1043,"OAS","Swap",B1042,"LMMSkew","","Model",100,"OAS")</f>
        <v>E</v>
      </c>
      <c r="E1042" s="32" t="str">
        <f>[2]!YBHIST($A$2,B1042,"LMMOAS","sec","")</f>
        <v>E</v>
      </c>
      <c r="F1042">
        <v>87.216797</v>
      </c>
    </row>
    <row r="1043" spans="2:6" ht="15" x14ac:dyDescent="0.25">
      <c r="B1043" s="14">
        <v>42097</v>
      </c>
      <c r="C1043" s="30" t="str">
        <f>[2]!YBHIST($A$2,$B1043,"Price","sec","")</f>
        <v>E</v>
      </c>
      <c r="D1043" t="str">
        <f>[2]!YBPRICE($A$2,C1043&amp;"d",$B1044,"OAS","Swap",B1043,"LMMSkew","","Model",100,"OAS")</f>
        <v>E</v>
      </c>
      <c r="E1043" s="32" t="str">
        <f>[2]!YBHIST($A$2,B1043,"LMMOAS","sec","")</f>
        <v>E</v>
      </c>
      <c r="F1043">
        <v>109.006897</v>
      </c>
    </row>
    <row r="1044" spans="2:6" ht="15" x14ac:dyDescent="0.25">
      <c r="B1044" s="14">
        <v>42100</v>
      </c>
      <c r="C1044" s="30" t="str">
        <f>[2]!YBHIST($A$2,$B1044,"Price","sec","")</f>
        <v>E</v>
      </c>
      <c r="D1044" t="str">
        <f>[2]!YBPRICE($A$2,C1044&amp;"d",$B1045,"OAS","Swap",B1044,"LMMSkew","","Model",100,"OAS")</f>
        <v>E</v>
      </c>
      <c r="E1044" s="32" t="str">
        <f>[2]!YBHIST($A$2,B1044,"LMMOAS","sec","")</f>
        <v>E</v>
      </c>
      <c r="F1044">
        <v>109.935699</v>
      </c>
    </row>
    <row r="1045" spans="2:6" ht="15" x14ac:dyDescent="0.25">
      <c r="B1045" s="14">
        <v>42101</v>
      </c>
      <c r="C1045" s="30" t="str">
        <f>[2]!YBHIST($A$2,$B1045,"Price","sec","")</f>
        <v>E</v>
      </c>
      <c r="D1045" t="str">
        <f>[2]!YBPRICE($A$2,C1045&amp;"d",$B1046,"OAS","Swap",B1045,"LMMSkew","","Model",100,"OAS")</f>
        <v>E</v>
      </c>
      <c r="E1045" s="32" t="str">
        <f>[2]!YBHIST($A$2,B1045,"LMMOAS","sec","")</f>
        <v>E</v>
      </c>
      <c r="F1045">
        <v>110.19699900000001</v>
      </c>
    </row>
    <row r="1046" spans="2:6" ht="15" x14ac:dyDescent="0.25">
      <c r="B1046" s="14">
        <v>42102</v>
      </c>
      <c r="C1046" s="30" t="str">
        <f>[2]!YBHIST($A$2,$B1046,"Price","sec","")</f>
        <v>E</v>
      </c>
      <c r="D1046" t="str">
        <f>[2]!YBPRICE($A$2,C1046&amp;"d",$B1047,"OAS","Swap",B1046,"LMMSkew","","Model",100,"OAS")</f>
        <v>E</v>
      </c>
      <c r="E1046" s="32" t="str">
        <f>[2]!YBHIST($A$2,B1046,"LMMOAS","sec","")</f>
        <v>E</v>
      </c>
      <c r="F1046">
        <v>106.461197</v>
      </c>
    </row>
    <row r="1047" spans="2:6" ht="15" x14ac:dyDescent="0.25">
      <c r="B1047" s="14">
        <v>42103</v>
      </c>
      <c r="C1047" s="30" t="str">
        <f>[2]!YBHIST($A$2,$B1047,"Price","sec","")</f>
        <v>E</v>
      </c>
      <c r="D1047" t="str">
        <f>[2]!YBPRICE($A$2,C1047&amp;"d",$B1048,"OAS","Swap",B1047,"LMMSkew","","Model",100,"OAS")</f>
        <v>E</v>
      </c>
      <c r="E1047" s="32" t="str">
        <f>[2]!YBHIST($A$2,B1047,"LMMOAS","sec","")</f>
        <v>E</v>
      </c>
      <c r="F1047">
        <v>109.697998</v>
      </c>
    </row>
    <row r="1048" spans="2:6" ht="15" x14ac:dyDescent="0.25">
      <c r="B1048" s="14">
        <v>42104</v>
      </c>
      <c r="C1048" s="30" t="str">
        <f>[2]!YBHIST($A$2,$B1048,"Price","sec","")</f>
        <v>E</v>
      </c>
      <c r="D1048" t="str">
        <f>[2]!YBPRICE($A$2,C1048&amp;"d",$B1049,"OAS","Swap",B1048,"LMMSkew","","Model",100,"OAS")</f>
        <v>E</v>
      </c>
      <c r="E1048" s="32" t="str">
        <f>[2]!YBHIST($A$2,B1048,"LMMOAS","sec","")</f>
        <v>E</v>
      </c>
      <c r="F1048">
        <v>127.093498</v>
      </c>
    </row>
    <row r="1049" spans="2:6" ht="15" x14ac:dyDescent="0.25">
      <c r="B1049" s="14">
        <v>42107</v>
      </c>
      <c r="C1049" s="30" t="str">
        <f>[2]!YBHIST($A$2,$B1049,"Price","sec","")</f>
        <v>E</v>
      </c>
      <c r="D1049" t="str">
        <f>[2]!YBPRICE($A$2,C1049&amp;"d",$B1050,"OAS","Swap",B1049,"LMMSkew","","Model",100,"OAS")</f>
        <v>E</v>
      </c>
      <c r="E1049" s="32" t="str">
        <f>[2]!YBHIST($A$2,B1049,"LMMOAS","sec","")</f>
        <v>E</v>
      </c>
      <c r="F1049">
        <v>130.75559999999999</v>
      </c>
    </row>
    <row r="1050" spans="2:6" ht="15" x14ac:dyDescent="0.25">
      <c r="B1050" s="14">
        <v>42108</v>
      </c>
      <c r="C1050" s="30" t="str">
        <f>[2]!YBHIST($A$2,$B1050,"Price","sec","")</f>
        <v>E</v>
      </c>
      <c r="D1050" t="str">
        <f>[2]!YBPRICE($A$2,C1050&amp;"d",$B1051,"OAS","Swap",B1050,"LMMSkew","","Model",100,"OAS")</f>
        <v>E</v>
      </c>
      <c r="E1050" s="32" t="str">
        <f>[2]!YBHIST($A$2,B1050,"LMMOAS","sec","")</f>
        <v>E</v>
      </c>
      <c r="F1050">
        <v>138.28869599999999</v>
      </c>
    </row>
    <row r="1051" spans="2:6" ht="15" x14ac:dyDescent="0.25">
      <c r="B1051" s="14">
        <v>42109</v>
      </c>
      <c r="C1051" s="30" t="str">
        <f>[2]!YBHIST($A$2,$B1051,"Price","sec","")</f>
        <v>E</v>
      </c>
      <c r="D1051" t="str">
        <f>[2]!YBPRICE($A$2,C1051&amp;"d",$B1052,"OAS","Swap",B1051,"LMMSkew","","Model",100,"OAS")</f>
        <v>E</v>
      </c>
      <c r="E1051" s="32" t="str">
        <f>[2]!YBHIST($A$2,B1051,"LMMOAS","sec","")</f>
        <v>E</v>
      </c>
      <c r="F1051">
        <v>136.074905</v>
      </c>
    </row>
    <row r="1052" spans="2:6" ht="15" x14ac:dyDescent="0.25">
      <c r="B1052" s="14">
        <v>42110</v>
      </c>
      <c r="C1052" s="30" t="str">
        <f>[2]!YBHIST($A$2,$B1052,"Price","sec","")</f>
        <v>E</v>
      </c>
      <c r="D1052" t="str">
        <f>[2]!YBPRICE($A$2,C1052&amp;"d",$B1053,"OAS","Swap",B1052,"LMMSkew","","Model",100,"OAS")</f>
        <v>E</v>
      </c>
      <c r="E1052" s="32" t="str">
        <f>[2]!YBHIST($A$2,B1052,"LMMOAS","sec","")</f>
        <v>E</v>
      </c>
      <c r="F1052">
        <v>139.176895</v>
      </c>
    </row>
    <row r="1053" spans="2:6" ht="15" x14ac:dyDescent="0.25">
      <c r="B1053" s="14">
        <v>42111</v>
      </c>
      <c r="C1053" s="30" t="str">
        <f>[2]!YBHIST($A$2,$B1053,"Price","sec","")</f>
        <v>E</v>
      </c>
      <c r="D1053" t="str">
        <f>[2]!YBPRICE($A$2,C1053&amp;"d",$B1054,"OAS","Swap",B1053,"LMMSkew","","Model",100,"OAS")</f>
        <v>E</v>
      </c>
      <c r="E1053" s="32" t="str">
        <f>[2]!YBHIST($A$2,B1053,"LMMOAS","sec","")</f>
        <v>E</v>
      </c>
      <c r="F1053">
        <v>125.310097</v>
      </c>
    </row>
    <row r="1054" spans="2:6" ht="15" x14ac:dyDescent="0.25">
      <c r="B1054" s="14">
        <v>42114</v>
      </c>
      <c r="C1054" s="30" t="str">
        <f>[2]!YBHIST($A$2,$B1054,"Price","sec","")</f>
        <v>E</v>
      </c>
      <c r="D1054" t="str">
        <f>[2]!YBPRICE($A$2,C1054&amp;"d",$B1055,"OAS","Swap",B1054,"LMMSkew","","Model",100,"OAS")</f>
        <v>E</v>
      </c>
      <c r="E1054" s="32" t="str">
        <f>[2]!YBHIST($A$2,B1054,"LMMOAS","sec","")</f>
        <v>E</v>
      </c>
      <c r="F1054">
        <v>115.679703</v>
      </c>
    </row>
    <row r="1055" spans="2:6" ht="15" x14ac:dyDescent="0.25">
      <c r="B1055" s="14">
        <v>42115</v>
      </c>
      <c r="C1055" s="30" t="str">
        <f>[2]!YBHIST($A$2,$B1055,"Price","sec","")</f>
        <v>E</v>
      </c>
      <c r="D1055" t="str">
        <f>[2]!YBPRICE($A$2,C1055&amp;"d",$B1056,"OAS","Swap",B1055,"LMMSkew","","Model",100,"OAS")</f>
        <v>E</v>
      </c>
      <c r="E1055" s="32" t="str">
        <f>[2]!YBHIST($A$2,B1055,"LMMOAS","sec","")</f>
        <v>E</v>
      </c>
      <c r="F1055">
        <v>107.4842</v>
      </c>
    </row>
    <row r="1056" spans="2:6" ht="15" x14ac:dyDescent="0.25">
      <c r="B1056" s="14">
        <v>42116</v>
      </c>
      <c r="C1056" s="30" t="str">
        <f>[2]!YBHIST($A$2,$B1056,"Price","sec","")</f>
        <v>E</v>
      </c>
      <c r="D1056" t="str">
        <f>[2]!YBPRICE($A$2,C1056&amp;"d",$B1057,"OAS","Swap",B1056,"LMMSkew","","Model",100,"OAS")</f>
        <v>E</v>
      </c>
      <c r="E1056" s="32" t="str">
        <f>[2]!YBHIST($A$2,B1056,"LMMOAS","sec","")</f>
        <v>E</v>
      </c>
      <c r="F1056">
        <v>99.495795999999999</v>
      </c>
    </row>
    <row r="1057" spans="2:6" ht="15" x14ac:dyDescent="0.25">
      <c r="B1057" s="14">
        <v>42117</v>
      </c>
      <c r="C1057" s="30" t="str">
        <f>[2]!YBHIST($A$2,$B1057,"Price","sec","")</f>
        <v>E</v>
      </c>
      <c r="D1057" t="str">
        <f>[2]!YBPRICE($A$2,C1057&amp;"d",$B1058,"OAS","Swap",B1057,"LMMSkew","","Model",100,"OAS")</f>
        <v>E</v>
      </c>
      <c r="E1057" s="32" t="str">
        <f>[2]!YBHIST($A$2,B1057,"LMMOAS","sec","")</f>
        <v>E</v>
      </c>
      <c r="F1057">
        <v>99.143401999999995</v>
      </c>
    </row>
    <row r="1058" spans="2:6" ht="15" x14ac:dyDescent="0.25">
      <c r="B1058" s="14">
        <v>42118</v>
      </c>
      <c r="C1058" s="30" t="str">
        <f>[2]!YBHIST($A$2,$B1058,"Price","sec","")</f>
        <v>E</v>
      </c>
      <c r="D1058" t="str">
        <f>[2]!YBPRICE($A$2,C1058&amp;"d",$B1059,"OAS","Swap",B1058,"LMMSkew","","Model",100,"OAS")</f>
        <v>E</v>
      </c>
      <c r="E1058" s="32" t="str">
        <f>[2]!YBHIST($A$2,B1058,"LMMOAS","sec","")</f>
        <v>E</v>
      </c>
      <c r="F1058">
        <v>100.383301</v>
      </c>
    </row>
    <row r="1059" spans="2:6" ht="15" x14ac:dyDescent="0.25">
      <c r="B1059" s="14">
        <v>42121</v>
      </c>
      <c r="C1059" s="30" t="str">
        <f>[2]!YBHIST($A$2,$B1059,"Price","sec","")</f>
        <v>E</v>
      </c>
      <c r="D1059" t="str">
        <f>[2]!YBPRICE($A$2,C1059&amp;"d",$B1060,"OAS","Swap",B1059,"LMMSkew","","Model",100,"OAS")</f>
        <v>E</v>
      </c>
      <c r="E1059" s="32" t="str">
        <f>[2]!YBHIST($A$2,B1059,"LMMOAS","sec","")</f>
        <v>E</v>
      </c>
      <c r="F1059">
        <v>97.072700999999995</v>
      </c>
    </row>
    <row r="1060" spans="2:6" ht="15" x14ac:dyDescent="0.25">
      <c r="B1060" s="14">
        <v>42122</v>
      </c>
      <c r="C1060" s="30" t="str">
        <f>[2]!YBHIST($A$2,$B1060,"Price","sec","")</f>
        <v>E</v>
      </c>
      <c r="D1060" t="str">
        <f>[2]!YBPRICE($A$2,C1060&amp;"d",$B1061,"OAS","Swap",B1060,"LMMSkew","","Model",100,"OAS")</f>
        <v>E</v>
      </c>
      <c r="E1060" s="32" t="str">
        <f>[2]!YBHIST($A$2,B1060,"LMMOAS","sec","")</f>
        <v>E</v>
      </c>
      <c r="F1060">
        <v>81.623901000000004</v>
      </c>
    </row>
    <row r="1061" spans="2:6" ht="15" x14ac:dyDescent="0.25">
      <c r="B1061" s="14">
        <v>42123</v>
      </c>
      <c r="C1061" s="30" t="str">
        <f>[2]!YBHIST($A$2,$B1061,"Price","sec","")</f>
        <v>E</v>
      </c>
      <c r="D1061" t="str">
        <f>[2]!YBPRICE($A$2,C1061&amp;"d",$B1062,"OAS","Swap",B1061,"LMMSkew","","Model",100,"OAS")</f>
        <v>E</v>
      </c>
      <c r="E1061" s="32" t="str">
        <f>[2]!YBHIST($A$2,B1061,"LMMOAS","sec","")</f>
        <v>E</v>
      </c>
      <c r="F1061">
        <v>74.139899999999997</v>
      </c>
    </row>
    <row r="1062" spans="2:6" ht="15" x14ac:dyDescent="0.25">
      <c r="B1062" s="14">
        <v>42124</v>
      </c>
      <c r="C1062" s="30" t="str">
        <f>[2]!YBHIST($A$2,$B1062,"Price","sec","")</f>
        <v>E</v>
      </c>
      <c r="D1062" t="str">
        <f>[2]!YBPRICE($A$2,C1062&amp;"d",$B1063,"OAS","Swap",B1062,"LMMSkew","","Model",100,"OAS")</f>
        <v>E</v>
      </c>
      <c r="E1062" s="32" t="str">
        <f>[2]!YBHIST($A$2,B1062,"LMMOAS","sec","")</f>
        <v>E</v>
      </c>
      <c r="F1062">
        <v>70.966599000000002</v>
      </c>
    </row>
    <row r="1063" spans="2:6" ht="15" x14ac:dyDescent="0.25">
      <c r="B1063" s="14">
        <v>42125</v>
      </c>
      <c r="C1063" s="30" t="str">
        <f>[2]!YBHIST($A$2,$B1063,"Price","sec","")</f>
        <v>E</v>
      </c>
      <c r="D1063" t="str">
        <f>[2]!YBPRICE($A$2,C1063&amp;"d",$B1064,"OAS","Swap",B1063,"LMMSkew","","Model",100,"OAS")</f>
        <v>E</v>
      </c>
      <c r="E1063" s="32" t="str">
        <f>[2]!YBHIST($A$2,B1063,"LMMOAS","sec","")</f>
        <v>E</v>
      </c>
      <c r="F1063">
        <v>63.666697999999997</v>
      </c>
    </row>
    <row r="1064" spans="2:6" ht="15" x14ac:dyDescent="0.25">
      <c r="B1064" s="14">
        <v>42128</v>
      </c>
      <c r="C1064" s="30" t="str">
        <f>[2]!YBHIST($A$2,$B1064,"Price","sec","")</f>
        <v>E</v>
      </c>
      <c r="D1064" t="str">
        <f>[2]!YBPRICE($A$2,C1064&amp;"d",$B1065,"OAS","Swap",B1064,"LMMSkew","","Model",100,"OAS")</f>
        <v>E</v>
      </c>
      <c r="E1064" s="32" t="str">
        <f>[2]!YBHIST($A$2,B1064,"LMMOAS","sec","")</f>
        <v>E</v>
      </c>
      <c r="F1064">
        <v>60.739798999999998</v>
      </c>
    </row>
    <row r="1065" spans="2:6" ht="15" x14ac:dyDescent="0.25">
      <c r="B1065" s="14">
        <v>42129</v>
      </c>
      <c r="C1065" s="30" t="str">
        <f>[2]!YBHIST($A$2,$B1065,"Price","sec","")</f>
        <v>E</v>
      </c>
      <c r="D1065" t="str">
        <f>[2]!YBPRICE($A$2,C1065&amp;"d",$B1066,"OAS","Swap",B1065,"LMMSkew","","Model",100,"OAS")</f>
        <v>E</v>
      </c>
      <c r="E1065" s="32" t="str">
        <f>[2]!YBHIST($A$2,B1065,"LMMOAS","sec","")</f>
        <v>E</v>
      </c>
      <c r="F1065">
        <v>43.620499000000002</v>
      </c>
    </row>
    <row r="1066" spans="2:6" ht="15" x14ac:dyDescent="0.25">
      <c r="B1066" s="14">
        <v>42130</v>
      </c>
      <c r="C1066" s="30" t="str">
        <f>[2]!YBHIST($A$2,$B1066,"Price","sec","")</f>
        <v>E</v>
      </c>
      <c r="D1066" t="str">
        <f>[2]!YBPRICE($A$2,C1066&amp;"d",$B1067,"OAS","Swap",B1066,"LMMSkew","","Model",100,"OAS")</f>
        <v>E</v>
      </c>
      <c r="E1066" s="32" t="str">
        <f>[2]!YBHIST($A$2,B1066,"LMMOAS","sec","")</f>
        <v>E</v>
      </c>
      <c r="F1066">
        <v>40.097800999999997</v>
      </c>
    </row>
    <row r="1067" spans="2:6" ht="15" x14ac:dyDescent="0.25">
      <c r="B1067" s="14">
        <v>42131</v>
      </c>
      <c r="C1067" s="30" t="str">
        <f>[2]!YBHIST($A$2,$B1067,"Price","sec","")</f>
        <v>E</v>
      </c>
      <c r="D1067" t="str">
        <f>[2]!YBPRICE($A$2,C1067&amp;"d",$B1068,"OAS","Swap",B1067,"LMMSkew","","Model",100,"OAS")</f>
        <v>E</v>
      </c>
      <c r="E1067" s="32" t="str">
        <f>[2]!YBHIST($A$2,B1067,"LMMOAS","sec","")</f>
        <v>E</v>
      </c>
      <c r="F1067">
        <v>41.355998999999997</v>
      </c>
    </row>
    <row r="1068" spans="2:6" ht="15" x14ac:dyDescent="0.25">
      <c r="B1068" s="14">
        <v>42132</v>
      </c>
      <c r="C1068" s="30" t="str">
        <f>[2]!YBHIST($A$2,$B1068,"Price","sec","")</f>
        <v>E</v>
      </c>
      <c r="D1068" t="str">
        <f>[2]!YBPRICE($A$2,C1068&amp;"d",$B1069,"OAS","Swap",B1068,"LMMSkew","","Model",100,"OAS")</f>
        <v>E</v>
      </c>
      <c r="E1068" s="32" t="str">
        <f>[2]!YBHIST($A$2,B1068,"LMMOAS","sec","")</f>
        <v>E</v>
      </c>
      <c r="F1068">
        <v>56.278801000000001</v>
      </c>
    </row>
    <row r="1069" spans="2:6" ht="15" x14ac:dyDescent="0.25">
      <c r="B1069" s="14">
        <v>42135</v>
      </c>
      <c r="C1069" s="30" t="str">
        <f>[2]!YBHIST($A$2,$B1069,"Price","sec","")</f>
        <v>E</v>
      </c>
      <c r="D1069" t="str">
        <f>[2]!YBPRICE($A$2,C1069&amp;"d",$B1070,"OAS","Swap",B1069,"LMMSkew","","Model",100,"OAS")</f>
        <v>E</v>
      </c>
      <c r="E1069" s="32" t="str">
        <f>[2]!YBHIST($A$2,B1069,"LMMOAS","sec","")</f>
        <v>E</v>
      </c>
      <c r="F1069">
        <v>44.369900000000001</v>
      </c>
    </row>
    <row r="1070" spans="2:6" ht="15" x14ac:dyDescent="0.25">
      <c r="B1070" s="14">
        <v>42136</v>
      </c>
      <c r="C1070" s="30" t="str">
        <f>[2]!YBHIST($A$2,$B1070,"Price","sec","")</f>
        <v>E</v>
      </c>
      <c r="D1070" t="str">
        <f>[2]!YBPRICE($A$2,C1070&amp;"d",$B1071,"OAS","Swap",B1070,"LMMSkew","","Model",100,"OAS")</f>
        <v>E</v>
      </c>
      <c r="E1070" s="32" t="str">
        <f>[2]!YBHIST($A$2,B1070,"LMMOAS","sec","")</f>
        <v>E</v>
      </c>
      <c r="F1070">
        <v>45.197600999999999</v>
      </c>
    </row>
    <row r="1071" spans="2:6" ht="15" x14ac:dyDescent="0.25">
      <c r="B1071" s="14">
        <v>42137</v>
      </c>
      <c r="C1071" s="30" t="str">
        <f>[2]!YBHIST($A$2,$B1071,"Price","sec","")</f>
        <v>E</v>
      </c>
      <c r="D1071" t="str">
        <f>[2]!YBPRICE($A$2,C1071&amp;"d",$B1072,"OAS","Swap",B1071,"LMMSkew","","Model",100,"OAS")</f>
        <v>E</v>
      </c>
      <c r="E1071" s="32" t="str">
        <f>[2]!YBHIST($A$2,B1071,"LMMOAS","sec","")</f>
        <v>E</v>
      </c>
      <c r="F1071">
        <v>54.435501000000002</v>
      </c>
    </row>
    <row r="1072" spans="2:6" ht="15" x14ac:dyDescent="0.25">
      <c r="B1072" s="14">
        <v>42138</v>
      </c>
      <c r="C1072" s="30" t="str">
        <f>[2]!YBHIST($A$2,$B1072,"Price","sec","")</f>
        <v>E</v>
      </c>
      <c r="D1072" t="str">
        <f>[2]!YBPRICE($A$2,C1072&amp;"d",$B1073,"OAS","Swap",B1072,"LMMSkew","","Model",100,"OAS")</f>
        <v>E</v>
      </c>
      <c r="E1072" s="32" t="str">
        <f>[2]!YBHIST($A$2,B1072,"LMMOAS","sec","")</f>
        <v>E</v>
      </c>
      <c r="F1072">
        <v>67.711303999999998</v>
      </c>
    </row>
    <row r="1073" spans="2:6" ht="15" x14ac:dyDescent="0.25">
      <c r="B1073" s="14">
        <v>42139</v>
      </c>
      <c r="C1073" s="30" t="str">
        <f>[2]!YBHIST($A$2,$B1073,"Price","sec","")</f>
        <v>E</v>
      </c>
      <c r="D1073" t="str">
        <f>[2]!YBPRICE($A$2,C1073&amp;"d",$B1074,"OAS","Swap",B1073,"LMMSkew","","Model",100,"OAS")</f>
        <v>E</v>
      </c>
      <c r="E1073" s="32" t="str">
        <f>[2]!YBHIST($A$2,B1073,"LMMOAS","sec","")</f>
        <v>E</v>
      </c>
      <c r="F1073">
        <v>66.403503000000001</v>
      </c>
    </row>
    <row r="1074" spans="2:6" ht="15" x14ac:dyDescent="0.25">
      <c r="B1074" s="14">
        <v>42142</v>
      </c>
      <c r="C1074" s="30" t="str">
        <f>[2]!YBHIST($A$2,$B1074,"Price","sec","")</f>
        <v>E</v>
      </c>
      <c r="D1074" t="str">
        <f>[2]!YBPRICE($A$2,C1074&amp;"d",$B1075,"OAS","Swap",B1074,"LMMSkew","","Model",100,"OAS")</f>
        <v>E</v>
      </c>
      <c r="E1074" s="32" t="str">
        <f>[2]!YBHIST($A$2,B1074,"LMMOAS","sec","")</f>
        <v>E</v>
      </c>
      <c r="F1074">
        <v>61.451698</v>
      </c>
    </row>
    <row r="1075" spans="2:6" ht="15" x14ac:dyDescent="0.25">
      <c r="B1075" s="14">
        <v>42143</v>
      </c>
      <c r="C1075" s="30" t="str">
        <f>[2]!YBHIST($A$2,$B1075,"Price","sec","")</f>
        <v>E</v>
      </c>
      <c r="D1075" t="str">
        <f>[2]!YBPRICE($A$2,C1075&amp;"d",$B1076,"OAS","Swap",B1075,"LMMSkew","","Model",100,"OAS")</f>
        <v>E</v>
      </c>
      <c r="E1075" s="32" t="str">
        <f>[2]!YBHIST($A$2,B1075,"LMMOAS","sec","")</f>
        <v>E</v>
      </c>
      <c r="F1075">
        <v>51.1721</v>
      </c>
    </row>
    <row r="1076" spans="2:6" ht="15" x14ac:dyDescent="0.25">
      <c r="B1076" s="14">
        <v>42144</v>
      </c>
      <c r="C1076" s="30" t="str">
        <f>[2]!YBHIST($A$2,$B1076,"Price","sec","")</f>
        <v>E</v>
      </c>
      <c r="D1076" t="str">
        <f>[2]!YBPRICE($A$2,C1076&amp;"d",$B1077,"OAS","Swap",B1076,"LMMSkew","","Model",100,"OAS")</f>
        <v>E</v>
      </c>
      <c r="E1076" s="32" t="str">
        <f>[2]!YBHIST($A$2,B1076,"LMMOAS","sec","")</f>
        <v>E</v>
      </c>
      <c r="F1076">
        <v>55.920399000000003</v>
      </c>
    </row>
    <row r="1077" spans="2:6" ht="15" x14ac:dyDescent="0.25">
      <c r="B1077" s="14">
        <v>42145</v>
      </c>
      <c r="C1077" s="30" t="str">
        <f>[2]!YBHIST($A$2,$B1077,"Price","sec","")</f>
        <v>E</v>
      </c>
      <c r="D1077" t="str">
        <f>[2]!YBPRICE($A$2,C1077&amp;"d",$B1078,"OAS","Swap",B1077,"LMMSkew","","Model",100,"OAS")</f>
        <v>E</v>
      </c>
      <c r="E1077" s="32" t="str">
        <f>[2]!YBHIST($A$2,B1077,"LMMOAS","sec","")</f>
        <v>E</v>
      </c>
      <c r="F1077">
        <v>65.277901</v>
      </c>
    </row>
    <row r="1078" spans="2:6" ht="15" x14ac:dyDescent="0.25">
      <c r="B1078" s="14">
        <v>42146</v>
      </c>
      <c r="C1078" s="30" t="str">
        <f>[2]!YBHIST($A$2,$B1078,"Price","sec","")</f>
        <v>E</v>
      </c>
      <c r="D1078" t="str">
        <f>[2]!YBPRICE($A$2,C1078&amp;"d",$B1079,"OAS","Swap",B1078,"LMMSkew","","Model",100,"OAS")</f>
        <v>E</v>
      </c>
      <c r="E1078" s="32" t="str">
        <f>[2]!YBHIST($A$2,B1078,"LMMOAS","sec","")</f>
        <v>E</v>
      </c>
      <c r="F1078">
        <v>47.527000000000001</v>
      </c>
    </row>
    <row r="1079" spans="2:6" ht="15" x14ac:dyDescent="0.25">
      <c r="B1079" s="14">
        <v>42150</v>
      </c>
      <c r="C1079" s="30" t="str">
        <f>[2]!YBHIST($A$2,$B1079,"Price","sec","")</f>
        <v>E</v>
      </c>
      <c r="D1079" t="str">
        <f>[2]!YBPRICE($A$2,C1079&amp;"d",$B1080,"OAS","Swap",B1079,"LMMSkew","","Model",100,"OAS")</f>
        <v>E</v>
      </c>
      <c r="E1079" s="32" t="str">
        <f>[2]!YBHIST($A$2,B1079,"LMMOAS","sec","")</f>
        <v>E</v>
      </c>
      <c r="F1079">
        <v>59.977699000000001</v>
      </c>
    </row>
    <row r="1080" spans="2:6" ht="15" x14ac:dyDescent="0.25">
      <c r="B1080" s="14">
        <v>42151</v>
      </c>
      <c r="C1080" s="30" t="str">
        <f>[2]!YBHIST($A$2,$B1080,"Price","sec","")</f>
        <v>E</v>
      </c>
      <c r="D1080" t="str">
        <f>[2]!YBPRICE($A$2,C1080&amp;"d",$B1081,"OAS","Swap",B1080,"LMMSkew","","Model",100,"OAS")</f>
        <v>E</v>
      </c>
      <c r="E1080" s="32" t="str">
        <f>[2]!YBHIST($A$2,B1080,"LMMOAS","sec","")</f>
        <v>E</v>
      </c>
      <c r="F1080">
        <v>59.118099000000001</v>
      </c>
    </row>
    <row r="1081" spans="2:6" ht="15" x14ac:dyDescent="0.25">
      <c r="B1081" s="14">
        <v>42152</v>
      </c>
      <c r="C1081" s="30" t="str">
        <f>[2]!YBHIST($A$2,$B1081,"Price","sec","")</f>
        <v>E</v>
      </c>
      <c r="D1081" t="str">
        <f>[2]!YBPRICE($A$2,C1081&amp;"d",$B1082,"OAS","Swap",B1081,"LMMSkew","","Model",100,"OAS")</f>
        <v>E</v>
      </c>
      <c r="E1081" s="32" t="str">
        <f>[2]!YBHIST($A$2,B1081,"LMMOAS","sec","")</f>
        <v>E</v>
      </c>
      <c r="F1081">
        <v>63.244598000000003</v>
      </c>
    </row>
    <row r="1082" spans="2:6" ht="15" x14ac:dyDescent="0.25">
      <c r="B1082" s="14">
        <v>42153</v>
      </c>
      <c r="C1082" s="30" t="str">
        <f>[2]!YBHIST($A$2,$B1082,"Price","sec","")</f>
        <v>E</v>
      </c>
      <c r="D1082" t="str">
        <f>[2]!YBPRICE($A$2,C1082&amp;"d",$B1083,"OAS","Swap",B1082,"LMMSkew","","Model",100,"OAS")</f>
        <v>E</v>
      </c>
      <c r="E1082" s="32" t="str">
        <f>[2]!YBHIST($A$2,B1082,"LMMOAS","sec","")</f>
        <v>E</v>
      </c>
      <c r="F1082">
        <v>61.723098999999998</v>
      </c>
    </row>
    <row r="1083" spans="2:6" ht="15" x14ac:dyDescent="0.25">
      <c r="B1083" s="14">
        <v>42156</v>
      </c>
      <c r="C1083" s="30" t="str">
        <f>[2]!YBHIST($A$2,$B1083,"Price","sec","")</f>
        <v>E</v>
      </c>
      <c r="D1083" t="str">
        <f>[2]!YBPRICE($A$2,C1083&amp;"d",$B1084,"OAS","Swap",B1083,"LMMSkew","","Model",100,"OAS")</f>
        <v>E</v>
      </c>
      <c r="E1083" s="32" t="str">
        <f>[2]!YBHIST($A$2,B1083,"LMMOAS","sec","")</f>
        <v>E</v>
      </c>
      <c r="F1083">
        <v>55.639999000000003</v>
      </c>
    </row>
    <row r="1084" spans="2:6" ht="15" x14ac:dyDescent="0.25">
      <c r="B1084" s="14">
        <v>42157</v>
      </c>
      <c r="C1084" s="30" t="str">
        <f>[2]!YBHIST($A$2,$B1084,"Price","sec","")</f>
        <v>E</v>
      </c>
      <c r="D1084" t="str">
        <f>[2]!YBPRICE($A$2,C1084&amp;"d",$B1085,"OAS","Swap",B1084,"LMMSkew","","Model",100,"OAS")</f>
        <v>E</v>
      </c>
      <c r="E1084" s="32" t="str">
        <f>[2]!YBHIST($A$2,B1084,"LMMOAS","sec","")</f>
        <v>E</v>
      </c>
      <c r="F1084">
        <v>49.394699000000003</v>
      </c>
    </row>
    <row r="1085" spans="2:6" ht="15" x14ac:dyDescent="0.25">
      <c r="B1085" s="14">
        <v>42158</v>
      </c>
      <c r="C1085" s="30" t="str">
        <f>[2]!YBHIST($A$2,$B1085,"Price","sec","")</f>
        <v>E</v>
      </c>
      <c r="D1085" t="str">
        <f>[2]!YBPRICE($A$2,C1085&amp;"d",$B1086,"OAS","Swap",B1085,"LMMSkew","","Model",100,"OAS")</f>
        <v>E</v>
      </c>
      <c r="E1085" s="32" t="str">
        <f>[2]!YBHIST($A$2,B1085,"LMMOAS","sec","")</f>
        <v>E</v>
      </c>
      <c r="F1085">
        <v>42.030399000000003</v>
      </c>
    </row>
    <row r="1086" spans="2:6" ht="15" x14ac:dyDescent="0.25">
      <c r="B1086" s="14">
        <v>42159</v>
      </c>
      <c r="C1086" s="30" t="str">
        <f>[2]!YBHIST($A$2,$B1086,"Price","sec","")</f>
        <v>E</v>
      </c>
      <c r="D1086" t="str">
        <f>[2]!YBPRICE($A$2,C1086&amp;"d",$B1087,"OAS","Swap",B1086,"LMMSkew","","Model",100,"OAS")</f>
        <v>E</v>
      </c>
      <c r="E1086" s="32" t="str">
        <f>[2]!YBHIST($A$2,B1086,"LMMOAS","sec","")</f>
        <v>E</v>
      </c>
      <c r="F1086">
        <v>45.790599999999998</v>
      </c>
    </row>
    <row r="1087" spans="2:6" ht="15" x14ac:dyDescent="0.25">
      <c r="B1087" s="14">
        <v>42160</v>
      </c>
      <c r="C1087" s="30" t="str">
        <f>[2]!YBHIST($A$2,$B1087,"Price","sec","")</f>
        <v>E</v>
      </c>
      <c r="D1087" t="str">
        <f>[2]!YBPRICE($A$2,C1087&amp;"d",$B1088,"OAS","Swap",B1087,"LMMSkew","","Model",100,"OAS")</f>
        <v>E</v>
      </c>
      <c r="E1087" s="32" t="str">
        <f>[2]!YBHIST($A$2,B1087,"LMMOAS","sec","")</f>
        <v>E</v>
      </c>
      <c r="F1087">
        <v>32.251399999999997</v>
      </c>
    </row>
    <row r="1088" spans="2:6" ht="15" x14ac:dyDescent="0.25">
      <c r="B1088" s="14">
        <v>42163</v>
      </c>
      <c r="C1088" s="30" t="str">
        <f>[2]!YBHIST($A$2,$B1088,"Price","sec","")</f>
        <v>E</v>
      </c>
      <c r="D1088" t="str">
        <f>[2]!YBPRICE($A$2,C1088&amp;"d",$B1089,"OAS","Swap",B1088,"LMMSkew","","Model",100,"OAS")</f>
        <v>E</v>
      </c>
      <c r="E1088" s="32" t="str">
        <f>[2]!YBHIST($A$2,B1088,"LMMOAS","sec","")</f>
        <v>E</v>
      </c>
      <c r="F1088">
        <v>36.173000000000002</v>
      </c>
    </row>
    <row r="1089" spans="2:6" ht="15" x14ac:dyDescent="0.25">
      <c r="B1089" s="14">
        <v>42164</v>
      </c>
      <c r="C1089" s="30" t="str">
        <f>[2]!YBHIST($A$2,$B1089,"Price","sec","")</f>
        <v>E</v>
      </c>
      <c r="D1089" t="str">
        <f>[2]!YBPRICE($A$2,C1089&amp;"d",$B1090,"OAS","Swap",B1089,"LMMSkew","","Model",100,"OAS")</f>
        <v>E</v>
      </c>
      <c r="E1089" s="32" t="str">
        <f>[2]!YBHIST($A$2,B1089,"LMMOAS","sec","")</f>
        <v>E</v>
      </c>
      <c r="F1089">
        <v>37.133499</v>
      </c>
    </row>
    <row r="1090" spans="2:6" ht="15" x14ac:dyDescent="0.25">
      <c r="B1090" s="14">
        <v>42165</v>
      </c>
      <c r="C1090" s="30" t="str">
        <f>[2]!YBHIST($A$2,$B1090,"Price","sec","")</f>
        <v>E</v>
      </c>
      <c r="D1090" t="str">
        <f>[2]!YBPRICE($A$2,C1090&amp;"d",$B1091,"OAS","Swap",B1090,"LMMSkew","","Model",100,"OAS")</f>
        <v>E</v>
      </c>
      <c r="E1090" s="32" t="str">
        <f>[2]!YBHIST($A$2,B1090,"LMMOAS","sec","")</f>
        <v>E</v>
      </c>
      <c r="F1090">
        <v>32.290100000000002</v>
      </c>
    </row>
    <row r="1091" spans="2:6" ht="15" x14ac:dyDescent="0.25">
      <c r="B1091" s="14">
        <v>42166</v>
      </c>
      <c r="C1091" s="30" t="str">
        <f>[2]!YBHIST($A$2,$B1091,"Price","sec","")</f>
        <v>E</v>
      </c>
      <c r="D1091" t="str">
        <f>[2]!YBPRICE($A$2,C1091&amp;"d",$B1092,"OAS","Swap",B1091,"LMMSkew","","Model",100,"OAS")</f>
        <v>E</v>
      </c>
      <c r="E1091" s="32" t="str">
        <f>[2]!YBHIST($A$2,B1091,"LMMOAS","sec","")</f>
        <v>E</v>
      </c>
      <c r="F1091">
        <v>40.877701000000002</v>
      </c>
    </row>
    <row r="1092" spans="2:6" ht="15" x14ac:dyDescent="0.25">
      <c r="B1092" s="14">
        <v>42167</v>
      </c>
      <c r="C1092" s="30" t="str">
        <f>[2]!YBHIST($A$2,$B1092,"Price","sec","")</f>
        <v>E</v>
      </c>
      <c r="D1092" t="str">
        <f>[2]!YBPRICE($A$2,C1092&amp;"d",$B1093,"OAS","Swap",B1092,"LMMSkew","","Model",100,"OAS")</f>
        <v>E</v>
      </c>
      <c r="E1092" s="32" t="str">
        <f>[2]!YBHIST($A$2,B1092,"LMMOAS","sec","")</f>
        <v>E</v>
      </c>
      <c r="F1092">
        <v>40.369801000000002</v>
      </c>
    </row>
    <row r="1093" spans="2:6" ht="15" x14ac:dyDescent="0.25">
      <c r="B1093" s="14">
        <v>42170</v>
      </c>
      <c r="C1093" s="30" t="str">
        <f>[2]!YBHIST($A$2,$B1093,"Price","sec","")</f>
        <v>E</v>
      </c>
      <c r="D1093" t="str">
        <f>[2]!YBPRICE($A$2,C1093&amp;"d",$B1094,"OAS","Swap",B1093,"LMMSkew","","Model",100,"OAS")</f>
        <v>E</v>
      </c>
      <c r="E1093" s="32" t="str">
        <f>[2]!YBHIST($A$2,B1093,"LMMOAS","sec","")</f>
        <v>E</v>
      </c>
      <c r="F1093">
        <v>40.040999999999997</v>
      </c>
    </row>
    <row r="1094" spans="2:6" ht="15" x14ac:dyDescent="0.25">
      <c r="B1094" s="14">
        <v>42171</v>
      </c>
      <c r="C1094" s="30" t="str">
        <f>[2]!YBHIST($A$2,$B1094,"Price","sec","")</f>
        <v>E</v>
      </c>
      <c r="D1094" t="str">
        <f>[2]!YBPRICE($A$2,C1094&amp;"d",$B1095,"OAS","Swap",B1094,"LMMSkew","","Model",100,"OAS")</f>
        <v>E</v>
      </c>
      <c r="E1094" s="32" t="str">
        <f>[2]!YBHIST($A$2,B1094,"LMMOAS","sec","")</f>
        <v>E</v>
      </c>
      <c r="F1094">
        <v>39.193297999999999</v>
      </c>
    </row>
    <row r="1095" spans="2:6" ht="15" x14ac:dyDescent="0.25">
      <c r="B1095" s="14">
        <v>42172</v>
      </c>
      <c r="C1095" s="30" t="str">
        <f>[2]!YBHIST($A$2,$B1095,"Price","sec","")</f>
        <v>E</v>
      </c>
      <c r="D1095" t="str">
        <f>[2]!YBPRICE($A$2,C1095&amp;"d",$B1096,"OAS","Swap",B1095,"LMMSkew","","Model",100,"OAS")</f>
        <v>E</v>
      </c>
      <c r="E1095" s="32" t="str">
        <f>[2]!YBHIST($A$2,B1095,"LMMOAS","sec","")</f>
        <v>E</v>
      </c>
      <c r="F1095">
        <v>41.273499000000001</v>
      </c>
    </row>
    <row r="1096" spans="2:6" ht="15" x14ac:dyDescent="0.25">
      <c r="B1096" s="14">
        <v>42173</v>
      </c>
      <c r="C1096" s="30" t="str">
        <f>[2]!YBHIST($A$2,$B1096,"Price","sec","")</f>
        <v>E</v>
      </c>
      <c r="D1096" t="str">
        <f>[2]!YBPRICE($A$2,C1096&amp;"d",$B1097,"OAS","Swap",B1096,"LMMSkew","","Model",100,"OAS")</f>
        <v>E</v>
      </c>
      <c r="E1096" s="32" t="str">
        <f>[2]!YBHIST($A$2,B1096,"LMMOAS","sec","")</f>
        <v>E</v>
      </c>
      <c r="F1096">
        <v>38.582099999999997</v>
      </c>
    </row>
    <row r="1097" spans="2:6" ht="15" x14ac:dyDescent="0.25">
      <c r="B1097" s="14">
        <v>42174</v>
      </c>
      <c r="C1097" s="30" t="str">
        <f>[2]!YBHIST($A$2,$B1097,"Price","sec","")</f>
        <v>E</v>
      </c>
      <c r="D1097" t="str">
        <f>[2]!YBPRICE($A$2,C1097&amp;"d",$B1098,"OAS","Swap",B1097,"LMMSkew","","Model",100,"OAS")</f>
        <v>E</v>
      </c>
      <c r="E1097" s="32" t="str">
        <f>[2]!YBHIST($A$2,B1097,"LMMOAS","sec","")</f>
        <v>E</v>
      </c>
      <c r="F1097">
        <v>34.370499000000002</v>
      </c>
    </row>
    <row r="1098" spans="2:6" ht="15" x14ac:dyDescent="0.25">
      <c r="B1098" s="14">
        <v>42177</v>
      </c>
      <c r="C1098" s="30" t="str">
        <f>[2]!YBHIST($A$2,$B1098,"Price","sec","")</f>
        <v>E</v>
      </c>
      <c r="D1098" t="str">
        <f>[2]!YBPRICE($A$2,C1098&amp;"d",$B1099,"OAS","Swap",B1098,"LMMSkew","","Model",100,"OAS")</f>
        <v>E</v>
      </c>
      <c r="E1098" s="32" t="str">
        <f>[2]!YBHIST($A$2,B1098,"LMMOAS","sec","")</f>
        <v>E</v>
      </c>
      <c r="F1098">
        <v>32.802298999999998</v>
      </c>
    </row>
    <row r="1099" spans="2:6" ht="15" x14ac:dyDescent="0.25">
      <c r="B1099" s="14">
        <v>42178</v>
      </c>
      <c r="C1099" s="30" t="str">
        <f>[2]!YBHIST($A$2,$B1099,"Price","sec","")</f>
        <v>E</v>
      </c>
      <c r="D1099" t="str">
        <f>[2]!YBPRICE($A$2,C1099&amp;"d",$B1100,"OAS","Swap",B1099,"LMMSkew","","Model",100,"OAS")</f>
        <v>E</v>
      </c>
      <c r="E1099" s="32" t="str">
        <f>[2]!YBHIST($A$2,B1099,"LMMOAS","sec","")</f>
        <v>E</v>
      </c>
      <c r="F1099">
        <v>32.325001</v>
      </c>
    </row>
    <row r="1100" spans="2:6" ht="15" x14ac:dyDescent="0.25">
      <c r="B1100" s="14">
        <v>42179</v>
      </c>
      <c r="C1100" s="30" t="str">
        <f>[2]!YBHIST($A$2,$B1100,"Price","sec","")</f>
        <v>E</v>
      </c>
      <c r="D1100" t="str">
        <f>[2]!YBPRICE($A$2,C1100&amp;"d",$B1101,"OAS","Swap",B1100,"LMMSkew","","Model",100,"OAS")</f>
        <v>E</v>
      </c>
      <c r="E1100" s="32" t="str">
        <f>[2]!YBHIST($A$2,B1100,"LMMOAS","sec","")</f>
        <v>E</v>
      </c>
      <c r="F1100">
        <v>35.141399</v>
      </c>
    </row>
    <row r="1101" spans="2:6" ht="15" x14ac:dyDescent="0.25">
      <c r="B1101" s="14">
        <v>42180</v>
      </c>
      <c r="C1101" s="30" t="str">
        <f>[2]!YBHIST($A$2,$B1101,"Price","sec","")</f>
        <v>E</v>
      </c>
      <c r="D1101" t="str">
        <f>[2]!YBPRICE($A$2,C1101&amp;"d",$B1102,"OAS","Swap",B1101,"LMMSkew","","Model",100,"OAS")</f>
        <v>E</v>
      </c>
      <c r="E1101" s="32" t="str">
        <f>[2]!YBHIST($A$2,B1101,"LMMOAS","sec","")</f>
        <v>E</v>
      </c>
      <c r="F1101">
        <v>35.195098999999999</v>
      </c>
    </row>
    <row r="1102" spans="2:6" ht="15" x14ac:dyDescent="0.25">
      <c r="B1102" s="14">
        <v>42181</v>
      </c>
      <c r="C1102" s="30" t="str">
        <f>[2]!YBHIST($A$2,$B1102,"Price","sec","")</f>
        <v>E</v>
      </c>
      <c r="D1102" t="str">
        <f>[2]!YBPRICE($A$2,C1102&amp;"d",$B1103,"OAS","Swap",B1102,"LMMSkew","","Model",100,"OAS")</f>
        <v>E</v>
      </c>
      <c r="E1102" s="32" t="str">
        <f>[2]!YBHIST($A$2,B1102,"LMMOAS","sec","")</f>
        <v>E</v>
      </c>
      <c r="F1102">
        <v>34.680900999999999</v>
      </c>
    </row>
    <row r="1103" spans="2:6" ht="15" x14ac:dyDescent="0.25">
      <c r="B1103" s="14">
        <v>42184</v>
      </c>
      <c r="C1103" s="30" t="str">
        <f>[2]!YBHIST($A$2,$B1103,"Price","sec","")</f>
        <v>E</v>
      </c>
      <c r="D1103" t="str">
        <f>[2]!YBPRICE($A$2,C1103&amp;"d",$B1104,"OAS","Swap",B1103,"LMMSkew","","Model",100,"OAS")</f>
        <v>E</v>
      </c>
      <c r="E1103" s="32" t="str">
        <f>[2]!YBHIST($A$2,B1103,"LMMOAS","sec","")</f>
        <v>E</v>
      </c>
      <c r="F1103">
        <v>37.764400000000002</v>
      </c>
    </row>
    <row r="1104" spans="2:6" ht="15" x14ac:dyDescent="0.25">
      <c r="B1104" s="14">
        <v>42185</v>
      </c>
      <c r="C1104" s="30" t="str">
        <f>[2]!YBHIST($A$2,$B1104,"Price","sec","")</f>
        <v>E</v>
      </c>
      <c r="D1104" t="str">
        <f>[2]!YBPRICE($A$2,C1104&amp;"d",$B1105,"OAS","Swap",B1104,"LMMSkew","","Model",100,"OAS")</f>
        <v>E</v>
      </c>
      <c r="E1104" s="32" t="str">
        <f>[2]!YBHIST($A$2,B1104,"LMMOAS","sec","")</f>
        <v>E</v>
      </c>
      <c r="F1104">
        <v>41.394599999999997</v>
      </c>
    </row>
    <row r="1105" spans="2:6" ht="15" x14ac:dyDescent="0.25">
      <c r="B1105" s="24">
        <v>42186</v>
      </c>
      <c r="C1105" s="30" t="str">
        <f>[2]!YBHIST($A$2,$B1105,"Price","sec","")</f>
        <v>E</v>
      </c>
      <c r="D1105" t="str">
        <f>[2]!YBPRICE($A$2,C1105&amp;"d",$B1106,"OAS","Swap",B1105,"LMMSkew","","Model",100,"OAS")</f>
        <v>E</v>
      </c>
      <c r="E1105" s="32" t="str">
        <f>[2]!YBHIST($A$2,B1105,"LMMOAS","sec","")</f>
        <v>E</v>
      </c>
      <c r="F1105">
        <v>43.230801</v>
      </c>
    </row>
    <row r="1106" spans="2:6" ht="15" x14ac:dyDescent="0.25">
      <c r="B1106" s="14">
        <v>42187</v>
      </c>
      <c r="C1106" s="30" t="str">
        <f>[2]!YBHIST($A$2,$B1106,"Price","sec","")</f>
        <v>E</v>
      </c>
      <c r="D1106" t="str">
        <f>[2]!YBPRICE($A$2,C1106&amp;"d",$B1107,"OAS","Swap",B1106,"LMMSkew","","Model",100,"OAS")</f>
        <v>E</v>
      </c>
      <c r="E1106" s="32" t="str">
        <f>[2]!YBHIST($A$2,B1106,"LMMOAS","sec","")</f>
        <v>E</v>
      </c>
      <c r="F1106">
        <v>39.493198</v>
      </c>
    </row>
    <row r="1107" spans="2:6" ht="15" x14ac:dyDescent="0.25">
      <c r="B1107" s="14">
        <v>42191</v>
      </c>
      <c r="C1107" s="30" t="str">
        <f>[2]!YBHIST($A$2,$B1107,"Price","sec","")</f>
        <v>E</v>
      </c>
      <c r="D1107" t="str">
        <f>[2]!YBPRICE($A$2,C1107&amp;"d",$B1108,"OAS","Swap",B1107,"LMMSkew","","Model",100,"OAS")</f>
        <v>E</v>
      </c>
      <c r="E1107" s="32" t="str">
        <f>[2]!YBHIST($A$2,B1107,"LMMOAS","sec","")</f>
        <v>E</v>
      </c>
      <c r="F1107">
        <v>38.337299000000002</v>
      </c>
    </row>
    <row r="1108" spans="2:6" ht="15" x14ac:dyDescent="0.25">
      <c r="B1108" s="14">
        <v>42192</v>
      </c>
      <c r="C1108" s="30" t="str">
        <f>[2]!YBHIST($A$2,$B1108,"Price","sec","")</f>
        <v>E</v>
      </c>
      <c r="D1108" t="str">
        <f>[2]!YBPRICE($A$2,C1108&amp;"d",$B1109,"OAS","Swap",B1108,"LMMSkew","","Model",100,"OAS")</f>
        <v>E</v>
      </c>
      <c r="E1108" s="32" t="str">
        <f>[2]!YBHIST($A$2,B1108,"LMMOAS","sec","")</f>
        <v>E</v>
      </c>
      <c r="F1108">
        <v>38.754798999999998</v>
      </c>
    </row>
    <row r="1109" spans="2:6" ht="15" x14ac:dyDescent="0.25">
      <c r="B1109" s="14">
        <v>42193</v>
      </c>
      <c r="C1109" s="30" t="str">
        <f>[2]!YBHIST($A$2,$B1109,"Price","sec","")</f>
        <v>E</v>
      </c>
      <c r="D1109" t="str">
        <f>[2]!YBPRICE($A$2,C1109&amp;"d",$B1110,"OAS","Swap",B1109,"LMMSkew","","Model",100,"OAS")</f>
        <v>E</v>
      </c>
      <c r="E1109" s="32" t="str">
        <f>[2]!YBHIST($A$2,B1109,"LMMOAS","sec","")</f>
        <v>E</v>
      </c>
      <c r="F1109">
        <v>39.565300000000001</v>
      </c>
    </row>
    <row r="1110" spans="2:6" ht="15" x14ac:dyDescent="0.25">
      <c r="B1110" s="14">
        <v>42194</v>
      </c>
      <c r="C1110" s="30" t="str">
        <f>[2]!YBHIST($A$2,$B1110,"Price","sec","")</f>
        <v>E</v>
      </c>
      <c r="D1110" t="str">
        <f>[2]!YBPRICE($A$2,C1110&amp;"d",$B1111,"OAS","Swap",B1110,"LMMSkew","","Model",100,"OAS")</f>
        <v>E</v>
      </c>
      <c r="E1110" s="32" t="str">
        <f>[2]!YBHIST($A$2,B1110,"LMMOAS","sec","")</f>
        <v>E</v>
      </c>
      <c r="F1110">
        <v>36.898997999999999</v>
      </c>
    </row>
    <row r="1111" spans="2:6" ht="15" x14ac:dyDescent="0.25">
      <c r="B1111" s="14">
        <v>42195</v>
      </c>
      <c r="C1111" s="30" t="str">
        <f>[2]!YBHIST($A$2,$B1111,"Price","sec","")</f>
        <v>E</v>
      </c>
      <c r="D1111" t="str">
        <f>[2]!YBPRICE($A$2,C1111&amp;"d",$B1112,"OAS","Swap",B1111,"LMMSkew","","Model",100,"OAS")</f>
        <v>E</v>
      </c>
      <c r="E1111" s="32" t="str">
        <f>[2]!YBHIST($A$2,B1111,"LMMOAS","sec","")</f>
        <v>E</v>
      </c>
      <c r="F1111">
        <v>42.467799999999997</v>
      </c>
    </row>
    <row r="1112" spans="2:6" ht="15" x14ac:dyDescent="0.25">
      <c r="B1112" s="14">
        <v>42198</v>
      </c>
      <c r="C1112" s="30" t="str">
        <f>[2]!YBHIST($A$2,$B1112,"Price","sec","")</f>
        <v>E</v>
      </c>
      <c r="D1112" t="str">
        <f>[2]!YBPRICE($A$2,C1112&amp;"d",$B1113,"OAS","Swap",B1112,"LMMSkew","","Model",100,"OAS")</f>
        <v>E</v>
      </c>
      <c r="E1112" s="32" t="str">
        <f>[2]!YBHIST($A$2,B1112,"LMMOAS","sec","")</f>
        <v>E</v>
      </c>
      <c r="F1112">
        <v>38.671398000000003</v>
      </c>
    </row>
    <row r="1113" spans="2:6" ht="15" x14ac:dyDescent="0.25">
      <c r="B1113" s="14">
        <v>42199</v>
      </c>
      <c r="C1113" s="30" t="str">
        <f>[2]!YBHIST($A$2,$B1113,"Price","sec","")</f>
        <v>E</v>
      </c>
      <c r="D1113" t="str">
        <f>[2]!YBPRICE($A$2,C1113&amp;"d",$B1114,"OAS","Swap",B1113,"LMMSkew","","Model",100,"OAS")</f>
        <v>E</v>
      </c>
      <c r="E1113" s="32" t="str">
        <f>[2]!YBHIST($A$2,B1113,"LMMOAS","sec","")</f>
        <v>E</v>
      </c>
      <c r="F1113">
        <v>46.182200999999999</v>
      </c>
    </row>
    <row r="1114" spans="2:6" ht="15" x14ac:dyDescent="0.25">
      <c r="B1114" s="14">
        <v>42200</v>
      </c>
      <c r="C1114" s="30" t="str">
        <f>[2]!YBHIST($A$2,$B1114,"Price","sec","")</f>
        <v>E</v>
      </c>
      <c r="D1114" t="str">
        <f>[2]!YBPRICE($A$2,C1114&amp;"d",$B1115,"OAS","Swap",B1114,"LMMSkew","","Model",100,"OAS")</f>
        <v>E</v>
      </c>
      <c r="E1114" s="32" t="str">
        <f>[2]!YBHIST($A$2,B1114,"LMMOAS","sec","")</f>
        <v>E</v>
      </c>
      <c r="F1114">
        <v>48.624198999999997</v>
      </c>
    </row>
    <row r="1115" spans="2:6" ht="15" x14ac:dyDescent="0.25">
      <c r="B1115" s="14">
        <v>42201</v>
      </c>
      <c r="C1115" s="30" t="str">
        <f>[2]!YBHIST($A$2,$B1115,"Price","sec","")</f>
        <v>E</v>
      </c>
      <c r="D1115" t="str">
        <f>[2]!YBPRICE($A$2,C1115&amp;"d",$B1116,"OAS","Swap",B1115,"LMMSkew","","Model",100,"OAS")</f>
        <v>E</v>
      </c>
      <c r="E1115" s="32" t="str">
        <f>[2]!YBHIST($A$2,B1115,"LMMOAS","sec","")</f>
        <v>E</v>
      </c>
      <c r="F1115">
        <v>48.332099999999997</v>
      </c>
    </row>
    <row r="1116" spans="2:6" ht="15" x14ac:dyDescent="0.25">
      <c r="B1116" s="14">
        <v>42202</v>
      </c>
      <c r="C1116" s="30" t="str">
        <f>[2]!YBHIST($A$2,$B1116,"Price","sec","")</f>
        <v>E</v>
      </c>
      <c r="D1116" t="str">
        <f>[2]!YBPRICE($A$2,C1116&amp;"d",$B1117,"OAS","Swap",B1116,"LMMSkew","","Model",100,"OAS")</f>
        <v>E</v>
      </c>
      <c r="E1116" s="32" t="str">
        <f>[2]!YBHIST($A$2,B1116,"LMMOAS","sec","")</f>
        <v>E</v>
      </c>
      <c r="F1116">
        <v>47.820202000000002</v>
      </c>
    </row>
    <row r="1117" spans="2:6" ht="15" x14ac:dyDescent="0.25">
      <c r="B1117" s="14">
        <v>42205</v>
      </c>
      <c r="C1117" s="30" t="str">
        <f>[2]!YBHIST($A$2,$B1117,"Price","sec","")</f>
        <v>E</v>
      </c>
      <c r="D1117" t="str">
        <f>[2]!YBPRICE($A$2,C1117&amp;"d",$B1118,"OAS","Swap",B1117,"LMMSkew","","Model",100,"OAS")</f>
        <v>E</v>
      </c>
      <c r="E1117" s="32" t="str">
        <f>[2]!YBHIST($A$2,B1117,"LMMOAS","sec","")</f>
        <v>E</v>
      </c>
      <c r="F1117">
        <v>45.566502</v>
      </c>
    </row>
    <row r="1118" spans="2:6" ht="15" x14ac:dyDescent="0.25">
      <c r="B1118" s="14">
        <v>42206</v>
      </c>
      <c r="C1118" s="30" t="str">
        <f>[2]!YBHIST($A$2,$B1118,"Price","sec","")</f>
        <v>E</v>
      </c>
      <c r="D1118" t="str">
        <f>[2]!YBPRICE($A$2,C1118&amp;"d",$B1119,"OAS","Swap",B1118,"LMMSkew","","Model",100,"OAS")</f>
        <v>E</v>
      </c>
      <c r="E1118" s="32" t="str">
        <f>[2]!YBHIST($A$2,B1118,"LMMOAS","sec","")</f>
        <v>E</v>
      </c>
      <c r="F1118">
        <v>44.955897999999998</v>
      </c>
    </row>
    <row r="1119" spans="2:6" ht="15" x14ac:dyDescent="0.25">
      <c r="B1119" s="14">
        <v>42207</v>
      </c>
      <c r="C1119" s="30" t="str">
        <f>[2]!YBHIST($A$2,$B1119,"Price","sec","")</f>
        <v>E</v>
      </c>
      <c r="D1119" t="str">
        <f>[2]!YBPRICE($A$2,C1119&amp;"d",$B1120,"OAS","Swap",B1119,"LMMSkew","","Model",100,"OAS")</f>
        <v>E</v>
      </c>
      <c r="E1119" s="32" t="str">
        <f>[2]!YBHIST($A$2,B1119,"LMMOAS","sec","")</f>
        <v>E</v>
      </c>
      <c r="F1119">
        <v>39.336899000000003</v>
      </c>
    </row>
    <row r="1120" spans="2:6" ht="15" x14ac:dyDescent="0.25">
      <c r="B1120" s="14">
        <v>42208</v>
      </c>
      <c r="C1120" s="30" t="str">
        <f>[2]!YBHIST($A$2,$B1120,"Price","sec","")</f>
        <v>E</v>
      </c>
      <c r="D1120" t="str">
        <f>[2]!YBPRICE($A$2,C1120&amp;"d",$B1121,"OAS","Swap",B1120,"LMMSkew","","Model",100,"OAS")</f>
        <v>E</v>
      </c>
      <c r="E1120" s="32" t="str">
        <f>[2]!YBHIST($A$2,B1120,"LMMOAS","sec","")</f>
        <v>E</v>
      </c>
      <c r="F1120">
        <v>35.850700000000003</v>
      </c>
    </row>
    <row r="1121" spans="2:6" ht="15" x14ac:dyDescent="0.25">
      <c r="B1121" s="14">
        <v>42209</v>
      </c>
      <c r="C1121" s="30" t="str">
        <f>[2]!YBHIST($A$2,$B1121,"Price","sec","")</f>
        <v>E</v>
      </c>
      <c r="D1121" t="str">
        <f>[2]!YBPRICE($A$2,C1121&amp;"d",$B1122,"OAS","Swap",B1121,"LMMSkew","","Model",100,"OAS")</f>
        <v>E</v>
      </c>
      <c r="E1121" s="32" t="str">
        <f>[2]!YBHIST($A$2,B1121,"LMMOAS","sec","")</f>
        <v>E</v>
      </c>
      <c r="F1121">
        <v>35.290100000000002</v>
      </c>
    </row>
    <row r="1122" spans="2:6" ht="15" x14ac:dyDescent="0.25">
      <c r="B1122" s="14">
        <v>42212</v>
      </c>
      <c r="C1122" s="30" t="str">
        <f>[2]!YBHIST($A$2,$B1122,"Price","sec","")</f>
        <v>E</v>
      </c>
      <c r="D1122" t="str">
        <f>[2]!YBPRICE($A$2,C1122&amp;"d",$B1123,"OAS","Swap",B1122,"LMMSkew","","Model",100,"OAS")</f>
        <v>E</v>
      </c>
      <c r="E1122" s="32" t="str">
        <f>[2]!YBHIST($A$2,B1122,"LMMOAS","sec","")</f>
        <v>E</v>
      </c>
      <c r="F1122">
        <v>45.665698999999996</v>
      </c>
    </row>
    <row r="1123" spans="2:6" ht="15" x14ac:dyDescent="0.25">
      <c r="B1123" s="14">
        <v>42213</v>
      </c>
      <c r="C1123" s="30" t="str">
        <f>[2]!YBHIST($A$2,$B1123,"Price","sec","")</f>
        <v>E</v>
      </c>
      <c r="D1123" t="str">
        <f>[2]!YBPRICE($A$2,C1123&amp;"d",$B1124,"OAS","Swap",B1123,"LMMSkew","","Model",100,"OAS")</f>
        <v>E</v>
      </c>
      <c r="E1123" s="32" t="str">
        <f>[2]!YBHIST($A$2,B1123,"LMMOAS","sec","")</f>
        <v>E</v>
      </c>
      <c r="F1123">
        <v>44.048000000000002</v>
      </c>
    </row>
    <row r="1124" spans="2:6" ht="15" x14ac:dyDescent="0.25">
      <c r="B1124" s="14">
        <v>42214</v>
      </c>
      <c r="C1124" s="30" t="str">
        <f>[2]!YBHIST($A$2,$B1124,"Price","sec","")</f>
        <v>E</v>
      </c>
      <c r="D1124" t="str">
        <f>[2]!YBPRICE($A$2,C1124&amp;"d",$B1125,"OAS","Swap",B1124,"LMMSkew","","Model",100,"OAS")</f>
        <v>E</v>
      </c>
      <c r="E1124" s="32" t="str">
        <f>[2]!YBHIST($A$2,B1124,"LMMOAS","sec","")</f>
        <v>E</v>
      </c>
      <c r="F1124">
        <v>52.541901000000003</v>
      </c>
    </row>
    <row r="1125" spans="2:6" ht="15" x14ac:dyDescent="0.25">
      <c r="B1125" s="14">
        <v>42215</v>
      </c>
      <c r="C1125" s="30" t="str">
        <f>[2]!YBHIST($A$2,$B1125,"Price","sec","")</f>
        <v>E</v>
      </c>
      <c r="D1125" t="str">
        <f>[2]!YBPRICE($A$2,C1125&amp;"d",$B1126,"OAS","Swap",B1125,"LMMSkew","","Model",100,"OAS")</f>
        <v>E</v>
      </c>
      <c r="E1125" s="32" t="str">
        <f>[2]!YBHIST($A$2,B1125,"LMMOAS","sec","")</f>
        <v>E</v>
      </c>
      <c r="F1125">
        <v>56.813701999999999</v>
      </c>
    </row>
    <row r="1126" spans="2:6" ht="15" x14ac:dyDescent="0.25">
      <c r="B1126" s="14">
        <v>42216</v>
      </c>
      <c r="C1126" s="30" t="str">
        <f>[2]!YBHIST($A$2,$B1126,"Price","sec","")</f>
        <v>E</v>
      </c>
      <c r="D1126" t="str">
        <f>[2]!YBPRICE($A$2,C1126&amp;"d",$B1127,"OAS","Swap",B1126,"LMMSkew","","Model",100,"OAS")</f>
        <v>E</v>
      </c>
      <c r="E1126" s="32" t="str">
        <f>[2]!YBHIST($A$2,B1126,"LMMOAS","sec","")</f>
        <v>E</v>
      </c>
      <c r="F1126">
        <v>55.182701000000002</v>
      </c>
    </row>
    <row r="1127" spans="2:6" ht="15" x14ac:dyDescent="0.25">
      <c r="B1127" s="14">
        <v>42219</v>
      </c>
      <c r="C1127" s="30" t="str">
        <f>[2]!YBHIST($A$2,$B1127,"Price","sec","")</f>
        <v>E</v>
      </c>
      <c r="D1127" t="str">
        <f>[2]!YBPRICE($A$2,C1127&amp;"d",$B1128,"OAS","Swap",B1127,"LMMSkew","","Model",100,"OAS")</f>
        <v>E</v>
      </c>
      <c r="E1127" s="32" t="str">
        <f>[2]!YBHIST($A$2,B1127,"LMMOAS","sec","")</f>
        <v>E</v>
      </c>
      <c r="F1127">
        <v>53.487900000000003</v>
      </c>
    </row>
    <row r="1128" spans="2:6" ht="15" x14ac:dyDescent="0.25">
      <c r="B1128" s="14">
        <v>42220</v>
      </c>
      <c r="C1128" s="30" t="str">
        <f>[2]!YBHIST($A$2,$B1128,"Price","sec","")</f>
        <v>E</v>
      </c>
      <c r="D1128" t="str">
        <f>[2]!YBPRICE($A$2,C1128&amp;"d",$B1129,"OAS","Swap",B1128,"LMMSkew","","Model",100,"OAS")</f>
        <v>E</v>
      </c>
      <c r="E1128" s="32" t="str">
        <f>[2]!YBHIST($A$2,B1128,"LMMOAS","sec","")</f>
        <v>E</v>
      </c>
      <c r="F1128">
        <v>54.321201000000002</v>
      </c>
    </row>
    <row r="1129" spans="2:6" ht="15" x14ac:dyDescent="0.25">
      <c r="B1129" s="14">
        <v>42221</v>
      </c>
      <c r="C1129" s="30" t="str">
        <f>[2]!YBHIST($A$2,$B1129,"Price","sec","")</f>
        <v>E</v>
      </c>
      <c r="D1129" t="str">
        <f>[2]!YBPRICE($A$2,C1129&amp;"d",$B1130,"OAS","Swap",B1129,"LMMSkew","","Model",100,"OAS")</f>
        <v>E</v>
      </c>
      <c r="E1129" s="32" t="str">
        <f>[2]!YBHIST($A$2,B1129,"LMMOAS","sec","")</f>
        <v>E</v>
      </c>
      <c r="F1129">
        <v>55.3979</v>
      </c>
    </row>
    <row r="1130" spans="2:6" ht="15" x14ac:dyDescent="0.25">
      <c r="B1130" s="14">
        <v>42222</v>
      </c>
      <c r="C1130" s="30" t="str">
        <f>[2]!YBHIST($A$2,$B1130,"Price","sec","")</f>
        <v>E</v>
      </c>
      <c r="D1130" t="str">
        <f>[2]!YBPRICE($A$2,C1130&amp;"d",$B1131,"OAS","Swap",B1130,"LMMSkew","","Model",100,"OAS")</f>
        <v>E</v>
      </c>
      <c r="E1130" s="32" t="str">
        <f>[2]!YBHIST($A$2,B1130,"LMMOAS","sec","")</f>
        <v>E</v>
      </c>
      <c r="F1130">
        <v>52.941502</v>
      </c>
    </row>
    <row r="1131" spans="2:6" ht="15" x14ac:dyDescent="0.25">
      <c r="B1131" s="14">
        <v>42223</v>
      </c>
      <c r="C1131" s="30" t="str">
        <f>[2]!YBHIST($A$2,$B1131,"Price","sec","")</f>
        <v>E</v>
      </c>
      <c r="D1131" t="str">
        <f>[2]!YBPRICE($A$2,C1131&amp;"d",$B1132,"OAS","Swap",B1131,"LMMSkew","","Model",100,"OAS")</f>
        <v>E</v>
      </c>
      <c r="E1131" s="32" t="str">
        <f>[2]!YBHIST($A$2,B1131,"LMMOAS","sec","")</f>
        <v>E</v>
      </c>
      <c r="F1131">
        <v>47.944901000000002</v>
      </c>
    </row>
    <row r="1132" spans="2:6" ht="15" x14ac:dyDescent="0.25">
      <c r="B1132" s="14">
        <v>42226</v>
      </c>
      <c r="C1132" s="30" t="str">
        <f>[2]!YBHIST($A$2,$B1132,"Price","sec","")</f>
        <v>E</v>
      </c>
      <c r="D1132" t="str">
        <f>[2]!YBPRICE($A$2,C1132&amp;"d",$B1133,"OAS","Swap",B1132,"LMMSkew","","Model",100,"OAS")</f>
        <v>E</v>
      </c>
      <c r="E1132" s="32" t="str">
        <f>[2]!YBHIST($A$2,B1132,"LMMOAS","sec","")</f>
        <v>E</v>
      </c>
      <c r="F1132">
        <v>48.788798999999997</v>
      </c>
    </row>
    <row r="1133" spans="2:6" ht="15" x14ac:dyDescent="0.25">
      <c r="B1133" s="14">
        <v>42227</v>
      </c>
      <c r="C1133" s="30" t="str">
        <f>[2]!YBHIST($A$2,$B1133,"Price","sec","")</f>
        <v>E</v>
      </c>
      <c r="D1133" t="str">
        <f>[2]!YBPRICE($A$2,C1133&amp;"d",$B1134,"OAS","Swap",B1133,"LMMSkew","","Model",100,"OAS")</f>
        <v>E</v>
      </c>
      <c r="E1133" s="32" t="str">
        <f>[2]!YBHIST($A$2,B1133,"LMMOAS","sec","")</f>
        <v>E</v>
      </c>
      <c r="F1133">
        <v>49.109797999999998</v>
      </c>
    </row>
    <row r="1134" spans="2:6" ht="15" x14ac:dyDescent="0.25">
      <c r="B1134" s="14">
        <v>42228</v>
      </c>
      <c r="C1134" s="30" t="str">
        <f>[2]!YBHIST($A$2,$B1134,"Price","sec","")</f>
        <v>E</v>
      </c>
      <c r="D1134" t="str">
        <f>[2]!YBPRICE($A$2,C1134&amp;"d",$B1135,"OAS","Swap",B1134,"LMMSkew","","Model",100,"OAS")</f>
        <v>E</v>
      </c>
      <c r="E1134" s="32" t="str">
        <f>[2]!YBHIST($A$2,B1134,"LMMOAS","sec","")</f>
        <v>E</v>
      </c>
      <c r="F1134">
        <v>49.711399</v>
      </c>
    </row>
    <row r="1135" spans="2:6" ht="15" x14ac:dyDescent="0.25">
      <c r="B1135" s="14">
        <v>42229</v>
      </c>
      <c r="C1135" s="30" t="str">
        <f>[2]!YBHIST($A$2,$B1135,"Price","sec","")</f>
        <v>E</v>
      </c>
      <c r="D1135" t="str">
        <f>[2]!YBPRICE($A$2,C1135&amp;"d",$B1136,"OAS","Swap",B1135,"LMMSkew","","Model",100,"OAS")</f>
        <v>E</v>
      </c>
      <c r="E1135" s="32" t="str">
        <f>[2]!YBHIST($A$2,B1135,"LMMOAS","sec","")</f>
        <v>E</v>
      </c>
      <c r="F1135">
        <v>49.487000000000002</v>
      </c>
    </row>
    <row r="1136" spans="2:6" ht="15" x14ac:dyDescent="0.25">
      <c r="B1136" s="14">
        <v>42230</v>
      </c>
      <c r="C1136" s="30" t="str">
        <f>[2]!YBHIST($A$2,$B1136,"Price","sec","")</f>
        <v>E</v>
      </c>
      <c r="D1136" t="str">
        <f>[2]!YBPRICE($A$2,C1136&amp;"d",$B1137,"OAS","Swap",B1136,"LMMSkew","","Model",100,"OAS")</f>
        <v>E</v>
      </c>
      <c r="E1136" s="32" t="str">
        <f>[2]!YBHIST($A$2,B1136,"LMMOAS","sec","")</f>
        <v>E</v>
      </c>
      <c r="F1136">
        <v>46.8979</v>
      </c>
    </row>
    <row r="1137" spans="2:6" ht="15" x14ac:dyDescent="0.25">
      <c r="B1137" s="14">
        <v>42233</v>
      </c>
      <c r="C1137" s="30" t="str">
        <f>[2]!YBHIST($A$2,$B1137,"Price","sec","")</f>
        <v>E</v>
      </c>
      <c r="D1137" t="str">
        <f>[2]!YBPRICE($A$2,C1137&amp;"d",$B1138,"OAS","Swap",B1137,"LMMSkew","","Model",100,"OAS")</f>
        <v>E</v>
      </c>
      <c r="E1137" s="32" t="str">
        <f>[2]!YBHIST($A$2,B1137,"LMMOAS","sec","")</f>
        <v>E</v>
      </c>
      <c r="F1137">
        <v>51.718497999999997</v>
      </c>
    </row>
    <row r="1138" spans="2:6" ht="15" x14ac:dyDescent="0.25">
      <c r="B1138" s="14">
        <v>42234</v>
      </c>
      <c r="C1138" s="30" t="str">
        <f>[2]!YBHIST($A$2,$B1138,"Price","sec","")</f>
        <v>E</v>
      </c>
      <c r="D1138" t="str">
        <f>[2]!YBPRICE($A$2,C1138&amp;"d",$B1139,"OAS","Swap",B1138,"LMMSkew","","Model",100,"OAS")</f>
        <v>E</v>
      </c>
      <c r="E1138" s="32" t="str">
        <f>[2]!YBHIST($A$2,B1138,"LMMOAS","sec","")</f>
        <v>E</v>
      </c>
      <c r="F1138">
        <v>55.388302000000003</v>
      </c>
    </row>
    <row r="1139" spans="2:6" ht="15" x14ac:dyDescent="0.25">
      <c r="B1139" s="14">
        <v>42235</v>
      </c>
      <c r="C1139" s="30" t="str">
        <f>[2]!YBHIST($A$2,$B1139,"Price","sec","")</f>
        <v>E</v>
      </c>
      <c r="D1139" t="str">
        <f>[2]!YBPRICE($A$2,C1139&amp;"d",$B1140,"OAS","Swap",B1139,"LMMSkew","","Model",100,"OAS")</f>
        <v>E</v>
      </c>
      <c r="E1139" s="32" t="str">
        <f>[2]!YBHIST($A$2,B1139,"LMMOAS","sec","")</f>
        <v>E</v>
      </c>
      <c r="F1139">
        <v>65.387801999999994</v>
      </c>
    </row>
    <row r="1140" spans="2:6" ht="15" x14ac:dyDescent="0.25">
      <c r="B1140" s="14">
        <v>42236</v>
      </c>
      <c r="C1140" s="30" t="str">
        <f>[2]!YBHIST($A$2,$B1140,"Price","sec","")</f>
        <v>E</v>
      </c>
      <c r="D1140" t="str">
        <f>[2]!YBPRICE($A$2,C1140&amp;"d",$B1141,"OAS","Swap",B1140,"LMMSkew","","Model",100,"OAS")</f>
        <v>E</v>
      </c>
      <c r="E1140" s="32" t="str">
        <f>[2]!YBHIST($A$2,B1140,"LMMOAS","sec","")</f>
        <v>E</v>
      </c>
      <c r="F1140">
        <v>63.930401000000003</v>
      </c>
    </row>
    <row r="1141" spans="2:6" ht="15" x14ac:dyDescent="0.25">
      <c r="B1141" s="14">
        <v>42237</v>
      </c>
      <c r="C1141" s="30" t="str">
        <f>[2]!YBHIST($A$2,$B1141,"Price","sec","")</f>
        <v>E</v>
      </c>
      <c r="D1141" t="str">
        <f>[2]!YBPRICE($A$2,C1141&amp;"d",$B1142,"OAS","Swap",B1141,"LMMSkew","","Model",100,"OAS")</f>
        <v>E</v>
      </c>
      <c r="E1141" s="32" t="str">
        <f>[2]!YBHIST($A$2,B1141,"LMMOAS","sec","")</f>
        <v>E</v>
      </c>
      <c r="F1141">
        <v>66.918296999999995</v>
      </c>
    </row>
    <row r="1142" spans="2:6" ht="15" x14ac:dyDescent="0.25">
      <c r="B1142" s="14">
        <v>42240</v>
      </c>
      <c r="C1142" s="30" t="str">
        <f>[2]!YBHIST($A$2,$B1142,"Price","sec","")</f>
        <v>E</v>
      </c>
      <c r="D1142" t="str">
        <f>[2]!YBPRICE($A$2,C1142&amp;"d",$B1143,"OAS","Swap",B1142,"LMMSkew","","Model",100,"OAS")</f>
        <v>E</v>
      </c>
      <c r="E1142" s="32" t="str">
        <f>[2]!YBHIST($A$2,B1142,"LMMOAS","sec","")</f>
        <v>E</v>
      </c>
      <c r="F1142">
        <v>73.872001999999995</v>
      </c>
    </row>
    <row r="1143" spans="2:6" ht="15" x14ac:dyDescent="0.25">
      <c r="B1143" s="14">
        <v>42241</v>
      </c>
      <c r="C1143" s="30" t="str">
        <f>[2]!YBHIST($A$2,$B1143,"Price","sec","")</f>
        <v>E</v>
      </c>
      <c r="D1143" t="str">
        <f>[2]!YBPRICE($A$2,C1143&amp;"d",$B1144,"OAS","Swap",B1143,"LMMSkew","","Model",100,"OAS")</f>
        <v>E</v>
      </c>
      <c r="E1143" s="32" t="str">
        <f>[2]!YBHIST($A$2,B1143,"LMMOAS","sec","")</f>
        <v>E</v>
      </c>
      <c r="F1143">
        <v>73.705200000000005</v>
      </c>
    </row>
    <row r="1144" spans="2:6" ht="15" x14ac:dyDescent="0.25">
      <c r="B1144" s="14">
        <v>42242</v>
      </c>
      <c r="C1144" s="30" t="str">
        <f>[2]!YBHIST($A$2,$B1144,"Price","sec","")</f>
        <v>E</v>
      </c>
      <c r="D1144" t="str">
        <f>[2]!YBPRICE($A$2,C1144&amp;"d",$B1145,"OAS","Swap",B1144,"LMMSkew","","Model",100,"OAS")</f>
        <v>E</v>
      </c>
      <c r="E1144" s="32" t="str">
        <f>[2]!YBHIST($A$2,B1144,"LMMOAS","sec","")</f>
        <v>E</v>
      </c>
      <c r="F1144">
        <v>75.466797</v>
      </c>
    </row>
    <row r="1145" spans="2:6" ht="15" x14ac:dyDescent="0.25">
      <c r="B1145" s="14">
        <v>42243</v>
      </c>
      <c r="C1145" s="30" t="str">
        <f>[2]!YBHIST($A$2,$B1145,"Price","sec","")</f>
        <v>E</v>
      </c>
      <c r="D1145" t="str">
        <f>[2]!YBPRICE($A$2,C1145&amp;"d",$B1146,"OAS","Swap",B1145,"LMMSkew","","Model",100,"OAS")</f>
        <v>E</v>
      </c>
      <c r="E1145" s="32" t="str">
        <f>[2]!YBHIST($A$2,B1145,"LMMOAS","sec","")</f>
        <v>E</v>
      </c>
      <c r="F1145">
        <v>75.684402000000006</v>
      </c>
    </row>
    <row r="1146" spans="2:6" ht="15" x14ac:dyDescent="0.25">
      <c r="B1146" s="14">
        <v>42244</v>
      </c>
      <c r="C1146" s="30" t="str">
        <f>[2]!YBHIST($A$2,$B1146,"Price","sec","")</f>
        <v>E</v>
      </c>
      <c r="D1146" t="str">
        <f>[2]!YBPRICE($A$2,C1146&amp;"d",$B1147,"OAS","Swap",B1146,"LMMSkew","","Model",100,"OAS")</f>
        <v>E</v>
      </c>
      <c r="E1146" s="32" t="str">
        <f>[2]!YBHIST($A$2,B1146,"LMMOAS","sec","")</f>
        <v>E</v>
      </c>
      <c r="F1146">
        <v>64.847504000000001</v>
      </c>
    </row>
    <row r="1147" spans="2:6" ht="15" x14ac:dyDescent="0.25">
      <c r="B1147" s="14">
        <v>42247</v>
      </c>
      <c r="C1147" s="30" t="str">
        <f>[2]!YBHIST($A$2,$B1147,"Price","sec","")</f>
        <v>E</v>
      </c>
      <c r="D1147" t="str">
        <f>[2]!YBPRICE($A$2,C1147&amp;"d",$B1148,"OAS","Swap",B1147,"LMMSkew","","Model",100,"OAS")</f>
        <v>E</v>
      </c>
      <c r="E1147" s="32" t="str">
        <f>[2]!YBHIST($A$2,B1147,"LMMOAS","sec","")</f>
        <v>E</v>
      </c>
      <c r="F1147">
        <v>69.105103</v>
      </c>
    </row>
    <row r="1148" spans="2:6" ht="15" x14ac:dyDescent="0.25">
      <c r="B1148" s="14">
        <v>42248</v>
      </c>
      <c r="C1148" s="30" t="str">
        <f>[2]!YBHIST($A$2,$B1148,"Price","sec","")</f>
        <v>E</v>
      </c>
      <c r="D1148" t="str">
        <f>[2]!YBPRICE($A$2,C1148&amp;"d",$B1149,"OAS","Swap",B1148,"LMMSkew","","Model",100,"OAS")</f>
        <v>E</v>
      </c>
      <c r="E1148" s="32" t="str">
        <f>[2]!YBHIST($A$2,B1148,"LMMOAS","sec","")</f>
        <v>E</v>
      </c>
      <c r="F1148">
        <v>71.987701000000001</v>
      </c>
    </row>
    <row r="1149" spans="2:6" ht="15" x14ac:dyDescent="0.25">
      <c r="B1149" s="14">
        <v>42249</v>
      </c>
      <c r="C1149" s="30" t="str">
        <f>[2]!YBHIST($A$2,$B1149,"Price","sec","")</f>
        <v>E</v>
      </c>
      <c r="D1149" t="str">
        <f>[2]!YBPRICE($A$2,C1149&amp;"d",$B1150,"OAS","Swap",B1149,"LMMSkew","","Model",100,"OAS")</f>
        <v>E</v>
      </c>
      <c r="E1149" s="32" t="str">
        <f>[2]!YBHIST($A$2,B1149,"LMMOAS","sec","")</f>
        <v>E</v>
      </c>
      <c r="F1149">
        <v>76.873099999999994</v>
      </c>
    </row>
    <row r="1150" spans="2:6" ht="15" x14ac:dyDescent="0.25">
      <c r="B1150" s="14">
        <v>42250</v>
      </c>
      <c r="C1150" s="30" t="str">
        <f>[2]!YBHIST($A$2,$B1150,"Price","sec","")</f>
        <v>E</v>
      </c>
      <c r="D1150" t="str">
        <f>[2]!YBPRICE($A$2,C1150&amp;"d",$B1151,"OAS","Swap",B1150,"LMMSkew","","Model",100,"OAS")</f>
        <v>E</v>
      </c>
      <c r="E1150" s="32" t="str">
        <f>[2]!YBHIST($A$2,B1150,"LMMOAS","sec","")</f>
        <v>E</v>
      </c>
      <c r="F1150">
        <v>85.278801000000001</v>
      </c>
    </row>
    <row r="1151" spans="2:6" ht="15" x14ac:dyDescent="0.25">
      <c r="B1151" s="14">
        <v>42251</v>
      </c>
      <c r="C1151" s="30" t="str">
        <f>[2]!YBHIST($A$2,$B1151,"Price","sec","")</f>
        <v>E</v>
      </c>
      <c r="D1151" t="str">
        <f>[2]!YBPRICE($A$2,C1151&amp;"d",$B1152,"OAS","Swap",B1151,"LMMSkew","","Model",100,"OAS")</f>
        <v>E</v>
      </c>
      <c r="E1151" s="32" t="str">
        <f>[2]!YBHIST($A$2,B1151,"LMMOAS","sec","")</f>
        <v>E</v>
      </c>
      <c r="F1151">
        <v>80.154297</v>
      </c>
    </row>
    <row r="1152" spans="2:6" ht="15" x14ac:dyDescent="0.25">
      <c r="B1152" s="14">
        <v>42255</v>
      </c>
      <c r="C1152" s="30" t="str">
        <f>[2]!YBHIST($A$2,$B1152,"Price","sec","")</f>
        <v>E</v>
      </c>
      <c r="D1152" t="str">
        <f>[2]!YBPRICE($A$2,C1152&amp;"d",$B1153,"OAS","Swap",B1152,"LMMSkew","","Model",100,"OAS")</f>
        <v>E</v>
      </c>
      <c r="E1152" s="32" t="str">
        <f>[2]!YBHIST($A$2,B1152,"LMMOAS","sec","")</f>
        <v>E</v>
      </c>
      <c r="F1152">
        <v>75.223099000000005</v>
      </c>
    </row>
    <row r="1153" spans="2:6" ht="15" x14ac:dyDescent="0.25">
      <c r="B1153" s="14">
        <v>42256</v>
      </c>
      <c r="C1153" s="30" t="str">
        <f>[2]!YBHIST($A$2,$B1153,"Price","sec","")</f>
        <v>E</v>
      </c>
      <c r="D1153" t="str">
        <f>[2]!YBPRICE($A$2,C1153&amp;"d",$B1154,"OAS","Swap",B1153,"LMMSkew","","Model",100,"OAS")</f>
        <v>E</v>
      </c>
      <c r="E1153" s="32" t="str">
        <f>[2]!YBHIST($A$2,B1153,"LMMOAS","sec","")</f>
        <v>E</v>
      </c>
      <c r="F1153">
        <v>73.505500999999995</v>
      </c>
    </row>
    <row r="1154" spans="2:6" ht="15" x14ac:dyDescent="0.25">
      <c r="B1154" s="14">
        <v>42257</v>
      </c>
      <c r="C1154" s="30" t="str">
        <f>[2]!YBHIST($A$2,$B1154,"Price","sec","")</f>
        <v>E</v>
      </c>
      <c r="D1154" t="str">
        <f>[2]!YBPRICE($A$2,C1154&amp;"d",$B1155,"OAS","Swap",B1154,"LMMSkew","","Model",100,"OAS")</f>
        <v>E</v>
      </c>
      <c r="E1154" s="32" t="str">
        <f>[2]!YBHIST($A$2,B1154,"LMMOAS","sec","")</f>
        <v>E</v>
      </c>
      <c r="F1154">
        <v>73.217903000000007</v>
      </c>
    </row>
    <row r="1155" spans="2:6" ht="15" x14ac:dyDescent="0.25">
      <c r="B1155" s="14">
        <v>42258</v>
      </c>
      <c r="C1155" s="30" t="str">
        <f>[2]!YBHIST($A$2,$B1155,"Price","sec","")</f>
        <v>E</v>
      </c>
      <c r="D1155" t="str">
        <f>[2]!YBPRICE($A$2,C1155&amp;"d",$B1156,"OAS","Swap",B1155,"LMMSkew","","Model",100,"OAS")</f>
        <v>E</v>
      </c>
      <c r="E1155" s="32" t="str">
        <f>[2]!YBHIST($A$2,B1155,"LMMOAS","sec","")</f>
        <v>E</v>
      </c>
      <c r="F1155">
        <v>73.873703000000006</v>
      </c>
    </row>
    <row r="1156" spans="2:6" ht="15" x14ac:dyDescent="0.25">
      <c r="B1156" s="14">
        <v>42261</v>
      </c>
      <c r="C1156" s="30" t="str">
        <f>[2]!YBHIST($A$2,$B1156,"Price","sec","")</f>
        <v>E</v>
      </c>
      <c r="D1156" t="str">
        <f>[2]!YBPRICE($A$2,C1156&amp;"d",$B1157,"OAS","Swap",B1156,"LMMSkew","","Model",100,"OAS")</f>
        <v>E</v>
      </c>
      <c r="E1156" s="32" t="str">
        <f>[2]!YBHIST($A$2,B1156,"LMMOAS","sec","")</f>
        <v>E</v>
      </c>
      <c r="F1156">
        <v>73.320999</v>
      </c>
    </row>
    <row r="1157" spans="2:6" ht="15" x14ac:dyDescent="0.25">
      <c r="B1157" s="14">
        <v>42262</v>
      </c>
      <c r="C1157" s="30" t="str">
        <f>[2]!YBHIST($A$2,$B1157,"Price","sec","")</f>
        <v>E</v>
      </c>
      <c r="D1157" t="str">
        <f>[2]!YBPRICE($A$2,C1157&amp;"d",$B1158,"OAS","Swap",B1157,"LMMSkew","","Model",100,"OAS")</f>
        <v>E</v>
      </c>
      <c r="E1157" s="32" t="str">
        <f>[2]!YBHIST($A$2,B1157,"LMMOAS","sec","")</f>
        <v>E</v>
      </c>
      <c r="F1157">
        <v>74.177902000000003</v>
      </c>
    </row>
    <row r="1158" spans="2:6" ht="15" x14ac:dyDescent="0.25">
      <c r="B1158" s="14">
        <v>42263</v>
      </c>
      <c r="C1158" s="30" t="str">
        <f>[2]!YBHIST($A$2,$B1158,"Price","sec","")</f>
        <v>E</v>
      </c>
      <c r="D1158" t="str">
        <f>[2]!YBPRICE($A$2,C1158&amp;"d",$B1159,"OAS","Swap",B1158,"LMMSkew","","Model",100,"OAS")</f>
        <v>E</v>
      </c>
      <c r="E1158" s="32" t="str">
        <f>[2]!YBHIST($A$2,B1158,"LMMOAS","sec","")</f>
        <v>E</v>
      </c>
      <c r="F1158">
        <v>76.993401000000006</v>
      </c>
    </row>
    <row r="1159" spans="2:6" ht="15" x14ac:dyDescent="0.25">
      <c r="B1159" s="14">
        <v>42264</v>
      </c>
      <c r="C1159" s="30" t="str">
        <f>[2]!YBHIST($A$2,$B1159,"Price","sec","")</f>
        <v>E</v>
      </c>
      <c r="D1159" t="str">
        <f>[2]!YBPRICE($A$2,C1159&amp;"d",$B1160,"OAS","Swap",B1159,"LMMSkew","","Model",100,"OAS")</f>
        <v>E</v>
      </c>
      <c r="E1159" s="32" t="str">
        <f>[2]!YBHIST($A$2,B1159,"LMMOAS","sec","")</f>
        <v>E</v>
      </c>
      <c r="F1159">
        <v>88.775702999999993</v>
      </c>
    </row>
    <row r="1160" spans="2:6" ht="15" x14ac:dyDescent="0.25">
      <c r="B1160" s="14">
        <v>42265</v>
      </c>
      <c r="C1160" s="30" t="str">
        <f>[2]!YBHIST($A$2,$B1160,"Price","sec","")</f>
        <v>E</v>
      </c>
      <c r="D1160" t="str">
        <f>[2]!YBPRICE($A$2,C1160&amp;"d",$B1161,"OAS","Swap",B1160,"LMMSkew","","Model",100,"OAS")</f>
        <v>E</v>
      </c>
      <c r="E1160" s="32" t="str">
        <f>[2]!YBHIST($A$2,B1160,"LMMOAS","sec","")</f>
        <v>E</v>
      </c>
      <c r="F1160">
        <v>90.847801000000004</v>
      </c>
    </row>
    <row r="1161" spans="2:6" ht="15" x14ac:dyDescent="0.25">
      <c r="B1161" s="14">
        <v>42268</v>
      </c>
      <c r="C1161" s="30" t="str">
        <f>[2]!YBHIST($A$2,$B1161,"Price","sec","")</f>
        <v>E</v>
      </c>
      <c r="D1161" t="str">
        <f>[2]!YBPRICE($A$2,C1161&amp;"d",$B1162,"OAS","Swap",B1161,"LMMSkew","","Model",100,"OAS")</f>
        <v>E</v>
      </c>
      <c r="E1161" s="32" t="str">
        <f>[2]!YBHIST($A$2,B1161,"LMMOAS","sec","")</f>
        <v>E</v>
      </c>
      <c r="F1161">
        <v>92.118103000000005</v>
      </c>
    </row>
    <row r="1162" spans="2:6" ht="15" x14ac:dyDescent="0.25">
      <c r="B1162" s="14">
        <v>42269</v>
      </c>
      <c r="C1162" s="30" t="str">
        <f>[2]!YBHIST($A$2,$B1162,"Price","sec","")</f>
        <v>E</v>
      </c>
      <c r="D1162" t="str">
        <f>[2]!YBPRICE($A$2,C1162&amp;"d",$B1163,"OAS","Swap",B1162,"LMMSkew","","Model",100,"OAS")</f>
        <v>E</v>
      </c>
      <c r="E1162" s="32" t="str">
        <f>[2]!YBHIST($A$2,B1162,"LMMOAS","sec","")</f>
        <v>E</v>
      </c>
      <c r="F1162">
        <v>91.347603000000007</v>
      </c>
    </row>
    <row r="1163" spans="2:6" ht="15" x14ac:dyDescent="0.25">
      <c r="B1163" s="14">
        <v>42270</v>
      </c>
      <c r="C1163" s="30" t="str">
        <f>[2]!YBHIST($A$2,$B1163,"Price","sec","")</f>
        <v>E</v>
      </c>
      <c r="D1163" t="str">
        <f>[2]!YBPRICE($A$2,C1163&amp;"d",$B1164,"OAS","Swap",B1163,"LMMSkew","","Model",100,"OAS")</f>
        <v>E</v>
      </c>
      <c r="E1163" s="32" t="str">
        <f>[2]!YBHIST($A$2,B1163,"LMMOAS","sec","")</f>
        <v>E</v>
      </c>
      <c r="F1163">
        <v>93.388901000000004</v>
      </c>
    </row>
    <row r="1164" spans="2:6" ht="15" x14ac:dyDescent="0.25">
      <c r="B1164" s="14">
        <v>42271</v>
      </c>
      <c r="C1164" s="30" t="str">
        <f>[2]!YBHIST($A$2,$B1164,"Price","sec","")</f>
        <v>E</v>
      </c>
      <c r="D1164" t="str">
        <f>[2]!YBPRICE($A$2,C1164&amp;"d",$B1165,"OAS","Swap",B1164,"LMMSkew","","Model",100,"OAS")</f>
        <v>E</v>
      </c>
      <c r="E1164" s="32" t="str">
        <f>[2]!YBHIST($A$2,B1164,"LMMOAS","sec","")</f>
        <v>E</v>
      </c>
      <c r="F1164">
        <v>94.691901999999999</v>
      </c>
    </row>
    <row r="1165" spans="2:6" ht="15" x14ac:dyDescent="0.25">
      <c r="B1165" s="14">
        <v>42272</v>
      </c>
      <c r="C1165" s="30" t="str">
        <f>[2]!YBHIST($A$2,$B1165,"Price","sec","")</f>
        <v>E</v>
      </c>
      <c r="D1165" t="str">
        <f>[2]!YBPRICE($A$2,C1165&amp;"d",$B1166,"OAS","Swap",B1165,"LMMSkew","","Model",100,"OAS")</f>
        <v>E</v>
      </c>
      <c r="E1165" s="32" t="str">
        <f>[2]!YBHIST($A$2,B1165,"LMMOAS","sec","")</f>
        <v>E</v>
      </c>
      <c r="F1165">
        <v>92.216003000000001</v>
      </c>
    </row>
    <row r="1166" spans="2:6" ht="15" x14ac:dyDescent="0.25">
      <c r="B1166" s="14">
        <v>42275</v>
      </c>
      <c r="C1166" s="30" t="str">
        <f>[2]!YBHIST($A$2,$B1166,"Price","sec","")</f>
        <v>E</v>
      </c>
      <c r="D1166" t="str">
        <f>[2]!YBPRICE($A$2,C1166&amp;"d",$B1167,"OAS","Swap",B1166,"LMMSkew","","Model",100,"OAS")</f>
        <v>E</v>
      </c>
      <c r="E1166" s="32" t="str">
        <f>[2]!YBHIST($A$2,B1166,"LMMOAS","sec","")</f>
        <v>E</v>
      </c>
      <c r="F1166">
        <v>95.076401000000004</v>
      </c>
    </row>
    <row r="1167" spans="2:6" ht="15" x14ac:dyDescent="0.25">
      <c r="B1167" s="14">
        <v>42276</v>
      </c>
      <c r="C1167" s="30" t="str">
        <f>[2]!YBHIST($A$2,$B1167,"Price","sec","")</f>
        <v>E</v>
      </c>
      <c r="D1167" t="str">
        <f>[2]!YBPRICE($A$2,C1167&amp;"d",$B1168,"OAS","Swap",B1167,"LMMSkew","","Model",100,"OAS")</f>
        <v>E</v>
      </c>
      <c r="E1167" s="32" t="str">
        <f>[2]!YBHIST($A$2,B1167,"LMMOAS","sec","")</f>
        <v>E</v>
      </c>
      <c r="F1167">
        <v>93.705498000000006</v>
      </c>
    </row>
    <row r="1168" spans="2:6" ht="15" x14ac:dyDescent="0.25">
      <c r="B1168" s="14">
        <v>42277</v>
      </c>
      <c r="C1168" s="30" t="str">
        <f>[2]!YBHIST($A$2,$B1168,"Price","sec","")</f>
        <v>E</v>
      </c>
      <c r="D1168" t="str">
        <f>[2]!YBPRICE($A$2,C1168&amp;"d",$B1169,"OAS","Swap",B1168,"LMMSkew","","Model",100,"OAS")</f>
        <v>E</v>
      </c>
      <c r="E1168" s="32" t="str">
        <f>[2]!YBHIST($A$2,B1168,"LMMOAS","sec","")</f>
        <v>E</v>
      </c>
      <c r="F1168">
        <v>99.454498000000001</v>
      </c>
    </row>
    <row r="1169" spans="2:6" ht="15" x14ac:dyDescent="0.25">
      <c r="B1169" s="14">
        <v>42278</v>
      </c>
      <c r="C1169" s="30" t="str">
        <f>[2]!YBHIST($A$2,$B1169,"Price","sec","")</f>
        <v>E</v>
      </c>
      <c r="D1169" t="str">
        <f>[2]!YBPRICE($A$2,C1169&amp;"d",$B1170,"OAS","Swap",B1169,"LMMSkew","","Model",100,"OAS")</f>
        <v>E</v>
      </c>
      <c r="E1169" s="32" t="str">
        <f>[2]!YBHIST($A$2,B1169,"LMMOAS","sec","")</f>
        <v>E</v>
      </c>
      <c r="F1169">
        <v>109.387199</v>
      </c>
    </row>
    <row r="1170" spans="2:6" ht="15" x14ac:dyDescent="0.25">
      <c r="B1170" s="14">
        <v>42279</v>
      </c>
      <c r="C1170" s="30" t="str">
        <f>[2]!YBHIST($A$2,$B1170,"Price","sec","")</f>
        <v>E</v>
      </c>
      <c r="D1170" t="str">
        <f>[2]!YBPRICE($A$2,C1170&amp;"d",$B1171,"OAS","Swap",B1170,"LMMSkew","","Model",100,"OAS")</f>
        <v>E</v>
      </c>
      <c r="E1170" s="32" t="str">
        <f>[2]!YBHIST($A$2,B1170,"LMMOAS","sec","")</f>
        <v>E</v>
      </c>
      <c r="F1170">
        <v>128.826706</v>
      </c>
    </row>
    <row r="1171" spans="2:6" ht="15" x14ac:dyDescent="0.25">
      <c r="B1171" s="14">
        <v>42282</v>
      </c>
      <c r="C1171" s="30" t="str">
        <f>[2]!YBHIST($A$2,$B1171,"Price","sec","")</f>
        <v>E</v>
      </c>
      <c r="D1171" t="str">
        <f>[2]!YBPRICE($A$2,C1171&amp;"d",$B1172,"OAS","Swap",B1171,"LMMSkew","","Model",100,"OAS")</f>
        <v>E</v>
      </c>
      <c r="E1171" s="32" t="str">
        <f>[2]!YBHIST($A$2,B1171,"LMMOAS","sec","")</f>
        <v>E</v>
      </c>
      <c r="F1171">
        <v>129.79480000000001</v>
      </c>
    </row>
    <row r="1172" spans="2:6" ht="15" x14ac:dyDescent="0.25">
      <c r="B1172" s="14">
        <v>42283</v>
      </c>
      <c r="C1172" s="30" t="str">
        <f>[2]!YBHIST($A$2,$B1172,"Price","sec","")</f>
        <v>E</v>
      </c>
      <c r="D1172" t="str">
        <f>[2]!YBPRICE($A$2,C1172&amp;"d",$B1173,"OAS","Swap",B1172,"LMMSkew","","Model",100,"OAS")</f>
        <v>E</v>
      </c>
      <c r="E1172" s="32" t="str">
        <f>[2]!YBHIST($A$2,B1172,"LMMOAS","sec","")</f>
        <v>E</v>
      </c>
      <c r="F1172">
        <v>128.95159899999999</v>
      </c>
    </row>
    <row r="1173" spans="2:6" ht="15" x14ac:dyDescent="0.25">
      <c r="B1173" s="14">
        <v>42284</v>
      </c>
      <c r="C1173" s="30" t="str">
        <f>[2]!YBHIST($A$2,$B1173,"Price","sec","")</f>
        <v>E</v>
      </c>
      <c r="D1173" t="str">
        <f>[2]!YBPRICE($A$2,C1173&amp;"d",$B1174,"OAS","Swap",B1173,"LMMSkew","","Model",100,"OAS")</f>
        <v>E</v>
      </c>
      <c r="E1173" s="32" t="str">
        <f>[2]!YBHIST($A$2,B1173,"LMMOAS","sec","")</f>
        <v>E</v>
      </c>
      <c r="F1173">
        <v>127.693901</v>
      </c>
    </row>
    <row r="1174" spans="2:6" ht="15" x14ac:dyDescent="0.25">
      <c r="B1174" s="14">
        <v>42285</v>
      </c>
      <c r="C1174" s="30" t="str">
        <f>[2]!YBHIST($A$2,$B1174,"Price","sec","")</f>
        <v>E</v>
      </c>
      <c r="D1174" t="str">
        <f>[2]!YBPRICE($A$2,C1174&amp;"d",$B1175,"OAS","Swap",B1174,"LMMSkew","","Model",100,"OAS")</f>
        <v>E</v>
      </c>
      <c r="E1174" s="32" t="str">
        <f>[2]!YBHIST($A$2,B1174,"LMMOAS","sec","")</f>
        <v>E</v>
      </c>
      <c r="F1174">
        <v>131.168701</v>
      </c>
    </row>
    <row r="1175" spans="2:6" ht="15" x14ac:dyDescent="0.25">
      <c r="B1175" s="14">
        <v>42286</v>
      </c>
      <c r="C1175" s="30" t="str">
        <f>[2]!YBHIST($A$2,$B1175,"Price","sec","")</f>
        <v>E</v>
      </c>
      <c r="D1175" t="str">
        <f>[2]!YBPRICE($A$2,C1175&amp;"d",$B1176,"OAS","Swap",B1175,"LMMSkew","","Model",100,"OAS")</f>
        <v>E</v>
      </c>
      <c r="E1175" s="32" t="str">
        <f>[2]!YBHIST($A$2,B1175,"LMMOAS","sec","")</f>
        <v>E</v>
      </c>
      <c r="F1175">
        <v>128.14529400000001</v>
      </c>
    </row>
    <row r="1176" spans="2:6" ht="15" x14ac:dyDescent="0.25">
      <c r="B1176" s="14">
        <v>42290</v>
      </c>
      <c r="C1176" s="30" t="str">
        <f>[2]!YBHIST($A$2,$B1176,"Price","sec","")</f>
        <v>E</v>
      </c>
      <c r="D1176" t="str">
        <f>[2]!YBPRICE($A$2,C1176&amp;"d",$B1177,"OAS","Swap",B1176,"LMMSkew","","Model",100,"OAS")</f>
        <v>E</v>
      </c>
      <c r="E1176" s="32" t="str">
        <f>[2]!YBHIST($A$2,B1176,"LMMOAS","sec","")</f>
        <v>E</v>
      </c>
      <c r="F1176">
        <v>136.1987</v>
      </c>
    </row>
    <row r="1177" spans="2:6" ht="15" x14ac:dyDescent="0.25">
      <c r="B1177" s="14">
        <v>42291</v>
      </c>
      <c r="C1177" s="30" t="str">
        <f>[2]!YBHIST($A$2,$B1177,"Price","sec","")</f>
        <v>E</v>
      </c>
      <c r="D1177" t="str">
        <f>[2]!YBPRICE($A$2,C1177&amp;"d",$B1178,"OAS","Swap",B1177,"LMMSkew","","Model",100,"OAS")</f>
        <v>E</v>
      </c>
      <c r="E1177" s="32" t="str">
        <f>[2]!YBHIST($A$2,B1177,"LMMOAS","sec","")</f>
        <v>E</v>
      </c>
      <c r="F1177">
        <v>136.86979700000001</v>
      </c>
    </row>
    <row r="1178" spans="2:6" ht="15" x14ac:dyDescent="0.25">
      <c r="B1178" s="14">
        <v>42292</v>
      </c>
      <c r="C1178" s="30" t="str">
        <f>[2]!YBHIST($A$2,$B1178,"Price","sec","")</f>
        <v>E</v>
      </c>
      <c r="D1178" t="str">
        <f>[2]!YBPRICE($A$2,C1178&amp;"d",$B1179,"OAS","Swap",B1178,"LMMSkew","","Model",100,"OAS")</f>
        <v>E</v>
      </c>
      <c r="E1178" s="32" t="str">
        <f>[2]!YBHIST($A$2,B1178,"LMMOAS","sec","")</f>
        <v>E</v>
      </c>
      <c r="F1178">
        <v>136.18150299999999</v>
      </c>
    </row>
    <row r="1179" spans="2:6" ht="15" x14ac:dyDescent="0.25">
      <c r="B1179" s="14">
        <v>42293</v>
      </c>
      <c r="C1179" s="30" t="str">
        <f>[2]!YBHIST($A$2,$B1179,"Price","sec","")</f>
        <v>E</v>
      </c>
      <c r="D1179" t="str">
        <f>[2]!YBPRICE($A$2,C1179&amp;"d",$B1180,"OAS","Swap",B1179,"LMMSkew","","Model",100,"OAS")</f>
        <v>E</v>
      </c>
      <c r="E1179" s="32" t="str">
        <f>[2]!YBHIST($A$2,B1179,"LMMOAS","sec","")</f>
        <v>E</v>
      </c>
      <c r="F1179">
        <v>133.98539700000001</v>
      </c>
    </row>
    <row r="1180" spans="2:6" ht="15" x14ac:dyDescent="0.25">
      <c r="B1180" s="14">
        <v>42296</v>
      </c>
      <c r="C1180" s="30" t="str">
        <f>[2]!YBHIST($A$2,$B1180,"Price","sec","")</f>
        <v>E</v>
      </c>
      <c r="D1180" t="str">
        <f>[2]!YBPRICE($A$2,C1180&amp;"d",$B1181,"OAS","Swap",B1180,"LMMSkew","","Model",100,"OAS")</f>
        <v>E</v>
      </c>
      <c r="E1180" s="32" t="str">
        <f>[2]!YBHIST($A$2,B1180,"LMMOAS","sec","")</f>
        <v>E</v>
      </c>
      <c r="F1180">
        <v>139.81500199999999</v>
      </c>
    </row>
    <row r="1181" spans="2:6" ht="15" x14ac:dyDescent="0.25">
      <c r="B1181" s="14">
        <v>42297</v>
      </c>
      <c r="C1181" s="30" t="str">
        <f>[2]!YBHIST($A$2,$B1181,"Price","sec","")</f>
        <v>E</v>
      </c>
      <c r="D1181" t="str">
        <f>[2]!YBPRICE($A$2,C1181&amp;"d",$B1182,"OAS","Swap",B1181,"LMMSkew","","Model",100,"OAS")</f>
        <v>E</v>
      </c>
      <c r="E1181" s="32" t="str">
        <f>[2]!YBHIST($A$2,B1181,"LMMOAS","sec","")</f>
        <v>E</v>
      </c>
      <c r="F1181">
        <v>137.84599299999999</v>
      </c>
    </row>
    <row r="1182" spans="2:6" ht="15" x14ac:dyDescent="0.25">
      <c r="B1182" s="14">
        <v>42298</v>
      </c>
      <c r="C1182" s="30" t="str">
        <f>[2]!YBHIST($A$2,$B1182,"Price","sec","")</f>
        <v>E</v>
      </c>
      <c r="D1182" t="str">
        <f>[2]!YBPRICE($A$2,C1182&amp;"d",$B1183,"OAS","Swap",B1182,"LMMSkew","","Model",100,"OAS")</f>
        <v>E</v>
      </c>
      <c r="E1182" s="32" t="str">
        <f>[2]!YBHIST($A$2,B1182,"LMMOAS","sec","")</f>
        <v>E</v>
      </c>
      <c r="F1182">
        <v>139.73890700000001</v>
      </c>
    </row>
    <row r="1183" spans="2:6" ht="15" x14ac:dyDescent="0.25">
      <c r="B1183" s="14">
        <v>42299</v>
      </c>
      <c r="C1183" s="30" t="str">
        <f>[2]!YBHIST($A$2,$B1183,"Price","sec","")</f>
        <v>E</v>
      </c>
      <c r="D1183" t="str">
        <f>[2]!YBPRICE($A$2,C1183&amp;"d",$B1184,"OAS","Swap",B1183,"LMMSkew","","Model",100,"OAS")</f>
        <v>E</v>
      </c>
      <c r="E1183" s="32" t="str">
        <f>[2]!YBHIST($A$2,B1183,"LMMOAS","sec","")</f>
        <v>E</v>
      </c>
      <c r="F1183">
        <v>139.04269400000001</v>
      </c>
    </row>
    <row r="1184" spans="2:6" ht="15" x14ac:dyDescent="0.25">
      <c r="B1184" s="14">
        <v>42300</v>
      </c>
      <c r="C1184" s="30" t="str">
        <f>[2]!YBHIST($A$2,$B1184,"Price","sec","")</f>
        <v>E</v>
      </c>
      <c r="D1184" t="str">
        <f>[2]!YBPRICE($A$2,C1184&amp;"d",$B1185,"OAS","Swap",B1184,"LMMSkew","","Model",100,"OAS")</f>
        <v>E</v>
      </c>
      <c r="E1184" s="32" t="str">
        <f>[2]!YBHIST($A$2,B1184,"LMMOAS","sec","")</f>
        <v>E</v>
      </c>
      <c r="F1184">
        <v>128.54040499999999</v>
      </c>
    </row>
    <row r="1185" spans="2:6" ht="15" x14ac:dyDescent="0.25">
      <c r="B1185" s="14">
        <v>42303</v>
      </c>
      <c r="C1185" s="30" t="str">
        <f>[2]!YBHIST($A$2,$B1185,"Price","sec","")</f>
        <v>E</v>
      </c>
      <c r="D1185" t="str">
        <f>[2]!YBPRICE($A$2,C1185&amp;"d",$B1186,"OAS","Swap",B1185,"LMMSkew","","Model",100,"OAS")</f>
        <v>E</v>
      </c>
      <c r="E1185" s="32" t="str">
        <f>[2]!YBHIST($A$2,B1185,"LMMOAS","sec","")</f>
        <v>E</v>
      </c>
      <c r="F1185">
        <v>126.251999</v>
      </c>
    </row>
    <row r="1186" spans="2:6" ht="15" x14ac:dyDescent="0.25">
      <c r="B1186" s="14">
        <v>42304</v>
      </c>
      <c r="C1186" s="30" t="str">
        <f>[2]!YBHIST($A$2,$B1186,"Price","sec","")</f>
        <v>E</v>
      </c>
      <c r="D1186" t="str">
        <f>[2]!YBPRICE($A$2,C1186&amp;"d",$B1187,"OAS","Swap",B1186,"LMMSkew","","Model",100,"OAS")</f>
        <v>E</v>
      </c>
      <c r="E1186" s="32" t="str">
        <f>[2]!YBHIST($A$2,B1186,"LMMOAS","sec","")</f>
        <v>E</v>
      </c>
      <c r="F1186">
        <v>125.121002</v>
      </c>
    </row>
    <row r="1187" spans="2:6" ht="15" x14ac:dyDescent="0.25">
      <c r="B1187" s="14">
        <v>42305</v>
      </c>
      <c r="C1187" s="30" t="str">
        <f>[2]!YBHIST($A$2,$B1187,"Price","sec","")</f>
        <v>E</v>
      </c>
      <c r="D1187" t="str">
        <f>[2]!YBPRICE($A$2,C1187&amp;"d",$B1188,"OAS","Swap",B1187,"LMMSkew","","Model",100,"OAS")</f>
        <v>E</v>
      </c>
      <c r="E1187" s="32" t="str">
        <f>[2]!YBHIST($A$2,B1187,"LMMOAS","sec","")</f>
        <v>E</v>
      </c>
      <c r="F1187">
        <v>114.82759900000001</v>
      </c>
    </row>
    <row r="1188" spans="2:6" ht="15" x14ac:dyDescent="0.25">
      <c r="B1188" s="14">
        <v>42306</v>
      </c>
      <c r="C1188" s="30" t="str">
        <f>[2]!YBHIST($A$2,$B1188,"Price","sec","")</f>
        <v>E</v>
      </c>
      <c r="D1188" t="str">
        <f>[2]!YBPRICE($A$2,C1188&amp;"d",$B1189,"OAS","Swap",B1188,"LMMSkew","","Model",100,"OAS")</f>
        <v>E</v>
      </c>
      <c r="E1188" s="32" t="str">
        <f>[2]!YBHIST($A$2,B1188,"LMMOAS","sec","")</f>
        <v>E</v>
      </c>
      <c r="F1188">
        <v>111.132103</v>
      </c>
    </row>
    <row r="1189" spans="2:6" ht="15" x14ac:dyDescent="0.25">
      <c r="B1189" s="14">
        <v>42307</v>
      </c>
      <c r="C1189" s="30" t="str">
        <f>[2]!YBHIST($A$2,$B1189,"Price","sec","")</f>
        <v>E</v>
      </c>
      <c r="D1189" t="str">
        <f>[2]!YBPRICE($A$2,C1189&amp;"d",$B1190,"OAS","Swap",B1189,"LMMSkew","","Model",100,"OAS")</f>
        <v>E</v>
      </c>
      <c r="E1189" s="32" t="str">
        <f>[2]!YBHIST($A$2,B1189,"LMMOAS","sec","")</f>
        <v>E</v>
      </c>
      <c r="F1189">
        <v>99.487503000000004</v>
      </c>
    </row>
    <row r="1190" spans="2:6" ht="15" x14ac:dyDescent="0.25">
      <c r="B1190" s="14">
        <v>42310</v>
      </c>
      <c r="C1190" s="30" t="str">
        <f>[2]!YBHIST($A$2,$B1190,"Price","sec","")</f>
        <v>E</v>
      </c>
      <c r="D1190" t="str">
        <f>[2]!YBPRICE($A$2,C1190&amp;"d",$B1191,"OAS","Swap",B1190,"LMMSkew","","Model",100,"OAS")</f>
        <v>E</v>
      </c>
      <c r="E1190" s="32" t="str">
        <f>[2]!YBHIST($A$2,B1190,"LMMOAS","sec","")</f>
        <v>E</v>
      </c>
      <c r="F1190">
        <v>96.958397000000005</v>
      </c>
    </row>
    <row r="1191" spans="2:6" ht="15" x14ac:dyDescent="0.25">
      <c r="B1191" s="14">
        <v>42311</v>
      </c>
      <c r="C1191" s="30" t="str">
        <f>[2]!YBHIST($A$2,$B1191,"Price","sec","")</f>
        <v>E</v>
      </c>
      <c r="D1191" t="str">
        <f>[2]!YBPRICE($A$2,C1191&amp;"d",$B1192,"OAS","Swap",B1191,"LMMSkew","","Model",100,"OAS")</f>
        <v>E</v>
      </c>
      <c r="E1191" s="32" t="str">
        <f>[2]!YBHIST($A$2,B1191,"LMMOAS","sec","")</f>
        <v>E</v>
      </c>
      <c r="F1191">
        <v>92.429496999999998</v>
      </c>
    </row>
    <row r="1192" spans="2:6" ht="15" x14ac:dyDescent="0.25">
      <c r="B1192" s="14">
        <v>42312</v>
      </c>
      <c r="C1192" s="30" t="str">
        <f>[2]!YBHIST($A$2,$B1192,"Price","sec","")</f>
        <v>E</v>
      </c>
      <c r="D1192" t="str">
        <f>[2]!YBPRICE($A$2,C1192&amp;"d",$B1193,"OAS","Swap",B1192,"LMMSkew","","Model",100,"OAS")</f>
        <v>E</v>
      </c>
      <c r="E1192" s="32" t="str">
        <f>[2]!YBHIST($A$2,B1192,"LMMOAS","sec","")</f>
        <v>E</v>
      </c>
      <c r="F1192">
        <v>84.497703999999999</v>
      </c>
    </row>
    <row r="1193" spans="2:6" ht="15" x14ac:dyDescent="0.25">
      <c r="B1193" s="14">
        <v>42313</v>
      </c>
      <c r="C1193" s="30" t="str">
        <f>[2]!YBHIST($A$2,$B1193,"Price","sec","")</f>
        <v>E</v>
      </c>
      <c r="D1193" t="str">
        <f>[2]!YBPRICE($A$2,C1193&amp;"d",$B1194,"OAS","Swap",B1193,"LMMSkew","","Model",100,"OAS")</f>
        <v>E</v>
      </c>
      <c r="E1193" s="32" t="str">
        <f>[2]!YBHIST($A$2,B1193,"LMMOAS","sec","")</f>
        <v>E</v>
      </c>
      <c r="F1193">
        <v>89.150902000000002</v>
      </c>
    </row>
    <row r="1194" spans="2:6" ht="15" x14ac:dyDescent="0.25">
      <c r="B1194" s="14">
        <v>42314</v>
      </c>
      <c r="C1194" s="30" t="str">
        <f>[2]!YBHIST($A$2,$B1194,"Price","sec","")</f>
        <v>E</v>
      </c>
      <c r="D1194" t="str">
        <f>[2]!YBPRICE($A$2,C1194&amp;"d",$B1195,"OAS","Swap",B1194,"LMMSkew","","Model",100,"OAS")</f>
        <v>E</v>
      </c>
      <c r="E1194" s="32" t="str">
        <f>[2]!YBHIST($A$2,B1194,"LMMOAS","sec","")</f>
        <v>E</v>
      </c>
      <c r="F1194">
        <v>77.278701999999996</v>
      </c>
    </row>
    <row r="1195" spans="2:6" ht="15" x14ac:dyDescent="0.25">
      <c r="B1195" s="14">
        <v>42317</v>
      </c>
      <c r="C1195" s="30" t="str">
        <f>[2]!YBHIST($A$2,$B1195,"Price","sec","")</f>
        <v>E</v>
      </c>
      <c r="D1195" t="str">
        <f>[2]!YBPRICE($A$2,C1195&amp;"d",$B1196,"OAS","Swap",B1195,"LMMSkew","","Model",100,"OAS")</f>
        <v>E</v>
      </c>
      <c r="E1195" s="32" t="str">
        <f>[2]!YBHIST($A$2,B1195,"LMMOAS","sec","")</f>
        <v>E</v>
      </c>
      <c r="F1195">
        <v>79.424499999999995</v>
      </c>
    </row>
    <row r="1196" spans="2:6" ht="15" x14ac:dyDescent="0.25">
      <c r="B1196" s="14">
        <v>42318</v>
      </c>
      <c r="C1196" s="30" t="str">
        <f>[2]!YBHIST($A$2,$B1196,"Price","sec","")</f>
        <v>E</v>
      </c>
      <c r="D1196" t="str">
        <f>[2]!YBPRICE($A$2,C1196&amp;"d",$B1197,"OAS","Swap",B1196,"LMMSkew","","Model",100,"OAS")</f>
        <v>E</v>
      </c>
      <c r="E1196" s="32" t="str">
        <f>[2]!YBHIST($A$2,B1196,"LMMOAS","sec","")</f>
        <v>E</v>
      </c>
      <c r="F1196">
        <v>99.684997999999993</v>
      </c>
    </row>
    <row r="1197" spans="2:6" ht="15" x14ac:dyDescent="0.25">
      <c r="B1197" s="14">
        <v>42320</v>
      </c>
      <c r="C1197" s="30" t="str">
        <f>[2]!YBHIST($A$2,$B1197,"Price","sec","")</f>
        <v>E</v>
      </c>
      <c r="D1197" t="str">
        <f>[2]!YBPRICE($A$2,C1197&amp;"d",$B1198,"OAS","Swap",B1197,"LMMSkew","","Model",100,"OAS")</f>
        <v>E</v>
      </c>
      <c r="E1197" s="32" t="str">
        <f>[2]!YBHIST($A$2,B1197,"LMMOAS","sec","")</f>
        <v>E</v>
      </c>
      <c r="F1197">
        <v>91.113097999999994</v>
      </c>
    </row>
    <row r="1198" spans="2:6" ht="15" x14ac:dyDescent="0.25">
      <c r="B1198" s="14">
        <v>42321</v>
      </c>
      <c r="C1198" s="30" t="str">
        <f>[2]!YBHIST($A$2,$B1198,"Price","sec","")</f>
        <v>E</v>
      </c>
      <c r="D1198" t="str">
        <f>[2]!YBPRICE($A$2,C1198&amp;"d",$B1199,"OAS","Swap",B1198,"LMMSkew","","Model",100,"OAS")</f>
        <v>E</v>
      </c>
      <c r="E1198" s="32" t="str">
        <f>[2]!YBHIST($A$2,B1198,"LMMOAS","sec","")</f>
        <v>E</v>
      </c>
      <c r="F1198">
        <v>87.482902999999993</v>
      </c>
    </row>
    <row r="1199" spans="2:6" ht="15" x14ac:dyDescent="0.25">
      <c r="B1199" s="14">
        <v>42324</v>
      </c>
      <c r="C1199" s="30" t="str">
        <f>[2]!YBHIST($A$2,$B1199,"Price","sec","")</f>
        <v>E</v>
      </c>
      <c r="D1199" t="str">
        <f>[2]!YBPRICE($A$2,C1199&amp;"d",$B1200,"OAS","Swap",B1199,"LMMSkew","","Model",100,"OAS")</f>
        <v>E</v>
      </c>
      <c r="E1199" s="32" t="str">
        <f>[2]!YBHIST($A$2,B1199,"LMMOAS","sec","")</f>
        <v>E</v>
      </c>
      <c r="F1199">
        <v>90.169098000000005</v>
      </c>
    </row>
    <row r="1200" spans="2:6" ht="15" x14ac:dyDescent="0.25">
      <c r="B1200" s="14">
        <v>42325</v>
      </c>
      <c r="C1200" s="30" t="str">
        <f>[2]!YBHIST($A$2,$B1200,"Price","sec","")</f>
        <v>E</v>
      </c>
      <c r="D1200" t="str">
        <f>[2]!YBPRICE($A$2,C1200&amp;"d",$B1201,"OAS","Swap",B1200,"LMMSkew","","Model",100,"OAS")</f>
        <v>E</v>
      </c>
      <c r="E1200" s="32" t="str">
        <f>[2]!YBHIST($A$2,B1200,"LMMOAS","sec","")</f>
        <v>E</v>
      </c>
      <c r="F1200">
        <v>88.009804000000003</v>
      </c>
    </row>
    <row r="1201" spans="2:6" ht="15" x14ac:dyDescent="0.25">
      <c r="B1201" s="14">
        <v>42326</v>
      </c>
      <c r="C1201" s="30" t="str">
        <f>[2]!YBHIST($A$2,$B1201,"Price","sec","")</f>
        <v>E</v>
      </c>
      <c r="D1201" t="str">
        <f>[2]!YBPRICE($A$2,C1201&amp;"d",$B1202,"OAS","Swap",B1201,"LMMSkew","","Model",100,"OAS")</f>
        <v>E</v>
      </c>
      <c r="E1201" s="32" t="str">
        <f>[2]!YBHIST($A$2,B1201,"LMMOAS","sec","")</f>
        <v>E</v>
      </c>
      <c r="F1201">
        <v>80.545303000000004</v>
      </c>
    </row>
    <row r="1202" spans="2:6" ht="15" x14ac:dyDescent="0.25">
      <c r="B1202" s="14">
        <v>42327</v>
      </c>
      <c r="C1202" s="30" t="str">
        <f>[2]!YBHIST($A$2,$B1202,"Price","sec","")</f>
        <v>E</v>
      </c>
      <c r="D1202" t="str">
        <f>[2]!YBPRICE($A$2,C1202&amp;"d",$B1203,"OAS","Swap",B1202,"LMMSkew","","Model",100,"OAS")</f>
        <v>E</v>
      </c>
      <c r="E1202" s="32" t="str">
        <f>[2]!YBHIST($A$2,B1202,"LMMOAS","sec","")</f>
        <v>E</v>
      </c>
      <c r="F1202">
        <v>80.391502000000003</v>
      </c>
    </row>
    <row r="1203" spans="2:6" ht="15" x14ac:dyDescent="0.25">
      <c r="B1203" s="14">
        <v>42328</v>
      </c>
      <c r="C1203" s="30" t="str">
        <f>[2]!YBHIST($A$2,$B1203,"Price","sec","")</f>
        <v>E</v>
      </c>
      <c r="D1203" t="str">
        <f>[2]!YBPRICE($A$2,C1203&amp;"d",$B1204,"OAS","Swap",B1203,"LMMSkew","","Model",100,"OAS")</f>
        <v>E</v>
      </c>
      <c r="E1203" s="32" t="str">
        <f>[2]!YBHIST($A$2,B1203,"LMMOAS","sec","")</f>
        <v>E</v>
      </c>
      <c r="F1203">
        <v>69.588500999999994</v>
      </c>
    </row>
    <row r="1204" spans="2:6" ht="15" x14ac:dyDescent="0.25">
      <c r="B1204" s="14">
        <v>42331</v>
      </c>
      <c r="C1204" s="30" t="str">
        <f>[2]!YBHIST($A$2,$B1204,"Price","sec","")</f>
        <v>E</v>
      </c>
      <c r="D1204" t="str">
        <f>[2]!YBPRICE($A$2,C1204&amp;"d",$B1205,"OAS","Swap",B1204,"LMMSkew","","Model",100,"OAS")</f>
        <v>E</v>
      </c>
      <c r="E1204" s="32" t="str">
        <f>[2]!YBHIST($A$2,B1204,"LMMOAS","sec","")</f>
        <v>E</v>
      </c>
      <c r="F1204">
        <v>62.042000000000002</v>
      </c>
    </row>
    <row r="1205" spans="2:6" ht="15" x14ac:dyDescent="0.25">
      <c r="B1205" s="14">
        <v>42332</v>
      </c>
      <c r="C1205" s="30" t="str">
        <f>[2]!YBHIST($A$2,$B1205,"Price","sec","")</f>
        <v>E</v>
      </c>
      <c r="D1205" t="str">
        <f>[2]!YBPRICE($A$2,C1205&amp;"d",$B1206,"OAS","Swap",B1205,"LMMSkew","","Model",100,"OAS")</f>
        <v>E</v>
      </c>
      <c r="E1205" s="32" t="str">
        <f>[2]!YBHIST($A$2,B1205,"LMMOAS","sec","")</f>
        <v>E</v>
      </c>
      <c r="F1205">
        <v>67.215401</v>
      </c>
    </row>
    <row r="1206" spans="2:6" ht="15" x14ac:dyDescent="0.25">
      <c r="B1206" s="14">
        <v>42333</v>
      </c>
      <c r="C1206" s="30" t="str">
        <f>[2]!YBHIST($A$2,$B1206,"Price","sec","")</f>
        <v>E</v>
      </c>
      <c r="D1206" t="str">
        <f>[2]!YBPRICE($A$2,C1206&amp;"d",$B1207,"OAS","Swap",B1206,"LMMSkew","","Model",100,"OAS")</f>
        <v>E</v>
      </c>
      <c r="E1206" s="32" t="str">
        <f>[2]!YBHIST($A$2,B1206,"LMMOAS","sec","")</f>
        <v>E</v>
      </c>
      <c r="F1206">
        <v>61.817298999999998</v>
      </c>
    </row>
    <row r="1207" spans="2:6" ht="15" x14ac:dyDescent="0.25">
      <c r="B1207" s="14">
        <v>42335</v>
      </c>
      <c r="C1207" s="30" t="str">
        <f>[2]!YBHIST($A$2,$B1207,"Price","sec","")</f>
        <v>E</v>
      </c>
      <c r="D1207" t="str">
        <f>[2]!YBPRICE($A$2,C1207&amp;"d",$B1208,"OAS","Swap",B1207,"LMMSkew","","Model",100,"OAS")</f>
        <v>E</v>
      </c>
      <c r="E1207" s="32" t="str">
        <f>[2]!YBHIST($A$2,B1207,"LMMOAS","sec","")</f>
        <v>E</v>
      </c>
      <c r="F1207">
        <v>58.950600000000001</v>
      </c>
    </row>
    <row r="1208" spans="2:6" ht="15" x14ac:dyDescent="0.25">
      <c r="B1208" s="14">
        <v>42338</v>
      </c>
      <c r="C1208" s="30" t="str">
        <f>[2]!YBHIST($A$2,$B1208,"Price","sec","")</f>
        <v>E</v>
      </c>
      <c r="D1208" t="str">
        <f>[2]!YBPRICE($A$2,C1208&amp;"d",$B1209,"OAS","Swap",B1208,"LMMSkew","","Model",100,"OAS")</f>
        <v>E</v>
      </c>
      <c r="E1208" s="32" t="str">
        <f>[2]!YBHIST($A$2,B1208,"LMMOAS","sec","")</f>
        <v>E</v>
      </c>
      <c r="F1208">
        <v>54.895099999999999</v>
      </c>
    </row>
    <row r="1209" spans="2:6" ht="15" x14ac:dyDescent="0.25">
      <c r="B1209" s="14">
        <v>42339</v>
      </c>
      <c r="C1209" s="30" t="str">
        <f>[2]!YBHIST($A$2,$B1209,"Price","sec","")</f>
        <v>E</v>
      </c>
      <c r="D1209" t="str">
        <f>[2]!YBPRICE($A$2,C1209&amp;"d",$B1210,"OAS","Swap",B1209,"LMMSkew","","Model",100,"OAS")</f>
        <v>E</v>
      </c>
      <c r="E1209" s="32" t="str">
        <f>[2]!YBHIST($A$2,B1209,"LMMOAS","sec","")</f>
        <v>E</v>
      </c>
      <c r="F1209">
        <v>55.493000000000002</v>
      </c>
    </row>
    <row r="1210" spans="2:6" ht="15" x14ac:dyDescent="0.25">
      <c r="B1210" s="14">
        <v>42340</v>
      </c>
      <c r="C1210" s="30" t="str">
        <f>[2]!YBHIST($A$2,$B1210,"Price","sec","")</f>
        <v>E</v>
      </c>
      <c r="D1210" t="str">
        <f>[2]!YBPRICE($A$2,C1210&amp;"d",$B1211,"OAS","Swap",B1210,"LMMSkew","","Model",100,"OAS")</f>
        <v>E</v>
      </c>
      <c r="E1210" s="32" t="str">
        <f>[2]!YBHIST($A$2,B1210,"LMMOAS","sec","")</f>
        <v>E</v>
      </c>
      <c r="F1210">
        <v>47.985298</v>
      </c>
    </row>
    <row r="1211" spans="2:6" ht="15" x14ac:dyDescent="0.25">
      <c r="B1211" s="14">
        <v>42341</v>
      </c>
      <c r="C1211" s="30" t="str">
        <f>[2]!YBHIST($A$2,$B1211,"Price","sec","")</f>
        <v>E</v>
      </c>
      <c r="D1211" t="str">
        <f>[2]!YBPRICE($A$2,C1211&amp;"d",$B1212,"OAS","Swap",B1211,"LMMSkew","","Model",100,"OAS")</f>
        <v>E</v>
      </c>
      <c r="E1211" s="32" t="str">
        <f>[2]!YBHIST($A$2,B1211,"LMMOAS","sec","")</f>
        <v>E</v>
      </c>
      <c r="F1211">
        <v>43.203097999999997</v>
      </c>
    </row>
    <row r="1212" spans="2:6" ht="15" x14ac:dyDescent="0.25">
      <c r="B1212" s="14">
        <v>42342</v>
      </c>
      <c r="C1212" s="30" t="str">
        <f>[2]!YBHIST($A$2,$B1212,"Price","sec","")</f>
        <v>E</v>
      </c>
      <c r="D1212" t="str">
        <f>[2]!YBPRICE($A$2,C1212&amp;"d",$B1213,"OAS","Swap",B1212,"LMMSkew","","Model",100,"OAS")</f>
        <v>E</v>
      </c>
      <c r="E1212" s="32" t="str">
        <f>[2]!YBHIST($A$2,B1212,"LMMOAS","sec","")</f>
        <v>E</v>
      </c>
      <c r="F1212">
        <v>40.6096</v>
      </c>
    </row>
    <row r="1213" spans="2:6" ht="15" x14ac:dyDescent="0.25">
      <c r="B1213" s="14">
        <v>42345</v>
      </c>
      <c r="C1213" s="30" t="str">
        <f>[2]!YBHIST($A$2,$B1213,"Price","sec","")</f>
        <v>E</v>
      </c>
      <c r="D1213" t="str">
        <f>[2]!YBPRICE($A$2,C1213&amp;"d",$B1214,"OAS","Swap",B1213,"LMMSkew","","Model",100,"OAS")</f>
        <v>E</v>
      </c>
      <c r="E1213" s="32" t="str">
        <f>[2]!YBHIST($A$2,B1213,"LMMOAS","sec","")</f>
        <v>E</v>
      </c>
      <c r="F1213">
        <v>33.585799999999999</v>
      </c>
    </row>
    <row r="1214" spans="2:6" ht="15" x14ac:dyDescent="0.25">
      <c r="B1214" s="14">
        <v>42346</v>
      </c>
      <c r="C1214" s="30" t="str">
        <f>[2]!YBHIST($A$2,$B1214,"Price","sec","")</f>
        <v>E</v>
      </c>
      <c r="D1214" t="str">
        <f>[2]!YBPRICE($A$2,C1214&amp;"d",$B1215,"OAS","Swap",B1214,"LMMSkew","","Model",100,"OAS")</f>
        <v>E</v>
      </c>
      <c r="E1214" s="32" t="str">
        <f>[2]!YBHIST($A$2,B1214,"LMMOAS","sec","")</f>
        <v>E</v>
      </c>
      <c r="F1214">
        <v>33.116599999999998</v>
      </c>
    </row>
    <row r="1215" spans="2:6" ht="15" x14ac:dyDescent="0.25">
      <c r="B1215" s="14">
        <v>42347</v>
      </c>
      <c r="C1215" s="30" t="str">
        <f>[2]!YBHIST($A$2,$B1215,"Price","sec","")</f>
        <v>E</v>
      </c>
      <c r="D1215" t="str">
        <f>[2]!YBPRICE($A$2,C1215&amp;"d",$B1216,"OAS","Swap",B1215,"LMMSkew","","Model",100,"OAS")</f>
        <v>E</v>
      </c>
      <c r="E1215" s="32" t="str">
        <f>[2]!YBHIST($A$2,B1215,"LMMOAS","sec","")</f>
        <v>E</v>
      </c>
      <c r="F1215">
        <v>29.989799000000001</v>
      </c>
    </row>
    <row r="1216" spans="2:6" ht="15" x14ac:dyDescent="0.25">
      <c r="B1216" s="14">
        <v>42348</v>
      </c>
      <c r="C1216" s="30" t="str">
        <f>[2]!YBHIST($A$2,$B1216,"Price","sec","")</f>
        <v>E</v>
      </c>
      <c r="D1216" t="str">
        <f>[2]!YBPRICE($A$2,C1216&amp;"d",$B1217,"OAS","Swap",B1216,"LMMSkew","","Model",100,"OAS")</f>
        <v>E</v>
      </c>
      <c r="E1216" s="32" t="str">
        <f>[2]!YBHIST($A$2,B1216,"LMMOAS","sec","")</f>
        <v>E</v>
      </c>
      <c r="F1216">
        <v>37.681099000000003</v>
      </c>
    </row>
    <row r="1217" spans="2:6" ht="15" x14ac:dyDescent="0.25">
      <c r="B1217" s="14">
        <v>42349</v>
      </c>
      <c r="C1217" s="30" t="str">
        <f>[2]!YBHIST($A$2,$B1217,"Price","sec","")</f>
        <v>E</v>
      </c>
      <c r="D1217" t="str">
        <f>[2]!YBPRICE($A$2,C1217&amp;"d",$B1218,"OAS","Swap",B1217,"LMMSkew","","Model",100,"OAS")</f>
        <v>E</v>
      </c>
      <c r="E1217" s="32" t="str">
        <f>[2]!YBHIST($A$2,B1217,"LMMOAS","sec","")</f>
        <v>E</v>
      </c>
      <c r="F1217">
        <v>53.887000999999998</v>
      </c>
    </row>
    <row r="1218" spans="2:6" ht="15" x14ac:dyDescent="0.25">
      <c r="B1218" s="17">
        <v>42352</v>
      </c>
      <c r="C1218" s="30" t="str">
        <f>[2]!YBHIST($A$2,$B1218,"Price","sec","")</f>
        <v>E</v>
      </c>
      <c r="D1218" t="str">
        <f>[2]!YBPRICE($A$2,C1218&amp;"d",$B1219,"OAS","Swap",B1218,"LMMSkew","","Model",100,"OAS")</f>
        <v>E</v>
      </c>
      <c r="E1218" s="32" t="str">
        <f>[2]!YBHIST($A$2,B1218,"LMMOAS","sec","")</f>
        <v>E</v>
      </c>
      <c r="F1218">
        <v>46.580502000000003</v>
      </c>
    </row>
    <row r="1219" spans="2:6" ht="15" x14ac:dyDescent="0.25">
      <c r="B1219" s="17">
        <v>42353</v>
      </c>
      <c r="C1219" s="30" t="str">
        <f>[2]!YBHIST($A$2,$B1219,"Price","sec","")</f>
        <v>E</v>
      </c>
      <c r="D1219" t="str">
        <f>[2]!YBPRICE($A$2,C1219&amp;"d",$B1220,"OAS","Swap",B1219,"LMMSkew","","Model",100,"OAS")</f>
        <v>E</v>
      </c>
      <c r="E1219" s="32" t="str">
        <f>[2]!YBHIST($A$2,B1219,"LMMOAS","sec","")</f>
        <v>E</v>
      </c>
      <c r="F1219">
        <v>47.284801000000002</v>
      </c>
    </row>
    <row r="1220" spans="2:6" ht="15" x14ac:dyDescent="0.25">
      <c r="B1220" s="17">
        <v>42354</v>
      </c>
      <c r="C1220" s="30" t="str">
        <f>[2]!YBHIST($A$2,$B1220,"Price","sec","")</f>
        <v>E</v>
      </c>
      <c r="D1220" t="str">
        <f>[2]!YBPRICE($A$2,C1220&amp;"d",$B1221,"OAS","Swap",B1220,"LMMSkew","","Model",100,"OAS")</f>
        <v>E</v>
      </c>
      <c r="E1220" s="32" t="str">
        <f>[2]!YBHIST($A$2,B1220,"LMMOAS","sec","")</f>
        <v>E</v>
      </c>
      <c r="F1220">
        <v>52.166901000000003</v>
      </c>
    </row>
    <row r="1221" spans="2:6" ht="15" x14ac:dyDescent="0.25">
      <c r="B1221" s="17">
        <v>42355</v>
      </c>
      <c r="C1221" s="30" t="str">
        <f>[2]!YBHIST($A$2,$B1221,"Price","sec","")</f>
        <v>E</v>
      </c>
      <c r="D1221" t="str">
        <f>[2]!YBPRICE($A$2,C1221&amp;"d",$B1222,"OAS","Swap",B1221,"LMMSkew","","Model",100,"OAS")</f>
        <v>E</v>
      </c>
      <c r="E1221" s="32" t="str">
        <f>[2]!YBHIST($A$2,B1221,"LMMOAS","sec","")</f>
        <v>E</v>
      </c>
      <c r="F1221">
        <v>51.793900000000001</v>
      </c>
    </row>
    <row r="1222" spans="2:6" ht="15" x14ac:dyDescent="0.25">
      <c r="B1222" s="17">
        <v>42356</v>
      </c>
      <c r="C1222" s="30" t="str">
        <f>[2]!YBHIST($A$2,$B1222,"Price","sec","")</f>
        <v>E</v>
      </c>
      <c r="D1222" t="str">
        <f>[2]!YBPRICE($A$2,C1222&amp;"d",$B1223,"OAS","Swap",B1222,"LMMSkew","","Model",100,"OAS")</f>
        <v>E</v>
      </c>
      <c r="E1222" s="32" t="str">
        <f>[2]!YBHIST($A$2,B1222,"LMMOAS","sec","")</f>
        <v>E</v>
      </c>
      <c r="F1222">
        <v>54.888401000000002</v>
      </c>
    </row>
    <row r="1223" spans="2:6" ht="15" x14ac:dyDescent="0.25">
      <c r="B1223" s="17">
        <v>42359</v>
      </c>
      <c r="C1223" s="30" t="str">
        <f>[2]!YBHIST($A$2,$B1223,"Price","sec","")</f>
        <v>E</v>
      </c>
      <c r="D1223" t="str">
        <f>[2]!YBPRICE($A$2,C1223&amp;"d",$B1224,"OAS","Swap",B1223,"LMMSkew","","Model",100,"OAS")</f>
        <v>E</v>
      </c>
      <c r="E1223" s="32" t="str">
        <f>[2]!YBHIST($A$2,B1223,"LMMOAS","sec","")</f>
        <v>E</v>
      </c>
      <c r="F1223">
        <v>58.032902</v>
      </c>
    </row>
    <row r="1224" spans="2:6" ht="15" x14ac:dyDescent="0.25">
      <c r="B1224" s="17">
        <v>42360</v>
      </c>
      <c r="C1224" s="30" t="str">
        <f>[2]!YBHIST($A$2,$B1224,"Price","sec","")</f>
        <v>E</v>
      </c>
      <c r="D1224" t="str">
        <f>[2]!YBPRICE($A$2,C1224&amp;"d",$B1225,"OAS","Swap",B1224,"LMMSkew","","Model",100,"OAS")</f>
        <v>E</v>
      </c>
      <c r="E1224" s="32" t="str">
        <f>[2]!YBHIST($A$2,B1224,"LMMOAS","sec","")</f>
        <v>E</v>
      </c>
      <c r="F1224">
        <v>62.460498999999999</v>
      </c>
    </row>
    <row r="1225" spans="2:6" ht="15" x14ac:dyDescent="0.25">
      <c r="B1225" s="17">
        <v>42361</v>
      </c>
      <c r="C1225" s="30" t="str">
        <f>[2]!YBHIST($A$2,$B1225,"Price","sec","")</f>
        <v>E</v>
      </c>
      <c r="D1225" t="str">
        <f>[2]!YBPRICE($A$2,C1225&amp;"d",$B1226,"OAS","Swap",B1225,"LMMSkew","","Model",100,"OAS")</f>
        <v>E</v>
      </c>
      <c r="E1225" s="32" t="str">
        <f>[2]!YBHIST($A$2,B1225,"LMMOAS","sec","")</f>
        <v>E</v>
      </c>
      <c r="F1225">
        <v>71.828102000000001</v>
      </c>
    </row>
    <row r="1226" spans="2:6" ht="15" x14ac:dyDescent="0.25">
      <c r="B1226" s="17">
        <v>42362</v>
      </c>
      <c r="C1226" s="30" t="str">
        <f>[2]!YBHIST($A$2,$B1226,"Price","sec","")</f>
        <v>E</v>
      </c>
      <c r="D1226" t="str">
        <f>[2]!YBPRICE($A$2,C1226&amp;"d",$B1227,"OAS","Swap",B1226,"LMMSkew","","Model",100,"OAS")</f>
        <v>E</v>
      </c>
      <c r="E1226" s="32" t="str">
        <f>[2]!YBHIST($A$2,B1226,"LMMOAS","sec","")</f>
        <v>E</v>
      </c>
      <c r="F1226">
        <v>64.733597000000003</v>
      </c>
    </row>
    <row r="1227" spans="2:6" ht="15" x14ac:dyDescent="0.25">
      <c r="B1227" s="17">
        <v>42366</v>
      </c>
      <c r="C1227" s="30" t="str">
        <f>[2]!YBHIST($A$2,$B1227,"Price","sec","")</f>
        <v>E</v>
      </c>
      <c r="D1227" t="str">
        <f>[2]!YBPRICE($A$2,C1227&amp;"d",$B1228,"OAS","Swap",B1227,"LMMSkew","","Model",100,"OAS")</f>
        <v>E</v>
      </c>
      <c r="E1227" s="32" t="str">
        <f>[2]!YBHIST($A$2,B1227,"LMMOAS","sec","")</f>
        <v>E</v>
      </c>
      <c r="F1227">
        <v>65.139602999999994</v>
      </c>
    </row>
    <row r="1228" spans="2:6" ht="15" x14ac:dyDescent="0.25">
      <c r="B1228" s="17">
        <v>42367</v>
      </c>
      <c r="C1228" s="30" t="str">
        <f>[2]!YBHIST($A$2,$B1228,"Price","sec","")</f>
        <v>E</v>
      </c>
      <c r="D1228" t="str">
        <f>[2]!YBPRICE($A$2,C1228&amp;"d",$B1229,"OAS","Swap",B1228,"LMMSkew","","Model",100,"OAS")</f>
        <v>E</v>
      </c>
      <c r="E1228" s="32" t="str">
        <f>[2]!YBHIST($A$2,B1228,"LMMOAS","sec","")</f>
        <v>E</v>
      </c>
      <c r="F1228">
        <v>62.847000000000001</v>
      </c>
    </row>
    <row r="1229" spans="2:6" ht="15" x14ac:dyDescent="0.25">
      <c r="B1229" s="17">
        <v>42368</v>
      </c>
      <c r="C1229" s="30" t="str">
        <f>[2]!YBHIST($A$2,$B1229,"Price","sec","")</f>
        <v>E</v>
      </c>
      <c r="D1229" t="str">
        <f>[2]!YBPRICE($A$2,C1229&amp;"d",$B1230,"OAS","Swap",B1229,"LMMSkew","","Model",100,"OAS")</f>
        <v>E</v>
      </c>
      <c r="E1229" s="32" t="str">
        <f>[2]!YBHIST($A$2,B1229,"LMMOAS","sec","")</f>
        <v>E</v>
      </c>
      <c r="F1229">
        <v>65.155602000000002</v>
      </c>
    </row>
    <row r="1230" spans="2:6" ht="15" x14ac:dyDescent="0.25">
      <c r="B1230" s="17">
        <v>42369</v>
      </c>
      <c r="C1230" s="30" t="str">
        <f>[2]!YBHIST($A$2,$B1230,"Price","sec","")</f>
        <v>E</v>
      </c>
      <c r="D1230" t="str">
        <f>[2]!YBPRICE($A$2,C1230&amp;"d",$B1231,"OAS","Swap",B1230,"LMMSkew","","Model",100,"OAS")</f>
        <v>E</v>
      </c>
      <c r="E1230" s="32" t="str">
        <f>[2]!YBHIST($A$2,B1230,"LMMOAS","sec","")</f>
        <v>E</v>
      </c>
      <c r="F1230">
        <v>61.520901000000002</v>
      </c>
    </row>
    <row r="1231" spans="2:6" ht="15" x14ac:dyDescent="0.25">
      <c r="B1231" s="17">
        <v>42373</v>
      </c>
      <c r="C1231" s="30" t="str">
        <f>[2]!YBHIST($A$2,$B1231,"Price","sec","")</f>
        <v>E</v>
      </c>
      <c r="D1231" t="str">
        <f>[2]!YBPRICE($A$2,C1231&amp;"d",$B1232,"OAS","Swap",B1231,"LMMSkew","","Model",100,"OAS")</f>
        <v>E</v>
      </c>
      <c r="E1231" s="32" t="str">
        <f>[2]!YBHIST($A$2,B1231,"LMMOAS","sec","")</f>
        <v>E</v>
      </c>
      <c r="F1231">
        <v>70.119399999999999</v>
      </c>
    </row>
    <row r="1232" spans="2:6" ht="15" x14ac:dyDescent="0.25">
      <c r="B1232" s="17">
        <v>42374</v>
      </c>
      <c r="C1232" s="30" t="str">
        <f>[2]!YBHIST($A$2,$B1232,"Price","sec","")</f>
        <v>E</v>
      </c>
      <c r="D1232" t="str">
        <f>[2]!YBPRICE($A$2,C1232&amp;"d",$B1233,"OAS","Swap",B1232,"LMMSkew","","Model",100,"OAS")</f>
        <v>E</v>
      </c>
      <c r="E1232" s="32" t="str">
        <f>[2]!YBHIST($A$2,B1232,"LMMOAS","sec","")</f>
        <v>E</v>
      </c>
      <c r="F1232">
        <v>71.838500999999994</v>
      </c>
    </row>
    <row r="1233" spans="2:6" ht="15" x14ac:dyDescent="0.25">
      <c r="B1233" s="17">
        <v>42375</v>
      </c>
      <c r="C1233" s="30" t="str">
        <f>[2]!YBHIST($A$2,$B1233,"Price","sec","")</f>
        <v>E</v>
      </c>
      <c r="D1233" t="str">
        <f>[2]!YBPRICE($A$2,C1233&amp;"d",$B1234,"OAS","Swap",B1233,"LMMSkew","","Model",100,"OAS")</f>
        <v>E</v>
      </c>
      <c r="E1233" s="32" t="str">
        <f>[2]!YBHIST($A$2,B1233,"LMMOAS","sec","")</f>
        <v>E</v>
      </c>
      <c r="F1233">
        <v>79.472603000000007</v>
      </c>
    </row>
    <row r="1234" spans="2:6" ht="15" x14ac:dyDescent="0.25">
      <c r="B1234" s="17">
        <v>42376</v>
      </c>
      <c r="C1234" s="30" t="str">
        <f>[2]!YBHIST($A$2,$B1234,"Price","sec","")</f>
        <v>E</v>
      </c>
      <c r="D1234" t="str">
        <f>[2]!YBPRICE($A$2,C1234&amp;"d",$B1235,"OAS","Swap",B1234,"LMMSkew","","Model",100,"OAS")</f>
        <v>E</v>
      </c>
      <c r="E1234" s="32" t="str">
        <f>[2]!YBHIST($A$2,B1234,"LMMOAS","sec","")</f>
        <v>E</v>
      </c>
      <c r="F1234">
        <v>84.571999000000005</v>
      </c>
    </row>
    <row r="1235" spans="2:6" ht="15" x14ac:dyDescent="0.25">
      <c r="B1235" s="17">
        <v>42377</v>
      </c>
      <c r="C1235" s="30" t="str">
        <f>[2]!YBHIST($A$2,$B1235,"Price","sec","")</f>
        <v>E</v>
      </c>
      <c r="D1235" t="str">
        <f>[2]!YBPRICE($A$2,C1235&amp;"d",$B1236,"OAS","Swap",B1235,"LMMSkew","","Model",100,"OAS")</f>
        <v>E</v>
      </c>
      <c r="E1235" s="32" t="str">
        <f>[2]!YBHIST($A$2,B1235,"LMMOAS","sec","")</f>
        <v>E</v>
      </c>
      <c r="F1235">
        <v>92.742797999999993</v>
      </c>
    </row>
    <row r="1236" spans="2:6" ht="15" x14ac:dyDescent="0.25">
      <c r="B1236" s="17">
        <v>42380</v>
      </c>
      <c r="C1236" s="30" t="str">
        <f>[2]!YBHIST($A$2,$B1236,"Price","sec","")</f>
        <v>E</v>
      </c>
      <c r="D1236" t="str">
        <f>[2]!YBPRICE($A$2,C1236&amp;"d",$B1237,"OAS","Swap",B1236,"LMMSkew","","Model",100,"OAS")</f>
        <v>E</v>
      </c>
      <c r="E1236" s="32" t="str">
        <f>[2]!YBHIST($A$2,B1236,"LMMOAS","sec","")</f>
        <v>E</v>
      </c>
      <c r="F1236">
        <v>95.882401000000002</v>
      </c>
    </row>
    <row r="1237" spans="2:6" ht="15" x14ac:dyDescent="0.25">
      <c r="B1237" s="17">
        <v>42381</v>
      </c>
      <c r="C1237" s="30" t="str">
        <f>[2]!YBHIST($A$2,$B1237,"Price","sec","")</f>
        <v>E</v>
      </c>
      <c r="D1237" t="str">
        <f>[2]!YBPRICE($A$2,C1237&amp;"d",$B1238,"OAS","Swap",B1237,"LMMSkew","","Model",100,"OAS")</f>
        <v>E</v>
      </c>
      <c r="E1237" s="32" t="str">
        <f>[2]!YBHIST($A$2,B1237,"LMMOAS","sec","")</f>
        <v>E</v>
      </c>
      <c r="F1237">
        <v>95.195899999999995</v>
      </c>
    </row>
    <row r="1238" spans="2:6" ht="15" x14ac:dyDescent="0.25">
      <c r="B1238" s="17">
        <v>42382</v>
      </c>
      <c r="C1238" s="30" t="str">
        <f>[2]!YBHIST($A$2,$B1238,"Price","sec","")</f>
        <v>E</v>
      </c>
      <c r="D1238" t="str">
        <f>[2]!YBPRICE($A$2,C1238&amp;"d",$B1239,"OAS","Swap",B1238,"LMMSkew","","Model",100,"OAS")</f>
        <v>E</v>
      </c>
      <c r="E1238" s="32" t="str">
        <f>[2]!YBHIST($A$2,B1238,"LMMOAS","sec","")</f>
        <v>E</v>
      </c>
      <c r="F1238">
        <v>98.239699999999999</v>
      </c>
    </row>
    <row r="1239" spans="2:6" ht="15" x14ac:dyDescent="0.25">
      <c r="B1239" s="17">
        <v>42383</v>
      </c>
      <c r="C1239" s="30" t="str">
        <f>[2]!YBHIST($A$2,$B1239,"Price","sec","")</f>
        <v>E</v>
      </c>
      <c r="D1239" t="str">
        <f>[2]!YBPRICE($A$2,C1239&amp;"d",$B1240,"OAS","Swap",B1239,"LMMSkew","","Model",100,"OAS")</f>
        <v>E</v>
      </c>
      <c r="E1239" s="32" t="str">
        <f>[2]!YBHIST($A$2,B1239,"LMMOAS","sec","")</f>
        <v>E</v>
      </c>
      <c r="F1239">
        <v>112.55789900000001</v>
      </c>
    </row>
    <row r="1240" spans="2:6" ht="15" x14ac:dyDescent="0.25">
      <c r="B1240" s="17">
        <v>42384</v>
      </c>
      <c r="C1240" s="30" t="str">
        <f>[2]!YBHIST($A$2,$B1240,"Price","sec","")</f>
        <v>E</v>
      </c>
      <c r="D1240" t="str">
        <f>[2]!YBPRICE($A$2,C1240&amp;"d",$B1241,"OAS","Swap",B1240,"LMMSkew","","Model",100,"OAS")</f>
        <v>E</v>
      </c>
      <c r="E1240" s="32" t="str">
        <f>[2]!YBHIST($A$2,B1240,"LMMOAS","sec","")</f>
        <v>E</v>
      </c>
      <c r="F1240">
        <v>117.712898</v>
      </c>
    </row>
    <row r="1241" spans="2:6" ht="15" x14ac:dyDescent="0.25">
      <c r="B1241" s="17">
        <v>42388</v>
      </c>
      <c r="C1241" s="30" t="str">
        <f>[2]!YBHIST($A$2,$B1241,"Price","sec","")</f>
        <v>E</v>
      </c>
      <c r="D1241" t="str">
        <f>[2]!YBPRICE($A$2,C1241&amp;"d",$B1242,"OAS","Swap",B1241,"LMMSkew","","Model",100,"OAS")</f>
        <v>E</v>
      </c>
      <c r="E1241" s="32" t="str">
        <f>[2]!YBHIST($A$2,B1241,"LMMOAS","sec","")</f>
        <v>E</v>
      </c>
      <c r="F1241">
        <v>111.930099</v>
      </c>
    </row>
    <row r="1242" spans="2:6" ht="15" x14ac:dyDescent="0.25">
      <c r="B1242" s="17">
        <v>42389</v>
      </c>
      <c r="C1242" s="30" t="str">
        <f>[2]!YBHIST($A$2,$B1242,"Price","sec","")</f>
        <v>E</v>
      </c>
      <c r="D1242" t="str">
        <f>[2]!YBPRICE($A$2,C1242&amp;"d",$B1243,"OAS","Swap",B1242,"LMMSkew","","Model",100,"OAS")</f>
        <v>E</v>
      </c>
      <c r="E1242" s="32" t="str">
        <f>[2]!YBHIST($A$2,B1242,"LMMOAS","sec","")</f>
        <v>E</v>
      </c>
      <c r="F1242">
        <v>116.53040300000001</v>
      </c>
    </row>
    <row r="1243" spans="2:6" ht="15" x14ac:dyDescent="0.25">
      <c r="B1243" s="17">
        <v>42390</v>
      </c>
      <c r="C1243" s="30" t="str">
        <f>[2]!YBHIST($A$2,$B1243,"Price","sec","")</f>
        <v>E</v>
      </c>
      <c r="D1243" t="str">
        <f>[2]!YBPRICE($A$2,C1243&amp;"d",$B1244,"OAS","Swap",B1243,"LMMSkew","","Model",100,"OAS")</f>
        <v>E</v>
      </c>
      <c r="E1243" s="32" t="str">
        <f>[2]!YBHIST($A$2,B1243,"LMMOAS","sec","")</f>
        <v>E</v>
      </c>
      <c r="F1243">
        <v>121.905602</v>
      </c>
    </row>
    <row r="1244" spans="2:6" ht="15" x14ac:dyDescent="0.25">
      <c r="B1244" s="17">
        <v>42391</v>
      </c>
      <c r="C1244" s="30" t="str">
        <f>[2]!YBHIST($A$2,$B1244,"Price","sec","")</f>
        <v>E</v>
      </c>
      <c r="D1244" t="str">
        <f>[2]!YBPRICE($A$2,C1244&amp;"d",$B1245,"OAS","Swap",B1244,"LMMSkew","","Model",100,"OAS")</f>
        <v>E</v>
      </c>
      <c r="E1244" s="32" t="str">
        <f>[2]!YBHIST($A$2,B1244,"LMMOAS","sec","")</f>
        <v>E</v>
      </c>
      <c r="F1244">
        <v>106.214798</v>
      </c>
    </row>
    <row r="1245" spans="2:6" ht="15" x14ac:dyDescent="0.25">
      <c r="B1245" s="17">
        <v>42394</v>
      </c>
      <c r="C1245" s="30" t="str">
        <f>[2]!YBHIST($A$2,$B1245,"Price","sec","")</f>
        <v>E</v>
      </c>
      <c r="D1245" t="str">
        <f>[2]!YBPRICE($A$2,C1245&amp;"d",$B1246,"OAS","Swap",B1245,"LMMSkew","","Model",100,"OAS")</f>
        <v>E</v>
      </c>
      <c r="E1245" s="32" t="str">
        <f>[2]!YBHIST($A$2,B1245,"LMMOAS","sec","")</f>
        <v>E</v>
      </c>
      <c r="F1245">
        <v>106.173897</v>
      </c>
    </row>
    <row r="1246" spans="2:6" ht="15" x14ac:dyDescent="0.25">
      <c r="B1246" s="17">
        <v>42395</v>
      </c>
      <c r="C1246" s="30" t="str">
        <f>[2]!YBHIST($A$2,$B1246,"Price","sec","")</f>
        <v>E</v>
      </c>
      <c r="D1246" t="str">
        <f>[2]!YBPRICE($A$2,C1246&amp;"d",$B1247,"OAS","Swap",B1246,"LMMSkew","","Model",100,"OAS")</f>
        <v>E</v>
      </c>
      <c r="E1246" s="32" t="str">
        <f>[2]!YBHIST($A$2,B1246,"LMMOAS","sec","")</f>
        <v>E</v>
      </c>
      <c r="F1246">
        <v>101.172997</v>
      </c>
    </row>
    <row r="1247" spans="2:6" ht="15" x14ac:dyDescent="0.25">
      <c r="B1247" s="17">
        <v>42396</v>
      </c>
      <c r="C1247" s="30" t="str">
        <f>[2]!YBHIST($A$2,$B1247,"Price","sec","")</f>
        <v>E</v>
      </c>
      <c r="D1247" t="str">
        <f>[2]!YBPRICE($A$2,C1247&amp;"d",$B1248,"OAS","Swap",B1247,"LMMSkew","","Model",100,"OAS")</f>
        <v>E</v>
      </c>
      <c r="E1247" s="32" t="str">
        <f>[2]!YBHIST($A$2,B1247,"LMMOAS","sec","")</f>
        <v>E</v>
      </c>
      <c r="F1247">
        <v>105.427696</v>
      </c>
    </row>
    <row r="1248" spans="2:6" ht="15" x14ac:dyDescent="0.25">
      <c r="B1248" s="17">
        <v>42397</v>
      </c>
      <c r="C1248" s="30" t="str">
        <f>[2]!YBHIST($A$2,$B1248,"Price","sec","")</f>
        <v>E</v>
      </c>
      <c r="D1248" t="str">
        <f>[2]!YBPRICE($A$2,C1248&amp;"d",$B1249,"OAS","Swap",B1248,"LMMSkew","","Model",100,"OAS")</f>
        <v>E</v>
      </c>
      <c r="E1248" s="32" t="str">
        <f>[2]!YBHIST($A$2,B1248,"LMMOAS","sec","")</f>
        <v>E</v>
      </c>
      <c r="F1248">
        <v>106.987801</v>
      </c>
    </row>
    <row r="1249" spans="2:6" ht="15" x14ac:dyDescent="0.25">
      <c r="B1249" s="17">
        <v>42398</v>
      </c>
      <c r="C1249" s="30" t="str">
        <f>[2]!YBHIST($A$2,$B1249,"Price","sec","")</f>
        <v>E</v>
      </c>
      <c r="D1249" t="str">
        <f>[2]!YBPRICE($A$2,C1249&amp;"d",$B1250,"OAS","Swap",B1249,"LMMSkew","","Model",100,"OAS")</f>
        <v>E</v>
      </c>
      <c r="E1249" s="32" t="str">
        <f>[2]!YBHIST($A$2,B1249,"LMMOAS","sec","")</f>
        <v>E</v>
      </c>
      <c r="F1249">
        <v>99.289199999999994</v>
      </c>
    </row>
    <row r="1250" spans="2:6" ht="15" x14ac:dyDescent="0.25">
      <c r="B1250" s="17">
        <v>42401</v>
      </c>
      <c r="C1250" s="30" t="str">
        <f>[2]!YBHIST($A$2,$B1250,"Price","sec","")</f>
        <v>E</v>
      </c>
      <c r="D1250" t="str">
        <f>[2]!YBPRICE($A$2,C1250&amp;"d",$B1251,"OAS","Swap",B1250,"LMMSkew","","Model",100,"OAS")</f>
        <v>E</v>
      </c>
      <c r="E1250" s="32" t="str">
        <f>[2]!YBHIST($A$2,B1250,"LMMOAS","sec","")</f>
        <v>E</v>
      </c>
      <c r="F1250">
        <v>103.93650100000001</v>
      </c>
    </row>
    <row r="1251" spans="2:6" ht="15" x14ac:dyDescent="0.25">
      <c r="B1251" s="17">
        <v>42402</v>
      </c>
      <c r="C1251" s="30" t="str">
        <f>[2]!YBHIST($A$2,$B1251,"Price","sec","")</f>
        <v>E</v>
      </c>
      <c r="D1251" t="str">
        <f>[2]!YBPRICE($A$2,C1251&amp;"d",$B1252,"OAS","Swap",B1251,"LMMSkew","","Model",100,"OAS")</f>
        <v>E</v>
      </c>
      <c r="E1251" s="32" t="str">
        <f>[2]!YBHIST($A$2,B1251,"LMMOAS","sec","")</f>
        <v>E</v>
      </c>
      <c r="F1251">
        <v>102.911903</v>
      </c>
    </row>
    <row r="1252" spans="2:6" ht="15" x14ac:dyDescent="0.25">
      <c r="B1252" s="17">
        <v>42403</v>
      </c>
      <c r="C1252" s="30" t="str">
        <f>[2]!YBHIST($A$2,$B1252,"Price","sec","")</f>
        <v>E</v>
      </c>
      <c r="D1252" t="str">
        <f>[2]!YBPRICE($A$2,C1252&amp;"d",$B1253,"OAS","Swap",B1252,"LMMSkew","","Model",100,"OAS")</f>
        <v>E</v>
      </c>
      <c r="E1252" s="32" t="str">
        <f>[2]!YBHIST($A$2,B1252,"LMMOAS","sec","")</f>
        <v>E</v>
      </c>
      <c r="F1252">
        <v>100.86799600000001</v>
      </c>
    </row>
    <row r="1253" spans="2:6" ht="15" x14ac:dyDescent="0.25">
      <c r="B1253" s="17">
        <v>42404</v>
      </c>
      <c r="C1253" s="30" t="str">
        <f>[2]!YBHIST($A$2,$B1253,"Price","sec","")</f>
        <v>E</v>
      </c>
      <c r="D1253" t="str">
        <f>[2]!YBPRICE($A$2,C1253&amp;"d",$B1254,"OAS","Swap",B1253,"LMMSkew","","Model",100,"OAS")</f>
        <v>E</v>
      </c>
      <c r="E1253" s="32" t="str">
        <f>[2]!YBHIST($A$2,B1253,"LMMOAS","sec","")</f>
        <v>E</v>
      </c>
      <c r="F1253">
        <v>103.809303</v>
      </c>
    </row>
    <row r="1254" spans="2:6" ht="15" x14ac:dyDescent="0.25">
      <c r="B1254" s="17">
        <v>42405</v>
      </c>
      <c r="C1254" s="30" t="str">
        <f>[2]!YBHIST($A$2,$B1254,"Price","sec","")</f>
        <v>E</v>
      </c>
      <c r="D1254" t="str">
        <f>[2]!YBPRICE($A$2,C1254&amp;"d",$B1255,"OAS","Swap",B1254,"LMMSkew","","Model",100,"OAS")</f>
        <v>E</v>
      </c>
      <c r="E1254" s="32" t="str">
        <f>[2]!YBHIST($A$2,B1254,"LMMOAS","sec","")</f>
        <v>E</v>
      </c>
      <c r="F1254">
        <v>100.627701</v>
      </c>
    </row>
    <row r="1255" spans="2:6" ht="15" x14ac:dyDescent="0.25">
      <c r="B1255" s="17">
        <v>42408</v>
      </c>
      <c r="C1255" s="30" t="str">
        <f>[2]!YBHIST($A$2,$B1255,"Price","sec","")</f>
        <v>E</v>
      </c>
      <c r="D1255" t="str">
        <f>[2]!YBPRICE($A$2,C1255&amp;"d",$B1256,"OAS","Swap",B1255,"LMMSkew","","Model",100,"OAS")</f>
        <v>E</v>
      </c>
      <c r="E1255" s="32" t="str">
        <f>[2]!YBHIST($A$2,B1255,"LMMOAS","sec","")</f>
        <v>E</v>
      </c>
      <c r="F1255">
        <v>83.695396000000002</v>
      </c>
    </row>
    <row r="1256" spans="2:6" ht="15" x14ac:dyDescent="0.25">
      <c r="B1256" s="17">
        <v>42409</v>
      </c>
      <c r="C1256" s="30" t="str">
        <f>[2]!YBHIST($A$2,$B1256,"Price","sec","")</f>
        <v>E</v>
      </c>
      <c r="D1256" t="str">
        <f>[2]!YBPRICE($A$2,C1256&amp;"d",$B1257,"OAS","Swap",B1256,"LMMSkew","","Model",100,"OAS")</f>
        <v>E</v>
      </c>
      <c r="E1256" s="32" t="str">
        <f>[2]!YBHIST($A$2,B1256,"LMMOAS","sec","")</f>
        <v>E</v>
      </c>
      <c r="F1256">
        <v>80.942902000000004</v>
      </c>
    </row>
    <row r="1257" spans="2:6" ht="15" x14ac:dyDescent="0.25">
      <c r="B1257" s="17">
        <v>42410</v>
      </c>
      <c r="C1257" s="30" t="str">
        <f>[2]!YBHIST($A$2,$B1257,"Price","sec","")</f>
        <v>E</v>
      </c>
      <c r="D1257" t="str">
        <f>[2]!YBPRICE($A$2,C1257&amp;"d",$B1258,"OAS","Swap",B1257,"LMMSkew","","Model",100,"OAS")</f>
        <v>E</v>
      </c>
      <c r="E1257" s="32" t="str">
        <f>[2]!YBHIST($A$2,B1257,"LMMOAS","sec","")</f>
        <v>E</v>
      </c>
      <c r="F1257">
        <v>87.731399999999994</v>
      </c>
    </row>
    <row r="1258" spans="2:6" ht="15" x14ac:dyDescent="0.25">
      <c r="B1258" s="17">
        <v>42411</v>
      </c>
      <c r="C1258" s="30" t="str">
        <f>[2]!YBHIST($A$2,$B1258,"Price","sec","")</f>
        <v>E</v>
      </c>
      <c r="D1258" t="str">
        <f>[2]!YBPRICE($A$2,C1258&amp;"d",$B1259,"OAS","Swap",B1258,"LMMSkew","","Model",100,"OAS")</f>
        <v>E</v>
      </c>
      <c r="E1258" s="32" t="str">
        <f>[2]!YBHIST($A$2,B1258,"LMMOAS","sec","")</f>
        <v>E</v>
      </c>
      <c r="F1258">
        <v>76.545997999999997</v>
      </c>
    </row>
    <row r="1259" spans="2:6" ht="15" x14ac:dyDescent="0.25">
      <c r="B1259" s="17">
        <v>42412</v>
      </c>
      <c r="C1259" s="30" t="str">
        <f>[2]!YBHIST($A$2,$B1259,"Price","sec","")</f>
        <v>E</v>
      </c>
      <c r="D1259" t="str">
        <f>[2]!YBPRICE($A$2,C1259&amp;"d",$A1259,"OAS","Swap",B1259,"LMMSkew","","Model",100,"OAS")</f>
        <v>E</v>
      </c>
      <c r="E1259" s="32" t="str">
        <f>[2]!YBHIST($A$2,B1259,"LMMOAS","sec","")</f>
        <v>E</v>
      </c>
      <c r="F1259">
        <v>85.475898999999998</v>
      </c>
    </row>
    <row r="1260" spans="2:6" ht="15" x14ac:dyDescent="0.25">
      <c r="B1260" s="17">
        <v>42416</v>
      </c>
      <c r="E1260" s="32" t="str">
        <f>[2]!YBHIST($A$2,B1260,"LMMOAS","sec","")</f>
        <v>E</v>
      </c>
      <c r="F1260">
        <v>92.657996999999995</v>
      </c>
    </row>
    <row r="1261" spans="2:6" ht="15" x14ac:dyDescent="0.25">
      <c r="B1261" s="17">
        <v>42417</v>
      </c>
      <c r="E1261" s="32" t="str">
        <f>[2]!YBHIST($A$2,B1261,"LMMOAS","sec","")</f>
        <v>E</v>
      </c>
      <c r="F1261">
        <v>105.87449599999999</v>
      </c>
    </row>
    <row r="1262" spans="2:6" ht="15" x14ac:dyDescent="0.25">
      <c r="B1262" s="17">
        <v>42418</v>
      </c>
      <c r="E1262" s="32" t="str">
        <f>[2]!YBHIST($A$2,B1262,"LMMOAS","sec","")</f>
        <v>E</v>
      </c>
      <c r="F1262">
        <v>103.461304</v>
      </c>
    </row>
    <row r="1263" spans="2:6" ht="15" x14ac:dyDescent="0.25">
      <c r="B1263" s="17">
        <v>42419</v>
      </c>
      <c r="E1263" s="32">
        <f>[2]!YBHIST($A$2,B1263,"LMMOAS","sec","")</f>
        <v>96.458702000000002</v>
      </c>
      <c r="F1263">
        <v>96.458702000000002</v>
      </c>
    </row>
    <row r="1264" spans="2:6" ht="15" x14ac:dyDescent="0.25">
      <c r="B1264" s="17">
        <v>42422</v>
      </c>
      <c r="E1264" s="32">
        <f>[2]!YBHIST($A$2,B1264,"LMMOAS","sec","")</f>
        <v>89.089896999999993</v>
      </c>
      <c r="F1264">
        <v>89.089896999999993</v>
      </c>
    </row>
    <row r="1265" spans="2:6" ht="15" x14ac:dyDescent="0.25">
      <c r="B1265" s="17">
        <v>42423</v>
      </c>
      <c r="E1265" s="32">
        <f>[2]!YBHIST($A$2,B1265,"LMMOAS","sec","")</f>
        <v>79.5261</v>
      </c>
      <c r="F1265">
        <v>79.5261</v>
      </c>
    </row>
    <row r="1266" spans="2:6" ht="15" x14ac:dyDescent="0.25">
      <c r="B1266" s="17">
        <v>42424</v>
      </c>
      <c r="E1266" s="32">
        <f>[2]!YBHIST($A$2,B1266,"LMMOAS","sec","")</f>
        <v>72.053496999999993</v>
      </c>
      <c r="F1266">
        <v>72.053496999999993</v>
      </c>
    </row>
    <row r="1267" spans="2:6" ht="15" x14ac:dyDescent="0.25">
      <c r="B1267" s="17">
        <v>42425</v>
      </c>
      <c r="E1267" s="32">
        <f>[2]!YBHIST($A$2,B1267,"LMMOAS","sec","")</f>
        <v>70.974097999999998</v>
      </c>
      <c r="F1267">
        <v>70.974097999999998</v>
      </c>
    </row>
    <row r="1268" spans="2:6" ht="15" x14ac:dyDescent="0.25">
      <c r="B1268" s="17">
        <v>42426</v>
      </c>
      <c r="E1268" s="32">
        <f>[2]!YBHIST($A$2,B1268,"LMMOAS","sec","")</f>
        <v>76.661300999999995</v>
      </c>
      <c r="F1268">
        <v>76.661300999999995</v>
      </c>
    </row>
    <row r="1269" spans="2:6" ht="15" x14ac:dyDescent="0.25">
      <c r="B1269" s="17">
        <v>42429</v>
      </c>
      <c r="E1269" s="32">
        <f>[2]!YBHIST($A$2,B1269,"LMMOAS","sec","")</f>
        <v>70.162903</v>
      </c>
      <c r="F1269">
        <v>70.162903</v>
      </c>
    </row>
    <row r="1270" spans="2:6" ht="15" x14ac:dyDescent="0.25">
      <c r="B1270" s="17">
        <v>42430</v>
      </c>
      <c r="E1270" s="32">
        <f>[2]!YBHIST($A$2,B1270,"LMMOAS","sec","")</f>
        <v>82.245399000000006</v>
      </c>
      <c r="F1270">
        <v>82.245399000000006</v>
      </c>
    </row>
    <row r="1271" spans="2:6" ht="15" x14ac:dyDescent="0.25">
      <c r="B1271" s="17">
        <v>42431</v>
      </c>
      <c r="E1271" s="32">
        <f>[2]!YBHIST($A$2,B1271,"LMMOAS","sec","")</f>
        <v>74.920699999999997</v>
      </c>
      <c r="F1271">
        <v>74.920699999999997</v>
      </c>
    </row>
    <row r="1272" spans="2:6" ht="15" x14ac:dyDescent="0.25">
      <c r="B1272" s="17">
        <v>42432</v>
      </c>
      <c r="E1272" s="32">
        <f>[2]!YBHIST($A$2,B1272,"LMMOAS","sec","")</f>
        <v>81.263603000000003</v>
      </c>
      <c r="F1272">
        <v>81.263603000000003</v>
      </c>
    </row>
    <row r="1273" spans="2:6" ht="15" x14ac:dyDescent="0.25">
      <c r="B1273" s="17">
        <v>42433</v>
      </c>
      <c r="E1273" s="32">
        <f>[2]!YBHIST($A$2,B1273,"LMMOAS","sec","")</f>
        <v>73.181800999999993</v>
      </c>
      <c r="F1273">
        <v>73.181800999999993</v>
      </c>
    </row>
    <row r="1274" spans="2:6" ht="15" x14ac:dyDescent="0.25">
      <c r="B1274" s="17">
        <v>42436</v>
      </c>
      <c r="E1274" s="32">
        <f>[2]!YBHIST($A$2,B1274,"LMMOAS","sec","")</f>
        <v>69.566101000000003</v>
      </c>
      <c r="F1274">
        <v>69.566101000000003</v>
      </c>
    </row>
    <row r="1275" spans="2:6" ht="15" x14ac:dyDescent="0.25">
      <c r="B1275" s="17">
        <v>42437</v>
      </c>
      <c r="E1275" s="32">
        <f>[2]!YBHIST($A$2,B1275,"LMMOAS","sec","")</f>
        <v>59.283000999999999</v>
      </c>
      <c r="F1275">
        <v>59.283000999999999</v>
      </c>
    </row>
    <row r="1276" spans="2:6" ht="15" x14ac:dyDescent="0.25">
      <c r="B1276" s="17">
        <v>42438</v>
      </c>
      <c r="E1276" s="32">
        <f>[2]!YBHIST($A$2,B1276,"LMMOAS","sec","")</f>
        <v>65.432700999999994</v>
      </c>
      <c r="F1276">
        <v>65.432700999999994</v>
      </c>
    </row>
    <row r="1277" spans="2:6" ht="15" x14ac:dyDescent="0.25">
      <c r="B1277" s="17">
        <v>42439</v>
      </c>
      <c r="E1277" s="32">
        <f>[2]!YBHIST($A$2,B1277,"LMMOAS","sec","")</f>
        <v>53.306702000000001</v>
      </c>
      <c r="F1277">
        <v>53.306702000000001</v>
      </c>
    </row>
    <row r="1278" spans="2:6" ht="15" x14ac:dyDescent="0.25">
      <c r="B1278" s="17">
        <v>42440</v>
      </c>
      <c r="E1278" s="32">
        <f>[2]!YBHIST($A$2,B1278,"LMMOAS","sec","")</f>
        <v>57.189602000000001</v>
      </c>
      <c r="F1278">
        <v>57.189602000000001</v>
      </c>
    </row>
    <row r="1279" spans="2:6" ht="15" x14ac:dyDescent="0.25">
      <c r="B1279" s="17">
        <v>42443</v>
      </c>
      <c r="E1279" s="32">
        <f>[2]!YBHIST($A$2,B1279,"LMMOAS","sec","")</f>
        <v>53.572800000000001</v>
      </c>
      <c r="F1279">
        <v>53.572800000000001</v>
      </c>
    </row>
    <row r="1280" spans="2:6" ht="15" x14ac:dyDescent="0.25">
      <c r="B1280" s="17">
        <v>42444</v>
      </c>
      <c r="E1280" s="32">
        <f>[2]!YBHIST($A$2,B1280,"LMMOAS","sec","")</f>
        <v>51.940497999999998</v>
      </c>
      <c r="F1280">
        <v>51.940497999999998</v>
      </c>
    </row>
    <row r="1281" spans="2:5" ht="15" x14ac:dyDescent="0.25">
      <c r="B1281" s="17">
        <v>42445</v>
      </c>
      <c r="E1281" s="32" t="str">
        <f>[2]!YBHIST($A$2,B1281,"LMMOAS","sec","")</f>
        <v>Error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OAS and Media Effect</vt:lpstr>
      <vt:lpstr>Disclaimer</vt:lpstr>
      <vt:lpstr>Refi Universe</vt:lpstr>
      <vt:lpstr>YB OAS</vt:lpstr>
      <vt:lpstr>'Refi Universe'!temp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Lien Chen</cp:lastModifiedBy>
  <cp:lastPrinted>2016-02-16T19:01:56Z</cp:lastPrinted>
  <dcterms:created xsi:type="dcterms:W3CDTF">2015-01-22T20:27:28Z</dcterms:created>
  <dcterms:modified xsi:type="dcterms:W3CDTF">2016-03-16T22:08:03Z</dcterms:modified>
</cp:coreProperties>
</file>